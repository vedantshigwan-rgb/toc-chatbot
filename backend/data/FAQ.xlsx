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entory Report" sheetId="1" r:id="rId5"/>
    <sheet state="visible" name="Buyer Wise Inventory Report" sheetId="2" r:id="rId6"/>
    <sheet state="visible" name="Order Report" sheetId="3" r:id="rId7"/>
    <sheet state="visible" name="BOM Report" sheetId="4" r:id="rId8"/>
    <sheet state="visible" name="Purchase Order Report" sheetId="5" r:id="rId9"/>
    <sheet state="visible" name="Docket Report" sheetId="6" r:id="rId10"/>
    <sheet state="visible" name="Docket Employee Report" sheetId="7" r:id="rId11"/>
    <sheet state="visible" name="On Time Delivery Index Report" sheetId="8" r:id="rId12"/>
    <sheet state="visible" name="OA Trolley Report " sheetId="9" r:id="rId13"/>
    <sheet state="visible" name=" Buyerwise OA Trolley Report" sheetId="10" r:id="rId14"/>
  </sheets>
  <definedNames>
    <definedName hidden="1" localSheetId="0" name="_xlnm._FilterDatabase">'Inventory Report'!$E$1:$E$983</definedName>
    <definedName hidden="1" localSheetId="1" name="_xlnm._FilterDatabase">'Buyer Wise Inventory Report'!$E$1:$E$981</definedName>
    <definedName hidden="1" localSheetId="2" name="_xlnm._FilterDatabase">'Order Report'!$E$1:$E$1001</definedName>
    <definedName hidden="1" localSheetId="3" name="_xlnm._FilterDatabase">'BOM Report'!$E$1:$E$964</definedName>
    <definedName hidden="1" localSheetId="4" name="_xlnm._FilterDatabase">'Purchase Order Report'!$E$1:$E$994</definedName>
    <definedName hidden="1" localSheetId="5" name="_xlnm._FilterDatabase">'Docket Report'!$E$1:$E$1086</definedName>
    <definedName hidden="1" localSheetId="6" name="_xlnm._FilterDatabase">'Docket Employee Report'!$E$1:$E$999</definedName>
    <definedName hidden="1" localSheetId="7" name="_xlnm._FilterDatabase">'On Time Delivery Index Report'!$E$1:$E$999</definedName>
    <definedName hidden="1" localSheetId="8" name="_xlnm._FilterDatabase">'OA Trolley Report '!$E$1:$E$211</definedName>
    <definedName hidden="1" localSheetId="9" name="_xlnm._FilterDatabase">' Buyerwise OA Trolley Report'!$E$1:$E$974</definedName>
  </definedNames>
  <calcPr/>
</workbook>
</file>

<file path=xl/sharedStrings.xml><?xml version="1.0" encoding="utf-8"?>
<sst xmlns="http://schemas.openxmlformats.org/spreadsheetml/2006/main" count="11082" uniqueCount="9492">
  <si>
    <t>Display Questions</t>
  </si>
  <si>
    <t>Questions</t>
  </si>
  <si>
    <t>Normalized Questions</t>
  </si>
  <si>
    <t>SQL Queries</t>
  </si>
  <si>
    <t>Variables Used</t>
  </si>
  <si>
    <t>Show today's total stock of item {item}.</t>
  </si>
  <si>
    <t>What is today's total stock of  /item {item}?</t>
  </si>
  <si>
    <t>Show today's total stock.</t>
  </si>
  <si>
    <t>today's total stock of item</t>
  </si>
  <si>
    <t>SELECT ORG_NAME, CHILD_ITEM ,
  NVL(TODAYS_STOCKS_ITEM_COUNT, 0) AS CURRENT_STOCK
 FROM  KPCL_REPORTING.FULLKIT_ITEMWISE_INV
 WHERE CHILD_ITEM LIKE '%{item}%' AND REQ_QTY_MONTH = UPPER(TO_CHAR(SYSDATE, 'MON-YYYY')) AND CHILD_ITEM not like 'N%' ;</t>
  </si>
  <si>
    <t>item</t>
  </si>
  <si>
    <t>Display schedule ship date of oa_number {oa_number}.</t>
  </si>
  <si>
    <t>View today's total stock of item {item} for buyer {buyer}.</t>
  </si>
  <si>
    <t>What is today's total stock of  /item {item} for /buyer {buyer}?</t>
  </si>
  <si>
    <t xml:space="preserve">today's total stock of item for buyer </t>
  </si>
  <si>
    <t>What is the schedule ship date of /oa_number {oa_number}?</t>
  </si>
  <si>
    <t>SELECT ORG_NAME,
  BUYER_NAME,
  NVL(TODAYS_STOCKS_ITEM_COUNT, 0) AS CURRENT_STOCK
 FROM  KPCL_REPORTING.FULLKIT_ITEMWISE_INV
 WHERE BUYER_NAME LIKE '%{buyer}%'
 AND CHILD_ITEM LIKE '%{item}%' AND REQ_QTY_MONTH = UPPER(TO_CHAR(SYSDATE, 'MON-YYYY'));</t>
  </si>
  <si>
    <t>schedule ship date of oa number</t>
  </si>
  <si>
    <t>buyer, item</t>
  </si>
  <si>
    <t>SELECT DISTINCT OA_NUMBER, BUSINESS_GROUP, CUSTOMER_NAME, SBM_NUMBER, SCHEDULE_SHIP_DATE from KPCL_REPORTING.OA_GROUPING_FULLKIT_WISE
 WHERE OA_NUMBER LIKE '%{oa_number}%';</t>
  </si>
  <si>
    <t>oa_number</t>
  </si>
  <si>
    <t>What is today's total stock?</t>
  </si>
  <si>
    <t>today's total stock</t>
  </si>
  <si>
    <t>SELECT ORG_NAME,
  'Value(Mln)' Type,
  round(SUM(nvl(opening_stock, 0)),2) todays_stock
 FROM   KPCL_REPORTING.KPC_INV_BUYER_REPORT
 WHERE OPENING_STOCK &gt; 0 AND REPORT_MONTH = UPPER(TO_CHAR(SYSDATE, 'MON-YYYY')) GROUP BY ORG_NAME
 union
 SELECT ORG_NAME,
  'Quantity' Type,
  round(SUM(nvl(opening_stock, 0)),2) todays_stock
 FROM   KPCL_REPORTING.KPC_INV_BUYER_REPORT
 WHERE OPENING_STOCK &gt; 0 AND REPORT_MONTH = UPPER(TO_CHAR(SYSDATE, 'MON-YYYY')) GROUP BY ORG_NAME;</t>
  </si>
  <si>
    <t>Display excess stock.</t>
  </si>
  <si>
    <t>What is excess stock?</t>
  </si>
  <si>
    <t>View orders to be delivered next week.</t>
  </si>
  <si>
    <t>excess stock</t>
  </si>
  <si>
    <t xml:space="preserve"> SELECT 
  BUYER_NAME,ORG_NAME,
  SUM(TODAYS_STOCKS_ITEM_COUNT) AS CURRENT_STOCK,
  SUM(NVL(REMAINING_QTY, 0)) AS TOTAL_EXCESS_QTY
 FROM  KPCL_REPORTING.FULLKIT_ITEMWISE_INV
 WHERE CHILD_ITEM not like 'N%' AND REQ_QTY_MONTH = UPPER(TO_CHAR(SYSDATE, 'MON-YYYY'))
 GROUP BY BUYER_NAME, ORG_NAME
 ORDER BY BUYER_NAME ;</t>
  </si>
  <si>
    <t>orders to be delivered next week</t>
  </si>
  <si>
    <t>SELECT
  BUSINESS_GROUP,
  OA_NUMBER,
  CUSTOMER_NAME AS CUST_NAME,
  SBM_NUMBER,
  SCHEDULE_SHIP_DATE AS SSD
 FROM
  KPCL_REPORTING.OA_GROUPING_FULLKIT_WISE
 WHERE
  SCHEDULE_SHIP_DATE &gt;= TRUNC(SYSDATE, 'IW') + 7
  AND SCHEDULE_SHIP_DATE &lt; TRUNC(SYSDATE, 'IW') + 14
 ORDER BY
  SCHEDULE_SHIP_DATE,
  OA_NUMBER;</t>
  </si>
  <si>
    <t>Show today's total stock by value and quantity.</t>
  </si>
  <si>
    <t>What today's total stock by value and quantity?</t>
  </si>
  <si>
    <t>View excess stock for buyer {buyer}.</t>
  </si>
  <si>
    <t>today's total stock by value and quantity</t>
  </si>
  <si>
    <t>What is the excess stock for /buyer {buyer}?</t>
  </si>
  <si>
    <t>Show all shortage components for oa_number {oa_number}.</t>
  </si>
  <si>
    <t xml:space="preserve">excess stock for buyer </t>
  </si>
  <si>
    <t>SELECT ORG_NAME, 
  'Value(Mln)' Type,
  round(SUM(nvl(opening_stock, 0)),2) todays_stock
 FROM  KPCL_REPORTING.KPC_INV_BUYER_REPORT
 WHERE OPENING_STOCK &gt; 0 AND REPORT_MONTH = UPPER(TO_CHAR(SYSDATE, 'MON-YYYY')) 
GROUP BY ORG_NAME
 union
 SELECT ORG_NAME,
  'Quantity' Type,
  round(SUM(nvl(opening_stock, 0)),2) todays_stock
 FROM  KPCL_REPORTING.KPC_INV_BUYER_REPORT
 WHERE OPENING_STOCK &gt; 0 AND REPORT_MONTH = UPPER(TO_CHAR(SYSDATE, 'MON-YYYY'))
GROUP BY ORG_NAME;</t>
  </si>
  <si>
    <t>SELECT 
  BUYER_NAME, ORG_NAME,
  SUM(TODAYS_STOCKS_ITEM_COUNT) AS CURRENT_STOCK,
  SUM(NVL(REMAINING_QTY, 0)) AS TOTAL_EXCESS_QTY
 FROM  KPCL_REPORTING.FULLKIT_ITEMWISE_INV
 WHERE CHILD_ITEM not like 'N%' and BUYER_NAME LIKE '%{buyer}%' AND REQ_QTY_MONTH = UPPER(TO_CHAR(SYSDATE, 'MON-YYYY'))
 GROUP BY BUYER_NAME, ORG_NAME
 ORDER BY BUYER_NAME;</t>
  </si>
  <si>
    <t>Show all shortage components for /oa_number {oa_number}.</t>
  </si>
  <si>
    <t>buyer</t>
  </si>
  <si>
    <t>all shortage components for oa number</t>
  </si>
  <si>
    <t>SELECT
    OA_NUMBER,
    CHILD_ITEM,
    CHILD_DESCRIPTION,
    SHORT_QTY,
    REQUIRED_QTY,
    STOCK_GENERAL_STORE
FROM KPCL_REPORTING.KPC_FULL_KIT_BOM_EXPLODE
WHERE OA_NUMBER  LIKE '%{oa_number}%'
AND SHORT_QTY &gt; 0
ORDER BY SHORT_QTY DESC;</t>
  </si>
  <si>
    <t>Show requirement  of required qty and allocation qty for current month.</t>
  </si>
  <si>
    <t>requirement  of required qty and allocation qty for current month</t>
  </si>
  <si>
    <t>Display color of oa_number {oa_number}.</t>
  </si>
  <si>
    <t>SELECT ORG_NAME,
  BUYER_NAME,
  SUM(NVL(TOTAL_MAT_REQ,0)) AS REQ_QTY,
  SUM(NVL(CONSUMPTION,0)) AS ALLOC_QTY
 FROM KPCL_REPORTING.KPC_INV_BUYER_REPORT
 WHERE REPORT_MONTH = UPPER(TO_CHAR(SYSDATE, 'MON-YYYY'))
 GROUP BY ORG_NAME, BUYER_NAME;</t>
  </si>
  <si>
    <t>What is the color of /oa_number {oa_number} ?</t>
  </si>
  <si>
    <t>color of oa number</t>
  </si>
  <si>
    <t>SELECT
  OA_NUMBER,
  CUSTOMER_NAME AS CUST_NAME,
  OA_COLOUR AS COLOR,
  SBM_NUMBER,
  SCHEDULE_SHIP_DATE AS SSD
 FROM
 KPCL_REPORTING.OA_GROUPING_FULLKIT_WISE
 WHERE
  OA_NUMBER LIKE '%{oa_number}%';</t>
  </si>
  <si>
    <t>View all OA / Order numbers having shortage quantity greater than zero.</t>
  </si>
  <si>
    <t>Find all OA / Order numbers having shortage quantity greater than zero.</t>
  </si>
  <si>
    <t>all OA / Order numbers having shortage quantity greater than zero</t>
  </si>
  <si>
    <t>Display current month's required qty and allocation qty for buyer {buyer}.</t>
  </si>
  <si>
    <t>SELECT DISTINCT
    OA_NUMBER,
    CUSTOMER_NAME,
    OA_COLOUR,
    OA_PROMISE_DATE
FROM KPCL_REPORTING.KPC_FULL_KIT_BOM_EXPLODE
WHERE SHORT_QTY &gt; 0
ORDER BY OA_PROMISE_DATE;</t>
  </si>
  <si>
    <t>Display excess stock of item {item}.</t>
  </si>
  <si>
    <t>Show order, sbm number and schedule ship date of customer {customer}.</t>
  </si>
  <si>
    <t>What is the excess stock of  /item {item}?</t>
  </si>
  <si>
    <t>excess stock of item</t>
  </si>
  <si>
    <t>What is the order, sbm number and schedule ship date of /customer {customer}?</t>
  </si>
  <si>
    <t>order, sbm number and schedule ship date of customer</t>
  </si>
  <si>
    <t>SELECT 
  CHILD_ITEM, ORG_NAME,
  SUM(TODAYS_STOCKS_ITEM_COUNT) AS CURRENT_STOCK,
  SUM(NVL(REMAINING_QTY, 0)) AS TOTAL_EXCESS_QTY
 FROM  KPCL_REPORTING.FULLKIT_ITEMWISE_INV
 WHERE CHILD_ITEM not like 'N%' AND CHILD_ITEM LIKE '%{item}%' AND REQ_QTY_MONTH = UPPER(TO_CHAR(SYSDATE, 'MON-YYYY'))
 GROUP BY CHILD_ITEM, ORG_NAME;</t>
  </si>
  <si>
    <t>What is the current month's required qty and allocation qty for /buyer {buyer}?</t>
  </si>
  <si>
    <t>current month's required qty and allocation qty for buyer</t>
  </si>
  <si>
    <t>SELECT
  OA_NUMBER,
  CUSTOMER_NAME AS CUST_NAME,
  OA_COLOUR AS COLOR,
  SBM_NUMBER,
  SCHEDULE_SHIP_DATE AS SSD
FROM
  KPCL_REPORTING.OA_GROUPING_FULLKIT_WISE
WHERE
  CUSTOMER_NAME LIKE '%{customer}%'
ORDER BY
  SCHEDULE_SHIP_DATE,
  OA_NUMBER;</t>
  </si>
  <si>
    <t>SELECT ORG_NAME,
  BUYER_NAME, REPORT_MONTH,
  SUM(NVL(TOTAL_MAT_REQ,0)) AS REQ_QTY,
  SUM(NVL(CONSUMPTION,0)) AS ALLOC_QTY
 FROM KPCL_REPORTING.KPC_INV_BUYER_REPORT
 WHERE BUYER_NAME LIKE '%{buyer}%'  AND REPORT_MONTH = UPPER(TO_CHAR(SYSDATE, 'MON-YYYY'))
 GROUP BY ORG_NAME, BUYER_NAME, REPORT_MONTH;</t>
  </si>
  <si>
    <t>Show total shortage cost for every OA / Order number.</t>
  </si>
  <si>
    <t>customer</t>
  </si>
  <si>
    <t>total shortage cost for every OA / Order number</t>
  </si>
  <si>
    <t>Show excess stock of item {item} for buyer {buyer}.</t>
  </si>
  <si>
    <t>SELECT
    OA_NUMBER,
    SUM(SHORT_QTY * ITEM_STD_RATE) AS TOTAL_SHORTAGE_VALUE
FROM KPCL_REPORTING.KPC_FULL_KIT_BOM_EXPLODE
WHERE SHORT_QTY &gt; 0
GROUP BY OA_NUMBER</t>
  </si>
  <si>
    <t>View WIP status of oa_number {oa_number}.</t>
  </si>
  <si>
    <t>what is WIP status of /oa_number {oa_number}?</t>
  </si>
  <si>
    <t>WIP status of oa number</t>
  </si>
  <si>
    <t>Show requirement of current month qty and allocation qty for current month.</t>
  </si>
  <si>
    <t>What is the excess stock of  /item {item} for /buyer {buyer}?</t>
  </si>
  <si>
    <t>SELECT DISTINCT OA_NUMBER,
  CUSTOMER_NAME,
  SBM_NUMBER,
  FULL_KIT_NAME, SUB_FULL_KIT, AVAILABILITY, AVALB_WOUT_RES,COLOR, NEED_BY_DATE, PER_TIME_REM
 FROM KPCL_REPORTING.OA_GROUPING_FULLKIT_WISE
 WHERE OA_NUMBER LIKE '%{oa_number}%';</t>
  </si>
  <si>
    <t>Requirement of current month qty and allocation qty for current month.</t>
  </si>
  <si>
    <t>requirement of current month qty and allocation qty for current month</t>
  </si>
  <si>
    <t xml:space="preserve">excess stock of item for buyer </t>
  </si>
  <si>
    <t xml:space="preserve">SELECT  ORG_NAME, 
  BUYER_NAME, REPORT_MONTH,
  SUM(NVL(TOTAL_MAT_REQ,0)) AS REQ_QTY_CURRENT,
  SUM(NVL(CONSUMPTION,0)) AS ALLOC_QTY_CURRENT
 FROM KPCL_REPORTING.KPC_INV_BUYER_REPORT
 WHERE REPORT_MONTH = UPPER(TO_CHAR(SYSDATE, 'MON-YYYY'))
 GROUP BY ORG_NAME, BUYER_NAME,REPORT_MONTH;
  </t>
  </si>
  <si>
    <t>SELECT 
  BUYER_NAME,
  CHILD_ITEM, ORG_NAME,
  SUM(TODAYS_STOCKS_ITEM_COUNT) AS CURRENT_STOCK,
  SUM(NVL(REMAINING_QTY, 0)) AS TOTAL_EXCESS_QTY
 FROM  KPCL_REPORTING.FULLKIT_ITEMWISE_INV
 WHERE CHILD_ITEM not like 'N%' and BUYER_NAME LIKE '%{buyer}%' AND CHILD_ITEM LIKE '%{item}%' AND REQ_QTY_MONTH = UPPER(TO_CHAR(SYSDATE, 'MON-YYYY'))
 GROUP BY BUYER_NAME, CHILD_ITEM, ORG_NAME
 ORDER BY BUYER_NAME;</t>
  </si>
  <si>
    <t>Display need by date, availability and color of sub_full_kit {sub_full_kit} of oa_number {oa_number}.</t>
  </si>
  <si>
    <t>What is need by date,availability and color of /sub_full_kit {sub_full_kit} of /oa_number {oa_number}?</t>
  </si>
  <si>
    <t>need by date,availability and color of sub full kit of oa number</t>
  </si>
  <si>
    <t>SELECT OA_NUMBER, CUSTOMER_NAME, OA_COLOUR, SBM_NUMBER, SCHEDULE_SHIP_DATE, NEED_BY_DATE, AVAILABILITY, COLOR
 FROM KPCL_REPORTING.OA_GROUPING_FULLKIT_WISE
 WHERE SUB_FULL_KIT LIKE '%{sub_full_kit}%' AND OA_NUMBER LIKE '%{oa_number}%';</t>
  </si>
  <si>
    <t>sub_full_kit, oa_number</t>
  </si>
  <si>
    <t>Display today's total stock by buyers.</t>
  </si>
  <si>
    <t>Show items where available stock is less than safety stock.</t>
  </si>
  <si>
    <t>What is today's total stock for buyers?</t>
  </si>
  <si>
    <t>today's total stock for buyers</t>
  </si>
  <si>
    <t>Find items where available stock is less than safety stock.</t>
  </si>
  <si>
    <t>items where available stock is less than safety stock</t>
  </si>
  <si>
    <t>SELECT ORG_NAME, 
  BUYER_NAME, REPORT_MONTH,
  'Value(Mln)' AS TYPE,
  ROUND(SUM(NVL(OPENING_STOCK, 0)), 2) AS TODAYS_STOCK
 FROM KPCL_REPORTING.KPC_INV_BUYER_REPORT
 WHERE OPENING_STOCK &gt; 0 AND REPORT_MONTH = UPPER(TO_CHAR(SYSDATE, 'MON-YYYY'))
 GROUP BY ORG_NAME, BUYER_NAME, REPORT_MONTH
 UNION ALL
 SELECT ORG_NAME, 
  BUYER_NAME, REPORT_MONTH,
  'Quantity' AS TYPE,
  ROUND(SUM(NVL(OPENING_STOCK, 0)), 2) AS TODAYS_STOCK
 FROM KPCL_REPORTING.KPC_INV_BUYER_REPORT
 WHERE OPENING_STOCK &gt; 0 AND REPORT_MONTH = UPPER(TO_CHAR(SYSDATE, 'MON-YYYY'))
 GROUP BY ORG_NAME, BUYER_NAME, REPORT_MONTH
 ORDER BY BUYER_NAME, TYPE;</t>
  </si>
  <si>
    <t>SELECT DISTINCT
    CHILD_ITEM,
    CHILD_DESCRIPTION,
    STOCK_GENERAL_STORE,
    SAFETY_STOCK
FROM KPCL_REPORTING.KPC_FULL_KIT_BOM_EXPLODE
WHERE STOCK_GENERAL_STORE &lt; SAFETY_STOCK
ORDER BY SAFETY_STOCK DESC;</t>
  </si>
  <si>
    <t>View top 5 buyers having excess stock.</t>
  </si>
  <si>
    <t>Display need by date, availability and color of full_kit {full_kit} of oa_number {oa_number}.</t>
  </si>
  <si>
    <t>Show  top 5 buyers having excess stock.</t>
  </si>
  <si>
    <t>What is need by date,availability and color of /full_kit {full_kit} of /oa_number {oa_number}?</t>
  </si>
  <si>
    <t>top 5 buyers having excess stock</t>
  </si>
  <si>
    <t>Display today's total stock of buyer {buyer}.</t>
  </si>
  <si>
    <t>need by date,availability and color of full kit of oa number</t>
  </si>
  <si>
    <t>SELECT *
 FROM (
  SELECT
  BUYER_NAME, ORG_NAME,
  SUM(NVL(REMAINING_QTY, 0)) AS TOTAL_EXCESS_QTY,
  SUM(NVL(REMAINING_QTY, 0) * NVL(ITEM_COST, 0)) AS TOTAL_EXCESS_VALUE
  FROM  KPCL_REPORTING.FULLKIT_ITEMWISE_INV
  WHERE NVL(REMAINING_QTY, 0) &gt; 0 AND REQ_QTY_MONTH = UPPER(TO_CHAR(SYSDATE, 'MON-YYYY'))
  AND CHILD_ITEM NOT LIKE 'N%'
  GROUP BY BUYER_NAME, ORG_NAME
  ORDER BY TOTAL_EXCESS_VALUE DESC
 )
 WHERE ROWNUM &lt;= 5;</t>
  </si>
  <si>
    <t>SELECT OA_NUMBER, CUSTOMER_NAME, OA_COLOUR, SBM_NUMBER, SCHEDULE_SHIP_DATE, NEED_BY_DATE, AVAILABILITY, COLOR
 FROM KPCL_REPORTING.OA_GROUPING_FULLKIT_WISE
 WHERE FULL_KIT_NAME LIKE '%{full_kit}%' AND OA_NUMBER LIKE '%{oa_number}%';</t>
  </si>
  <si>
    <t>Show pending PO quantity for all child items.</t>
  </si>
  <si>
    <t>full_kit, oa_number</t>
  </si>
  <si>
    <t>Display pending PO quantity for all child items.</t>
  </si>
  <si>
    <t>pending PO quantity for all child items</t>
  </si>
  <si>
    <t>SELECT DISTINCT
    CHILD_ITEM,
    CHILD_DESCRIPTION,
    PENDING_PO,
    SUPPLIER_NAME,
    BUYER_NAME
FROM KPCL_REPORTING.KPC_FULL_KIT_BOM_EXPLODE
WHERE PENDING_PO &gt; 0
ORDER BY PENDING_PO DESC;</t>
  </si>
  <si>
    <t>What is today's total stock of /buyer {buyer}?</t>
  </si>
  <si>
    <t>Display current stock and excess stock of  buyer {buyer}.</t>
  </si>
  <si>
    <t>today's total stock of buyer</t>
  </si>
  <si>
    <t>Show current stock and excess stock of /buyer {buyer} .</t>
  </si>
  <si>
    <t xml:space="preserve">current stock and excess stock of buyer </t>
  </si>
  <si>
    <t>SELECT
  BUYER_NAME, ORG_NAME, 
  'Value(Mln)' AS TYPE,
  ROUND(SUM(NVL(OPENING_STOCK, 0)), 2) AS TODAYS_STOCK
 FROM KPCL_REPORTING.KPC_INV_BUYER_REPORT
 WHERE OPENING_STOCK &gt; 0
 AND BUYER_NAME LIKE '%{buyer}%' AND REPORT_MONTH = UPPER(TO_CHAR(SYSDATE, 'MON-YYYY'))
 GROUP BY BUYER_NAME, ORG_NAME
 UNION ALL
 SELECT
  BUYER_NAME, ORG_NAME, 
  'Quantity' AS TYPE,
  ROUND(SUM(NVL(OPENING_STOCK, 0)), 2) AS TODAYS_STOCK
 FROM KPCL_REPORTING.KPC_INV_BUYER_REPORT
 WHERE OPENING_STOCK &gt; 0
 AND BUYER_NAME LIKE '%{buyer}%' AND REPORT_MONTH = UPPER(TO_CHAR(SYSDATE, 'MON-YYYY'))
 GROUP BY ORG_NAME, BUYER_NAME
 ORDER BY TYPE;</t>
  </si>
  <si>
    <t>SELECT
  BUYER_NAME, ORG_NAME,
  SUM(NVL(TODAYS_STOCKS_ITEM_COUNT, 0)) AS CURRENT_STOCK,
  SUM(NVL(REMAINING_QTY, 0)) AS TOTAL_EXCESS_QTY
 FROM  KPCL_REPORTING.FULLKIT_ITEMWISE_INV
 WHERE CHILD_ITEM NOT LIKE 'N%'
  AND BUYER_NAME LIKE '%{buyer}%' AND REQ_QTY_MONTH = UPPER(TO_CHAR(SYSDATE, 'MON-YYYY'))
 GROUP BY BUYER_NAME, ORG_NAME
 ORDER BY BUYER_NAME;</t>
  </si>
  <si>
    <t>View need by date, availability and color of sub_full_kit {sub_full_kit} of customer {customer}.</t>
  </si>
  <si>
    <t>What is need by date, and availability and color of /sub_full_kit {sub_full_kit} of /customer {customer}?</t>
  </si>
  <si>
    <t>View suppliers associated with delayed or risky OA / Order numbers.</t>
  </si>
  <si>
    <t>need by date, availability and color of sub full kit of customer</t>
  </si>
  <si>
    <t>SELECT DISTINCT OA_NUMBER,
  CUSTOMER_NAME,
  SBM_NUMBER,
  NEED_BY_DATE,
  AVAILABILITY,
  COLOR,
  SCHEDULE_SHIP_DATE
 FROM KPCL_REPORTING.OA_GROUPING_FULLKIT_WISE
 WHERE SUB_FULL_KIT LIKE '%{sub_full_kit}%' AND CUSTOMER_NAME LIKE '%{customer}%';</t>
  </si>
  <si>
    <t>Find suppliers associated with delayed or risky OA / Order numbers.</t>
  </si>
  <si>
    <t>sub_full_kit, customer</t>
  </si>
  <si>
    <t>suppliers associated with delayed or risky OA / Order numbers</t>
  </si>
  <si>
    <t>Show current month's required qty and allocation qty for item {item}.</t>
  </si>
  <si>
    <t>SELECT DISTINCT
    SUPPLIER_NAME,
    OA_NUMBER,
    OA_COLOUR,
    EXPECTED_DATE
FROM KPCL_REPORTING.KPC_FULL_KIT_BOM_EXPLODE
WHERE OA_COLOUR IN ('Red', 'Black', 'Yellow')
ORDER BY SUPPLIER_NAME;</t>
  </si>
  <si>
    <t>What is the current month's required qty and allocation qty for /item {item}?</t>
  </si>
  <si>
    <t>current month's required qty and allocation qty for item</t>
  </si>
  <si>
    <t>SELECT CHILD_ITEM, ORG_NAME, SUM(NVL(REQ_QTY,0)) AS REQ_QTY, SUM(NVL(ALLOCATED_QTY,0)) AS ALLOC_QTY FROM  KPCL_REPORTING.FULLKIT_ITEMWISE_INV
 WHERE CHILD_ITEM LIKE '%{item}%' AND REQ_QTY_MONTH = UPPER(TO_CHAR(SYSDATE, 'MON-YYYY')) AND CHILD_ITEM not like 'N%' 
 GROUP BY CHILD_ITEM, ORG_NAME;</t>
  </si>
  <si>
    <t>Display total safety stock.</t>
  </si>
  <si>
    <t>What is the total safety stock?</t>
  </si>
  <si>
    <t>total safety stock</t>
  </si>
  <si>
    <t>SELECT  ORG_NAME, 
  SUM(NVL(SAFETY_STOCK,0)) AS TOTAL_SAFETY_STOCK
 FROM KPCL_REPORTING.KPC_INV_BUYER_REPORT 
WHERE REPORT_MONTH = UPPER(TO_CHAR(SYSDATE, 'MON-YYYY'))
GROUP BY ORG_NAME;</t>
  </si>
  <si>
    <t>View need by date, availability and color of full_kit {full_kit} of customer {customer}.</t>
  </si>
  <si>
    <t>What is need by date, and availability and color of /full_kit {full_kit} of /customer {customer}?</t>
  </si>
  <si>
    <t>need by date, availability and color of full kit of customer</t>
  </si>
  <si>
    <t>Show current month's required qty and allocation qty of item {item} for buyer {buyer}.</t>
  </si>
  <si>
    <t>SELECT DISTINCT OA_NUMBER,
  CUSTOMER_NAME,
  SBM_NUMBER,
  NEED_BY_DATE,
  AVAILABILITY,
  COLOR,
  SCHEDULE_SHIP_DATE
 FROM KPCL_REPORTING.OA_GROUPING_FULLKIT_WISE
 WHERE FULL_KIT_NAME LIKE '%{full_kit}%' AND
 CUSTOMER_NAME LIKE '%{customer}%';</t>
  </si>
  <si>
    <t>full_kit, customer</t>
  </si>
  <si>
    <t>What is the current month's required qty and allocation qty of  /item {item} for /buyer {buyer}?</t>
  </si>
  <si>
    <t xml:space="preserve">current month's required qty and allocation qty of item for buyer </t>
  </si>
  <si>
    <t>View delayed or risky OA / Order numbers for supplier {supplier}.</t>
  </si>
  <si>
    <t>Show delayed or risky OA / Order numbers for /supplier {supplier}.</t>
  </si>
  <si>
    <t xml:space="preserve">SELECT ORG_NAME,
    CHILD_ITEM, 
    BUYER_NAME, 
    SUM(NVL(REQ_QTY, 0)) AS REQ_QTY, 
    SUM(NVL(ALLOCATED_QTY, 0)) AS ALLOC_QTY 
FROM 
    KPCL_REPORTING.FULLKIT_ITEMWISE_INV 
WHERE 
    CHILD_ITEM LIKE '%{item}%'  AND CHILD_ITEM not like 'N%' 
    AND BUYER_NAME LIKE '%{buyer}%' 
    AND REQ_QTY_MONTH = UPPER(TO_CHAR(SYSDATE, 'MON-YYYY'))
GROUP BY ORG_NAME,
    CHILD_ITEM, 
    BUYER_NAME;
</t>
  </si>
  <si>
    <t>delayed or risky OA / Order numbers for supplier</t>
  </si>
  <si>
    <t>View buyer wise safety stock.</t>
  </si>
  <si>
    <t>Show buyer wise safety stock.</t>
  </si>
  <si>
    <t>buyer wise safety stock</t>
  </si>
  <si>
    <t>SELECT 
    OA_NUMBER,
    CUSTOMER_NAME,
    CHILD_ITEM AS ITEM_CODE,
    CHILD_DESCRIPTION AS ITEM_DESCRIPTION,
    NVL(COMPONENT_QTY, 0) AS REQUIRED_QTY,
    NVL(SHORT_QTY, 0) AS SHORTAGE_QTY,
    FULL_KIT_MRP_SUGG_DATE AS MRP_NEED_DATE,
    EXPECTED_DATE AS SUPPLIER_PROMISE_DATE,
    CASE 
        WHEN EXPECTED_DATE &gt; FULL_KIT_MRP_SUGG_DATE THEN ROUND(EXPECTED_DATE - FULL_KIT_MRP_SUGG_DATE)
        WHEN EXPECTED_DATE IS NULL THEN NULL
        ELSE 0 
    END AS DAYS_DELAYED,
    EXPECTED_DATE_REMARK AS SHIPPING_REMARK,
    EXPECTED_DATE_COLOR AS SUPPLIER_LINE_RISK,
    OA_COLOUR AS MASTER_ORDER_BUFFER,
    SUPPLIER_NAME AS MATCHED_SUPPLIER_NAME
FROM 
    KPCL_REPORTING.KPC_FULL_KIT_BOM_EXPLODE
WHERE 
    SUPPLIER_NAME LIKE '%{supplier}%'
    AND NVL(SHORT_QTY, 0) &gt; 0
    AND (
        EXPECTED_DATE &gt; FULL_KIT_MRP_SUGG_DATE
        OR EXPECTED_DATE IS NULL
        OR (EXPECTED_DATE_COLOR) = 'RED'
    )
ORDER BY 
    CASE WHEN EXPECTED_DATE IS NULL THEN 1 ELSE 2 END ASC,
    DAYS_DELAYED DESC, 
    SHORTAGE_QTY DESC;</t>
  </si>
  <si>
    <t>View need by date, availability and color of sub_full_kit {sub_full_kit} of customer {customer} with oa_number {oa_number}.</t>
  </si>
  <si>
    <t>supplier</t>
  </si>
  <si>
    <t>What is need by date, availability and color of /sub_full_kit {sub_full_kit} of /customer {customer} with /oa_number {oa_number}?</t>
  </si>
  <si>
    <t>SELECT  ORG_NAME, 
  BUYER_NAME,
  SUM(NVL(SAFETY_STOCK,0)) AS SAFETY_STOCK
 FROM KPCL_REPORTING.KPC_INV_BUYER_REPORT 
 WHERE REPORT_MONTH = UPPER(TO_CHAR(SYSDATE, 'MON-YYYY'))
 GROUP BY ORG_NAME, BUYER_NAME
 ORDER BY SAFETY_STOCK DESC;</t>
  </si>
  <si>
    <t>need by date, availability and color of sub full kit of customer with oa number</t>
  </si>
  <si>
    <t>SELECT DISTINCT OA_NUMBER,
  CUSTOMER_NAME,
  SBM_NUMBER,
  NEED_BY_DATE,
  AVAILABILITY,
  COLOR,
  SCHEDULE_SHIP_DATE
 FROM KPCL_REPORTING.OA_GROUPING_FULLKIT_WISE
 WHERE SUB_FULL_KIT LIKE '%{sub_full_kit}%' AND CUSTOMER_NAME LIKE '%{customer}%' AND
 OA_NUMBER LIKE '%{oa_number}%';</t>
  </si>
  <si>
    <t>sub_full_kit, customer,oa_number</t>
  </si>
  <si>
    <t>View excess qty against each reason.</t>
  </si>
  <si>
    <t>Show top 10 items with highest procurement lead time.</t>
  </si>
  <si>
    <t>Find top 10 items with highest procurement lead time.</t>
  </si>
  <si>
    <t>top 10 items with highest procurement lead time</t>
  </si>
  <si>
    <t>SELECT  DISTINCT
    CHILD_ITEM,
    CHILD_DESCRIPTION,
    FULL_LEAD_TIME,
    SUPPLIER_NAME
FROM KPCL_REPORTING.KPC_FULL_KIT_BOM_EXPLODE
ORDER BY FULL_LEAD_TIME DESC
FETCH FIRST 10 ROWS ONLY;</t>
  </si>
  <si>
    <t>what is the excess qty against each reason?</t>
  </si>
  <si>
    <t>View need by date, availability and color of full_kit {full_kit} of customer {customer} with oa_number {oa_number}.</t>
  </si>
  <si>
    <t>excess qty against each reason</t>
  </si>
  <si>
    <t>What is need by date, availability and color of /full_kit {full_kit} of /customer {customer} with /oa_number {oa_number}?</t>
  </si>
  <si>
    <t>Show total opening stock across all organizations.</t>
  </si>
  <si>
    <t>need by date, availability and color of full kit of customer with oa number</t>
  </si>
  <si>
    <t>SELECT 
  REASON, ORG_NAME,
  SUM(NVL(REMAINING_QTY, 0)) AS EXCESS_QTY
 FROM  KPCL_REPORTING.FULLKIT_ITEMWISE_INV
 WHERE REMAINING_QTY &gt; 0
 AND CHILD_ITEM NOT LIKE 'N%'
 GROUP BY REASON, ORG_NAME;</t>
  </si>
  <si>
    <t>SELECT DISTINCT OA_NUMBER,
  CUSTOMER_NAME,
  SBM_NUMBER,
  NEED_BY_DATE,
  AVAILABILITY,
  COLOR,
  SCHEDULE_SHIP_DATE
 FROM KPCL_REPORTING.OA_GROUPING_FULLKIT_WISE
 WHERE FULL_KIT_NAME LIKE '%{full_kit}%' AND CUSTOMER_NAME LIKE '%{customer}%' AND
 OA_NUMBER LIKE '%{oa_number}%';</t>
  </si>
  <si>
    <t>What is the total opening stock across all organizations?</t>
  </si>
  <si>
    <t>full_kit, customer,oa_number</t>
  </si>
  <si>
    <t>total opening stock across all organizations</t>
  </si>
  <si>
    <t>SELECT ORG_NAME, 
    SUM(OPENING_STOCK) AS total_opening_stock
FROM KPCL_REPORTING.KPC_INV_BUYER_REPORT WHERE REPORT_MONTH = UPPER(TO_CHAR(SYSDATE, 'MON-YYYY'))
GROUP BY ORG_NAME ;</t>
  </si>
  <si>
    <t>Show priority of oa_number {oa_number}.</t>
  </si>
  <si>
    <t>Show total material requirements.</t>
  </si>
  <si>
    <t>Display excess qty against reason {reason}.</t>
  </si>
  <si>
    <t>What are the total material requirements.</t>
  </si>
  <si>
    <t>What is the priority of /oa_number {oa_number}?</t>
  </si>
  <si>
    <t>what is the excess qty against /reason {reason}?</t>
  </si>
  <si>
    <t>total material requirements</t>
  </si>
  <si>
    <t>priority of oa number</t>
  </si>
  <si>
    <t>excess qty against reason</t>
  </si>
  <si>
    <t>SELECT  ORG_NAME, 
    SUM(TOTAL_MAT_REQ) AS total_material_required
FROM KPCL_REPORTING.KPC_INV_BUYER_REPORT 
WHERE REPORT_MONTH = UPPER(TO_CHAR(SYSDATE, 'MON-YYYY'))
GROUP BY ORG_NAME;</t>
  </si>
  <si>
    <t>SELECT DISTINCT OA_NUMBER,
  CUSTOMER_NAME,
  OA_PRIORITY_NO,
  SCHEDULE_SHIP_DATE,
  OA_COLOUR
 FROM KPCL_REPORTING.OA_GROUPING_FULLKIT_WISE
 WHERE OA_NUMBER LIKE '%{oa_number}%';</t>
  </si>
  <si>
    <t>SELECT 
  REASON, ORG_NAME,
  SUM(NVL(REMAINING_QTY, 0)) AS EXCESS_QTY
 FROM  KPCL_REPORTING.FULLKIT_ITEMWISE_INV
 WHERE REMAINING_QTY &gt; 0
 AND CHILD_ITEM NOT LIKE 'N%' AND REQ_QTY_MONTH = UPPER(TO_CHAR(SYSDATE, 'MON-YYYY'))
 AND REASON LIKE '%{reason}%'
 GROUP BY REASON, ORG_NAME;</t>
  </si>
  <si>
    <t>reason</t>
  </si>
  <si>
    <t>Show total safety stock required across all organizations.</t>
  </si>
  <si>
    <t>What is the total safety stock required across all organizations?</t>
  </si>
  <si>
    <t>total safety stock required across all organizations</t>
  </si>
  <si>
    <t>Display priority and sbm_number for oa_number {oa_number}.</t>
  </si>
  <si>
    <t>SELECT ORG_NAME, 
    SUM(SAFETY_STOCK) AS total_safety_stock
FROM KPCL_REPORTING.KPC_INV_BUYER_REPORT
WHERE REPORT_MONTH = UPPER(TO_CHAR(SYSDATE, 'MON-YYYY'))
GROUP BY ORG_NAME;</t>
  </si>
  <si>
    <t>What is the priority and sbm number for /oa_number {oa_number}?</t>
  </si>
  <si>
    <t>View excess qty against a specific reason {reason} for buyer {buyer}.</t>
  </si>
  <si>
    <t>priority and sbm number for oa number</t>
  </si>
  <si>
    <t>What is the excess qty against a specific /reason {reason} for /buyer {buyer}?</t>
  </si>
  <si>
    <t>SELECT DISTINCT OA_NUMBER,
  CUSTOMER_NAME,
  SBM_NUMBER,
  OA_PRIORITY_NO,
  SCHEDULE_SHIP_DATE,
  OA_COLOUR
 FROM KPCL_REPORTING.OA_GROUPING_FULLKIT_WISE
 WHERE OA_NUMBER LIKE '%{oa_number}%';</t>
  </si>
  <si>
    <t xml:space="preserve">excess qty against a specific reason for buyer </t>
  </si>
  <si>
    <t>Show overall total excess stock currently available.</t>
  </si>
  <si>
    <t>SELECT BUYER_NAME, 
  REASON, ORG_NAME,
  SUM(NVL(REMAINING_QTY, 0)) AS EXCESS_QTY
 FROM  KPCL_REPORTING.FULLKIT_ITEMWISE_INV
 WHERE REMAINING_QTY &gt; 0
 AND CHILD_ITEM NOT LIKE 'N%'
 AND REASON LIKE '%{reason}%' AND BUYER_NAME LIKE '%{buyer}%' AND REQ_QTY_MONTH = UPPER(TO_CHAR(SYSDATE, 'MON-YYYY'))
 GROUP BY BUYER_NAME, REASON, ORG_NAME;</t>
  </si>
  <si>
    <t>What is the overall total excess stock currently available?</t>
  </si>
  <si>
    <t>buyer, reason</t>
  </si>
  <si>
    <t>overall total excess stock currently available</t>
  </si>
  <si>
    <t>SELECT  ORG_NAME, 
    SUM(EXCESS_STOCK) AS total_excess_stock
FROM KPCL_REPORTING.KPC_INV_BUYER_REPORT 
WHERE REPORT_MONTH = UPPER(TO_CHAR(SYSDATE, 'MON-YYYY')) GROUP BY ORG_NAME;</t>
  </si>
  <si>
    <t>Display if oa_number {oa_number} billable or non billable.</t>
  </si>
  <si>
    <t>Check if /oa_number {oa_number} is billable or non billable.</t>
  </si>
  <si>
    <t>if oa number is billable or non billable</t>
  </si>
  <si>
    <t>SELECT DISTINCT OA_NUMBER,
  CUSTOMER_NAME,
  COMPRESSOR_TYPE
 FROM KPCL_REPORTING.OA_GROUPING_FULLKIT_WISE
 WHERE OA_NUMBER LIKE '%{oa_number}%';</t>
  </si>
  <si>
    <t>Show excess qty against a specific reason {reason} for item {item}.</t>
  </si>
  <si>
    <t>Show total consumption across all organizations.</t>
  </si>
  <si>
    <t>What is the total consumption across all organizations?</t>
  </si>
  <si>
    <t>What is the excess qty against a specific /reason {reason} for /item {item}?</t>
  </si>
  <si>
    <t>total consumption across all organizations</t>
  </si>
  <si>
    <t>excess qty against a specific reason for item</t>
  </si>
  <si>
    <t>SELECT  ORG_NAME, 
    SUM(CONSUMPTION) AS total_consumption
FROM KPCL_REPORTING.KPC_INV_BUYER_REPORT
WHERE REPORT_MONTH = UPPER(TO_CHAR(SYSDATE, 'MON-YYYY')) 
GROUP BY ORG_NAME;</t>
  </si>
  <si>
    <t>SELECT CHILD_ITEM, 
  REASON, ORG_NAME,
  SUM(NVL(REMAINING_QTY, 0)) AS EXCESS_QTY
 FROM  KPCL_REPORTING.FULLKIT_ITEMWISE_INV
 WHERE REMAINING_QTY &gt; 0
 AND CHILD_ITEM NOT LIKE 'N%'
 AND REASON LIKE '%{reason}%' AND CHILD_ITEM LIKE '%{item}%' AND REQ_QTY_MONTH = UPPER(TO_CHAR(SYSDATE, 'MON-YYYY'))
 GROUP BY CHILD_ITEM, REASON, ORG_NAME;</t>
  </si>
  <si>
    <t>item, reason</t>
  </si>
  <si>
    <t>Display if oa_number {oa_number} is billable or non billable with sbm number.</t>
  </si>
  <si>
    <t>Check if /oa_number {oa_number} is billable or non billable with sbm number.</t>
  </si>
  <si>
    <t>if oa number is billable or non billable with sbm number</t>
  </si>
  <si>
    <t>Show opening stock for buyer {buyer}.</t>
  </si>
  <si>
    <t>What is the opening stock for /buyer {buyer}?</t>
  </si>
  <si>
    <t>SELECT DISTINCT OA_NUMBER,
  CUSTOMER_NAME,
  SBM_NUMBER,
  COMPRESSOR_TYPE
 FROM KPCL_REPORTING.OA_GROUPING_FULLKIT_WISE
 WHERE OA_NUMBER LIKE '%{oa_number}%';</t>
  </si>
  <si>
    <t>opening stock for buyer</t>
  </si>
  <si>
    <t>SELECT  ORG_NAME, 
    BUYER_NAME,
    SUM(OPENING_STOCK) AS total_opening_stock
FROM KPCL_REPORTING.KPC_INV_BUYER_REPORT
WHERE BUYER_NAME LIKE '%{buyer}%' AND REPORT_MONTH = UPPER(TO_CHAR(SYSDATE, 'MON-YYYY'))
GROUP BY ORG_NAME, BUYER_NAME;</t>
  </si>
  <si>
    <t>View excess qty against a specific reason {reason} of item {item} for buyer {buyer}.</t>
  </si>
  <si>
    <t>What is the excess qty against a specific /reason {reason} of  /item {item} for /buyer {buyer}?</t>
  </si>
  <si>
    <t>excess qty against a specific reason of item for buyer</t>
  </si>
  <si>
    <t>SELECT BUYER_NAME, CHILD_ITEM, 
  REASON, ORG_NAME,
  SUM(NVL(REMAINING_QTY, 0)) AS EXCESS_QTY
 FROM  KPCL_REPORTING.FULLKIT_ITEMWISE_INV
 WHERE REMAINING_QTY &gt; 0
 AND CHILD_ITEM NOT LIKE 'N%'
 AND REASON LIKE '%{reason}%' AND BUYER_NAME LIKE '%{buyer}%' AND CHILD_ITEM LIKE '%{item}%' AND REQ_QTY_MONTH = UPPER(TO_CHAR(SYSDATE, 'MON-YYYY'))
 GROUP BY BUYER_NAME, CHILD_ITEM, REASON, ORG_NAME;</t>
  </si>
  <si>
    <t>buyer, item, reason</t>
  </si>
  <si>
    <t>Show details of oa_number {oa_number}.</t>
  </si>
  <si>
    <t>Give details of /oa_number {oa_number} .</t>
  </si>
  <si>
    <t>Show total material requirement for org_name {org_name}?</t>
  </si>
  <si>
    <t>details of oa number</t>
  </si>
  <si>
    <t>What is the total material requirement for /org_name {org_name}?</t>
  </si>
  <si>
    <t>total material requirement for org name</t>
  </si>
  <si>
    <t>SELECT 
    ORG_NAME,
    SUM(TOTAL_MAT_REQ) AS total_material_required
FROM KPCL_REPORTING.KPC_INV_BUYER_REPORT
WHERE ORG_NAME LIKE '%{org_name}%' AND REPORT_MONTH = UPPER(TO_CHAR(SYSDATE, 'MON-YYYY'))
GROUP BY ORG_NAME;</t>
  </si>
  <si>
    <t>SELECT DISTINCT OA_NUMBER,
  CUSTOMER_NAME,
  BUSINESS_GROUP,
  PRODUCT_GROUP,
  SBM_NUMBER,
  DESCRIPTION,
  ORDER_TYPE,
  PRODUCT_MODEL,
  OA_LINE_QTY,
  SALES_OA_QTY,
  SCHEDULE_SHIP_DATE,
  OA_NEED_BY_DATE,
  OA_COLOUR,
  FULL_AVAILABILITY_COLOUR,
  DELVERABLE_OA,
  PICKED_FLAG,
  JOB_RELEASED_FLAG,
  BUYER_NAME,
  OA_PRIORITY_NO,
  ITEM_COST,
  SELLING_PRICE,
  BOM_RELEASE_DATE,
  ADVANCE_HOLD_RELEASE_DATE
 FROM KPCL_REPORTING.OA_GROUPING_FULLKIT_WISE
 WHERE OA_NUMBER LIKE '%{oa_number}%';</t>
  </si>
  <si>
    <t>org_name</t>
  </si>
  <si>
    <t>View value of the excess qty against reason {reason}.</t>
  </si>
  <si>
    <t>What is the value of the excess qty against /reason {reason}?</t>
  </si>
  <si>
    <t>value of the excess qty against reason</t>
  </si>
  <si>
    <t>SELECT 
  REASON, ORG_NAME,
  SUM(NVL(REMAINING_QTY * ITEM_COST, 0)) AS EXCESS_VALUE
 FROM  KPCL_REPORTING.FULLKIT_ITEMWISE_INV
 WHERE REMAINING_QTY &gt; 0 AND REQ_QTY_MONTH = UPPER(TO_CHAR(SYSDATE, 'MON-YYYY'))
 AND CHILD_ITEM NOT LIKE 'N%'
 AND REASON LIKE '%{reason}%'
 GROUP BY REASON, ORG_NAME;</t>
  </si>
  <si>
    <t>Display list all make and buy items.</t>
  </si>
  <si>
    <t>List of all make and buy items.</t>
  </si>
  <si>
    <t>all make and buy items</t>
  </si>
  <si>
    <t>Show total consumption for /month {month}.</t>
  </si>
  <si>
    <t>Show status of oa_number {oa_number}.</t>
  </si>
  <si>
    <t>What is the total consumption for /month {month}?</t>
  </si>
  <si>
    <t>SELECT
    CHILD_ITEM,
    CHILD_DESCRIPTION,
    PLAN_MAKE_BUY_CODE,
    CASE
        WHEN PLAN_MAKE_BUY_CODE = 1 THEN 'MAKE'
        WHEN PLAN_MAKE_BUY_CODE = 2 THEN 'BUY'
        ELSE 'UNKNOWN'
    END AS ITEM_TYPE
FROM KPCL_REPORTING.KPC_FULL_KIT_BOM_EXPLODE;</t>
  </si>
  <si>
    <t>What is the status of /oa_number {oa_number} ?</t>
  </si>
  <si>
    <t>total consumption for month</t>
  </si>
  <si>
    <t>status of oa number</t>
  </si>
  <si>
    <t>SELECT ORG_NAME, 
    REPORT_MONTH,
    SUM(CONSUMPTION) AS TOTAL_CONSUMPTION
FROM KPCL_REPORTING.KPC_INV_BUYER_REPORT
WHERE REPORT_MONTH IS NOT NULL
  AND UPPER(SUBSTR(TRIM(REPORT_MONTH), 1, 3))
      = SUBSTR(UPPER('{month}'), 1, 3)
GROUP BY ORG_NAME, REPORT_MONTH;</t>
  </si>
  <si>
    <t>month</t>
  </si>
  <si>
    <t>SELECT DISTINCT OA_NUMBER,
  CUSTOMER_NAME,
  SBM_NUMBER,
  PRODUCT_GROUP,
  ORDER_TYPE,
  SCHEDULE_SHIP_DATE,
  OA_NEED_BY_DATE,
  OA_COLOUR,
  FULL_AVAILABILITY_COLOUR,
  DELVERABLE_OA,
  JOB_RELEASED_FLAG,
  PICKED_FLAG,
  COMPRESSOR_TYPE
 FROM KPCL_REPORTING.OA_GROUPING_FULLKIT_WISE
 WHERE OA_NUMBER LIKE '%{oa_number}%';</t>
  </si>
  <si>
    <t>Display value of the excess qty against a specific reason {reason} for buyer {buyer}.</t>
  </si>
  <si>
    <t>What is the value of the excess qty against a specific /reason {reason} for /buyer {buyer}?</t>
  </si>
  <si>
    <t>value of the excess qty against a specific reason for buyer</t>
  </si>
  <si>
    <t>SELECT BUYER_NAME,
  REASON, ORG_NAME,
  SUM(NVL(REMAINING_QTY * ITEM_COST, 0)) AS EXCESS_VALUE
 FROM  KPCL_REPORTING.FULLKIT_ITEMWISE_INV
 WHERE REMAINING_QTY &gt; 0
  AND CHILD_ITEM NOT LIKE 'N%'
  AND REASON LIKE '%{reason}%'
  AND BUYER_NAME LIKE '%{buyer}%' AND REQ_QTY_MONTH = UPPER(TO_CHAR(SYSDATE, 'MON-YYYY'))
 GROUP BY BUYER_NAME, REASON, ORG_NAME;</t>
  </si>
  <si>
    <t>Show high-cost items in BOM.</t>
  </si>
  <si>
    <t>Find high-cost items in BOM.</t>
  </si>
  <si>
    <t>high-cost items in BOM</t>
  </si>
  <si>
    <t>Show what parent_item {parent_item) is mapped to OA / Order number.</t>
  </si>
  <si>
    <t>Show safety stock and excess stock for buyer {buyer}.</t>
  </si>
  <si>
    <t>SELECT
    CHILD_ITEM,
    CHILD_DESCRIPTION,
    HIGH_COST_FLAG,
    ITEM_STD_RATE,
    EXT_ITEM_COST
FROM KPCL_REPORTING.KPC_FULL_KIT_BOM_EXPLODE
WHERE HIGH_COST_FLAG = 1</t>
  </si>
  <si>
    <t>What /parent_item {parent_item) is mapped to OA / Order number ?</t>
  </si>
  <si>
    <t>Display value of the excess qty against a specific reason {reason} for item {item}.</t>
  </si>
  <si>
    <t>What is the safety stock and excess stock for /buyer {buyer}?</t>
  </si>
  <si>
    <t>sbm number is mapped to OA / Order number</t>
  </si>
  <si>
    <t>What is the value of the excess qty against a specific /reason {reason} for /item {item}?</t>
  </si>
  <si>
    <t xml:space="preserve">safety stock and excess stock for buyer_name </t>
  </si>
  <si>
    <t>value of the excess qty against a specific reason for item</t>
  </si>
  <si>
    <t>SELECT DISTINCT OA_NUMBER,
  CUSTOMER_NAME,
  SBM_NUMBER,
  PRODUCT_GROUP,
  SCHEDULE_SHIP_DATE,
  OA_COLOUR,
  DELVERABLE_OA
 FROM KPCL_REPORTING.OA_GROUPING_FULLKIT_WISE
 WHERE SBM_NUMBER LIKE '%{parent_item}%'
 ORDER BY SCHEDULE_SHIP_DATE;</t>
  </si>
  <si>
    <t>SELECT ORG_NAME, 
    BUYER_NAME,
    SUM(SAFETY_STOCK) AS total_safety_stock,
    SUM(EXCESS_STOCK) AS total_excess_stock
FROM KPCL_REPORTING.KPC_INV_BUYER_REPORT
WHERE BUYER_NAME LIKE '%{buyer}%' AND REPORT_MONTH = UPPER(TO_CHAR(SYSDATE, 'MON-YYYY'))
GROUP BY ORG_NAME, BUYER_NAME;</t>
  </si>
  <si>
    <t>SELECT CHILD_ITEM,
  REASON, ORG_NAME,
  SUM(NVL(REMAINING_QTY * ITEM_COST, 0)) AS EXCESS_VALUE
 FROM  KPCL_REPORTING.FULLKIT_ITEMWISE_INV
 WHERE REMAINING_QTY &gt; 0
  AND CHILD_ITEM NOT LIKE 'N%'
  AND REASON LIKE '%{reason}%'
  AND CHILD_ITEM LIKE '%{item}%' AND REQ_QTY_MONTH = UPPER(TO_CHAR(SYSDATE, 'MON-YYYY'))
 GROUP BY CHILD_ITEM, REASON, ORG_NAME;</t>
  </si>
  <si>
    <t>parent_item</t>
  </si>
  <si>
    <t>View value of the excess qty against a specific reason {reason} for item {item} under buyer {buyer}.</t>
  </si>
  <si>
    <t>View OA / Order numbers with full material availability.</t>
  </si>
  <si>
    <t>What is the value of the excess qty against a specific /reason {reason} for /item {item} under /buyer {buyer}?</t>
  </si>
  <si>
    <t>Find OA / Order numbers with full material availability.</t>
  </si>
  <si>
    <t>Show Minimum Order Quantity (MOQ) requirement for facility org_name {org_name}.</t>
  </si>
  <si>
    <t>OA / Order numbers with full material availability</t>
  </si>
  <si>
    <t>What is the Minimum Order Quantity (MOQ) requirement for /org_name {org_name}?</t>
  </si>
  <si>
    <t>Display all orders for parent_item {parent_item).</t>
  </si>
  <si>
    <t>value of the excess qty against a specific reason for item under buyer</t>
  </si>
  <si>
    <t>SELECT DISTINCT
    OA_NUMBER,
    CUSTOMER_NAME,
    OA_COLOUR
FROM KPCL_REPORTING.KPC_FULL_KIT_BOM_EXPLODE
WHERE OA_COLOUR= 'ORANGE';</t>
  </si>
  <si>
    <t>Minimum Order Quantity (MOQ) requirement for org name</t>
  </si>
  <si>
    <t>Show all orders for /parent_item {parent_item) .</t>
  </si>
  <si>
    <t>SELECT BUYER_NAME,
  CHILD_ITEM,
  REASON, ORG_NAME,
  SUM(NVL(REMAINING_QTY * ITEM_COST, 0)) AS EXCESS_VALUE
 FROM  KPCL_REPORTING.FULLKIT_ITEMWISE_INV
 WHERE REMAINING_QTY &gt; 0
  AND CHILD_ITEM NOT LIKE 'N%'
  AND REASON LIKE '%{reason}%'
  AND BUYER_NAME LIKE '%{buyer}%'
  AND CHILD_ITEM LIKE '%{item}%' AND REQ_QTY_MONTH = UPPER(TO_CHAR(SYSDATE, 'MON-YYYY'))
 GROUP BY BUYER_NAME, CHILD_ITEM, REASON, ORG_NAME;</t>
  </si>
  <si>
    <t>all orders for parent item</t>
  </si>
  <si>
    <t>SELECT 
    ORG_NAME,
    SUM(MOQ) AS total_moq
FROM KPCL_REPORTING.KPC_INV_BUYER_REPORT
WHERE ORG_NAME LIKE '%{org_name}%' AND REPORT_MONTH = UPPER(TO_CHAR(SYSDATE, 'MON-YYYY'))
GROUP BY ORG_NAME;</t>
  </si>
  <si>
    <t>SELECT DISTINCT OA_NUMBER,
  CUSTOMER_NAME,
  SBM_NUMBER,
  DESCRIPTION,
  PRODUCT_MODEL,
  SCHEDULE_SHIP_DATE,
  OA_COLOUR,
  DELVERABLE_OA
 FROM KPCL_REPORTING.OA_GROUPING_FULLKIT_WISE
 WHERE SBM_NUMBER LIKE '%{parent_item}%'
 ORDER BY SCHEDULE_SHIP_DATE;</t>
  </si>
  <si>
    <t>View buyers who have excess qty for reason {reason}.</t>
  </si>
  <si>
    <t>Buyers who have excess qty for /reason {reason}?</t>
  </si>
  <si>
    <t>Show total material requirement for buyer {buyer} for month {month}.</t>
  </si>
  <si>
    <t>Display description of oa_number {oa_number}.</t>
  </si>
  <si>
    <t>buyers who have excess qty for reason</t>
  </si>
  <si>
    <t>What is the total material requirement for /buyer {buyer} for /month {month}?</t>
  </si>
  <si>
    <t>What is the description of /oa_number {oa_number} ?</t>
  </si>
  <si>
    <t>SELECT 
  BUYER_NAME,
  REASON, ORG_NAME,
  SUM(NVL(REMAINING_QTY, 0)) AS EXCESS_QTY
 FROM  KPCL_REPORTING.FULLKIT_ITEMWISE_INV
 WHERE REMAINING_QTY &gt; 0 AND REQ_QTY_MONTH = UPPER(TO_CHAR(SYSDATE, 'MON-YYYY'))
 AND CHILD_ITEM NOT LIKE 'N%'
 AND REASON LIKE '%{reason}%' 
 GROUP BY BUYER_NAME, REASON, ORG_NAME
 ORDER BY EXCESS_QTY DESC;</t>
  </si>
  <si>
    <t>description of oa number</t>
  </si>
  <si>
    <t>total material requirement for buyer for month</t>
  </si>
  <si>
    <t>Display stock pending for inspection.</t>
  </si>
  <si>
    <t>SELECT DISTINCT OA_NUMBER,
  CUSTOMER_NAME,
  SBM_NUMBER,
  DESCRIPTION
 FROM KPCL_REPORTING.OA_GROUPING_FULLKIT_WISE
 WHERE OA_NUMBER LIKE '%{oa_number}%';</t>
  </si>
  <si>
    <t>Find stock pending for inspection.</t>
  </si>
  <si>
    <t>SELECT ORG_NAME, 
    BUYER_NAME,
    REPORT_MONTH,
    SUM(TOTAL_MAT_REQ) AS TOTAL_MATERIAL_REQUIRED
FROM KPCL_REPORTING.KPC_INV_BUYER_REPORT
WHERE BUYER_NAME LIKE '%{buyer}%'
  AND REPORT_MONTH IS NOT NULL
  AND UPPER(SUBSTR(TRIM(REPORT_MONTH), 1, 3))
      = SUBSTR(UPPER('{month}'), 1, 3)
GROUP BY ORG_NAME, BUYER_NAME, REPORT_MONTH;</t>
  </si>
  <si>
    <t>stock pending for inspection</t>
  </si>
  <si>
    <t>buyer, month</t>
  </si>
  <si>
    <t>SELECT DISTINCT
    CHILD_ITEM,
    CHILD_DESCRIPTION,
    STOCK_PENDING_INSP
FROM KPCL_REPORTING.KPC_FULL_KIT_BOM_EXPLODE
WHERE STOCK_PENDING_INSP &gt; 0
ORDER BY STOCK_PENDING_INSP DESC;</t>
  </si>
  <si>
    <t>View top 5 buyers who have excess quantity for reason {reason}.</t>
  </si>
  <si>
    <t>Display orders containing item_description {item_description}.</t>
  </si>
  <si>
    <t>Show opening stock and excess stock for /buyer {buyer} at /org_name {org_name}.</t>
  </si>
  <si>
    <t>Show orders containing /item_description {item_description}</t>
  </si>
  <si>
    <t>What is the opening stock and excess stock for /buyer {buyer} at /org_name {org_name}?</t>
  </si>
  <si>
    <t>orders containing item description</t>
  </si>
  <si>
    <t>opening stock and excess stock for buyer at org name</t>
  </si>
  <si>
    <t>Top 5 buyers who have excess quantity for /reason {reason}?</t>
  </si>
  <si>
    <t>SELECT DISTINCT OA_NUMBER,
  CUSTOMER_NAME,
  SBM_NUMBER,
  DESCRIPTION,
  SCHEDULE_SHIP_DATE,
  OA_COLOUR
 FROM KPCL_REPORTING.OA_GROUPING_FULLKIT_WISE
 WHERE DESCRIPTION LIKE '%{item_description}%'
 ORDER BY SCHEDULE_SHIP_DATE;</t>
  </si>
  <si>
    <t>SELECT 
    BUYER_NAME,
    ORG_NAME,
    SUM(OPENING_STOCK) AS total_opening_stock,
    SUM(EXCESS_STOCK) AS total_excess_stock
FROM KPCL_REPORTING.KPC_INV_BUYER_REPORT
WHERE BUYER_NAME LIKE '%{buyer}%' 
  AND ORG_NAME LIKE '%{org_name}%' AND REPORT_MONTH = UPPER(TO_CHAR(SYSDATE, 'MON-YYYY'))
GROUP BY BUYER_NAME, ORG_NAME;</t>
  </si>
  <si>
    <t>item_description</t>
  </si>
  <si>
    <t>View supplier wise pending shipment quantities.</t>
  </si>
  <si>
    <t>buyer, org_name</t>
  </si>
  <si>
    <t>top 5 buyers who have excess quantity for reason</t>
  </si>
  <si>
    <t>Display supplier wise pending shipment quantities.</t>
  </si>
  <si>
    <t>supplier wise pending shipment quantities</t>
  </si>
  <si>
    <t>SELECT *
 FROM (
  SELECT 
  BUYER_NAME, ORG_NAME,
  SUM(NVL(REMAINING_QTY, 0)) AS EXCESS_QTY
  FROM  KPCL_REPORTING.FULLKIT_ITEMWISE_INV
  WHERE REMAINING_QTY &gt; 0
  AND CHILD_ITEM NOT LIKE 'N%' AND REQ_QTY_MONTH = UPPER(TO_CHAR(SYSDATE, 'MON-YYYY'))
  AND REASON LIKE '% {reason}%'
  GROUP BY BUYER_NAME, ORG_NAME
  ORDER BY EXCESS_QTY DESC
 )
 WHERE ROWNUM &lt;= 5;</t>
  </si>
  <si>
    <t>SELECT
    SUPPLIER_NAME,
    SUM(PENDING_ASN) AS TOTAL_PENDING_ASN
FROM KPCL_REPORTING.KPC_FULL_KIT_BOM_EXPLODE
GROUP BY SUPPLIER_NAME
ORDER BY TOTAL_PENDING_ASN DESC;</t>
  </si>
  <si>
    <t>View all orders for customer {customer}.</t>
  </si>
  <si>
    <t>Show all orders for /customer {customer} .</t>
  </si>
  <si>
    <t>Show consumption and safety stock for /org_name {org_name} for /month {month}?.</t>
  </si>
  <si>
    <t>all orders for customer</t>
  </si>
  <si>
    <t>What is the consumption and safety stock for /org_name {org_name} for /month {month}?</t>
  </si>
  <si>
    <t>SELECT DISTINCT OA_NUMBER,
  CUSTOMER_NAME,
  SBM_NUMBER,
  DESCRIPTION,
  PRODUCT_GROUP,
  ORDER_TYPE,
  SCHEDULE_SHIP_DATE,
  OA_COLOUR,
  DELVERABLE_OA
 FROM KPCL_REPORTING.OA_GROUPING_FULLKIT_WISE
 WHERE CUSTOMER_NAME LIKE '%{customer}%'
 ORDER BY SCHEDULE_SHIP_DATE;</t>
  </si>
  <si>
    <t xml:space="preserve">consumption and safety stock for org name for month </t>
  </si>
  <si>
    <t>SELECT 
    ORG_NAME,
    REPORT_MONTH,
    SUM(CONSUMPTION) AS TOTAL_CONSUMPTION,
    SUM(SAFETY_STOCK) AS TOTAL_SAFETY_STOCK
FROM KPCL_REPORTING.KPC_INV_BUYER_REPORT
WHERE ORG_NAME LIKE '%{org_name}%'
  AND REPORT_MONTH IS NOT NULL
  AND UPPER(SUBSTR(TRIM(REPORT_MONTH), 1, 3))
      = SUBSTR(UPPER('{month}'), 1, 3)
GROUP BY ORG_NAME, REPORT_MONTH;</t>
  </si>
  <si>
    <t>View the list of buyers who have excess qty along with the list of items.</t>
  </si>
  <si>
    <t>org_name, month</t>
  </si>
  <si>
    <t>View the list of buyers who have excess qty  along with the list of items.</t>
  </si>
  <si>
    <t>the list of buyers who have excess qty  along with the list of items</t>
  </si>
  <si>
    <t>Show pending shipment quantities for supplier {supplier}.</t>
  </si>
  <si>
    <t>Display customers having due orders for this week.</t>
  </si>
  <si>
    <t>SELECT 
  BUYER_NAME, ORG_NAME,
  CHILD_ITEM,
  REASON,
  NVL(REMAINING_QTY, 0) AS EXCESS_QTY
 FROM  KPCL_REPORTING.FULLKIT_ITEMWISE_INV
 WHERE REMAINING_QTY &gt; 0 AND REQ_QTY_MONTH = UPPER(TO_CHAR(SYSDATE, 'MON-YYYY'))
 AND CHILD_ITEM NOT LIKE 'N%'
 ORDER BY EXCESS_QTY DESC;</t>
  </si>
  <si>
    <t>Show  MOQ and total material requirements for buyer {buyer} for month {month}.</t>
  </si>
  <si>
    <t>Which customers have due orders for this week?</t>
  </si>
  <si>
    <t>What are the MOQ and total material requirements for /buyer {buyer} for /month {month}?</t>
  </si>
  <si>
    <t>customers having due orders for this week</t>
  </si>
  <si>
    <t>MOQ and total material requirements for buyer for month</t>
  </si>
  <si>
    <t>SELECT DISTINCT CUSTOMER_NAME,
  OA_NUMBER,
  SBM_NUMBER,
  SCHEDULE_SHIP_DATE,
  OA_COLOUR,
  DELVERABLE_OA
 FROM KPCL_REPORTING.OA_GROUPING_FULLKIT_WISE
 WHERE SCHEDULE_SHIP_DATE &gt;= TRUNC(SYSDATE, 'IW')
  AND SCHEDULE_SHIP_DATE &lt; TRUNC(SYSDATE, 'IW') + 7
 ORDER BY SCHEDULE_SHIP_DATE;</t>
  </si>
  <si>
    <t>SELECT ORG_NAME, 
    BUYER_NAME,
    REPORT_MONTH,
    SUM(MOQ) AS TOTAL_MOQ,
    SUM(TOTAL_MAT_REQ) AS TOTAL_MATERIAL_REQUIRED
FROM KPCL_REPORTING.KPC_INV_BUYER_REPORT
WHERE BUYER_NAME LIKE '%{buyer}%'
  AND REPORT_MONTH IS NOT NULL
  AND UPPER(SUBSTR(TRIM(REPORT_MONTH), 1, 3))
      = SUBSTR(UPPER('{month}'), 1, 3)
GROUP BY ORG_NAME, BUYER_NAME, REPORT_MONTH;</t>
  </si>
  <si>
    <t>Show pending shipment quantities for /supplier {supplier}.</t>
  </si>
  <si>
    <t>pending shipment quantities for supplier</t>
  </si>
  <si>
    <t>SELECT 
    SUPPLIER_NAME,
    OA_NUMBER,
    CHILD_ITEM AS ITEM_CODE,
    CHILD_DESCRIPTION AS ITEM_DESCRIPTION,
    NVL(COMPONENT_QTY, 0) AS TOTAL_REQUIRED_QTY,
    NVL(SHORT_QTY, 0) AS PENDING_SHIPMENT_QTY,
    EXPECTED_DATE AS ESTIMATED_ARRIVAL_DATE,
    EXPECTED_DATE_REMARK AS LOGISTICS_TRACKING_LOG,
    EXPECTED_DATE_COLOR AS LINE_URGENCY_STATUS
FROM 
    KPCL_REPORTING.KPC_FULL_KIT_BOM_EXPLODE
WHERE 
    (SUPPLIER_NAME) LIKE ('%{supplier}%')
    AND NVL(SHORT_QTY, 0) &gt; 0
ORDER BY 
    ESTIMATED_ARRIVAL_DATE ASC, 
    PENDING_SHIPMENT_QTY DESC;</t>
  </si>
  <si>
    <t>Show the top buyers with excess quantity and no reason provided.</t>
  </si>
  <si>
    <t>Who are the top buyers with excess quantity and no reason provided?</t>
  </si>
  <si>
    <t>the top buyers with excess quantity and no reason provided</t>
  </si>
  <si>
    <t>Show opening stock and expected closing stock for org_name {org_name} for {month}?</t>
  </si>
  <si>
    <t>SELECT
  BUYER_NAME, ORG_NAME,
  SUM(NVL(REMAINING_QTY, 0)) AS TOTAL_EXCESS_QTY,
  REASON
 FROM  KPCL_REPORTING.FULLKIT_ITEMWISE_INV
 WHERE REMAINING_QTY &gt; 0
  AND CHILD_ITEM NOT LIKE 'N%' AND REQ_QTY_MONTH = UPPER(TO_CHAR(SYSDATE, 'MON-YYYY'))
  AND REASON IS NULL
 GROUP BY BUYER_NAME, REASON, ORG_NAME
 ORDER BY TOTAL_EXCESS_QTY DESC
 FETCH FIRST 10 ROWS ONLY;</t>
  </si>
  <si>
    <t>What is the opening stock and expected closing stock for /org_name {org_name} for /month {month}?</t>
  </si>
  <si>
    <t>opening stock and expected closing stock for org name for month</t>
  </si>
  <si>
    <t>View order type of oa_number {oa_number}.</t>
  </si>
  <si>
    <t>SELECT 
    ORG_NAME,
    REPORT_MONTH,
    SUM(OPENING_STOCK) AS TOTAL_OPENING_STOCK,
    SUM(EXPECTED_CLS) AS TOTAL_EXPECTED_CLOSING
FROM KPCL_REPORTING.KPC_INV_BUYER_REPORT
WHERE ORG_NAME LIKE '%{org_name}%'
  AND REPORT_MONTH IS NOT NULL
  AND UPPER(SUBSTR(TRIM(REPORT_MONTH), 1, 3))
      = SUBSTR(UPPER('{month}'), 1, 3)
GROUP BY ORG_NAME, REPORT_MONTH;</t>
  </si>
  <si>
    <t>What is the order type of /oa_number {oa_number} ?</t>
  </si>
  <si>
    <t>order type of oa number</t>
  </si>
  <si>
    <t>SELECT DISTINCT OA_NUMBER,
  ORDER_TYPE
 FROM KPCL_REPORTING.OA_GROUPING_FULLKIT_WISE
 WHERE OA_NUMBER LIKE '%{oa_number}%';</t>
  </si>
  <si>
    <t>View excess qty where no reason has been provided by buyer {buyer}.</t>
  </si>
  <si>
    <t>What is the excess qty where no reason has been provided by /buyer {buyer}?</t>
  </si>
  <si>
    <t>excess qty where no reason has been provided by buyer</t>
  </si>
  <si>
    <t>Show delayed customer orders.</t>
  </si>
  <si>
    <t>Find delayed customer orders.</t>
  </si>
  <si>
    <t>SELECT
  BUYER_NAME, ORG_NAME,
  SUM(NVL(REMAINING_QTY, 0)) AS EXCESS_QTY
 FROM  KPCL_REPORTING.FULLKIT_ITEMWISE_INV
 WHERE REMAINING_QTY &gt; 0
  AND CHILD_ITEM NOT LIKE 'N%' AND REQ_QTY_MONTH = UPPER(TO_CHAR(SYSDATE, 'MON-YYYY'))
  AND REASON IS NULL
  AND BUYER_NAME LIKE '%{buyer}%'
 GROUP BY BUYER_NAME, ORG_NAME;</t>
  </si>
  <si>
    <t>delayed customer orders</t>
  </si>
  <si>
    <t>SELECT DISTINCT
    OA_NUMBER,
    CUSTOMER_NAME,
    OA_PROMISE_DATE,
    OA_COLOUR
FROM KPCL_REPORTING.KPC_FULL_KIT_BOM_EXPLODE
WHERE OA_COLOUR= 'Black';</t>
  </si>
  <si>
    <t>What is the total material requirement and expected closing stock for /buyer {buyer} at /org_name {org_name} for /month {month}?</t>
  </si>
  <si>
    <t>total material requirement and expected closing stock for buyer at org name for month</t>
  </si>
  <si>
    <t>SELECT 
    BUYER_NAME,
    ORG_NAME,
    REPORT_MONTH,
    SUM(TOTAL_MAT_REQ) AS TOTAL_MATERIAL_REQUIRED,
    SUM(EXPECTED_CLS) AS TOTAL_EXPECTED_CLOSING
FROM KPCL_REPORTING.KPC_INV_BUYER_REPORT
WHERE BUYER_NAME LIKE '%{buyer}%'
  AND ORG_NAME LIKE '%{org_name}%'
  AND REPORT_MONTH IS NOT NULL
  AND UPPER(SUBSTR(TRIM(REPORT_MONTH), 1, 3))
      = SUBSTR(UPPER('{month}'), 1, 3)
GROUP BY 
    BUYER_NAME, 
    ORG_NAME, 
    REPORT_MONTH;</t>
  </si>
  <si>
    <t>buyer, org_name, month</t>
  </si>
  <si>
    <t>View order type and sbm number of oa_number {oa_number}.</t>
  </si>
  <si>
    <t>What is the order type and sbm number of /oa_number {oa_number}?</t>
  </si>
  <si>
    <t>order type and sbm number of oa number</t>
  </si>
  <si>
    <t>SELECT DISTINCT OA_NUMBER,
  CUSTOMER_NAME,
  SBM_NUMBER,
  ORDER_TYPE
 FROM KPCL_REPORTING.OA_GROUPING_FULLKIT_WISE
 WHERE OA_NUMBER LIKE '%{oa_number}%';</t>
  </si>
  <si>
    <t>Display excess qty where no reason has been provided for item {item}.</t>
  </si>
  <si>
    <t>What is the excess qty where no reason has been provided for  /item {item}?</t>
  </si>
  <si>
    <t>Show opening stock, safety stock, and excess stock for buyer {buyer} at org_name {org_name} for month {month}.</t>
  </si>
  <si>
    <t>excess qty where no reason has been provided for item</t>
  </si>
  <si>
    <t>Calculate inventory value based on standard rate.</t>
  </si>
  <si>
    <t>Display all orders of order_type {order_type}.</t>
  </si>
  <si>
    <t>Show all orders of /order_type {order_type} .</t>
  </si>
  <si>
    <t>What is the opening stock, safety stock, and excess stock for /buyer {buyer} at /org_name {org_name} for /month {month}?</t>
  </si>
  <si>
    <t>all orders of order type</t>
  </si>
  <si>
    <t>SELECT
  CHILD_ITEM, ORG_NAME,
  SUM(NVL(REMAINING_QTY, 0)) AS EXCESS_QTY
 FROM  KPCL_REPORTING.FULLKIT_ITEMWISE_INV
 WHERE REMAINING_QTY &gt; 0 AND REQ_QTY_MONTH = UPPER(TO_CHAR(SYSDATE, 'MON-YYYY'))
  AND CHILD_ITEM NOT LIKE 'N%'
  AND REASON IS NULL
  AND CHILD_ITEM LIKE '%{item}%'
 GROUP BY CHILD_ITEM, ORG_NAME ;</t>
  </si>
  <si>
    <t>calculate inventory value based on standard rate</t>
  </si>
  <si>
    <t>opening stock, safety stock, and excess stock for buyer at org name for month</t>
  </si>
  <si>
    <t>SELECT DISTINCT OA_NUMBER,
  CUSTOMER_NAME,
  SBM_NUMBER,
  ORDER_TYPE,
  SCHEDULE_SHIP_DATE,
  OA_COLOUR,
  DELVERABLE_OA
 FROM KPCL_REPORTING.OA_GROUPING_FULLKIT_WISE
 WHERE ORDER_TYPE LIKE '%{order_type}%'
 ORDER BY SCHEDULE_SHIP_DATE;</t>
  </si>
  <si>
    <t>order_type</t>
  </si>
  <si>
    <t>SELECT
    CHILD_ITEM,
    STOCK_GENERAL_STORE,
    ITEM_STD_RATE,
    (STOCK_GENERAL_STORE * ITEM_STD_RATE) AS INVENTORY_VALUE
FROM KPCL_REPORTING.KPC_FULL_KIT_BOM_EXPLODE
ORDER BY INVENTORY_VALUE DESC;</t>
  </si>
  <si>
    <t>SELECT 
    BUYER_NAME,
    ORG_NAME,
    REPORT_MONTH,
    SUM(OPENING_STOCK) AS TOTAL_OPENING_STOCK,
    SUM(SAFETY_STOCK) AS TOTAL_SAFETY_STOCK,
    SUM(EXCESS_STOCK) AS TOTAL_EXCESS_STOCK
FROM KPCL_REPORTING.KPC_INV_BUYER_REPORT
WHERE BUYER_NAME LIKE '%{buyer}%'
  AND ORG_NAME LIKE '%{org_name}%'
  AND REPORT_MONTH IS NOT NULL
  AND TO_CHAR(TO_DATE(REPORT_MONTH, 'MON', 'NLS_DATE_LANGUAGE = American'), 'MON') = SUBSTR(UPPER('{month}'), 1, 3)
GROUP BY 
    BUYER_NAME, 
    ORG_NAME, 
    REPORT_MONTH;</t>
  </si>
  <si>
    <t>Display excess qty where no reason has been provided for item {item} by buyer {buyer}.</t>
  </si>
  <si>
    <t>View what product model is ordered in oa_number {oa_number}.</t>
  </si>
  <si>
    <t>What product model is ordered in /oa_number {oa_number}?</t>
  </si>
  <si>
    <t>product model ordered in oa number</t>
  </si>
  <si>
    <t>Show consumption, MOQ, and expected closing stock for buyer {buyer} at org_name {org_name} for month {month}.</t>
  </si>
  <si>
    <t>SELECT DISTINCT OA_NUMBER,
  CUSTOMER_NAME,
  SBM_NUMBER,
  PRODUCT_MODEL,
  DESCRIPTION
 FROM KPCL_REPORTING.OA_GROUPING_FULLKIT_WISE
 WHERE OA_NUMBER LIKE '%{oa_number}%';</t>
  </si>
  <si>
    <t>What is the consumption, MOQ, and expected closing stock for /buyer {buyer} at /org_name {org_name} for /month {month}?</t>
  </si>
  <si>
    <t>What is the excess qty where no reason has been provided for  /item {item} by /buyer {buyer}?</t>
  </si>
  <si>
    <t>consumption, MOQ, and expected closing stock for buyer at org name for month</t>
  </si>
  <si>
    <t>excess qty where no reason has been provided for item by buyer</t>
  </si>
  <si>
    <t>SELECT 
    BUYER_NAME,
    ORG_NAME,
    REPORT_MONTH,
    SUM(CONSUMPTION) AS TOTAL_CONSUMPTION,
    SUM(MOQ) AS TOTAL_MOQ,
    SUM(EXPECTED_CLS) AS TOTAL_EXPECTED_CLOSING
FROM KPCL_REPORTING.KPC_INV_BUYER_REPORT
WHERE BUYER_NAME LIKE '%{buyer}%'
  AND ORG_NAME LIKE '%{org_name}%'
  AND REPORT_MONTH IS NOT NULL
  AND UPPER(SUBSTR(TRIM(REPORT_MONTH), 1, 3))
      = SUBSTR(UPPER('{month}'), 1, 3)
GROUP BY 
    BUYER_NAME, 
    ORG_NAME, 
    REPORT_MONTH;</t>
  </si>
  <si>
    <t>SELECT
  BUYER_NAME,
  CHILD_ITEM, ORG_NAME,
  SUM(NVL(REMAINING_QTY, 0)) AS EXCESS_QTY
 FROM  KPCL_REPORTING.FULLKIT_ITEMWISE_INV
 WHERE REMAINING_QTY &gt; 0 AND REQ_QTY_MONTH = UPPER(TO_CHAR(SYSDATE, 'MON-YYYY'))
  AND CHILD_ITEM NOT LIKE 'N%'
  AND REASON IS NULL
  AND BUYER_NAME LIKE '%{buyer}%'
  AND CHILD_ITEM LIKE '%{item}%'
 GROUP BY BUYER_NAME, CHILD_ITEM, ORG_NAME;</t>
  </si>
  <si>
    <t>Display rejected stock items.</t>
  </si>
  <si>
    <t>Find rejected stock items.</t>
  </si>
  <si>
    <t>rejected stock items</t>
  </si>
  <si>
    <t>SELECT
    CHILD_ITEM,
    CHILD_DESCRIPTION,
    STOCK_REJ_SUB_INV
FROM KPCL_REPORTING.KPC_FULL_KIT_BOM_EXPLODE
WHERE STOCK_REJ_SUB_INV &gt; 0
ORDER BY STOCK_REJ_SUB_INV DESC;</t>
  </si>
  <si>
    <t>Display all orders for product_model {product_model}.</t>
  </si>
  <si>
    <t>Show all orders for /product_model {product_model}.</t>
  </si>
  <si>
    <t>all orders for product model</t>
  </si>
  <si>
    <t>View total excess quantity by reason.</t>
  </si>
  <si>
    <t>Show material requirements for buyer {buyer} at org_name {org_name} across month {month}, month {month}, and month {month}.</t>
  </si>
  <si>
    <t>SELECT DISTINCT OA_NUMBER,
  CUSTOMER_NAME,
  SBM_NUMBER,
  PRODUCT_MODEL,
  DESCRIPTION,
  SCHEDULE_SHIP_DATE,
  OA_COLOUR,
  DELVERABLE_OA
 FROM KPCL_REPORTING.OA_GROUPING_FULLKIT_WISE
 WHERE PRODUCT_MODEL LIKE '%{product_model}%'
 ORDER BY SCHEDULE_SHIP_DATE;</t>
  </si>
  <si>
    <t>product_model</t>
  </si>
  <si>
    <t>total excess quantity by reason</t>
  </si>
  <si>
    <t>SELECT 
  REASON, ORG_NAME,
  SUM(NVL(REMAINING_QTY, 0)) AS EXCESS_QTY
 FROM  KPCL_REPORTING.FULLKIT_ITEMWISE_INV
 WHERE REMAINING_QTY &gt; 0 AND REQ_QTY_MONTH = UPPER(TO_CHAR(SYSDATE, 'MON-YYYY'))
  AND CHILD_ITEM NOT LIKE 'N%'
 GROUP BY REASON, ORG_NAME
 ORDER BY EXCESS_QTY DESC;</t>
  </si>
  <si>
    <t>View material availability for each full kit.</t>
  </si>
  <si>
    <t>What are the material requirements for /buyer {buyer} at /org_name {org_name} across /month {month}, /month {month}, and /month {month}?</t>
  </si>
  <si>
    <t>Display material availability for each full kit.</t>
  </si>
  <si>
    <t>material availability for each full kit</t>
  </si>
  <si>
    <t>Show who is the buyer for oa_number {oa_number}.</t>
  </si>
  <si>
    <t>Display excess qty and the actions taken on it by buyers.</t>
  </si>
  <si>
    <t>SELECT
    FULL_KIT_NAME,
    OA_NUMBER,
    CHILD_ITEM,
    REQUIRED_QTY,
    ALLOCATED_FRM_STOCK,
    SHORT_QTY
FROM KPCL_REPORTING.KPC_FULL_KIT_BOM_EXPLODE
ORDER BY FULL_KIT_NAME;</t>
  </si>
  <si>
    <t>material requirements for buyer at org name across month, month, and month</t>
  </si>
  <si>
    <t>Who is the buyer for /oa_number {oa_number}?</t>
  </si>
  <si>
    <t>what is the excess qty and the actions taken on it by buyers?</t>
  </si>
  <si>
    <t>buyer for oa number</t>
  </si>
  <si>
    <t>excess qty and the actions taken on it by buyers</t>
  </si>
  <si>
    <t>SELECT 
    BUYER_NAME,
    ORG_NAME,
    REPORT_MONTH,
    SUM(TOTAL_MAT_REQ) AS TOTAL_MATERIAL_REQUIRED
FROM KPCL_REPORTING.KPC_INV_BUYER_REPORT
WHERE BUYER_NAME LIKE '%{buyer}%'
  AND ORG_NAME LIKE '%{org_name}%'
  AND REPORT_MONTH IS NOT NULL
  AND UPPER(SUBSTR(TRIM(REPORT_MONTH), 1, 3))
      = SUBSTR(UPPER('{month}'), 1, 3)
GROUP BY 
    BUYER_NAME, 
    ORG_NAME, 
    REPORT_MONTH
ORDER BY REPORT_MONTH ASC;</t>
  </si>
  <si>
    <t>SELECT DISTINCT OA_NUMBER,
  CUSTOMER_NAME,
  BUYER_ID,
  BUYER_NAME
 FROM KPCL_REPORTING.OA_GROUPING_FULLKIT_WISE
 WHERE OA_NUMBER LIKE '%{oa_number}%';</t>
  </si>
  <si>
    <t>SELECT 
  BUYER_NAME,
  REASON,
  ACTION, ORG_NAME,
  SUM(NVL(REMAINING_QTY, 0)) AS EXCESS_QTY
 FROM  KPCL_REPORTING.FULLKIT_ITEMWISE_INV
 WHERE NVL(REMAINING_QTY, 0) &gt; 0
  AND CHILD_ITEM NOT LIKE 'N%' AND REQ_QTY_MONTH = UPPER(TO_CHAR(SYSDATE, 'MON-YYYY'))
 GROUP BY 
  BUYER_NAME,
  REASON,
  ACTION, ORG_NAME
 ORDER BY EXCESS_QTY DESC;</t>
  </si>
  <si>
    <t>Display components excluded from shipping documents.</t>
  </si>
  <si>
    <t>View excess qty and the actions taken on it by buyer {buyer}.</t>
  </si>
  <si>
    <t>Find components excluded from shipping documents.</t>
  </si>
  <si>
    <t>What is the excess qty and the actions taken on it by /buyer {buyer}?</t>
  </si>
  <si>
    <t>components excluded from shipping documents</t>
  </si>
  <si>
    <t>excess qty and the actions taken on it by buyer</t>
  </si>
  <si>
    <t>SELECT
    CHILD_ITEM,
    CHILD_DESCRIPTION,
    INCLD_IN_SHIP_DOCS
FROM KPCL_REPORTING.KPC_FULL_KIT_BOM_EXPLODE
WHERE INCLD_IN_SHIP_DOCS = 0;</t>
  </si>
  <si>
    <t>SELECT 
  BUYER_NAME,
  REASON,
  ACTION, ORG_NAME,
  SUM(NVL(REMAINING_QTY, 0)) AS EXCESS_QTY
 FROM  KPCL_REPORTING.FULLKIT_ITEMWISE_INV
 WHERE NVL(REMAINING_QTY, 0) &gt; 0
  AND CHILD_ITEM NOT LIKE 'N%'
  AND BUYER_NAME LIKE '%{buyer}%' AND REQ_QTY_MONTH = UPPER(TO_CHAR(SYSDATE, 'MON-YYYY'))
 GROUP BY 
  BUYER_NAME,
  REASON,
  ACTION, ORG_NAME
 ORDER BY EXCESS_QTY DESC;</t>
  </si>
  <si>
    <t>Display the buyer and sbm number for oa_number {oa_number}.</t>
  </si>
  <si>
    <t>Show the buyer and sbm number for /oa_number {oa_number}.</t>
  </si>
  <si>
    <t>buyer and sbm number for oa number</t>
  </si>
  <si>
    <t>SELECT DISTINCT OA_NUMBER,
  CUSTOMER_NAME,
  SBM_NUMBER,
  BUYER_ID,
  BUYER_NAME
 FROM KPCL_REPORTING.OA_GROUPING_FULLKIT_WISE
 WHERE OA_NUMBER LIKE '%{oa_number}%';</t>
  </si>
  <si>
    <t>View excess qty and the actions taken on it for item {item}.</t>
  </si>
  <si>
    <t>What is the excess qty and the actions taken on it for  /item {item}?</t>
  </si>
  <si>
    <t>excess qty and the actions taken on it for item</t>
  </si>
  <si>
    <t>SELECT 
  CHILD_ITEM,
  REASON,
  ACTION, ORG_NAME,
  SUM(NVL(REMAINING_QTY, 0)) AS EXCESS_QTY
 FROM  KPCL_REPORTING.FULLKIT_ITEMWISE_INV
 WHERE NVL(REMAINING_QTY, 0) &gt; 0
  AND CHILD_ITEM NOT LIKE 'N%' AND REQ_QTY_MONTH = UPPER(TO_CHAR(SYSDATE, 'MON-YYYY'))
  AND CHILD_ITEM LIKE '%{item}%'
 GROUP BY 
  CHILD_ITEM,
  REASON,
  ACTION, ORG_NAME
 ORDER BY EXCESS_QTY DESC;</t>
  </si>
  <si>
    <t>Show total available stock across all organizations.</t>
  </si>
  <si>
    <t>Show buyer wise shortage quantity.</t>
  </si>
  <si>
    <t>What is the total available stock across all organizations?</t>
  </si>
  <si>
    <t>total available stock across all organizations</t>
  </si>
  <si>
    <t>buyer wise shortage quantity</t>
  </si>
  <si>
    <t>SELECT ORG_NAME, 
    SUM(OPENING_STOCK) AS total_opening_stock,
    SUM(EXCESS_STOCK) AS total_excess_stock,
    (SUM(OPENING_STOCK) + SUM(EXCESS_STOCK)) AS total_available_stock
FROM KPCL_REPORTING.KPC_INV_BUYER_REPORT
WHERE REPORT_MONTH = UPPER(TO_CHAR(SYSDATE, 'MON-YYYY'))
GROUP BY ORG_NAME;</t>
  </si>
  <si>
    <t>SELECT
    BUYER_NAME,
    SUM(SHORT_QTY) AS TOTAL_SHORT_QTY
FROM KPCL_REPORTING.KPC_FULL_KIT_BOM_EXPLODE
WHERE BUYER_NAME IS NOT NULL
GROUP BY BUYER_NAME
ORDER BY TOTAL_SHORT_QTY DESC;</t>
  </si>
  <si>
    <t>View all orders handled by /buyer {buyer}.</t>
  </si>
  <si>
    <t>Show all orders handled by /buyer {buyer}.</t>
  </si>
  <si>
    <t>all orders handled by buyer</t>
  </si>
  <si>
    <t>SELECT DISTINCT OA_NUMBER,
  CUSTOMER_NAME,
  SBM_NUMBER,
  BUYER_ID,
  BUYER_NAME,
  SCHEDULE_SHIP_DATE,
  OA_COLOUR,
  DELVERABLE_OA
 FROM KPCL_REPORTING.OA_GROUPING_FULLKIT_WISE
 WHERE BUYER_NAME LIKE '%{buyer}%'
 ORDER BY SCHEDULE_SHIP_DATE;</t>
  </si>
  <si>
    <t>Show average Minimum Order Quantity (MOQ) across all inventory items.</t>
  </si>
  <si>
    <t>View excess qty and the actions taken on it for item {item} by buyer {buyer}.</t>
  </si>
  <si>
    <t>What is the average Minimum Order Quantity (MOQ) across all inventory items?</t>
  </si>
  <si>
    <t>What is the excess qty and the actions taken on it for /item {item} by /buyer {buyer}?</t>
  </si>
  <si>
    <t>average Minimum Order Quantity (MOQ) across all inventory items</t>
  </si>
  <si>
    <t>excess qty and the actions taken on it for item by buyer</t>
  </si>
  <si>
    <t>SELECT ORG_NAME, 
    AVG(MOQ) AS average_moq
FROM KPCL_REPORTING.KPC_INV_BUYER_REPORT
WHERE REPORT_MONTH = UPPER(TO_CHAR(SYSDATE, 'MON-YYYY'))
GROUP BY ORG_NAME;</t>
  </si>
  <si>
    <t>View schedule ship date of oa_number {oa_number}.</t>
  </si>
  <si>
    <t>SELECT 
  BUYER_NAME,
  CHILD_ITEM,
  REASON,
  ACTION, ORG_NAME,
  SUM(NVL(REMAINING_QTY, 0)) AS EXCESS_QTY
 FROM  KPCL_REPORTING.FULLKIT_ITEMWISE_INV
 WHERE NVL(REMAINING_QTY, 0) &gt; 0
  AND CHILD_ITEM NOT LIKE 'N%'
  AND BUYER_NAME LIKE '%{buyer}%'
  AND CHILD_ITEM LIKE '%{item}%' AND REQ_QTY_MONTH = UPPER(TO_CHAR(SYSDATE, 'MON-YYYY'))
 GROUP BY 
  BUYER_NAME,
  CHILD_ITEM,
  REASON,
  ACTION, ORG_NAME
 ORDER BY EXCESS_QTY DESC;</t>
  </si>
  <si>
    <t>What is the schedule ship date of /oa_number {oa_number} ?</t>
  </si>
  <si>
    <t>Display items without routing information.</t>
  </si>
  <si>
    <t>SELECT DISTINCT OA_NUMBER,
  CUSTOMER_NAME,
  SBM_NUMBER,
  SCHEDULE_SHIP_DATE
 FROM KPCL_REPORTING.OA_GROUPING_FULLKIT_WISE
 WHERE OA_NUMBER LIKE '%{oa_number}%';</t>
  </si>
  <si>
    <t>Find items without routing information.</t>
  </si>
  <si>
    <t>items without routing information</t>
  </si>
  <si>
    <t>SELECT
    CHILD_ITEM,
    CHILD_DESCRIPTION,FULL_KIT_NAME
FROM KPCL_REPORTING.KPC_FULL_KIT_BOM_EXPLODE
WHERE FULL_KIT_NAME IS NULL;</t>
  </si>
  <si>
    <t>Show breakdown of safety stock and excess stock according to organisations.</t>
  </si>
  <si>
    <t>Display excess quantity for reason {reason} and action taken on it.</t>
  </si>
  <si>
    <t>breakdown of safety stock and excess stock according to organisations</t>
  </si>
  <si>
    <t>What is the excess quantity for /reason {reason} and action taken on it?</t>
  </si>
  <si>
    <t>SELECT 
    ORG_NAME,
    SUM(SAFETY_STOCK) AS total_safety_stock,
    SUM(EXCESS_STOCK) AS total_excess_stock
FROM KPCL_REPORTING.KPC_INV_BUYER_REPORT
WHERE REPORT_MONTH = UPPER(TO_CHAR(SYSDATE, 'MON-YYYY'))
GROUP BY ORG_NAME;</t>
  </si>
  <si>
    <t>excess quantity for reason and action taken on it</t>
  </si>
  <si>
    <t>SELECT
  REASON,
  ACTION, ORG_NAME,
  SUM(NVL(REMAINING_QTY, 0)) AS EXCESS_QTY
 FROM  KPCL_REPORTING.FULLKIT_ITEMWISE_INV
 WHERE NVL(REMAINING_QTY, 0) &gt; 0 AND REQ_QTY_MONTH = UPPER(TO_CHAR(SYSDATE, 'MON-YYYY'))
  AND CHILD_ITEM NOT LIKE 'N%'
  AND REASON LIKE '%{reason}%'
 GROUP BY
  REASON,
  ACTION, ORG_NAME
 ORDER BY EXCESS_QTY DESC;</t>
  </si>
  <si>
    <t>Show orders to be delivered next week.</t>
  </si>
  <si>
    <t>Show total consumption and opening stock for buyer {buyer}.</t>
  </si>
  <si>
    <t>SELECT DISTINCT OA_NUMBER,
  CUSTOMER_NAME,
  SCHEDULE_SHIP_DATE,
  OA_COLOUR,
  DELVERABLE_OA
 FROM KPCL_REPORTING.OA_GROUPING_FULLKIT_WISE
 WHERE SCHEDULE_SHIP_DATE &gt;= TRUNC(SYSDATE, 'IW') + 7
  AND SCHEDULE_SHIP_DATE &lt; TRUNC(SYSDATE, 'IW') + 14
 ORDER BY SCHEDULE_SHIP_DATE;</t>
  </si>
  <si>
    <t>What is the total consumption and opening stock for /buyer {buyer}?</t>
  </si>
  <si>
    <t>total consumption and opening stock for buyer</t>
  </si>
  <si>
    <t>Show OSP stock quantities.</t>
  </si>
  <si>
    <t>SELECT 
    BUYER_NAME, ORG_NAME, 
    SUM(CONSUMPTION) AS total_consumption,
    SUM(OPENING_STOCK) AS total_opening_stock
FROM KPCL_REPORTING.KPC_INV_BUYER_REPORT
WHERE BUYER_NAME LIKE '%{buyer}%' AND REPORT_MONTH = UPPER(TO_CHAR(SYSDATE, 'MON-YYYY'))
GROUP BY ORG_NAME, BUYER_NAME;</t>
  </si>
  <si>
    <t>OSP stock quantities</t>
  </si>
  <si>
    <t>View excess quantity for reason {reason} and action taken on it by buyer {buyer}.</t>
  </si>
  <si>
    <t>SELECT distinct
    CHILD_ITEM,
    OSP_STOCK
FROM KPCL_REPORTING.KPC_FULL_KIT_BOM_EXPLODE
WHERE OSP_STOCK&gt; 0;</t>
  </si>
  <si>
    <t>What is the excess quantity for /reason {reason} and action taken on it by /buyer {buyer}?</t>
  </si>
  <si>
    <t>excess quantity for reason and action taken on it by buyer</t>
  </si>
  <si>
    <t>SELECT
  BUYER_NAME,
  REASON,
  ACTION, ORG_NAME, 
  SUM(NVL(REMAINING_QTY, 0)) AS EXCESS_QTY
 FROM  KPCL_REPORTING.FULLKIT_ITEMWISE_INV
 WHERE NVL(REMAINING_QTY, 0) &gt; 0
  AND CHILD_ITEM NOT LIKE 'N%'
  AND REASON LIKE '%{reason}%'
  AND BUYER_NAME LIKE '%{buyer}%' AND REQ_QTY_MONTH = UPPER(TO_CHAR(SYSDATE, 'MON-YYYY'))
 GROUP BY
  BUYER_NAME,
  REASON,ORG_NAME, 
  ACTION
 ORDER BY EXCESS_QTY DESC;</t>
  </si>
  <si>
    <t>Show total excess stock and opening stock available at org_name {org_name}.</t>
  </si>
  <si>
    <t>What is the total excess stock and opening stock available at /org_name {org_name}?</t>
  </si>
  <si>
    <t>total excess stock and opening stock available at org name</t>
  </si>
  <si>
    <t>View orders and sbm number to be delivered next week.</t>
  </si>
  <si>
    <t>SELECT 
    ORG_NAME,
    SUM(OPENING_STOCK) AS total_opening_stock,
    SUM(EXCESS_STOCK) AS total_excess_stock
FROM KPCL_REPORTING.KPC_INV_BUYER_REPORT
WHERE ORG_NAME LIKE '%{org_name}%' AND REPORT_MONTH = UPPER(TO_CHAR(SYSDATE, 'MON-YYYY'))
GROUP BY ORG_NAME;</t>
  </si>
  <si>
    <t>Show orders and sbm number to be delivered next week.</t>
  </si>
  <si>
    <t>orders and sbm number to be delivered next week</t>
  </si>
  <si>
    <t>SELECT DISTINCT OA_NUMBER,
  CUSTOMER_NAME,
  SBM_NUMBER,
  SCHEDULE_SHIP_DATE,
  OA_COLOUR,
  DELVERABLE_OA
 FROM KPCL_REPORTING.OA_GROUPING_FULLKIT_WISE
 WHERE SCHEDULE_SHIP_DATE &gt;= TRUNC(SYSDATE, 'IW') + 7
  AND SCHEDULE_SHIP_DATE &lt; TRUNC(SYSDATE, 'IW') + 14
 ORDER BY SCHEDULE_SHIP_DATE;</t>
  </si>
  <si>
    <t>Show the excess quantity/qty and action taken for reason {reason} on item {item}.</t>
  </si>
  <si>
    <t>What is the excess quantity/qty and action taken for /reason {reason} on /item {item}?</t>
  </si>
  <si>
    <t>excess quantity/qty and action taken for reason on item</t>
  </si>
  <si>
    <t>Show components allocated from WIP inventory.</t>
  </si>
  <si>
    <t>SELECT
  CHILD_ITEM,
  REASON,
  ACTION, ORG_NAME, 
  SUM(NVL(REMAINING_QTY, 0)) AS EXCESS_QTY
 FROM  KPCL_REPORTING.FULLKIT_ITEMWISE_INV
 WHERE NVL(REMAINING_QTY, 0) &gt; 0
  AND CHILD_ITEM NOT LIKE 'N%'
  AND REASON LIKE '%{reason}%'
  AND CHILD_ITEM LIKE '%{item}%' AND REQ_QTY_MONTH = UPPER(TO_CHAR(SYSDATE, 'MON-YYYY'))
 GROUP BY
  CHILD_ITEM,
  REASON,
  ACTION, ORG_NAME
 ORDER BY EXCESS_QTY DESC;</t>
  </si>
  <si>
    <t>Find components allocated from WIP inventory.</t>
  </si>
  <si>
    <t>Show total material requirement and MOQ for month {month}.</t>
  </si>
  <si>
    <t>components allocated from WIP inventory</t>
  </si>
  <si>
    <t>What is the total material requirement and MOQ for /month {month}?</t>
  </si>
  <si>
    <t>SELECT  DISTINCT 
    CHILD_ITEM,
    ALLOCATED_FRM_WIP
FROM KPCL_REPORTING.KPC_FULL_KIT_BOM_EXPLODE
WHERE ALLOCATED_FRM_WIP &gt; 0;</t>
  </si>
  <si>
    <t>total material requirement and MOQ for month</t>
  </si>
  <si>
    <t>SELECT ORG_NAME, 
    REPORT_MONTH,
    SUM(TOTAL_MAT_REQ) AS TOTAL_MATERIAL_REQUIRED,
    SUM(MOQ) AS TOTAL_MOQ
FROM KPCL_REPORTING.KPC_INV_BUYER_REPORT
WHERE REPORT_MONTH IS NOT NULL
  AND UPPER(SUBSTR(TRIM(REPORT_MONTH), 1, 3))
      = SUBSTR(UPPER('{month}'), 1, 3)
GROUP BY ORG_NAME, REPORT_MONTH;</t>
  </si>
  <si>
    <t>Display need-by date of oa_number {oa_number}.</t>
  </si>
  <si>
    <t>What is the need-by date of /oa_number {oa_number} ?</t>
  </si>
  <si>
    <t>need-by date of oa number</t>
  </si>
  <si>
    <t>SELECT DISTINCT OA_NUMBER,
  CUSTOMER_NAME,
  OA_NEED_BY_DATE
 FROM KPCL_REPORTING.OA_GROUPING_FULLKIT_WISE
 WHERE OA_NUMBER LIKE '%{oa_number}%';</t>
  </si>
  <si>
    <t>Show total safety stock and total material requirement for buyer {buyer}.</t>
  </si>
  <si>
    <t>What is the total safety stock and total material requirement for /buyer {buyer}?</t>
  </si>
  <si>
    <t>Show OA / Order numbers whose promise date falls within next 7 days.</t>
  </si>
  <si>
    <t>total safety stock and total material requirement for buyer</t>
  </si>
  <si>
    <t>Display excess quantity/qty for reason {reason} and action taken on it by buyer {buyer} on item {item}.</t>
  </si>
  <si>
    <t>Find OA / Order numbers whose promise date falls within next 7 days.</t>
  </si>
  <si>
    <t>SELECT 
    BUYER_NAME, ORG_NAME, 
    SUM(SAFETY_STOCK) AS total_safety_stock,
    SUM(TOTAL_MAT_REQ) AS total_material_required
FROM KPCL_REPORTING.KPC_INV_BUYER_REPORT
WHERE BUYER_NAME LIKE '%{buyer}%' AND REPORT_MONTH = UPPER(TO_CHAR(SYSDATE, 'MON-YYYY'))
GROUP BY ORG_NAME, BUYER_NAME;</t>
  </si>
  <si>
    <t>What is the excess quantity/qty for /reason {reason} and action taken on it by /buyer {buyer} on  /item {item}?</t>
  </si>
  <si>
    <t>OA / Order numbers whose promise date falls within next 7 days</t>
  </si>
  <si>
    <t>excess quantity/qty for reason and action taken on it by buyer on item</t>
  </si>
  <si>
    <t>SELECT DISTINCT
    OA_NUMBER,
    CUSTOMER_NAME,
    OA_PROMISE_DATE
FROM KPCL_REPORTING.KPC_FULL_KIT_BOM_EXPLODE
WHERE OA_PROMISE_DATE BETWEEN SYSDATE AND SYSDATE + 7
ORDER BY OA_PROMISE_DATE;</t>
  </si>
  <si>
    <t>SELECT
  BUYER_NAME,
  CHILD_ITEM,
  REASON,
  ACTION, ORG_NAME,
  SUM(NVL(REMAINING_QTY, 0)) AS EXCESS_QTY
 FROM  KPCL_REPORTING.FULLKIT_ITEMWISE_INV
 WHERE NVL(REMAINING_QTY, 0) &gt; 0
  AND CHILD_ITEM NOT LIKE 'N%'
  AND REASON LIKE '%{reason}%'
  AND BUYER_NAME LIKE '%{buyer}%'
  AND CHILD_ITEM LIKE '%{item}%' AND REQ_QTY_MONTH = UPPER(TO_CHAR(SYSDATE, 'MON-YYYY'))
 GROUP BY
  BUYER_NAME,
  CHILD_ITEM,
  REASON, ORG_NAME,
  ACTION
 ORDER BY EXCESS_QTY DESC;</t>
  </si>
  <si>
    <t>View oa_number {oa_number} and sbm number to be delivered next week.</t>
  </si>
  <si>
    <t>Show /oa_number {oa_number} and sbm number to be delivered next week.</t>
  </si>
  <si>
    <t>oa number and sbm number to be delivered next week</t>
  </si>
  <si>
    <t>SELECT DISTINCT OA_NUMBER,
  CUSTOMER_NAME,
  SBM_NUMBER,
  OA_NEED_BY_DATE
 FROM KPCL_REPORTING.OA_GROUPING_FULLKIT_WISE
 WHERE OA_NUMBER LIKE '%{oa_number}%';</t>
  </si>
  <si>
    <t>Show total excess stock logged for month {month}.</t>
  </si>
  <si>
    <t>What is the total excess stock logged for /month {month}?</t>
  </si>
  <si>
    <t>total excess stock logged for month</t>
  </si>
  <si>
    <t>SELECT 
    REPORT_MONTH, ORG_NAME, 
    SUM(EXCESS_STOCK) AS TOTAL_EXCESS_STOCK
FROM KPCL_REPORTING.KPC_INV_BUYER_REPORT
WHERE REPORT_MONTH IS NOT NULL
  AND UPPER(SUBSTR(TRIM(REPORT_MONTH), 1, 3))
      = SUBSTR(UPPER('{month}'), 1, 3)
GROUP BY ORG_NAME, REPORT_MONTH;</t>
  </si>
  <si>
    <t>Show list of buyers responsible for having excess quantity/qty  greater than quantity {quantity}.</t>
  </si>
  <si>
    <t>Show list of buyers responsible for having excess quantity/qty  greater than /quantity {quantity}.</t>
  </si>
  <si>
    <t>View unapproved PO quantities.</t>
  </si>
  <si>
    <t xml:space="preserve">buyers responsible for excess quantity/qty having greater than quantity </t>
  </si>
  <si>
    <t>View orders whose need by date is in month {month}.</t>
  </si>
  <si>
    <t>Find unapproved PO quantities.</t>
  </si>
  <si>
    <t>Show orders whose need by date is in /month {month}.</t>
  </si>
  <si>
    <t>unapproved PO quantities</t>
  </si>
  <si>
    <t>orders whose need by date is in month</t>
  </si>
  <si>
    <t>SELECT
  BUYER_NAME, ORG_NAME,
  SUM(NVL(REMAINING_QTY, 0)) AS EXCESS_QTY
 FROM  KPCL_REPORTING.FULLKIT_ITEMWISE_INV
 WHERE NVL(REMAINING_QTY, 0) &gt; {quantity}
  AND CHILD_ITEM NOT LIKE 'N%' AND REQ_QTY_MONTH = UPPER(TO_CHAR(SYSDATE, 'MON-YYYY'))
 GROUP BY BUYER_NAME, ORG_NAME
 ORDER BY EXCESS_QTY DESC;</t>
  </si>
  <si>
    <t>SELECT distinct 
    CHILD_ITEM,
    UN_APPR_PO_QTY
FROM KPCL_REPORTING.KPC_FULL_KIT_BOM_EXPLODE
WHERE UN_APPR_PO_QTY&gt; 0;</t>
  </si>
  <si>
    <t>quantity</t>
  </si>
  <si>
    <t>Show total consumption for org_name {org_name}.</t>
  </si>
  <si>
    <t>SELECT DISTINCT
    OA_NUMBER,
    CUSTOMER_NAME,
    SBM_NUMBER,
    OA_NEED_BY_DATE,
    SCHEDULE_SHIP_DATE,
    OA_COLOUR
FROM KPCL_REPORTING.OA_GROUPING_FULLKIT_WISE
WHERE OA_NEED_BY_DATE IS NOT NULL
  AND TO_CHAR(OA_NEED_BY_DATE, 'MON', 'NLS_DATE_LANGUAGE = American') = SUBSTR(UPPER('{month}'), 1, 3)
ORDER BY OA_NEED_BY_DATE;</t>
  </si>
  <si>
    <t>What is the total consumption for /org_name {org_name}?</t>
  </si>
  <si>
    <t>total consumption for org name</t>
  </si>
  <si>
    <t>SELECT 
    ORG_NAME,
    SUM(CONSUMPTION) AS total_consumption
FROM KPCL_REPORTING.KPC_INV_BUYER_REPORT
WHERE ORG_NAME LIKE '%{org_name}%' AND REPORT_MONTH = UPPER(TO_CHAR(SYSDATE, 'MON-YYYY'))
GROUP BY ORG_NAME;</t>
  </si>
  <si>
    <t>Show consumption and MOQ for buyer {buyer} for month {month}.</t>
  </si>
  <si>
    <t>View allocation comments for shortage items.</t>
  </si>
  <si>
    <t>What is the consumption and MOQ for /buyer {buyer} for /month {month}?</t>
  </si>
  <si>
    <t>Display allocation comments for shortage items.</t>
  </si>
  <si>
    <t>consumption and MOQ for buyer for month</t>
  </si>
  <si>
    <t>allocation comments for shortage items</t>
  </si>
  <si>
    <t>Show list of buyer and reason responsible for having excess quantity/qty  greater than quantity {quantity}.</t>
  </si>
  <si>
    <t>SELECT 
    BUYER_NAME, ORG_NAME, 
    REPORT_MONTH,
    SUM(CONSUMPTION) AS TOTAL_CONSUMPTION,
    SUM(MOQ) AS TOTAL_MOQ
FROM KPCL_REPORTING.KPC_INV_BUYER_REPORT
WHERE BUYER_NAME LIKE '%{buyer}%'
  AND REPORT_MONTH IS NOT NULL
  AND UPPER(SUBSTR(TRIM(REPORT_MONTH), 1, 3))
      = SUBSTR(UPPER('{month}'), 1, 3)
GROUP BY 
    BUYER_NAME, ORG_NAME,
    REPORT_MONTH;</t>
  </si>
  <si>
    <t>Show list of buyer and reason responsible for having excess quantity/qty  greater than /quantity {quantity}.</t>
  </si>
  <si>
    <t>Show orders and sbm numbers whose need-by date is in month {month}.</t>
  </si>
  <si>
    <t>SELECT 
    OA_NUMBER,
    CHILD_ITEM,
    SHORT_QTY,
    ALLOCATION_LOG
FROM KPCL_REPORTING.KPC_FULL_KIT_BOM_EXPLODE
WHERE SHORT_QTY &gt; 0;</t>
  </si>
  <si>
    <t xml:space="preserve">buyer and reason responsible for excess quantity/qty having greater than quantity </t>
  </si>
  <si>
    <t>Show orders and sbm numbers whose need-by date is in /month {month}.</t>
  </si>
  <si>
    <t>orders and sbm numbers whose need-by date is in month</t>
  </si>
  <si>
    <t>SELECT
  BUYER_NAME, ORG_NAME,
  REASON,
  SUM(NVL(REMAINING_QTY, 0)) AS EXCESS_QTY
 FROM  KPCL_REPORTING.FULLKIT_ITEMWISE_INV
 WHERE NVL(REMAINING_QTY, 0) &gt; {quantity}
  AND CHILD_ITEM NOT LIKE 'N%' AND REQ_QTY_MONTH = UPPER(TO_CHAR(SYSDATE, 'MON-YYYY'))
 GROUP BY BUYER_NAME, REASON, ORG_NAME
 ORDER BY EXCESS_QTY DESC;</t>
  </si>
  <si>
    <t>SELECT DISTINCT
    OA_NUMBER,
    CUSTOMER_NAME,
    SBM_NUMBER,
    OA_NEED_BY_DATE,
    SCHEDULE_SHIP_DATE,
    OA_COLOUR
FROM KPCL_REPORTING.OA_GROUPING_FULLKIT_WISE
WHERE OA_NEED_BY_DATE IS NOT NULL
  AND TO_CHAR(OA_NEED_BY_DATE, 'MON', 'NLS_DATE_LANGUAGE = American') = SUBSTR(UPPER('{month}'), 1, 3)
ORDER BY OA_NEED_BY_DATE;</t>
  </si>
  <si>
    <t>Show safety stock and material requirement for buyer {buyer} at org_name {org_name}.</t>
  </si>
  <si>
    <t>What is the safety stock and material requirement for /buyer {buyer} at /org_name {org_name}?</t>
  </si>
  <si>
    <t>safety stock and material requirement for buyer at org name</t>
  </si>
  <si>
    <t>SELECT 
    BUYER_NAME,
    ORG_NAME,
    SUM(SAFETY_STOCK) AS total_safety_stock,
    SUM(TOTAL_MAT_REQ) AS total_material_required
FROM KPCL_REPORTING.KPC_INV_BUYER_REPORT
WHERE BUYER_NAME LIKE '%{buyer}%' 
  AND ORG_NAME LIKE '%{org_name}%' AND REPORT_MONTH = UPPER(TO_CHAR(SYSDATE, 'MON-YYYY'))
GROUP BY BUYER_NAME, ORG_NAME;</t>
  </si>
  <si>
    <t>Display list of buyers responsible for excess quantity/qty having reason {reason}.</t>
  </si>
  <si>
    <t>List of buyers responsible for excess quantity/qty having /reason {reason}?</t>
  </si>
  <si>
    <t>Display Orders created in this month.</t>
  </si>
  <si>
    <t>buyers responsible for excess quantity/qty having reason</t>
  </si>
  <si>
    <t>Display child items having pending requisition quantity.</t>
  </si>
  <si>
    <t>Which Orders created in this month?</t>
  </si>
  <si>
    <t>Show child items having pending requisition quantity.</t>
  </si>
  <si>
    <t>SELECT
  BUYER_NAME,
  REASON, ORG_NAME,
  SUM(NVL(REMAINING_QTY, 0)) AS EXCESS_QTY
 FROM  KPCL_REPORTING.FULLKIT_ITEMWISE_INV
 WHERE NVL(REMAINING_QTY, 0) &gt; 0
  AND CHILD_ITEM NOT LIKE 'N%' AND REQ_QTY_MONTH = UPPER(TO_CHAR(SYSDATE, 'MON-YYYY'))
  AND REASON LIKE '%{reason}%'
 GROUP BY BUYER_NAME, REASON, ORG_NAME
 ORDER BY EXCESS_QTY DESC;</t>
  </si>
  <si>
    <t>orders created in this month</t>
  </si>
  <si>
    <t>child items having pending requisition quantity</t>
  </si>
  <si>
    <t>SELECT DISTINCT OA_NUMBER,
  CUSTOMER_NAME,
  OCD,
  SCHEDULE_SHIP_DATE
 FROM KPCL_REPORTING.OA_GROUPING_FULLKIT_WISE
 WHERE TRUNC(OCD, 'MM') = TRUNC(SYSDATE, 'MM')
 ORDER BY OCD;</t>
  </si>
  <si>
    <t>SELECT DISTINCT
    CHILD_ITEM,
    CHILD_DESCRIPTION,
    BUYER_NAME,
    PENDING_REQUISITION
FROM KPCL_REPORTING.KPC_FULL_KIT_BOM_EXPLODE
WHERE NVL(PENDING_REQUISITION, 0) &gt; 0
ORDER BY PENDING_REQUISITION DESC;</t>
  </si>
  <si>
    <t>Show opening stock and material requirement for org_name {org_name} for month {month}.</t>
  </si>
  <si>
    <t>What is the opening stock and material requirement for /org_name {org_name} for /month {month}?</t>
  </si>
  <si>
    <t>opening stock and material requirement for org name for month</t>
  </si>
  <si>
    <t>SELECT 
    ORG_NAME,
    REPORT_MONTH,
    SUM(OPENING_STOCK) AS TOTAL_OPENING_STOCK,
    SUM(TOTAL_MAT_REQ) AS TOTAL_MATERIAL_REQUIRED
FROM KPCL_REPORTING.KPC_INV_BUYER_REPORT
WHERE ORG_NAME LIKE '%{org_name}%'
  AND REPORT_MONTH IS NOT NULL
  AND UPPER(SUBSTR(TRIM(REPORT_MONTH), 1, 3))
      = SUBSTR(UPPER('{month}'), 1, 3)
GROUP BY 
    ORG_NAME,
    REPORT_MONTH;</t>
  </si>
  <si>
    <t>Show list of buyer and items responsible for having excess quantity/qty  greater than /quantity {quantity}.</t>
  </si>
  <si>
    <t>Show list of buyer and item responsible for having excess quantity/qty  greater than /quantity {quantity}.</t>
  </si>
  <si>
    <t xml:space="preserve">buyer and item responsible for excess quantity/qty having greater than quantity </t>
  </si>
  <si>
    <t>SELECT
  BUYER_NAME,
  CHILD_ITEM, ORG_NAME,
  SUM(NVL(REMAINING_QTY, 0)) AS EXCESS_QTY
 FROM  KPCL_REPORTING.FULLKIT_ITEMWISE_INV
 WHERE NVL(REMAINING_QTY, 0) &gt; {quantity}
 AND CHILD_ITEM NOT LIKE 'N%' AND REQ_QTY_MONTH = UPPER(TO_CHAR(SYSDATE, 'MON-YYYY'))
GROUP BY BUYER_NAME, CHILD_ITEM, ORG_NAME
 ORDER BY EXCESS_QTY DESC;</t>
  </si>
  <si>
    <t>Display when was BOM released for oa_number {oa_number}.</t>
  </si>
  <si>
    <t>When was BOM released for /oa_number {oa_number} ?</t>
  </si>
  <si>
    <t>Show consumption and excess stock for buyer {buyer} at org_name {org_name}.</t>
  </si>
  <si>
    <t>when was BOM released for oa number</t>
  </si>
  <si>
    <t>What is the consumption and excess stock for /buyer {buyer} at /org_name {org_name}?</t>
  </si>
  <si>
    <t>consumption and excess stock for buyer at org name</t>
  </si>
  <si>
    <t>View items where pending ASN quantity is greater than pending PO quantity.</t>
  </si>
  <si>
    <t>SELECT DISTINCT OA_NUMBER,
  CUSTOMER_NAME,
  SBM_NUMBER,
  BOM_RELEASE_DATE
 FROM KPCL_REPORTING.OA_GROUPING_FULLKIT_WISE
 WHERE OA_NUMBER LIKE '%{oa_number}%';</t>
  </si>
  <si>
    <t>SELECT 
    BUYER_NAME,
    ORG_NAME,
    SUM(CONSUMPTION) AS total_consumption,
    SUM(EXCESS_STOCK) AS total_excess_stock
FROM KPCL_REPORTING.KPC_INV_BUYER_REPORT
WHERE BUYER_NAME LIKE '%{buyer}%' 
  AND ORG_NAME LIKE '%{org_name}%' AND REPORT_MONTH = UPPER(TO_CHAR(SYSDATE, 'MON-YYYY'))
GROUP BY BUYER_NAME, ORG_NAME;</t>
  </si>
  <si>
    <t>Find items where pending ASN quantity is greater than pending PO quantity.</t>
  </si>
  <si>
    <t>items where pending ASN quantity is greater than pending PO quantity</t>
  </si>
  <si>
    <t>SELECT DISTINCT
    CHILD_ITEM,
    CHILD_DESCRIPTION,
    SUPPLIER_NAME,
    PENDING_PO,
    PENDING_ASN
FROM KPCL_REPORTING.KPC_FULL_KIT_BOM_EXPLODE
WHERE NVL(PENDING_ASN, 0) &gt; NVL(PENDING_PO, 0)
ORDER BY PENDING_ASN DESC;</t>
  </si>
  <si>
    <t>Show buyers and items are responsible for excess quantity/qty having greater than quantity {quantity} under reason {reason}.</t>
  </si>
  <si>
    <t>Which buyers and items are responsible for excess quantity/qty having greater than /quantity {quantity} under /reason {reason}?</t>
  </si>
  <si>
    <t>Show  MOQ and excess stock for org_name {org_name} for month {month}.</t>
  </si>
  <si>
    <t>buyers and items responsible for excess quantity/qty having greater than quantity under reason</t>
  </si>
  <si>
    <t>What is the MOQ and excess stock for /org_name {org_name} for /month {month}?</t>
  </si>
  <si>
    <t>MOQ and excess stock for org name for month</t>
  </si>
  <si>
    <t>SELECT
  BUYER_NAME,
  CHILD_ITEM,
  REASON, ORG_NAME,
  SUM(NVL(REMAINING_QTY, 0)) AS EXCESS_QTY
 FROM  KPCL_REPORTING.FULLKIT_ITEMWISE_INV
 WHERE NVL(REMAINING_QTY, 0) &gt; {quantity}
 AND CHILD_ITEM NOT LIKE 'N%'
 AND REASON LIKE '%{reason}%' AND REQ_QTY_MONTH = UPPER(TO_CHAR(SYSDATE, 'MON-YYYY'))
 GROUP BY BUYER_NAME, CHILD_ITEM, REASON, ORG_NAME
 ORDER BY EXCESS_QTY DESC;</t>
  </si>
  <si>
    <t>Display orders whose BOM was released this week.</t>
  </si>
  <si>
    <t>quantity, reason</t>
  </si>
  <si>
    <t>SELECT 
    ORG_NAME,
    REPORT_MONTH,
    SUM(MOQ) AS TOTAL_MOQ,
    SUM(EXCESS_STOCK) AS TOTAL_EXCESS_STOCK
FROM KPCL_REPORTING.KPC_INV_BUYER_REPORT
WHERE ORG_NAME LIKE '%{org_name}%'
  AND REPORT_MONTH IS NOT NULL
  AND UPPER(SUBSTR(TRIM(REPORT_MONTH), 1, 3))
      = SUBSTR(UPPER('{month}'), 1, 3)
GROUP BY 
    ORG_NAME,
    REPORT_MONTH;</t>
  </si>
  <si>
    <t>Show orders whose BOM was released this week.</t>
  </si>
  <si>
    <t>orders whose BOM was released this week</t>
  </si>
  <si>
    <t>SELECT DISTINCT OA_NUMBER,
  CUSTOMER_NAME,
  SBM_NUMBER,
  BOM_RELEASE_DATE,
  SCHEDULE_SHIP_DATE,
  OA_COLOUR
 FROM KPCL_REPORTING.OA_GROUPING_FULLKIT_WISE
 WHERE BOM_RELEASE_DATE &gt;= TRUNC(SYSDATE, 'IW')
  AND BOM_RELEASE_DATE &lt; TRUNC(SYSDATE, 'IW') + 7
 ORDER BY BOM_RELEASE_DATE;</t>
  </si>
  <si>
    <t>View the top buyers who have not taken any action for the excess qty.</t>
  </si>
  <si>
    <t>Show the top buyers who have not taken any action for the excess qty.</t>
  </si>
  <si>
    <t>top buyers who have not taken any action for the excess qty</t>
  </si>
  <si>
    <t>View buyer wise pending PO quantities.</t>
  </si>
  <si>
    <t>Display buyer wise pending PO quantities.</t>
  </si>
  <si>
    <t>buyer wise pending PO quantities</t>
  </si>
  <si>
    <t>SELECT
  BUYER_NAME,
  COUNT(*) AS ITEM_COUNT, ORG_NAME,
  SUM(NVL(REMAINING_QTY, 0)) AS TOTAL_EXCESS_QTY,
  REASON,
  ACTION
 FROM  KPCL_REPORTING.FULLKIT_ITEMWISE_INV
 WHERE NVL(REMAINING_QTY, 0) &gt; 0
  AND CHILD_ITEM NOT LIKE 'N%'
  AND (ACTION IS NULL OR TRIM(ACTION) IS NULL) AND REQ_QTY_MONTH = UPPER(TO_CHAR(SYSDATE, 'MON-YYYY'))
 GROUP BY BUYER_NAME,
  REASON,
  ACTION, ORG_NAME
 ORDER BY TOTAL_EXCESS_QTY DESC
 FETCH FIRST 15 ROWS ONLY;</t>
  </si>
  <si>
    <t>Show opening stock and safety stock for buyer {buyer} for month {month}.</t>
  </si>
  <si>
    <t>SELECT
    BUYER_NAME,
    SUM(NVL(PENDING_PO, 0)) AS TOTAL_PENDING_PO_QTY
FROM KPCL_REPORTING.KPC_FULL_KIT_BOM_EXPLODE
WHERE BUYER_NAME IS NOT NULL
GROUP BY BUYER_NAME
ORDER BY TOTAL_PENDING_PO_QTY DESC;</t>
  </si>
  <si>
    <t>What is the opening stock and safety stock for /buyer {buyer} for /month {month}?</t>
  </si>
  <si>
    <t>opening stock and safety stock for buyer for month</t>
  </si>
  <si>
    <t>SELECT ORG_NAME, 
    BUYER_NAME,
    REPORT_MONTH,
    SUM(OPENING_STOCK) AS TOTAL_OPENING_STOCK,
    SUM(SAFETY_STOCK) AS TOTAL_SAFETY_STOCK
FROM KPCL_REPORTING.KPC_INV_BUYER_REPORT
WHERE BUYER_NAME LIKE '%{buyer}%'
  AND REPORT_MONTH IS NOT NULL
  AND UPPER(SUBSTR(TRIM(REPORT_MONTH), 1, 3))
      = SUBSTR(UPPER('{month}'), 1, 3)
GROUP BY ORG_NAME, 
    BUYER_NAME,
    REPORT_MONTH;</t>
  </si>
  <si>
    <t>View advance date for oa_number{oa_number}.</t>
  </si>
  <si>
    <t>Show advance date for /oa_number {oa_number}.</t>
  </si>
  <si>
    <t>advance date for oa number</t>
  </si>
  <si>
    <t>SELECT DISTINCT OA_NUMBER,
  CUSTOMER_NAME,
  SBM_NUMBER,
  ADVANCE_HOLD_RELEASE_DATE
 FROM KPCL_REPORTING.OA_GROUPING_FULLKIT_WISE
 WHERE OA_NUMBER LIKE '%{oa_number}%';</t>
  </si>
  <si>
    <t>Display the list of buyers responsible for excess quantity of item {item}.</t>
  </si>
  <si>
    <t>List of buyers responsible for excess quantity of /item {item}?</t>
  </si>
  <si>
    <t>Show opening stock, consumption, and material requirement for buyer {buyer} at org_name {org_name} for month {month}.</t>
  </si>
  <si>
    <t>buyers responsible for excess quantity of item</t>
  </si>
  <si>
    <t>What is the opening stock, consumption, and material requirement for /buyer {buyer} at /org_name {org_name} for /month {month}?</t>
  </si>
  <si>
    <t>opening stock, consumption, and material requirement for buyer at org name for month</t>
  </si>
  <si>
    <t>SELECT
  BUYER_NAME,
  CHILD_ITEM, ORG_NAME,
  SUM(NVL(REMAINING_QTY, 0)) AS EXCESS_QTY
 FROM  KPCL_REPORTING.FULLKIT_ITEMWISE_INV
 WHERE NVL(REMAINING_QTY, 0) &gt; 0 AND REQ_QTY_MONTH = UPPER(TO_CHAR(SYSDATE, 'MON-YYYY'))
  AND CHILD_ITEM NOT LIKE 'N%'
  AND CHILD_ITEM LIKE '%{item}%'
 GROUP BY BUYER_NAME, CHILD_ITEM, ORG_NAME
 ORDER BY EXCESS_QTY DESC;</t>
  </si>
  <si>
    <t>Display lead time of parent_item {parent_item).</t>
  </si>
  <si>
    <t>SELECT 
    BUYER_NAME,
    ORG_NAME,
    REPORT_MONTH,
    SUM(OPENING_STOCK) AS TOTAL_OPENING_STOCK,
    SUM(CONSUMPTION) AS TOTAL_CONSUMPTION,
    SUM(TOTAL_MAT_REQ) AS TOTAL_MATERIAL_REQUIRED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</si>
  <si>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What is the lead time of /parent_item {parent_item) ?</t>
  </si>
  <si>
    <t>lead time of parent item</t>
  </si>
  <si>
    <t>SELECT DISTINCT SBM_NUMBER,
  DESCRIPTION,
  SBM_LEAD_TIME,
  MAX_LEAD_TIME
 FROM KPCL_REPORTING.OA_GROUPING_FULLKIT_WISE
 WHERE SBM_NUMBER LIKE '%{parent_item}%';</t>
  </si>
  <si>
    <t>Show total material requirement, safety stock, and MOQ for buyer {buyer} at org_name {org_name} for month {month}.</t>
  </si>
  <si>
    <t>View  the list of buyers responsible for having excess quantity/ qty  greater than quantity {quantity} for item {item} having reason {reason}.</t>
  </si>
  <si>
    <t>What is the total material requirement, safety stock, and MOQ for /buyer {buyer} at /org_name {org_name} for /month {month}?</t>
  </si>
  <si>
    <t>Show the list of buyers responsible for /quantity {quantity} for /item {item} having /reason {reason}.</t>
  </si>
  <si>
    <t>total material requirement, safety stock, and MOQ for buyer at org name for month</t>
  </si>
  <si>
    <t>buyers responsible for quantity for item having reason</t>
  </si>
  <si>
    <t>Display lead time of oa_number {oa_number}.</t>
  </si>
  <si>
    <t>SELECT 
    BUYER_NAME,
    ORG_NAME,
    REPORT_MONTH,
    SUM(TOTAL_MAT_REQ) AS TOTAL_MATERIAL_REQUIRED,
    SUM(SAFETY_STOCK) AS TOTAL_SAFETY_STOCK,
    SUM(MOQ) AS TOTAL_MOQ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</si>
  <si>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What is the lead time of /oa_number {oa_number}?</t>
  </si>
  <si>
    <t>SELECT
  BUYER_NAME,
  CHILD_ITEM,
  REASON, ORG_NAME,
  SUM(NVL(REMAINING_QTY, 0)) AS EXCESS_QTY
 FROM  KPCL_REPORTING.FULLKIT_ITEMWISE_INV
 WHERE NVL(REMAINING_QTY, 0) &gt; {quantity}
  AND CHILD_ITEM NOT LIKE 'N%'
  AND CHILD_ITEM LIKE '%{item}%'
  AND REASON LIKE '%{reason}%' AND REQ_QTY_MONTH = UPPER(TO_CHAR(SYSDATE, 'MON-YYYY'))
 GROUP BY BUYER_NAME, CHILD_ITEM, REASON, ORG_NAME
 ORDER BY EXCESS_QTY DESC;</t>
  </si>
  <si>
    <t>lead time of oa number</t>
  </si>
  <si>
    <t>quantity, item, reason</t>
  </si>
  <si>
    <t>SELECT DISTINCT OA_NUMBER,
  CUSTOMER_NAME,
  SBM_NUMBER,
  SBM_LEAD_TIME,
  MAX_LEAD_TIME,
  SCHEDULE_SHIP_DATE
 FROM KPCL_REPORTING.OA_GROUPING_FULLKIT_WISE
 WHERE OA_NUMBER LIKE '%{oa_number}%';</t>
  </si>
  <si>
    <t>Show item wise pending PO quantities.</t>
  </si>
  <si>
    <t>Display item wise pending PO quantities.</t>
  </si>
  <si>
    <t>item wise pending PO quantities</t>
  </si>
  <si>
    <t>SELECT 
    BUYER_NAME,
    ORG_NAME,
    REPORT_MONTH,
    SUM(OPENING_STOCK) AS TOTAL_OPENING_STOCK,
    SUM(SAFETY_STOCK) AS TOTAL_SAFETY_STOCK,
    SUM(EXCESS_STOCK) AS TOTAL_EXCESS_STOCK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</si>
  <si>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SELECT
    CHILD_ITEM,
    SUM(NVL(PENDING_PO, 0)) AS TOTAL_PENDING_PO_QTY
FROM KPCL_REPORTING.KPC_FULL_KIT_BOM_EXPLODE
GROUP BY CHILD_ITEM
ORDER BY TOTAL_PENDING_PO_QTY DESC;</t>
  </si>
  <si>
    <t>Show total excess quantity by buyer, along with the reasons and actions taken.</t>
  </si>
  <si>
    <t>total excess quantity by buyer, along with the reasons and actions taken</t>
  </si>
  <si>
    <t>Display maximum lead time for oa_number {oa_number}.</t>
  </si>
  <si>
    <t>SELECT
  BUYER_NAME,
  REASON,
  ACTION, ORG_NAME,
  SUM(NVL(REMAINING_QTY, 0)) AS EXCESS_QTY
 FROM  KPCL_REPORTING.FULLKIT_ITEMWISE_INV 
 WHERE NVL(REMAINING_QTY, 0) &gt; 0 AND REQ_QTY_MONTH = UPPER(TO_CHAR(SYSDATE, 'MON-YYYY'))
  AND CHILD_ITEM NOT LIKE 'N%'
 GROUP BY BUYER_NAME, REASON, ACTION, ORG_NAME
 ORDER BY EXCESS_QTY DESC;</t>
  </si>
  <si>
    <t>What is the maximum lead time for /oa_number {oa_number}?</t>
  </si>
  <si>
    <t>maximum lead time for oa number</t>
  </si>
  <si>
    <t>SELECT DISTINCT OA_NUMBER,
  CUSTOMER_NAME,
  SBM_NUMBER,
  MAX_LEAD_TIME,
  SCHEDULE_SHIP_DATE
 FROM KPCL_REPORTING.OA_GROUPING_FULLKIT_WISE
 WHERE OA_NUMBER LIKE '%{oa_number}%';</t>
  </si>
  <si>
    <t>Show consumption, safety stock, and excess stock for buyer {buyer} at org_name {org_name} for month {month}.</t>
  </si>
  <si>
    <t>What is the consumption, safety stock, and excess stock for /buyer {buyer} at /org_name {org_name} for /month {month}?</t>
  </si>
  <si>
    <t>consumption, safety stock, and excess stock for buyer at org name for month</t>
  </si>
  <si>
    <t>SELECT 
    BUYER_NAME,
    ORG_NAME,
    REPORT_MONTH,
    SUM(CONSUMPTION) AS TOTAL_CONSUMPTION,
    SUM(SAFETY_STOCK) AS TOTAL_SAFETY_STOCK,
    SUM(EXCESS_STOCK) AS TOTAL_EXCESS_STOCK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</si>
  <si>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Show buyers, items, reasons, and actions responsible for excess quantity.</t>
  </si>
  <si>
    <t>Display order wise pending PO quantities.</t>
  </si>
  <si>
    <t>buyers, items, reasons, and actions responsible for excess quantity</t>
  </si>
  <si>
    <t>Display orders with max lead time above days {days}.</t>
  </si>
  <si>
    <t>order wise pending PO quantities</t>
  </si>
  <si>
    <t>Show opening stock, total material requirement, and excess stock for buyer {buyer} at org_name {org_name} for month {month}.</t>
  </si>
  <si>
    <t>Show orders with max lead time above /days {days}</t>
  </si>
  <si>
    <t>SELECT
  BUYER_NAME,
  CHILD_ITEM,
  REASON,
  ACTION, ORG_NAME,
  SUM(NVL(REMAINING_QTY, 0)) AS EXCESS_QTY
 FROM  KPCL_REPORTING.FULLKIT_ITEMWISE_INV
 WHERE NVL(REMAINING_QTY, 0) &gt; 0
  AND CHILD_ITEM NOT LIKE 'N%' AND REQ_QTY_MONTH = UPPER(TO_CHAR(SYSDATE, 'MON-YYYY'))
 GROUP BY BUYER_NAME, CHILD_ITEM, REASON, ACTION, ORG_NAME
 ORDER BY EXCESS_QTY DESC;</t>
  </si>
  <si>
    <t>What is the opening stock, total material requirement, and excess stock for /buyer {buyer} at /org_name {org_name} for /month {month}?</t>
  </si>
  <si>
    <t>SELECT
    OA_NUMBER,
    SUM(NVL(PENDING_PO, 0)) AS TOTAL_PENDING_PO_QTY
FROM KPCL_REPORTING.KPC_FULL_KIT_BOM_EXPLODE
GROUP BY OA_NUMBER
ORDER BY TOTAL_PENDING_PO_QTY DESC;</t>
  </si>
  <si>
    <t>orders with max lead time above days</t>
  </si>
  <si>
    <t xml:space="preserve">opening stock, total material requirement, and excess stock for buyer at org name for month </t>
  </si>
  <si>
    <t>SELECT DISTINCT OA_NUMBER,
  CUSTOMER_NAME,
  SBM_NUMBER,
  MAX_LEAD_TIME,
  SCHEDULE_SHIP_DATE,
  OA_COLOUR
 FROM KPCL_REPORTING.OA_GROUPING_FULLKIT_WISE
 WHERE MAX_LEAD_TIME &gt; {days}
 ORDER BY MAX_LEAD_TIME DESC;</t>
  </si>
  <si>
    <t>SELECT 
    BUYER_NAME,
    ORG_NAME,
    REPORT_MONTH,
    SUM(OPENING_STOCK) AS TOTAL_OPENING_STOCK,
    SUM(TOTAL_MAT_REQ) AS TOTAL_MATERIAL_REQUIRED,
    SUM(EXCESS_STOCK) AS TOTAL_EXCESS_STOCK
FROM KPCL_REPORTING.KPC_INV_BUYER_REPORT
WHERE BUYER_NAME LIKE '%{buyer}%'
  AND ORG_NAME LIKE '%{org_name}%'
  AND REPORT_MONTH IS NOT NULL
  AND UPPER(SUBSTR(TRIM(REPORT_MONTH), 1, 3))
      = SUBSTR(UPPER('{month}'), 1, 3)
GROUP BY 
    BUYER_NAME,
    ORG_NAME,
    REPORT_MONTH;</t>
  </si>
  <si>
    <t>days</t>
  </si>
  <si>
    <t>Display list of buyers and items responsible for excess quantity where no reason is provided.</t>
  </si>
  <si>
    <t>List of buyers and items responsible for excess quantity where no reason is provided.</t>
  </si>
  <si>
    <t>buyers and items responsible for excess quantity where no reason is provided</t>
  </si>
  <si>
    <t>View max lead time of full_kit {full_kit} in oa_number {oa_number}.</t>
  </si>
  <si>
    <t>SELECT
  BUYER_NAME,
  CHILD_ITEM, ORG_NAME,
  SUM(NVL(REMAINING_QTY, 0)) AS EXCESS_QTY
 FROM  KPCL_REPORTING.FULLKIT_ITEMWISE_INV
 WHERE NVL(REMAINING_QTY, 0) &gt; 0 AND REQ_QTY_MONTH = UPPER(TO_CHAR(SYSDATE, 'MON-YYYY'))
  AND CHILD_ITEM NOT LIKE 'N%'
  AND REASON IS NULL
 GROUP BY BUYER_NAME, CHILD_ITEM, ORG_NAME
 ORDER BY EXCESS_QTY DESC;</t>
  </si>
  <si>
    <t>What is the max lead time of /full_kit {full_kit} in /oa_number {oa_number} ?</t>
  </si>
  <si>
    <t>max lead time of full kit in oa number</t>
  </si>
  <si>
    <t>View line number wise pending PO quantities.</t>
  </si>
  <si>
    <t>SELECT DISTINCT OA_NUMBER,
  CUSTOMER_NAME,
  SBM_NUMBER,
  FULL_KIT_NAME,
  MAX_LEAD_TIME,
  SCHEDULE_SHIP_DATE
 FROM KPCL_REPORTING.OA_GROUPING_FULLKIT_WISE
 WHERE OA_NUMBER LIKE '%{oa_number}%'
  AND FULL_KIT_NAME LIKE '%{full_kit}%';</t>
  </si>
  <si>
    <t>Display line number wise pending PO quantities.</t>
  </si>
  <si>
    <t>line number wise pending PO quantities</t>
  </si>
  <si>
    <t>SELECT
    SPLIT_LINE_IDENTIFIER,
    SUM(NVL(PENDING_PO, 0)) AS TOTAL_PENDING_PO_QTY
FROM KPCL_REPORTING.KPC_FULL_KIT_BOM_EXPLODE
GROUP BY SPLIT_LINE_IDENTIFIER
ORDER BY TOTAL_PENDING_PO_QTY DESC;</t>
  </si>
  <si>
    <t>Display top 10 buyers responsible for having excess quantity/qty as quantity {quantity}.</t>
  </si>
  <si>
    <t>Top 10 buyers responsible for /quantity {quantity}.</t>
  </si>
  <si>
    <t>top 10 buyers responsible for quantity</t>
  </si>
  <si>
    <t>SELECT
  BUYER_NAME, ORG_NAME,
  SUM(NVL(REMAINING_QTY, 0)) AS EXCESS_QTY
 FROM  KPCL_REPORTING.FULLKIT_ITEMWISE_INV
 WHERE NVL(REMAINING_QTY, 0) &gt; {quantity} AND REQ_QTY_MONTH = UPPER(TO_CHAR(SYSDATE, 'MON-YYYY'))
  AND CHILD_ITEM NOT LIKE 'N%'
 GROUP BY BUYER_NAME, ORG_NAME
 ORDER BY EXCESS_QTY DESC
 FETCH FIRST 10 ROWS ONLY;</t>
  </si>
  <si>
    <t>View color of oa_number {oa_number}.</t>
  </si>
  <si>
    <t>SELECT DISTINCT OA_NUMBER,
  OA_COLOUR
 FROM KPCL_REPORTING.OA_GROUPING_FULLKIT_WISE
 WHERE OA_NUMBER LIKE '%{oa_number}%';</t>
  </si>
  <si>
    <t>Show buyers who have excess value for items excess quantity/qty above quantity {quantity}.</t>
  </si>
  <si>
    <t>Display supplier wise shortage quantities.</t>
  </si>
  <si>
    <t>Which buyers have excess value for items with remaining quantity above /quantity {quantity}?</t>
  </si>
  <si>
    <t>Show supplier wise shortage quantities.</t>
  </si>
  <si>
    <t>buyers who have excess value for items with remaining quantity above excess qty</t>
  </si>
  <si>
    <t>supplier wise shortage quantities</t>
  </si>
  <si>
    <t>Show all red-color orders for customer {customer}.</t>
  </si>
  <si>
    <t>SELECT
  BUYER_NAME, ORG_NAME,
  SUM(NVL(REMAINING_QTY * ITEM_COST, 0)) AS EXCESS_VALUE
 FROM  KPCL_REPORTING.FULLKIT_ITEMWISE_INV
 WHERE NVL(REMAINING_QTY, 0) &gt; {quantity} 
AND REQ_QTY_MONTH = UPPER(TO_CHAR(SYSDATE, 'MON-YYYY'))
  AND CHILD_ITEM NOT LIKE 'N%'
 GROUP BY BUYER_NAME, ORG_NAME
 ORDER BY EXCESS_VALUE DESC;</t>
  </si>
  <si>
    <t>Show all red-color orders for /customer {customer} .</t>
  </si>
  <si>
    <t>SELECT
    SUPPLIER_NAME,
    SUM(NVL(SHORT_QTY, 0)) AS TOTAL_SHORTAGE_QTY
FROM KPCL_REPORTING.KPC_FULL_KIT_BOM_EXPLODE
WHERE NVL(SHORT_QTY, 0) &gt; 0
GROUP BY SUPPLIER_NAME
ORDER BY TOTAL_SHORTAGE_QTY DESC;</t>
  </si>
  <si>
    <t>all red-color orders for customer</t>
  </si>
  <si>
    <t>SELECT DISTINCT OA_NUMBER,
  CUSTOMER_NAME,
  SBM_NUMBER,
  SCHEDULE_SHIP_DATE,
  OA_COLOUR,
  DELVERABLE_OA
 FROM KPCL_REPORTING.OA_GROUPING_FULLKIT_WISE
 WHERE CUSTOMER_NAME LIKE '%{customer}%'
  AND OA_COLOUR = 'Red'
 ORDER BY SCHEDULE_SHIP_DATE;</t>
  </si>
  <si>
    <t>Show excess qty where no action has been taken for item {item}.</t>
  </si>
  <si>
    <t>What is the excess qty where no action has been taken for /item {item}?</t>
  </si>
  <si>
    <t>excess qty where no action has been taken for item</t>
  </si>
  <si>
    <t>SELECT
  CHILD_ITEM, ORG_NAME,
  SUM(NVL(REMAINING_QTY, 0)) AS EXCESS_QTY
 FROM  KPCL_REPORTING.FULLKIT_ITEMWISE_INV
 WHERE NVL(REMAINING_QTY, 0) &gt; 0
  AND CHILD_ITEM NOT LIKE 'N%'
  AND (ACTION IS NULL OR TRIM(ACTION) IS NULL)
  AND CHILD_ITEM LIKE '%{item}%' AND REQ_QTY_MONTH = UPPER(TO_CHAR(SYSDATE, 'MON-YYYY'))
 GROUP BY CHILD_ITEM, ORG_NAME;</t>
  </si>
  <si>
    <t>View overall availability color of oa_number {oa_number}.</t>
  </si>
  <si>
    <t>What is the overall availability color of /oa_number {oa_number}?</t>
  </si>
  <si>
    <t>Display components with zero on-hand stock.</t>
  </si>
  <si>
    <t>overall availability color of oa number</t>
  </si>
  <si>
    <t>Find components with zero on-hand stock.</t>
  </si>
  <si>
    <t>SELECT DISTINCT OA_NUMBER,
  CUSTOMER_NAME,
  SBM_NUMBER,
  FULL_AVAILABILITY_COLOUR,
  OA_COLOUR,
  SCHEDULE_SHIP_DATE
 FROM KPCL_REPORTING.OA_GROUPING_FULLKIT_WISE
 WHERE OA_NUMBER LIKE '%{oa_number}%';</t>
  </si>
  <si>
    <t>components with zero on hand stock</t>
  </si>
  <si>
    <t>SELECT DISTINCT
    CHILD_ITEM,
    CHILD_DESCRIPTION,
    ON_HAND_STOCK,
    BUYER_NAME,
    SUPPLIER_NAME
FROM KPCL_REPORTING.KPC_FULL_KIT_BOM_EXPLODE
WHERE NVL(ON_HAND_STOCK, 0) = 0
ORDER BY CHILD_ITEM;</t>
  </si>
  <si>
    <t>View excess qty where no action has been taken for item {item} by buyer {buyer}.</t>
  </si>
  <si>
    <t>What is the excess qty where no action has been taken for  /item {item} by /buyer {buyer}?</t>
  </si>
  <si>
    <t>excess qty where no action has been taken for item by buyer</t>
  </si>
  <si>
    <t>Display all orders with oa_colour {oa_colour}.</t>
  </si>
  <si>
    <t>Show all orders with /oa_colour {oa_colour}.</t>
  </si>
  <si>
    <t>all orders with oa colour</t>
  </si>
  <si>
    <t>SELECT
  BUYER_NAME,
  CHILD_ITEM, ORG_NAME,
  SUM(NVL(REMAINING_QTY, 0)) AS EXCESS_QTY
 FROM  KPCL_REPORTING.FULLKIT_ITEMWISE_INV
 WHERE NVL(REMAINING_QTY, 0) &gt; 0
  AND CHILD_ITEM NOT LIKE 'N%'
  AND (ACTION IS NULL OR TRIM(ACTION) IS NULL)
  AND BUYER_NAME LIKE '%{buyer}%'
  AND CHILD_ITEM LIKE '%{item}%' AND REQ_QTY_MONTH = UPPER(TO_CHAR(SYSDATE, 'MON-YYYY'))
 GROUP BY BUYER_NAME, CHILD_ITEM, ORG_NAME;</t>
  </si>
  <si>
    <t>SELECT DISTINCT OA_NUMBER,
  CUSTOMER_NAME,
  SBM_NUMBER,
  SCHEDULE_SHIP_DATE,
  OA_COLOUR,
  DELVERABLE_OA
 FROM KPCL_REPORTING.OA_GROUPING_FULLKIT_WISE
 WHERE OA_COLOUR  LIKE '%{oa_colour}%'
 ORDER BY SCHEDULE_SHIP_DATE;</t>
  </si>
  <si>
    <t>oa_colour</t>
  </si>
  <si>
    <t>View MTS availability of oa_number {oa_number}.</t>
  </si>
  <si>
    <t>What is the MTS availability of /oa_number {oa_number} ?</t>
  </si>
  <si>
    <t>MTS availability of oa number</t>
  </si>
  <si>
    <t>SELECT DISTINCT OA_NUMBER,
  CUSTOMER_NAME,
  SBM_NUMBER,
  MTS_AVAILABILITY,
  SCHEDULE_SHIP_DATE,
  OA_COLOUR
 FROM KPCL_REPORTING.OA_GROUPING_FULLKIT_WISE
 WHERE OA_NUMBER LIKE '%{oa_number}%';</t>
  </si>
  <si>
    <t>View excess stock of buyer {buyer}.</t>
  </si>
  <si>
    <t>What is excess stock of /buyer {buyer}?</t>
  </si>
  <si>
    <t>Show OA  / Order number wise total demand quantity.</t>
  </si>
  <si>
    <t>excess stock of buyer</t>
  </si>
  <si>
    <t>Display OA  / Order number total demand quantity.</t>
  </si>
  <si>
    <t>OA  / Order number total demand quantity</t>
  </si>
  <si>
    <t>SELECT 
  BUYER_NAME, ORG_NAME,
  SUM(TODAYS_STOCKS_ITEM_COUNT) AS CURRENT_STOCK,
  SUM(NVL(REMAINING_QTY, 0)) AS TOTAL_EXCESS_QTY
 FROM  KPCL_REPORTING.FULLKIT_ITEMWISE_INV
 WHERE CHILD_ITEM not like 'N%' 
 AND BUYER_NAME LIKE '%{buyer}%' AND REQ_QTY_MONTH = UPPER(TO_CHAR(SYSDATE, 'MON-YYYY'))
 GROUP BY BUYER_NAME, ORG_NAME
 ORDER BY BUYER_NAME ;</t>
  </si>
  <si>
    <t>SELECT
    OA_NUMBER,
    SUM(NVL(TOTAL_DD, 0)) AS TOTAL_DEMAND_QTY
FROM KPCL_REPORTING.KPC_FULL_KIT_BOM_EXPLODE
GROUP BY OA_NUMBER
ORDER BY TOTAL_DEMAND_QTY DESC;</t>
  </si>
  <si>
    <t>View sub_full_kit {sub_full_kit} need_by_date for oa_number {oa_number}.</t>
  </si>
  <si>
    <t>What is sub_full_kit {sub_full_kit} need_by_date for /oa_number {oa_number} ?</t>
  </si>
  <si>
    <t>sub full kit need by date for oa number</t>
  </si>
  <si>
    <t>SELECT DISTINCT OA_NUMBER,
  CUSTOMER_NAME,
  SBM_NUMBER,
  NEED_BY_DATE,
  AVAILABILITY,
  COLOR
 FROM KPCL_REPORTING.OA_GROUPING_FULLKIT_WISE
 WHERE SUB_FULL_KIT LIKE '%{sub_full_kit}%' AND OA_NUMBER LIKE '%{oa_number}%';</t>
  </si>
  <si>
    <t>View safety stock for buyer {buyer}.</t>
  </si>
  <si>
    <t>What is the safety stock for /buyer {buyer}?</t>
  </si>
  <si>
    <t>safety stock for buyer</t>
  </si>
  <si>
    <t>SELECT
  BUYER_NAME, ORG_NAME,
  SUM(NVL(SAFETY_STOCK, 0)) AS TOTAL_SAFETY_STOCK
 FROM  KPCL_REPORTING.FULLKIT_ITEMWISE_INV
 WHERE BUYER_NAME LIKE '%{buyer}%'
  AND CHILD_ITEM NOT LIKE 'N%' AND REQ_QTY_MONTH = UPPER(TO_CHAR(SYSDATE, 'MON-YYYY'))
 GROUP BY BUYER_NAME, ORG_NAME;</t>
  </si>
  <si>
    <t>Show items with safety stock greater than on-hand stock.</t>
  </si>
  <si>
    <t>Display safety stock for item {item}.</t>
  </si>
  <si>
    <t>items with safety stock greater than on-hand stock</t>
  </si>
  <si>
    <t>SELECT DISTINCT
    CHILD_ITEM,
    CHILD_DESCRIPTION,
    ON_HAND_STOCK,
    SAFETY_STOCK,
    BUYER_NAME
FROM KPCL_REPORTING.KPC_FULL_KIT_BOM_EXPLODE
WHERE NVL(SAFETY_STOCK, 0) &gt; NVL(ON_HAND_STOCK, 0)
ORDER BY (NVL(SAFETY_STOCK, 0) - NVL(ON_HAND_STOCK, 0)) DESC;</t>
  </si>
  <si>
    <t>What is the safety stock for /item {item}?</t>
  </si>
  <si>
    <t>safety stock for item</t>
  </si>
  <si>
    <t>SELECT
  CHILD_ITEM, ORG_NAME, 
  SUM(NVL(SAFETY_STOCK, 0)) AS TOTAL_SAFETY_STOCK
 FROM  KPCL_REPORTING.FULLKIT_ITEMWISE_INV
 WHERE CHILD_ITEM LIKE '%{item}%' AND REQ_QTY_MONTH = UPPER(TO_CHAR(SYSDATE, 'MON-YYYY'))
  AND CHILD_ITEM NOT LIKE 'N%'
 GROUP BY CHILD_ITEM, ORG_NAME;</t>
  </si>
  <si>
    <t>View full_kit {full_kit} need_by_date for oa_number {oa_number}.</t>
  </si>
  <si>
    <t>What is full_kit {full_kit} need_by_date for /oa_number {oa_number} ?</t>
  </si>
  <si>
    <t>full kit need by date for oa number</t>
  </si>
  <si>
    <t>SELECT DISTINCT OA_NUMBER,
  CUSTOMER_NAME,
  SBM_NUMBER,
  NEED_BY_DATE,
  AVAILABILITY,
  COLOR
 FROM KPCL_REPORTING.OA_GROUPING_FULLKIT_WISE
 WHERE FULL_KIT_NAME LIKE '%{full_kit}%' AND OA_NUMBER LIKE '%{oa_number}%';</t>
  </si>
  <si>
    <t>Display safety stock of item {item} for buyer {buyer}.</t>
  </si>
  <si>
    <t>Show components having exception quantity greater than zero.</t>
  </si>
  <si>
    <t>What is the safety stock of  /item {item} for /buyer {buyer}?</t>
  </si>
  <si>
    <t>Find components having exception quantity greater than zero.</t>
  </si>
  <si>
    <t>safety stock of item for buyer</t>
  </si>
  <si>
    <t>components having exception quantity greater than zero</t>
  </si>
  <si>
    <t>SELECT DISTINCT
    CHILD_ITEM,
    CHILD_DESCRIPTION,
    EXCEPTION_QTY,
    BUYER_NAME,
    SUPPLIER_NAME
FROM KPCL_REPORTING.KPC_FULL_KIT_BOM_EXPLODE
WHERE NVL(EXCEPTION_QTY, 0) &gt; 0
ORDER BY EXCEPTION_QTY DESC;</t>
  </si>
  <si>
    <t>SELECT
  BUYER_NAME,
  CHILD_ITEM, ORG_NAME,
  SUM(NVL(SAFETY_STOCK, 0)) AS TOTAL_SAFETY_STOCK
 FROM  KPCL_REPORTING.FULLKIT_ITEMWISE_INV
 WHERE BUYER_NAME LIKE '%{buyer}%'
  AND CHILD_ITEM LIKE '%{item}%'
  AND CHILD_ITEM NOT LIKE 'N%' AND REQ_QTY_MONTH = UPPER(TO_CHAR(SYSDATE, 'MON-YYYY'))
 GROUP BY BUYER_NAME, CHILD_ITEM, ORG_NAME;</t>
  </si>
  <si>
    <t>View color for oa_number {oa_number}.</t>
  </si>
  <si>
    <t>What is SBD FK 1 color for /oa_number {oa_number} ?</t>
  </si>
  <si>
    <t>SBD FK 1 color for oa number</t>
  </si>
  <si>
    <t>SELECT DISTINCT OA_NUMBER,
  CUSTOMER_NAME,
  SBM_NUMBER,
  AVAILABILITY,
  COLOR,
  NEED_BY_DATE
 FROM KPCL_REPORTING.OA_GROUPING_FULLKIT_WISE
 WHERE OA_NUMBER LIKE '%{oa_number}%';</t>
  </si>
  <si>
    <t>Show the total safety stock quantity for each item.</t>
  </si>
  <si>
    <t>total safety stock quantity for each item</t>
  </si>
  <si>
    <t>Display OA  / Order number belonging to product_group {product_group}.</t>
  </si>
  <si>
    <t>SELECT
  ORG_NAME,
  BUYER_NAME,
  CHILD_ITEM,
  CHILD_DESCRIPTION,
  SAFETY_STOCK,
  ITEM_COST,
  ROUND(NVL(SAFETY_STOCK,0) * NVL(ITEM_COST,0), 2) AS SAFETY_STOCK_VALUE
 FROM  KPCL_REPORTING.FULLKIT_ITEMWISE_INV
 WHERE CHILD_ITEM NOT LIKE 'N%'
 AND NVL(SAFETY_STOCK,0) &gt; 0 AND REQ_QTY_MONTH = UPPER(TO_CHAR(SYSDATE, 'MON-YYYY'))
 ORDER BY SAFETY_STOCK DESC;</t>
  </si>
  <si>
    <t>Find OA / Order number belonging to /product_group {product_group}.</t>
  </si>
  <si>
    <t>OA / Order number belonging to product group</t>
  </si>
  <si>
    <t>SELECT
    OA_NUMBER,
    CUSTOMER_NAME,
    PRD_GRP
    FROM KPCL_REPORTING.KPC_FULL_KIT_BOM_EXPLODE
WHERE (PRD_GRP) LIKE '%{product_group}%'
ORDER BY OA_PROMISE_DATE;</t>
  </si>
  <si>
    <t>View details for oa_number {oa_number}.</t>
  </si>
  <si>
    <t>View details for /oa_number {oa_number}.</t>
  </si>
  <si>
    <t>product_group</t>
  </si>
  <si>
    <t>details for oa number</t>
  </si>
  <si>
    <t>SELECT *
 FROM KPCL_REPORTING.OA_GROUPING_FULLKIT_WISE
 WHERE OA_NUMBER LIKE '%{oa_number}%';</t>
  </si>
  <si>
    <t>Show summary details and stock information for the first 15 items.</t>
  </si>
  <si>
    <t>summary details and stock information for the first 15 items</t>
  </si>
  <si>
    <t>SELECT ORG_NAME, CHILD_ITEM, CHILD_DESCRIPTION, ITEM_COST,(NVL(REMAINING_QTY,0)), REASON, REASON_REMARK, ACTION,
 ACTION_REMARK, TODAYS_STOCKS_ITEM_COUNT, TODAYS_STOCK_VALUE
 FROM  KPCL_REPORTING.FULLKIT_ITEMWISE_INV
 WHERE CHILD_ITEM not like 'N%' AND REQ_QTY_MONTH = UPPER(TO_CHAR(SYSDATE, 'MON-YYYY'))
 ORDER BY ORG_NAME
 FETCH FIRST 15 ROWS ONLY;</t>
  </si>
  <si>
    <t>Show BOM levels for oa_number {oa_number}.</t>
  </si>
  <si>
    <t>Show BOM levels for /oa_number {oa_number}</t>
  </si>
  <si>
    <t>Show full_kit {full_kit} availability for oa_number {oa_number}.</t>
  </si>
  <si>
    <t>BOM levels for oa number</t>
  </si>
  <si>
    <t>What is /full_kit {full_kit} availability for /oa_number {oa_number} ?</t>
  </si>
  <si>
    <t>full kit availability for oa number</t>
  </si>
  <si>
    <t>SELECT
    OA_NUMBER,
    PARENT_ITEM,
    CHILD_ITEM,
    BOM_LEVEL,
    CHILD_DESCRIPTION
FROM KPCL_REPORTING.KPC_FULL_KIT_BOM_EXPLODE
WHERE OA_NUMBER LIKE '%{oa_number}%'
ORDER BY BOM_LEVEL, PARENT_ITEM, CHILD_ITEM;</t>
  </si>
  <si>
    <t>SELECT DISTINCT OA_NUMBER,
  CUSTOMER_NAME,
  SBM_NUMBER,
  AVAILABILITY,
  COLOR,
  NEED_BY_DATE
 FROM KPCL_REPORTING.OA_GROUPING_FULLKIT_WISE
 WHERE FULL_KIT_NAME LIKE '%{full_kit}%' AND OA_NUMBER LIKE '%{oa_number}%';</t>
  </si>
  <si>
    <t>Show the item details of buyer {buyer} for excess stock.</t>
  </si>
  <si>
    <t>Show me the item details of /buyer {buyer} for excess stock.</t>
  </si>
  <si>
    <t>item details of buyer for excess stock</t>
  </si>
  <si>
    <t>SELECT
  ORG_NAME,
  BUYER_NAME,
  CHILD_ITEM,
  CHILD_DESCRIPTION,
  ITEM_COST,
  TODAYS_STOCKS_ITEM_COUNT,
  NVL((TODAYS_STOCKS_ITEM_COUNT * ITEM_COST), 0) AS TODAYS_STOCK_VALUE,
  NVL(REMAINING_QTY, 0) AS EXCESS_QTY,
  ROUND(NVL(REMAINING_QTY, 0) * NVL(ITEM_COST, 0), 2) AS EXCESS_QTY_VALUE,
  REASON AS REASON_1,
  REASON_REMARK,
  ACTION AS ACTION_1,
  ACTION_REMARK
 FROM  KPCL_REPORTING.FULLKIT_ITEMWISE_INV
 WHERE CHILD_ITEM NOT LIKE 'N%' AND REQ_QTY_MONTH = UPPER(TO_CHAR(SYSDATE, 'MON-YYYY'))
 AND REMAINING_QTY&gt;0 AND BUYER_NAME LIKE '%{buyer}%';</t>
  </si>
  <si>
    <t>Show sub_full_kit {sub_full_kit} availability for oa_number {oa_number}.</t>
  </si>
  <si>
    <t>What is /sub_full_kit {sub_full_kit } availability for /oa_number {oa_number} ?</t>
  </si>
  <si>
    <t>sub full kit availability for oa number</t>
  </si>
  <si>
    <t>Show parent items with a quantity greater than quantity {quantity}.</t>
  </si>
  <si>
    <t>SELECT DISTINCT OA_NUMBER,
  CUSTOMER_NAME,
  SBM_NUMBER,
  AVAILABILITY,
  COLOR,
  NEED_BY_DATE
 FROM KPCL_REPORTING.OA_GROUPING_FULLKIT_WISE
 WHERE SUB_FULL_KIT LIKE '%{sub_full_kit}%' AND OA_NUMBER LIKE '%{oa_number}%';</t>
  </si>
  <si>
    <t>Show quantity of parent items having quantity more than /quantity {quantity} .</t>
  </si>
  <si>
    <t>Display excess qty and value of item {item}.</t>
  </si>
  <si>
    <t>quantity of parent items having quantity more than quantity.</t>
  </si>
  <si>
    <t>what is the excess qty and value of /item {item}?</t>
  </si>
  <si>
    <t>excess qty and value of item name</t>
  </si>
  <si>
    <t>SELECT
    PARENT_ITEM,
    COUNT(DISTINCT CHILD_ITEM) AS CHILD_COMPONENT_COUNT
FROM KPCL_REPORTING.KPC_FULL_KIT_BOM_EXPLODE
GROUP BY PARENT_ITEM
HAVING COUNT(DISTINCT CHILD_ITEM) &gt; {quantity}
ORDER BY CHILD_COMPONENT_COUNT DESC;</t>
  </si>
  <si>
    <t xml:space="preserve">quantity </t>
  </si>
  <si>
    <t>SELECT
  ORG_NAME,
  BUYER_NAME,
  CHILD_ITEM,
  CHILD_DESCRIPTION,
  ITEM_COST,
  TODAYS_STOCKS_ITEM_COUNT,
  NVL((TODAYS_STOCKS_ITEM_COUNT * ITEM_COST), 0) AS TODAYS_STOCK_VALUE,
  NVL(REMAINING_QTY, 0) AS EXCESS_QTY,
  ROUND(NVL(REMAINING_QTY, 0) * NVL(ITEM_COST, 0), 2) AS EXCESS_QTY_VALUE,
  REASON AS REASON_1,
  REASON_REMARK,
  ACTION AS ACTION_1,
  ACTION_REMARK
 FROM  KPCL_REPORTING.FULLKIT_ITEMWISE_INV
 WHERE CHILD_ITEM NOT LIKE 'N%' AND REQ_QTY_MONTH = UPPER(TO_CHAR(SYSDATE, 'MON-YYYY'))
 AND REMAINING_QTY&gt;0 AND CHILD_ITEM LIKE '%{item}%';</t>
  </si>
  <si>
    <t>View ordered quantity for oa_number {oa_number}.</t>
  </si>
  <si>
    <t>What is the ordered quantity for /oa_number {oa_number} ?</t>
  </si>
  <si>
    <t>ordered quantity for oa number</t>
  </si>
  <si>
    <t>Show excess stock and value of item {item} and buyer {buyer}.</t>
  </si>
  <si>
    <t>SELECT DISTINCT OA_NUMBER,
  CUSTOMER_NAME,
  SBM_NUMBER,
  SALES_OA_QTY,
  OA_LINE_QTY
 FROM KPCL_REPORTING.OA_GROUPING_FULLKIT_WISE
 WHERE OA_NUMBER LIKE '%{oa_number}%';</t>
  </si>
  <si>
    <t>What is the excess stock and value of /item {item} and /buyer {buyer}?</t>
  </si>
  <si>
    <t>excess stock and value of item and buyer</t>
  </si>
  <si>
    <t>View items with fixed order quantity.</t>
  </si>
  <si>
    <t>Display items with fixed order quantity.</t>
  </si>
  <si>
    <t>SELECT
  ORG_NAME,
  BUYER_NAME,
  CHILD_ITEM,
  CHILD_DESCRIPTION,
  ITEM_COST,
  TODAYS_STOCKS_ITEM_COUNT,
  NVL((TODAYS_STOCKS_ITEM_COUNT * ITEM_COST), 0) AS TODAYS_STOCK_VALUE,
  NVL(REMAINING_QTY, 0) AS EXCESS_QTY,
  ROUND(NVL(REMAINING_QTY, 0) * NVL(ITEM_COST, 0), 2) AS EXCESS_QTY_VALUE,
  REASON AS REASON_1,
  REASON_REMARK,
  ACTION AS ACTION_1,
  ACTION_REMARK
 FROM  KPCL_REPORTING.FULLKIT_ITEMWISE_INV
 WHERE CHILD_ITEM NOT LIKE 'N%' AND REQ_QTY_MONTH = UPPER(TO_CHAR(SYSDATE, 'MON-YYYY'))
 AND REMAINING_QTY&gt;0 AND CHILD_ITEM LIKE '%{item}%' AND BUYER_NAME LIKE '%{buyer}%';</t>
  </si>
  <si>
    <t xml:space="preserve">items with fixed order quantity </t>
  </si>
  <si>
    <t>SELECT DISTINCT
    CHILD_ITEM,
    CHILD_DESCRIPTION,
    FIXED_ORDER_QTY,
    BUYER_NAME,
    SUPPLIER_NAME
FROM KPCL_REPORTING.KPC_FULL_KIT_BOM_EXPLODE
WHERE NVL(FIXED_ORDER_QTY, 0) &gt; 0
ORDER BY FIXED_ORDER_QTY DESC;</t>
  </si>
  <si>
    <t>View orders having line quantity/qty greater than quantity {quantity}.</t>
  </si>
  <si>
    <t>Show orders having line quantity/qty greater than /quantity {quantity}</t>
  </si>
  <si>
    <t xml:space="preserve">orders having line quantity/qty greater than quantity </t>
  </si>
  <si>
    <t>SELECT DISTINCT OA_NUMBER,
  CUSTOMER_NAME,
  SBM_NUMBER,
  OA_LINE_QTY,
  SALES_OA_QTY,
  SCHEDULE_SHIP_DATE,
  OA_COLOUR
 FROM KPCL_REPORTING.OA_GROUPING_FULLKIT_WISE
 WHERE OA_LINE_QTY &gt; {quantity}
 ORDER BY OA_LINE_QTY DESC;</t>
  </si>
  <si>
    <t>Show safety stock of item {item}.</t>
  </si>
  <si>
    <t>Display components without supplier information.</t>
  </si>
  <si>
    <t>what is safety stock of /item {item}?</t>
  </si>
  <si>
    <t>Find components without supplier information.</t>
  </si>
  <si>
    <t>safety stock of item</t>
  </si>
  <si>
    <t>components without supplier information</t>
  </si>
  <si>
    <t>SELECT 
  ORG_NAME,
  BUYER_NAME,
  CHILD_ITEM,
  SAFETY_STOCK,
  CHILD_DESCRIPTION,
  ITEM_COST
  FROM  KPCL_REPORTING.FULLKIT_ITEMWISE_INV
 WHERE CHILD_ITEM NOT LIKE 'N%' AND REQ_QTY_MONTH = UPPER(TO_CHAR(SYSDATE, 'MON-YYYY'))
 AND SAFETY_STOCK&gt;0 AND CHILD_ITEM LIKE '%{item}%';</t>
  </si>
  <si>
    <t>SELECT
    CHILD_ITEM,
    CHILD_DESCRIPTION,
    BUYER_NAME,
    SUPPLIER_NAME
FROM KPCL_REPORTING.KPC_FULL_KIT_BOM_EXPLODE
WHERE SUPPLIER_NAME IS NULL
   OR TRIM(SUPPLIER_NAME) = ''
ORDER BY CHILD_ITEM;</t>
  </si>
  <si>
    <t>Display orders having line quantity/qty less than quantity {quantity}.</t>
  </si>
  <si>
    <t>Show orders having line quantity/qty less than /quantity {quantity}</t>
  </si>
  <si>
    <t>orders having line quantity/qty less than quantity</t>
  </si>
  <si>
    <t>SELECT DISTINCT OA_NUMBER,
  CUSTOMER_NAME,
  SBM_NUMBER,
  OA_LINE_QTY,
  SALES_OA_QTY,
  SCHEDULE_SHIP_DATE,
  OA_COLOUR
 FROM KPCL_REPORTING.OA_GROUPING_FULLKIT_WISE
 WHERE OA_LINE_QTY &lt; {quantity}
 ORDER BY OA_LINE_QTY DESC;</t>
  </si>
  <si>
    <t>Show allocation of item {item} against safety stock.</t>
  </si>
  <si>
    <t>What is the allocation of  /item {item} against safety stock?</t>
  </si>
  <si>
    <t>allocation of item against safety stock</t>
  </si>
  <si>
    <t>SELECT 
  ORG_NAME,
  BUYER_NAME,
  CHILD_ITEM,
  CHILD_DESCRIPTION,
  SAFETY_STOCK,
  NVL(ALLOCATED_QTY_SS, 0) AS ALLOCATED_AGAINST_SAFETY_STOCK,
  ITEM_COST
 FROM  KPCL_REPORTING.FULLKIT_ITEMWISE_INV
 WHERE CHILD_ITEM NOT LIKE 'N%' AND REQ_QTY_MONTH = UPPER(TO_CHAR(SYSDATE, 'MON-YYYY'))
  AND SAFETY_STOCK &gt; 0
  AND CHILD_ITEM LIKE '%{item}%';</t>
  </si>
  <si>
    <t>Show items with maximum order quantity is less than MOQ/ minimum order quantity.</t>
  </si>
  <si>
    <t>Display line number for oa_number {oa_number}.</t>
  </si>
  <si>
    <t>What is the line number for /oa_number {oa_number} ?</t>
  </si>
  <si>
    <t>items with maximum order quantity is less than MOQ/ minimum order quantity</t>
  </si>
  <si>
    <t>line number for oa number</t>
  </si>
  <si>
    <t>Display allocation against safety stock for item of buyer {buyer}.</t>
  </si>
  <si>
    <t>SELECT DISTINCT
    CHILD_ITEM,
    CHILD_DESCRIPTION,
    MINIMUM_ORDER_QTY,
    MAXIMUM_ORDER_QTY,
    BUYER_NAME
FROM KPCL_REPORTING.KPC_FULL_KIT_BOM_EXPLODE
WHERE NVL(MAXIMUM_ORDER_QTY, 0) &lt; NVL(MINIMUM_ORDER_QTY, 0)
ORDER BY MINIMUM_ORDER_QTY DESC;</t>
  </si>
  <si>
    <t>What is the allocation against safety stock for item of /buyer {buyer}?</t>
  </si>
  <si>
    <t>SELECT DISTINCT OA_NUMBER,
  OA_LINE_NO,
  SPLIT_LINE_IDENTIFIER,
  SBM_NUMBER,
  DESCRIPTION
 FROM KPCL_REPORTING.OA_GROUPING_FULLKIT_WISE
 WHERE OA_NUMBER LIKE '%{oa_number}%'
 ORDER BY OA_LINE_NO;</t>
  </si>
  <si>
    <t>allocation against safety stock for item of buyer</t>
  </si>
  <si>
    <t>SELECT 
  ORG_NAME,
  BUYER_NAME,
  CHILD_ITEM,
  CHILD_DESCRIPTION,
  SAFETY_STOCK,
  NVL(ALLOCATED_QTY_SS, 0) AS ALLOCATED_AGAINST_SAFETY_STOCK,
  ITEM_COST
 FROM  KPCL_REPORTING.FULLKIT_ITEMWISE_INV
 WHERE CHILD_ITEM NOT LIKE 'N%'
  AND SAFETY_STOCK &gt; 0 AND REQ_QTY_MONTH = UPPER(TO_CHAR(SYSDATE, 'MON-YYYY'))
  AND BUYER_NAME LIKE '%{buyer_name} %';</t>
  </si>
  <si>
    <t>Show approved PO quantities for all items.</t>
  </si>
  <si>
    <t>Display approved PO quantities for all items.</t>
  </si>
  <si>
    <t>approved PO quantities for all items</t>
  </si>
  <si>
    <t>SELECT DISTINCT OA_NUMBER,
    CHILD_ITEM,
    APP_PO_QTY,
    BUYER_NAME,
    SUPPLIER_NAME
FROM KPCL_REPORTING.KPC_FULL_KIT_BOM_EXPLODE
WHERE NVL(APP_PO_QTY, 0) &gt; 0
ORDER BY APP_PO_QTY DESC;</t>
  </si>
  <si>
    <t>Show all lines for oa_number {oa_number}.</t>
  </si>
  <si>
    <t>Show all lines for /oa_number {oa_number}</t>
  </si>
  <si>
    <t>all lines for oa number</t>
  </si>
  <si>
    <t>Display Allocation of item {item} against MOQ/ minimum order quantity.</t>
  </si>
  <si>
    <t>SELECT DISTINCT OA_NUMBER,
  OA_LINE_NO,
  SPLIT_LINE_IDENTIFIER,
  SBM_NUMBER,
  DESCRIPTION,
  OA_LINE_QTY,
  SALES_OA_QTY,
  SCHEDULE_SHIP_DATE,
  OA_COLOUR
 FROM KPCL_REPORTING.OA_GROUPING_FULLKIT_WISE
 WHERE OA_NUMBER LIKE '%{oa_number}%'
 ORDER BY OA_LINE_NO;</t>
  </si>
  <si>
    <t>What is Allocation of /item {item} against MOQ/ minimum order quantity?</t>
  </si>
  <si>
    <t>allocation of item against MOQ/ minimum order quantity</t>
  </si>
  <si>
    <t>SELECT 
  ORG_NAME,
  BUYER_NAME,
  CHILD_ITEM,
  CHILD_DESCRIPTION,
  SAFETY_STOCK,
  NVL(ALLOCATED_QTY_MOQ, 0) AS ALLOCATED_AGAINST_MOQ,
  ITEM_COST
 FROM  KPCL_REPORTING.FULLKIT_ITEMWISE_INV
 WHERE CHILD_ITEM NOT LIKE 'N%'
  AND SAFETY_STOCK &gt; 0 AND REQ_QTY_MONTH = UPPER(TO_CHAR(SYSDATE, 'MON-YYYY'))
  AND CHILD_ITEM LIKE '%{item}%';</t>
  </si>
  <si>
    <t>Show components with no shortage quantity.</t>
  </si>
  <si>
    <t>Display sales quantity for oa_number {oa_number}.</t>
  </si>
  <si>
    <t>Find components with no shortage quantity.</t>
  </si>
  <si>
    <t>What is the sales quantity for /oa_number {oa_number} ?</t>
  </si>
  <si>
    <t>components with no shortage quantity</t>
  </si>
  <si>
    <t>sales quantity for oa number</t>
  </si>
  <si>
    <t>SELECT 
    CHILD_ITEM_ID,
    CHILD_ITEM,
    CHILD_DESCRIPTION,
    SHORT_QTY
FROM KPCL_REPORTING.KPC_FULL_KIT_BOM_EXPLODE
WHERE NVL(SHORT_QTY, 0) = 0;</t>
  </si>
  <si>
    <t>Display allocation of item against MOQ/ minimum order quantity for buyer {buyer}.</t>
  </si>
  <si>
    <t>SELECT DISTINCT OA_NUMBER,
  CUSTOMER_NAME,
  SBM_NUMBER,
  OA_LINE_QTY,
  SALES_OA_QTY
 FROM KPCL_REPORTING.OA_GROUPING_FULLKIT_WISE
 WHERE OA_NUMBER LIKE '%{oa_number}%';</t>
  </si>
  <si>
    <t>What is the allocation of item against MOQ/ minimum order quantityfor /buyer {buyer}?</t>
  </si>
  <si>
    <t>allocation of item against MOQ/ minimum order quantityfor buyer</t>
  </si>
  <si>
    <t>SELECT 
  ORG_NAME,
  BUYER_NAME,
  CHILD_ITEM,
  CHILD_DESCRIPTION,
  SAFETY_STOCK,
  NVL(ALLOCATED_QTY_MOQ, 0) AS ALLOCATED_AGAINST_MOQ,
  ITEM_COST
 FROM  KPCL_REPORTING.FULLKIT_ITEMWISE_INV
 WHERE CHILD_ITEM NOT LIKE 'N%'
  AND SAFETY_STOCK &gt; 0 AND REQ_QTY_MONTH = UPPER(TO_CHAR(SYSDATE, 'MON-YYYY'))
  AND BUYER_NAME LIKE '%{buyer}%';</t>
  </si>
  <si>
    <t>Show orders where sales quantity is greater than line quantity/qty having quantity {quantity}.</t>
  </si>
  <si>
    <t>Show orders where sales quantity is greater than line quantity/qty having /quantity {quantity}.</t>
  </si>
  <si>
    <t>Show items with lead time greater than days {days}.</t>
  </si>
  <si>
    <t>orders where sales quantity is greater than line quantity/qty having quantity</t>
  </si>
  <si>
    <t>Show items with lead time greater than /days {days}.</t>
  </si>
  <si>
    <t>items with lead time greater than days</t>
  </si>
  <si>
    <t>SELECT DISTINCT OA_NUMBER,
  CUSTOMER_NAME,
  SBM_NUMBER,
  OA_LINE_QTY,
  SALES_OA_QTY,
  (SALES_OA_QTY - OA_LINE_QTY) AS QTY_DIFFERENCE,
  SCHEDULE_SHIP_DATE,
  OA_COLOUR
 FROM KPCL_REPORTING.OA_GROUPING_FULLKIT_WISE
 WHERE SALES_OA_QTY &gt; {quantity}
 ORDER BY QTY_DIFFERENCE DESC;</t>
  </si>
  <si>
    <t>SELECT DISTINCT
    CHILD_ITEM_ID,
    CHILD_ITEM,
    CHILD_DESCRIPTION,
    FULL_LEAD_TIME,
    FIXED_LEAD_TIME
FROM KPCL_REPORTING.KPC_FULL_KIT_BOM_EXPLODE
WHERE NVL(FULL_LEAD_TIME, 0) &gt; {days};</t>
  </si>
  <si>
    <t>Display item cost of item_description {item_description}.</t>
  </si>
  <si>
    <t>Show me item cost of /item_description {item_description }.</t>
  </si>
  <si>
    <t xml:space="preserve">item cost of item description </t>
  </si>
  <si>
    <t>SELECT
  ORG_NAME,
  BUYER_NAME,
  CHILD_ITEM,
  ITEM_COST,
  CHILD_DESCRIPTION
  FROM  KPCL_REPORTING.FULLKIT_ITEMWISE_INV
 WHERE CHILD_DESCRIPTION LIKE '% {item_description}%'
 AND CHILD_ITEM NOT LIKE 'N%' AND REQ_QTY_MONTH = UPPER(TO_CHAR(SYSDATE, 'MON-YYYY'))
 ORDER BY ITEM_COST DESC
 FETCH FIRST 20 ROWS ONLY;</t>
  </si>
  <si>
    <t xml:space="preserve">item_description </t>
  </si>
  <si>
    <t>Show number of BOM items in oa_number {oa_number}.</t>
  </si>
  <si>
    <t>How many BOM items are there in /oa_number {oa_number}?</t>
  </si>
  <si>
    <t>BOM items in oa number</t>
  </si>
  <si>
    <t>View components having stock in rejection sub inventory.</t>
  </si>
  <si>
    <t>Find components having stock in rejection sub inventory.</t>
  </si>
  <si>
    <t>SELECT DISTINCT OA_NUMBER,
  CUSTOMER_NAME,
  SBM_NUMBER,
  DESCRIPTION,
  BOM_COUNT
 FROM KPCL_REPORTING.OA_GROUPING_FULLKIT_WISE
 WHERE OA_NUMBER LIKE '%{oa_number}%';</t>
  </si>
  <si>
    <t>components having stock in rejection sub inventory</t>
  </si>
  <si>
    <t>Show inventory stock of item_description {item_description}.</t>
  </si>
  <si>
    <t>SELECT  DISTINCT
    CHILD_ITEM_ID,
    CHILD_ITEM,
    CHILD_DESCRIPTION,
    STOCK_REJ_SUB_INV
FROM KPCL_REPORTING.KPC_FULL_KIT_BOM_EXPLODE
WHERE NVL(STOCK_REJ_SUB_INV, 0) &gt; 0;</t>
  </si>
  <si>
    <t>Inventory stock of /item_description {item_description }.</t>
  </si>
  <si>
    <t>inventory stock of item description</t>
  </si>
  <si>
    <t>SELECT
  ORG_NAME,
  BUYER_NAME,
  CHILD_ITEM,
  CHILD_DESCRIPTION,
  TODAYS_STOCKS_ITEM_COUNT AS CURRENT_STOCK,
  TODAYS_STOCK_VALUE,
  ITEM_COST
 FROM  KPCL_REPORTING.FULLKIT_ITEMWISE_INV
 WHERE CHILD_DESCRIPTION LIKE '%{item_description}%'
 AND CHILD_ITEM NOT LIKE 'N%' AND REQ_QTY_MONTH = UPPER(TO_CHAR(SYSDATE, 'MON-YYYY'))
 ORDER BY TODAYS_STOCKS_ITEM_COUNT DESC
 FETCH FIRST 20 ROWS ONLY;</t>
  </si>
  <si>
    <t>Display orders with BOM count more than bom_count {bom_count}.</t>
  </si>
  <si>
    <t>Show orders with BOM count more than bom_count {bom_count}.</t>
  </si>
  <si>
    <t>orders with BOM count more than bom count</t>
  </si>
  <si>
    <t>SELECT DISTINCT OA_NUMBER,
  CUSTOMER_NAME,
  SBM_NUMBER,
  DESCRIPTION,
  BOM_COUNT,
  SCHEDULE_SHIP_DATE,
  OA_COLOUR
 FROM KPCL_REPORTING.OA_GROUPING_FULLKIT_WISE
 WHERE BOM_COUNT &gt; {bom_count}
 ORDER BY BOM_COUNT DESC;</t>
  </si>
  <si>
    <t>bom_count</t>
  </si>
  <si>
    <t>Display items available in general stores.</t>
  </si>
  <si>
    <t>items available in general stores</t>
  </si>
  <si>
    <t>SELECT 
    CHILD_ITEM_ID,
    CHILD_ITEM,
    CHILD_DESCRIPTION,
    STOCK_GENERAL_STORE
FROM KPCL_REPORTING.KPC_FULL_KIT_BOM_EXPLODE
WHERE NVL(STOCK_GENERAL_STORE, 0) &gt; 0;</t>
  </si>
  <si>
    <t>Display details of item_description {item_description}.</t>
  </si>
  <si>
    <t>View details of /item_description {item_description}.</t>
  </si>
  <si>
    <t>details of item description</t>
  </si>
  <si>
    <t>Show priority number of oa_number {oa_number}.</t>
  </si>
  <si>
    <t>SELECT
  ORG_NAME,
  BUYER_NAME,
  CHILD_ITEM,
  CHILD_DESCRIPTION,
  ITEM_COST,
  TODAYS_STOCKS_ITEM_COUNT AS CURRENT_STOCK,
  TODAYS_STOCK_VALUE
 FROM  KPCL_REPORTING.FULLKIT_ITEMWISE_INV
 WHERE CHILD_DESCRIPTION LIKE '%{item_description}%'
 AND CHILD_ITEM NOT LIKE 'N%' AND REQ_QTY_MONTH = UPPER(TO_CHAR(SYSDATE, 'MON-YYYY'))
 ORDER BY ITEM_COST DESC
 FETCH FIRST 20 ROWS ONLY;</t>
  </si>
  <si>
    <t>What is the priority number of /oa_number {oa_number} ?</t>
  </si>
  <si>
    <t>priority number of oa number</t>
  </si>
  <si>
    <t>Display WIP stock quantities for all components.</t>
  </si>
  <si>
    <t>Show WIP stock quantities for all components.</t>
  </si>
  <si>
    <t>WIP stock quantities for all components</t>
  </si>
  <si>
    <t>SELECT 
    CHILD_ITEM_ID,
    CHILD_ITEM,
    CHILD_DESCRIPTION,
    WIP_STOCK
FROM KPCL_REPORTING.KPC_FULL_KIT_BOM_EXPLODE
WHERE NVL(WIP_STOCK, 0) &gt;= 0;</t>
  </si>
  <si>
    <t>View excess stock of item_description {item_description}.</t>
  </si>
  <si>
    <t>Show the job released status for oa_number {oa_number}.</t>
  </si>
  <si>
    <t>View excess stock of /item_description{item_description}.</t>
  </si>
  <si>
    <t>Check if the job is released for /oa_number {oa_number}?</t>
  </si>
  <si>
    <t>excess stock of item description</t>
  </si>
  <si>
    <t>job released status for oa number</t>
  </si>
  <si>
    <t>SELECT DISTINCT OA_NUMBER,
  CUSTOMER_NAME,
  SBM_NUMBER,
  JOB_RELEASED_FLAG,
  SCHEDULE_SHIP_DATE,
  OA_COLOUR
 FROM KPCL_REPORTING.OA_GROUPING_FULLKIT_WISE
 WHERE OA_NUMBER LIKE '%{oa_number}%';</t>
  </si>
  <si>
    <t>SELECT
  ORG_NAME,
  BUYER_NAME,
  CHILD_ITEM,
  CHILD_DESCRIPTION,
  TODAYS_STOCKS_ITEM_COUNT AS CURRENT_STOCK,
  MRP_DEMAND,
  NVL(REMAINING_QTY, 0) AS EXCESS_QTY,
  ROUND(NVL(REMAINING_QTY, 0) * NVL(ITEM_COST, 0), 2) AS EXCESS_VALUE,
  REASON,
  ACTION
 FROM  KPCL_REPORTING.FULLKIT_ITEMWISE_INV
 WHERE CHILD_DESCRIPTION LIKE '%{item_description}%'
 AND CHILD_ITEM NOT LIKE 'N%'
 AND NVL(REMAINING_QTY, 0) &gt; 0 AND REQ_QTY_MONTH = UPPER(TO_CHAR(SYSDATE, 'MON-YYYY'))
 ORDER BY EXCESS_QTY DESC
 FETCH FIRST 20 ROWS ONLY;</t>
  </si>
  <si>
    <t>Display items allocated from stock inventory.</t>
  </si>
  <si>
    <t>Find items allocated from stock inventory.</t>
  </si>
  <si>
    <t>Display all orders with job yet to be released.</t>
  </si>
  <si>
    <t>items allocated from stock inventory</t>
  </si>
  <si>
    <t>all orders with job yet to be released</t>
  </si>
  <si>
    <t>SELECT DISTINCT
    CHILD_ITEM,
    CHILD_DESCRIPTION,
    ALLOCATED_FRM_STOCK,
    ON_HAND_STOCK,
    BUYER_NAME
FROM KPCL_REPORTING.KPC_FULL_KIT_BOM_EXPLODE
WHERE NVL(ALLOCATED_FRM_STOCK, 0) &gt; 0
ORDER BY ALLOCATED_FRM_STOCK DESC;</t>
  </si>
  <si>
    <t>SELECT DISTINCT OA_NUMBER,
  CUSTOMER_NAME,
  SBM_NUMBER,
  JOB_RELEASED_FLAG,
  SCHEDULE_SHIP_DATE,
  OA_COLOUR,
  DELVERABLE_OA
 FROM KPCL_REPORTING.OA_GROUPING_FULLKIT_WISE
 WHERE JOB_RELEASED_FLAG = 0
 ORDER BY SCHEDULE_SHIP_DATE;</t>
  </si>
  <si>
    <t>View excess stock, reason and action taken on it for item_description {item_description}.</t>
  </si>
  <si>
    <t>View excess stock, reason and action taken on it for /item_description {item_description} .</t>
  </si>
  <si>
    <t>excess stock,reason and action taken on it for item description</t>
  </si>
  <si>
    <t>SELECT
  ORG_NAME,
  BUYER_NAME,
  CHILD_ITEM,
  CHILD_DESCRIPTION,
  TODAYS_STOCKS_ITEM_COUNT AS CURRENT_STOCK,
  MRP_DEMAND,
  NVL(REMAINING_QTY, 0) AS EXCESS_QTY,
  ROUND(NVL(REMAINING_QTY, 0) * NVL(ITEM_COST, 0), 2) AS EXCESS_VALUE,
  REASON,
  REASON_REMARK,
  ACTION,
  ACTION_REMARK
 FROM  KPCL_REPORTING.FULLKIT_ITEMWISE_INV
 WHERE CHILD_DESCRIPTION LIKE '%{item_description}%' AND REQ_QTY_MONTH = UPPER(TO_CHAR(SYSDATE, 'MON-YYYY'))
 AND CHILD_ITEM NOT LIKE 'N%'
 AND NVL(REMAINING_QTY, 0) &gt; 0
 ORDER BY EXCESS_QTY DESC
 FETCH FIRST 20 ROWS ONLY;</t>
  </si>
  <si>
    <t>Display child items with 'negative allocated stock'.</t>
  </si>
  <si>
    <t>View if oa_number {oa_number} is picked.</t>
  </si>
  <si>
    <t>child items with 'negative allocated stock'</t>
  </si>
  <si>
    <t>Check is /oa_number {oa_number} picked?</t>
  </si>
  <si>
    <t>Show excess stock and reason by buyer {buyer} for item_description {item_description} .</t>
  </si>
  <si>
    <t>oa number picked</t>
  </si>
  <si>
    <t>Show excess stock and reason by /buyer {buyer} for /item_description {item_description}.</t>
  </si>
  <si>
    <t>SELECT DISTINCT
    CHILD_ITEM,
    CHILD_DESCRIPTION,
    ALLOCATED_FRM_STOCK,
    ON_HAND_STOCK,
    BUYER_NAME
FROM KPCL_REPORTING.KPC_FULL_KIT_BOM_EXPLODE
WHERE NVL(ALLOCATED_FRM_STOCK, 0) &lt; 0
ORDER BY ALLOCATED_FRM_STOCK;</t>
  </si>
  <si>
    <t>SELECT DISTINCT OA_NUMBER,
  CUSTOMER_NAME,
  SBM_NUMBER,
  PICKED_FLAG,
  SCHEDULE_SHIP_DATE,
  OA_COLOUR
 FROM KPCL_REPORTING.OA_GROUPING_FULLKIT_WISE
 WHERE OA_NUMBER LIKE '%{oa_number}%';</t>
  </si>
  <si>
    <t xml:space="preserve">excess stock and reason by buyer for item description </t>
  </si>
  <si>
    <t>SELECT
  BUYER_NAME,
  CHILD_ITEM,
  CHILD_DESCRIPTION,
  TODAYS_STOCKS_ITEM_COUNT AS CURRENT_STOCK,
  MRP_DEMAND,
  NVL(REMAINING_QTY, 0) AS EXCESS_QTY,
  ROUND(NVL(REMAINING_QTY, 0) * NVL(ITEM_COST, 0), 2) AS EXCESS_VALUE,
  REASON,
  ACTION
 FROM  KPCL_REPORTING.FULLKIT_ITEMWISE_INV
 WHERE CHILD_DESCRIPTION LIKE '%{item_description}%' AND REQ_QTY_MONTH = UPPER(TO_CHAR(SYSDATE, 'MON-YYYY'))
 AND CHILD_ITEM NOT LIKE 'N%'
 AND NVL(REMAINING_QTY, 0) &gt; 0
 AND BUYER_NAME LIKE '%{buyer}%'
 ORDER BY EXCESS_QTY DESC
 FETCH FIRST 20 ROWS ONLY;</t>
  </si>
  <si>
    <t xml:space="preserve">buyer, item_description </t>
  </si>
  <si>
    <t>Show all orders where picked flag = N.</t>
  </si>
  <si>
    <t>Show all orders where picked flag = N</t>
  </si>
  <si>
    <t>all orders where picked flag = N</t>
  </si>
  <si>
    <t>Show components where supply quantity is less than total demand.</t>
  </si>
  <si>
    <t>SELECT DISTINCT OA_NUMBER,
  CUSTOMER_NAME,
  SBM_NUMBER,
  PICKED_FLAG,
  SCHEDULE_SHIP_DATE,
  OA_COLOUR,
  DELVERABLE_OA
 FROM KPCL_REPORTING.OA_GROUPING_FULLKIT_WISE
 WHERE (PICKED_FLAG) = 'N'
 ORDER BY SCHEDULE_SHIP_DATE;</t>
  </si>
  <si>
    <t>View stock of item_description {item_description}.</t>
  </si>
  <si>
    <t>Find components where supply quantity is less than total demand.</t>
  </si>
  <si>
    <t>Stock of /item_description {item_description}.</t>
  </si>
  <si>
    <t>components where supply quantity is less than total demand</t>
  </si>
  <si>
    <t>stock of item description</t>
  </si>
  <si>
    <t>SELECT DISTINCT
    CHILD_ITEM,
    CHILD_DESCRIPTION,
    TOTAL_DD AS TOTAL_DEMAND,
    SUPPLY_QTY,
    BUYER_NAME,
    SUPPLIER_NAME
FROM KPCL_REPORTING.KPC_FULL_KIT_BOM_EXPLODE
WHERE NVL(SUPPLY_QTY, 0) &lt; NVL(TOTAL_DD, 0)
ORDER BY (NVL(TOTAL_DD, 0) - NVL(SUPPLY_QTY, 0)) DESC;</t>
  </si>
  <si>
    <t>SELECT
  ORG_NAME,
  BUYER_NAME,
  CHILD_ITEM,
  CHILD_DESCRIPTION,
  TODAYS_STOCKS_ITEM_COUNT AS CURRENT_STOCK,
  TODAYS_STOCK_VALUE,
  ITEM_COST
 FROM  KPCL_REPORTING.FULLKIT_ITEMWISE_INV
 WHERE CHILD_DESCRIPTION LIKE '%{item_description}%' AND REQ_QTY_MONTH = UPPER(TO_CHAR(SYSDATE, 'MON-YYYY'))
 AND CHILD_ITEM NOT LIKE 'N%'
 ORDER BY TODAYS_STOCKS_ITEM_COUNT DESC
 FETCH FIRST 20 ROWS ONLY;</t>
  </si>
  <si>
    <t>Show all orders where picked flag = Y.</t>
  </si>
  <si>
    <t>Show all orders where picked flag = Y</t>
  </si>
  <si>
    <t>all orders where picked flag = Y</t>
  </si>
  <si>
    <t>Show WIP, General store  stock.</t>
  </si>
  <si>
    <t>SELECT DISTINCT OA_NUMBER,
  CUSTOMER_NAME,
  SBM_NUMBER,
  PICKED_FLAG,
  SCHEDULE_SHIP_DATE,
  OA_COLOUR,
  DELVERABLE_OA
 FROM KPCL_REPORTING.OA_GROUPING_FULLKIT_WISE
 WHERE (PICKED_FLAG) = 'Y'
 ORDER BY SCHEDULE_SHIP_DATE;</t>
  </si>
  <si>
    <t>WIP, General store  stock</t>
  </si>
  <si>
    <t>SELECT ORG_NAME,
  SUM(STOCK_GENERAL_STORE) AS GENERAL_STORE_STOCK,
  SUM(STOCK_QTY_ASM) + SUM(STOCK_QTY_MS) AS WIP_STOCK
 FROM  KPCL_REPORTING.FULLKIT_ITEMWISE_INV
WHERE REQ_QTY_MONTH = UPPER(TO_CHAR(SYSDATE, 'MON-YYYY')) AND CHILD_ITEM not like 'N%' 
GROUP BY ORG_NAME;</t>
  </si>
  <si>
    <t>Display components with BOM effective date of current month.</t>
  </si>
  <si>
    <t>Find components with BOM effective date of current month.</t>
  </si>
  <si>
    <t>components with BOM effective date of current month</t>
  </si>
  <si>
    <t>SELECT DISTINCT
    CHILD_ITEM,
    CHILD_DESCRIPTION,
    BOM_EFF_DATE,
    PARENT_ITEM,
    BOM_LEVEL
FROM KPCL_REPORTING.KPC_FULL_KIT_BOM_EXPLODE
WHERE TRUNC(BOM_EFF_DATE, 'MM') = TRUNC(SYSDATE, 'MM')
ORDER BY BOM_EFF_DATE DESC;</t>
  </si>
  <si>
    <t>Show whether oa number {oa_number} is make or buy.</t>
  </si>
  <si>
    <t>Display inventory for raw material, work-in-progress and finished goods.</t>
  </si>
  <si>
    <t>Show whether /oa_number {oa_number} is make or buy</t>
  </si>
  <si>
    <t>What is the inventory for raw material, work-in-progress and finished goods?</t>
  </si>
  <si>
    <t>weather oa number is make or buy</t>
  </si>
  <si>
    <t>inventory for raw material, work-in-progres and finished goods</t>
  </si>
  <si>
    <t>SELECT DISTINCT OA_NUMBER,
  CUSTOMER_NAME,
  SBM_NUMBER,
  PLAN_MAKE_BUY_CODE,
  CASE 
  WHEN PLAN_MAKE_BUY_CODE = 1 THEN 'MAKE'
  WHEN PLAN_MAKE_BUY_CODE = 2 THEN 'BUY'
  ELSE 'UNKNOWN'
  END AS MAKE_BUY_STATUS
 FROM KPCL_REPORTING.OA_GROUPING_FULLKIT_WISE
 WHERE OA_NUMBER LIKE '%{oa_number}%';</t>
  </si>
  <si>
    <t>SELECT ORG_NAME,
  sum(STOCK_GENERAL_STORE) General_Stores__stock,
  sum(STOCK_QTY_ASM) Assembly_stock,
  sum(STOCK_QTY_MS) Machine_shop_stock,
  sum(STOCK_QTY_FC) Finished_Components_stock,
  sum(STOCK_QTY_FG) Finished_goods_stock,
  sum(STOCK_QTY_ASM) + sum(STOCK_QTY_MS) as WIP_STOCK
FROM  KPCL_REPORTING.FULLKIT_ITEMWISE_INV
WHERE REQ_QTY_MONTH = UPPER(TO_CHAR(SYSDATE, 'MON-YYYY')) AND CHILD_ITEM not like 'N%' 
GROUP BY ORG_NAME;</t>
  </si>
  <si>
    <t>View customer wise OA  / Order number count.</t>
  </si>
  <si>
    <t>Display customer wise OA  / Order number count.</t>
  </si>
  <si>
    <t>customer wise OA  / Order number count</t>
  </si>
  <si>
    <t>SELECT
    CUSTOMER_NAME,
    COUNT(DISTINCT OA_NUMBER) AS OA_COUNT
FROM KPCL_REPORTING.KPC_FULL_KIT_BOM_EXPLODE
GROUP BY CUSTOMER_NAME
ORDER BY OA_COUNT DESC;</t>
  </si>
  <si>
    <t>Show all items with their item types.</t>
  </si>
  <si>
    <t>Display list of order numbers with make / buy code.</t>
  </si>
  <si>
    <t>list of order numbers with make / buy code</t>
  </si>
  <si>
    <t>order numbers with make / buy code</t>
  </si>
  <si>
    <t>SELECT DISTINCT OA_NUMBER,
  CUSTOMER_NAME,
  SBM_NUMBER,
  PLAN_MAKE_BUY_CODE,
  CASE 
  WHEN PLAN_MAKE_BUY_CODE = 1 THEN 'MAKE'
  WHEN PLAN_MAKE_BUY_CODE = 2 THEN 'BUY'
  ELSE 'UNKNOWN'
  END AS MAKE_BUY_STATUS
 FROM KPCL_REPORTING.OA_GROUPING_FULLKIT_WISE;</t>
  </si>
  <si>
    <t>View buyer wise item count.</t>
  </si>
  <si>
    <t>Show buyer wise item count.</t>
  </si>
  <si>
    <t>buyer wise item count</t>
  </si>
  <si>
    <t>SELECT
    BUYER_NAME,
    COUNT(DISTINCT CHILD_ITEM) AS ITEM_COUNT
FROM KPCL_REPORTING.KPC_FULL_KIT_BOM_EXPLODE
GROUP BY BUYER_NAME
ORDER BY ITEM_COUNT DESC;</t>
  </si>
  <si>
    <t>Show all 'buy' items pending for next week.</t>
  </si>
  <si>
    <t>all 'buy' items pending for next week</t>
  </si>
  <si>
    <t>SELECT DISTINCT OA_NUMBER,
  CUSTOMER_NAME,
  SBM_NUMBER,
  DESCRIPTION,
  BUYER_NAME,
  PLAN_MAKE_BUY_CODE,
  OA_NEED_BY_DATE,
  SCHEDULE_SHIP_DATE,
  OA_COLOUR
 FROM KPCL_REPORTING.OA_GROUPING_FULLKIT_WISE
 WHERE PLAN_MAKE_BUY_CODE = 2
  AND OA_NEED_BY_DATE &gt;= TRUNC(SYSDATE, 'IW') + 7
  AND OA_NEED_BY_DATE &lt; TRUNC(SYSDATE, 'IW') + 14
 ORDER BY OA_NEED_BY_DATE;</t>
  </si>
  <si>
    <t>Display supplier wise PO quantities.</t>
  </si>
  <si>
    <t>Find supplier wise PO quantities.</t>
  </si>
  <si>
    <t>supplier wise PO quantities</t>
  </si>
  <si>
    <t>SELECT
    SUPPLIER_NAME,
    SUM(NVL(APP_PO_QTY, 0)) AS TOTAL_PO_QTY
FROM KPCL_REPORTING.KPC_FULL_KIT_BOM_EXPLODE
WHERE NVL(APP_PO_QTY, 0) &gt; 0
GROUP BY SUPPLIER_NAME
ORDER BY TOTAL_PO_QTY DESC;</t>
  </si>
  <si>
    <t>Show all 'make' items pending for next week.</t>
  </si>
  <si>
    <t>all 'make' items pending for next week</t>
  </si>
  <si>
    <t>SELECT DISTINCT OA_NUMBER,
  CUSTOMER_NAME,
  SBM_NUMBER,
  DESCRIPTION,
  BUYER_NAME,
  PLAN_MAKE_BUY_CODE,
  OA_NEED_BY_DATE,
  SCHEDULE_SHIP_DATE,
  OA_COLOUR
 FROM KPCL_REPORTING.OA_GROUPING_FULLKIT_WISE
 WHERE PLAN_MAKE_BUY_CODE = 1
  AND OA_NEED_BY_DATE &gt;= TRUNC(SYSDATE, 'IW') + 7
  AND OA_NEED_BY_DATE &lt; TRUNC(SYSDATE, 'IW') + 14
 ORDER BY OA_NEED_BY_DATE;</t>
  </si>
  <si>
    <t>View OA  / Order number having expected_date_color {expected_date_color}.</t>
  </si>
  <si>
    <t>Display OA  / Order number having /expected_date_color {expected_date_color}.</t>
  </si>
  <si>
    <t>Check is oa_number {oa_number} deliverable.</t>
  </si>
  <si>
    <t>OA  / Order number having expected date colour</t>
  </si>
  <si>
    <t>SELECT CHILD_ITEM, CHILD_ITEM_TYPE , ORG_NAME 
FROM  KPCL_REPORTING.FULLKIT_ITEMWISE_INV
WHERE REQ_QTY_MONTH = UPPER(TO_CHAR(SYSDATE, 'MON-YYYY')) AND CHILD_ITEM not like 'N%' ;</t>
  </si>
  <si>
    <t>Check is /oa_number {oa_number} deliverable?</t>
  </si>
  <si>
    <t>oa number deliverable</t>
  </si>
  <si>
    <t>SELECT
    OA_NUMBER,
    CUSTOMER_NAME,
    EXPECTED_DATE_COLOR,
    EXPECTED_DATE,
    OA_PROMISE_DATE
FROM KPCL_REPORTING.KPC_FULL_KIT_BOM_EXPLODE
WHERE (EXPECTED_DATE_COLOR) LIKE '%{expected_date_color}%'
ORDER BY EXPECTED_DATE;</t>
  </si>
  <si>
    <t>SELECT DISTINCT OA_NUMBER,
  CUSTOMER_NAME,
  SBM_NUMBER,
  DELVERABLE_OA,
  SCHEDULE_SHIP_DATE,
  OA_COLOUR,
  FULL_AVAILABILITY_COLOUR
 FROM KPCL_REPORTING.OA_GROUPING_FULLKIT_WISE
 WHERE OA_NUMBER LIKE '%{oa_number}%';</t>
  </si>
  <si>
    <t>expected_date_color</t>
  </si>
  <si>
    <t>Display all product groups available in inventory.</t>
  </si>
  <si>
    <t>Show all non-deliverable OA.</t>
  </si>
  <si>
    <t>Show items with null expected date.</t>
  </si>
  <si>
    <t>SELECT CHILD_ITEM, PRODUCT_GROUP , ORG_NAME
FROM  KPCL_REPORTING.FULLKIT_ITEMWISE_INV
WHERE REQ_QTY_MONTH = UPPER(TO_CHAR(SYSDATE, 'MON-YYYY')) AND CHILD_ITEM not like 'N%' ;</t>
  </si>
  <si>
    <t>all non-deliverable OA</t>
  </si>
  <si>
    <t>items with null expected date</t>
  </si>
  <si>
    <t>SELECT DISTINCT OA_NUMBER,
  CUSTOMER_NAME,
  SBM_NUMBER,
  SCHEDULE_SHIP_DATE,
  OA_COLOUR,
  DELVERABLE_OA
 FROM KPCL_REPORTING.OA_GROUPING_FULLKIT_WISE
 WHERE NVL(DELVERABLE_OA, 'N') &lt;&gt; 'Y'
 ORDER BY SCHEDULE_SHIP_DATE;</t>
  </si>
  <si>
    <t>SELECT DISTINCT
    CHILD_ITEM,
    CHILD_DESCRIPTION,
    EXPECTED_DATE,
    BUYER_NAME,
    SUPPLIER_NAME
FROM KPCL_REPORTING.KPC_FULL_KIT_BOM_EXPLODE
WHERE EXPECTED_DATE IS NULL
ORDER BY CHILD_ITEM;</t>
  </si>
  <si>
    <t>Show all models available in inventory.</t>
  </si>
  <si>
    <t>SELECT CHILD_ITEM, MODEL , ORG_NAME
FROM  KPCL_REPORTING.FULLKIT_ITEMWISE_INV
WHERE REQ_QTY_MONTH = UPPER(TO_CHAR(SYSDATE, 'MON-YYYY')) AND CHILD_ITEM not like 'N%' ;</t>
  </si>
  <si>
    <t>Show cost of items for oa_number {oa_number}.</t>
  </si>
  <si>
    <t>What is the cost of items for /oa_number {oa_number} ?</t>
  </si>
  <si>
    <t>cost of items for oa number</t>
  </si>
  <si>
    <t>SELECT DISTINCT OA_NUMBER,
  CUSTOMER_NAME,
  SBM_NUMBER,
  DESCRIPTION,
  ITEM_COST,
  SELLING_PRICE
 FROM KPCL_REPORTING.OA_GROUPING_FULLKIT_WISE
 WHERE OA_NUMBER LIKE '%{oa_number}%';</t>
  </si>
  <si>
    <t>View OA  / Order number created during current month.</t>
  </si>
  <si>
    <t>Find OA  / Order number created during current month.</t>
  </si>
  <si>
    <t>OA  / Order number created during current month</t>
  </si>
  <si>
    <t>Display buyer wise inventory summary.</t>
  </si>
  <si>
    <t>SELECT DISTINCT
    OA_NUMBER,
    CUSTOMER_NAME,
    OA_CREATION_DATE,
    OA_PROMISE_DATE,
    OA_COLOUR
FROM KPCL_REPORTING.KPC_FULL_KIT_BOM_EXPLODE
WHERE TRUNC(OA_CREATION_DATE, 'MM') = TRUNC(SYSDATE, 'MM')
ORDER BY OA_CREATION_DATE DESC;</t>
  </si>
  <si>
    <t>Show orders above item_cost {item_cost}.</t>
  </si>
  <si>
    <t>SELECT 
    BUYER_NAME, ORG_NAME,
    COUNT(CHILD_ITEM) AS TOTAL_ITEMS,
    SUM(TODAYS_STOCKS_ITEM_COUNT) AS TOTAL_STOCK_COUNT,
    SUM(TODAYS_STOCK_VALUE) AS TOTAL_STOCK_VALUE
FROM  KPCL_REPORTING.FULLKIT_ITEMWISE_INV
WHERE REQ_QTY_MONTH = UPPER(TO_CHAR(SYSDATE, 'MON-YYYY')) AND CHILD_ITEM not like 'N%' 
GROUP BY BUYER_NAME, ORG_NAME;</t>
  </si>
  <si>
    <t>Show orders above /item_cost {item_cost} .</t>
  </si>
  <si>
    <t>orders above item cost</t>
  </si>
  <si>
    <t>SELECT DISTINCT OA_NUMBER,
  CUSTOMER_NAME,
  SBM_NUMBER,
  DESCRIPTION,
  ITEM_COST,
  SELLING_PRICE,
  SCHEDULE_SHIP_DATE,
  OA_COLOUR
 FROM KPCL_REPORTING.OA_GROUPING_FULLKIT_WISE
 WHERE ITEM_COST &gt; {item_cost}
 ORDER BY ITEM_COST DESC;</t>
  </si>
  <si>
    <t>item_cost</t>
  </si>
  <si>
    <t>Show organization wise inventory summary.</t>
  </si>
  <si>
    <t>View BOM items with higher cost.</t>
  </si>
  <si>
    <t>Display BOM items with higher cost.</t>
  </si>
  <si>
    <t>BOM items with higher cost.</t>
  </si>
  <si>
    <t>Display selling price of oa_number {oa_number}.</t>
  </si>
  <si>
    <t>SELECT DISTINCT
    CHILD_ITEM,
    CHILD_DESCRIPTION,
    BOM_ITEM_COST,
    EXT_ITEM_COST,
    BUYER_NAME,
    SUPPLIER_NAME
FROM KPCL_REPORTING.KPC_FULL_KIT_BOM_EXPLODE
WHERE NVL(BOM_ITEM_COST, 0) &gt; 0
ORDER BY BOM_ITEM_COST DESC;</t>
  </si>
  <si>
    <t>SELECT 
    ORG_NAME,
    COUNT(CHILD_ITEM) AS TOTAL_ITEMS,
    SUM(TODAYS_STOCKS_ITEM_COUNT) AS TOTAL_STOCK_COUNT,
    SUM(TODAYS_STOCK_VALUE) AS TOTAL_STOCK_VALUE
FROM  KPCL_REPORTING.FULLKIT_ITEMWISE_INV
WHERE REQ_QTY_MONTH = UPPER(TO_CHAR(SYSDATE, 'MON-YYYY')) AND CHILD_ITEM not like 'N%' 
GROUP BY ORG_NAME;</t>
  </si>
  <si>
    <t>What is the selling price of /oa_number {oa_number} ?</t>
  </si>
  <si>
    <t>selling price of oa number</t>
  </si>
  <si>
    <t>SELECT DISTINCT OA_NUMBER,
  CUSTOMER_NAME,
  SBM_NUMBER,
  DESCRIPTION,
  SELLING_PRICE,
  ITEM_COST
 FROM KPCL_REPORTING.OA_GROUPING_FULLKIT_WISE
 WHERE OA_NUMBER LIKE '%{oa_number}%';</t>
  </si>
  <si>
    <t>Display product group wise stock value.</t>
  </si>
  <si>
    <t>SELECT 
    PRODUCT_GROUP,
    SUM(TODAYS_STOCK_VALUE) AS TOTAL_STOCK_VALUE 
FROM  KPCL_REPORTING.FULLKIT_ITEMWISE_INV
WHERE REQ_QTY_MONTH = UPPER(TO_CHAR(SYSDATE, 'MON-YYYY')) AND CHILD_ITEM not like 'N%' 
GROUP BY PRODUCT_GROUP;</t>
  </si>
  <si>
    <t>Display orders where selling price is less than item cost.</t>
  </si>
  <si>
    <t>View parent items with no child existence flag.</t>
  </si>
  <si>
    <t>Show orders where selling price is less than item cost.</t>
  </si>
  <si>
    <t>Find parent items with no child existence flag.</t>
  </si>
  <si>
    <t>orders where selling price is less than item cost</t>
  </si>
  <si>
    <t>parent items with no child existence flag</t>
  </si>
  <si>
    <t>SELECT DISTINCT OA_NUMBER,
  CUSTOMER_NAME,
  SBM_NUMBER,
  DESCRIPTION,
  ITEM_COST,
  SELLING_PRICE,
  (SELLING_PRICE - ITEM_COST) AS PROFIT_MARGIN,
  SCHEDULE_SHIP_DATE,
  OA_COLOUR
 FROM KPCL_REPORTING.OA_GROUPING_FULLKIT_WISE
 WHERE SELLING_PRICE &lt; ITEM_COST
 ORDER BY PROFIT_MARGIN ASC;</t>
  </si>
  <si>
    <t>SELECT DISTINCT
    PARENT_ITEM,
    PARENT_DESCRIPTION,
    CHILD_EXIST_FLAG,
    BOM_LEVEL
FROM KPCL_REPORTING.KPC_FULL_KIT_BOM_EXPLODE
WHERE CHILD_EXIST_FLAG IS NULL
ORDER BY PARENT_ITEM;</t>
  </si>
  <si>
    <t>Show model wise stock value.</t>
  </si>
  <si>
    <t>SELECT 
    MODEL, ORG_NAME,
    SUM(TODAYS_STOCK_VALUE) AS TOTAL_STOCK_VALUE
FROM  KPCL_REPORTING.FULLKIT_ITEMWISE_INV
WHERE REQ_QTY_MONTH = UPPER(TO_CHAR(SYSDATE, 'MON-YYYY')) AND CHILD_ITEM not like 'N%' 
GROUP BY MODEL,ORG_NAME;</t>
  </si>
  <si>
    <t>Show the order type for customer {customer} and product_model {product_model}.</t>
  </si>
  <si>
    <t>What is the order type for /customer {customer} and /product_model {product_model}?</t>
  </si>
  <si>
    <t>order type for customer and product model</t>
  </si>
  <si>
    <t>Display organization wise stock quantity.</t>
  </si>
  <si>
    <t>SELECT CUSTOMER_NAME,
       PRODUCT_MODEL,
       ORDER_TYPE
FROM KPCL_REPORTING.OA_GROUPING_FULLKIT_WISE
WHERE CUSTOMER_NAME LIKE '%{customer}%'
  AND PRODUCT_MODEL LIKE '%{product_model}%';</t>
  </si>
  <si>
    <t>Show items included in shipping documents.</t>
  </si>
  <si>
    <t>customer, product_model</t>
  </si>
  <si>
    <t>items included in shipping documents</t>
  </si>
  <si>
    <t>SELECT 
    ORG_NAME,
    SUM(TODAYS_STOCKS_ITEM_COUNT) AS TOTAL_STOCK_QTY
FROM  KPCL_REPORTING.FULLKIT_ITEMWISE_INV
WHERE REQ_QTY_MONTH = UPPER(TO_CHAR(SYSDATE, 'MON-YYYY')) AND CHILD_ITEM not like 'N%' 
GROUP BY ORG_NAME;</t>
  </si>
  <si>
    <t>SELECT
    CHILD_ITEM,
    CHILD_DESCRIPTION,
    INCLD_IN_SHIP_DOCS,
    OA_NUMBER,
    CUSTOMER_NAME
FROM KPCL_REPORTING.KPC_FULL_KIT_BOM_EXPLODE
WHERE NVL(INCLD_IN_SHIP_DOCS, 0) = 1
ORDER BY OA_NUMBER, CHILD_ITEM;</t>
  </si>
  <si>
    <t>Show buyer wise stock quantity.</t>
  </si>
  <si>
    <t>Show the buyer for customer {customer} and product_group {product_group}.</t>
  </si>
  <si>
    <t>What is the buyer for /customer {customer} and /product_group {product_group}?</t>
  </si>
  <si>
    <t xml:space="preserve">buyer for customer and product group </t>
  </si>
  <si>
    <t>SELECT 
    BUYER_NAME,
    SUM(TODAYS_STOCKS_ITEM_COUNT) AS TOTAL_STOCK_QTY
FROM  KPCL_REPORTING.FULLKIT_ITEMWISE_INV
WHERE REQ_QTY_MONTH = UPPER(TO_CHAR(SYSDATE, 'MON-YYYY')) AND CHILD_ITEM not like 'N%' 
GROUP BY BUYER_NAME;</t>
  </si>
  <si>
    <t>SELECT CUSTOMER_NAME,
       PRODUCT_GROUP,
       BUYER_NAME
FROM KPCL_REPORTING.OA_GROUPING_FULLKIT_WISE
WHERE CUSTOMER_NAME LIKE '%{customer}%'
  AND PRODUCT_GROUP LIKE '%{product_group}%';</t>
  </si>
  <si>
    <t>customer, product_group</t>
  </si>
  <si>
    <t>Show total MRP demand.</t>
  </si>
  <si>
    <t>Show all non-billable orders.</t>
  </si>
  <si>
    <t>Display all non-billable orders.</t>
  </si>
  <si>
    <t>all non-billable orders</t>
  </si>
  <si>
    <t>SELECT 
    SUM(MRP_DEMAND) AS TOTAL_MRP_DEMAND
FROM  KPCL_REPORTING.FULLKIT_ITEMWISE_INV
WHERE REQ_QTY_MONTH = UPPER(TO_CHAR(SYSDATE, 'MON-YYYY')) AND CHILD_ITEM not like 'N%' ;</t>
  </si>
  <si>
    <t>View the product model for parent_item {parent_item) and item_type {item_type}.</t>
  </si>
  <si>
    <t>SELECT DISTINCT
    OA_NUMBER,
    CUSTOMER_NAME,
    BILLING_FLAG,
    OA_CREATION_DATE,
    OA_PROMISE_DATE,
    OA_COLOUR
FROM KPCL_REPORTING.KPC_FULL_KIT_BOM_EXPLODE
WHERE (BILLING_FLAG = 'NON BILLABLE' or BILLING_FLAG = 'Non-Billable')
ORDER BY OA_CREATION_DATE DESC;</t>
  </si>
  <si>
    <t>What is the product model for /parent_item {parent_item) and /item_type {item_type}?</t>
  </si>
  <si>
    <t>product model for parent item and item type</t>
  </si>
  <si>
    <t>SELECT SBM_NUMBER,
       ITEM_TYPE,
       PRODUCT_MODEL
FROM KPCL_REPORTING.OA_GROUPING_FULLKIT_WISE
WHERE SBM_NUMBER LIKE '%{parent_item}%'
  AND ITEM_TYPE LIKE '%{item_type}%';</t>
  </si>
  <si>
    <t>parent_item, item_type</t>
  </si>
  <si>
    <t>Display total remaining quantity after allocation.</t>
  </si>
  <si>
    <t>SELECT ORG_NAME, 
    SUM(REMAINING_QTY) AS TOTAL_REMAINING_QTY
FROM  KPCL_REPORTING.FULLKIT_ITEMWISE_INV
WHERE REQ_QTY_MONTH = UPPER(TO_CHAR(SYSDATE, 'MON-YYYY')) AND CHILD_ITEM not like 'N%' 
GROUP BY ORG_NAME;</t>
  </si>
  <si>
    <t>Show buyer for parent_item {parent_item) and product_model {product_model}.</t>
  </si>
  <si>
    <t>What is the buyer for /parent_item {parent_item) and /product_model {product_model}?</t>
  </si>
  <si>
    <t>buyer for parent item and product model</t>
  </si>
  <si>
    <t>Show order_type_text {order_type_text} orders.</t>
  </si>
  <si>
    <t>Show total safety stock maintained.</t>
  </si>
  <si>
    <t>SELECT SBM_NUMBER,
       PRODUCT_MODEL,
       BUYER_NAME
FROM KPCL_REPORTING.OA_GROUPING_FULLKIT_WISE
WHERE SBM_NUMBER LIKE '%{parent_item}%'
  AND PRODUCT_MODEL LIKE '%{product_model}%';</t>
  </si>
  <si>
    <t>Find /order_type_text {order_type_text} orders.</t>
  </si>
  <si>
    <t>parent_item, product_model</t>
  </si>
  <si>
    <t>order type text orders</t>
  </si>
  <si>
    <t>SELECT DISTINCT
    OA_NUMBER,
    CUSTOMER_NAME,
    ORDER_TYPE_TEXT,
    OA_CREATION_DATE,
    OA_PROMISE_DATE,
    OA_COLOUR
FROM KPCL_REPORTING.KPC_FULL_KIT_BOM_EXPLODE
WHERE (ORDER_TYPE_TEXT) LIKE '%{order_type_text}%'
ORDER BY OA_CREATION_DATE DESC;</t>
  </si>
  <si>
    <t>SELECT ORG_NAME,
    SUM(SAFETY_STOCK) AS TOTAL_SAFETY_STOCK
FROM  KPCL_REPORTING.FULLKIT_ITEMWISE_INV 
WHERE REQ_QTY_MONTH = UPPER(TO_CHAR(SYSDATE, 'MON-YYYY')) AND CHILD_ITEM not like 'N%' 
GROUP BY ORG_NAME;</t>
  </si>
  <si>
    <t>order_type_text</t>
  </si>
  <si>
    <t>Display total allocation from safety stock.</t>
  </si>
  <si>
    <t>View product group for product_model {product_model} and order_type {order_type}.</t>
  </si>
  <si>
    <t>What is the product group for /product_model {product_model} and /order_type {order_type}?</t>
  </si>
  <si>
    <t>product group for product model and order type</t>
  </si>
  <si>
    <t>SELECT PRODUCT_MODEL,
       ORDER_TYPE,
       PRODUCT_GROUP
FROM KPCL_REPORTING.OA_GROUPING_FULLKIT_WISE
WHERE PRODUCT_MODEL LIKE '%{product_model}%'
  AND ORDER_TYPE LIKE '%{order_type}%';</t>
  </si>
  <si>
    <t>SELECT ORG_NAME, 
    SUM(ALLOCATED_QTY_SS) AS TOTAL_ALLOCATION_FROM_SAFETY_STOCK
FROM  KPCL_REPORTING.FULLKIT_ITEMWISE_INV
WHERE REQ_QTY_MONTH = UPPER(TO_CHAR(SYSDATE, 'MON-YYYY')) AND CHILD_ITEM not like 'N%' 
GROUP BY ORG_NAME;</t>
  </si>
  <si>
    <t>product_model, order_type</t>
  </si>
  <si>
    <t>Display all components for customer {customer}.</t>
  </si>
  <si>
    <t>Show all components for /customer {customer}</t>
  </si>
  <si>
    <t>all components for customer</t>
  </si>
  <si>
    <t>Show total allocation against MOQ/ minimum order quantity.</t>
  </si>
  <si>
    <t>Show total allocation against MOQ/ minimun order quantity.</t>
  </si>
  <si>
    <t>SELECT
    OA_NUMBER,
    PARENT_ITEM,
    CHILD_ITEM,
    CHILD_DESCRIPTION,
    NVL(COMPONENT_QTY, 0) AS REQUIRED_QTY,
    NVL(STOCK_GENERAL_STORE, 0) AS ON_HAND_STOCK,
    NVL(SHORT_QTY, 0) AS SHORT_QTY,
    BUYER_NAME,
    SUPPLIER_NAME
FROM 
    KPCL_REPORTING.KPC_FULL_KIT_BOM_EXPLODE
WHERE 
    CUSTOMER_NAME LIKE '%{customer}%'
ORDER BY 
    OA_NUMBER, 
    PARENT_ITEM, 
    CHILD_ITEM;</t>
  </si>
  <si>
    <t>SELECT ORG_NAME,
    SUM(ALLOCATED_QTY_MOQ) AS TOTAL_ALLOCATION_AGAINST_MOQ
FROM  KPCL_REPORTING.FULLKIT_ITEMWISE_INV 
WHERE REQ_QTY_MONTH = UPPER(TO_CHAR(SYSDATE, 'MON-YYYY')) AND CHILD_ITEM not like 'N%' 
GROUP BY ORG_NAME;</t>
  </si>
  <si>
    <t>Show customer name for product_model {product_model} and buyer {buyer}.</t>
  </si>
  <si>
    <t>What is the customer name for /product_model {product_model} and /buyer {buyer}?</t>
  </si>
  <si>
    <t xml:space="preserve">customer for product model and buyer </t>
  </si>
  <si>
    <t>SELECT PRODUCT_MODEL,
       BUYER_NAME,
       CUSTOMER_NAME
FROM KPCL_REPORTING.OA_GROUPING_FULLKIT_WISE
WHERE PRODUCT_MODEL LIKE '%{product_model}%'
  AND BUYER_NAME LIKE '%{buyer}%';</t>
  </si>
  <si>
    <t>product_model, buyer</t>
  </si>
  <si>
    <t>Display average procurement lead time.</t>
  </si>
  <si>
    <t>View category wise item name.</t>
  </si>
  <si>
    <t>Display category wise item name.</t>
  </si>
  <si>
    <t>SELECT ORG_NAME,
    AVG(LEAD_TIME) AS AVG_PROCUREMENT_LEAD_TIME
FROM  KPCL_REPORTING.FULLKIT_ITEMWISE_INV
WHERE REQ_QTY_MONTH = UPPER(TO_CHAR(SYSDATE, 'MON-YYYY')) AND CHILD_ITEM not like 'N%' 
GROUP BY ORG_NAME;</t>
  </si>
  <si>
    <t>category wise item name.</t>
  </si>
  <si>
    <t>Show product model for full_kit {full_kit} and buyer {buyer}.</t>
  </si>
  <si>
    <t>SELECT
    CATEGORY_NAME,
    COUNT(DISTINCT CHILD_ITEM) AS ITEM_COUNT
FROM KPCL_REPORTING.KPC_FULL_KIT_BOM_EXPLODE
GROUP BY CATEGORY_NAME
ORDER BY ITEM_COUNT DESC;</t>
  </si>
  <si>
    <t>What is the product model for /full_kit {full_kit} and /buyer {buyer}?</t>
  </si>
  <si>
    <t>product model for full kit and buyer</t>
  </si>
  <si>
    <t>SELECT FULL_KIT_NAME,
       BUYER_NAME,
       PRODUCT_MODEL
FROM KPCL_REPORTING.OA_GROUPING_FULLKIT_WISE
WHERE FULL_KIT_NAME LIKE '%{full_kit}%'
  AND BUYER_NAME LIKE '%{buyer}%';</t>
  </si>
  <si>
    <t>full_kit, buyer</t>
  </si>
  <si>
    <t>Show average item cost.</t>
  </si>
  <si>
    <t>Show item type for product_group {product_group} and buyer {buyer}.</t>
  </si>
  <si>
    <t>SELECT ORG_NAME, 
    AVG(ITEM_COST) AS AVG_ITEM_COST
FROM  KPCL_REPORTING.FULLKIT_ITEMWISE_INV
WHERE REQ_QTY_MONTH = UPPER(TO_CHAR(SYSDATE, 'MON-YYYY')) AND CHILD_ITEM not like 'N%' 
GROUP BY ORG_NAME;</t>
  </si>
  <si>
    <t>What is the item type for /product_group {product_group} and /buyer {buyer}?</t>
  </si>
  <si>
    <t xml:space="preserve">item type for product group and buyer </t>
  </si>
  <si>
    <t>Show items with pending inspection stock greater than quantity {quantity}.</t>
  </si>
  <si>
    <t>SELECT PRODUCT_GROUP,
       BUYER_NAME,
       ITEM_TYPE
FROM KPCL_REPORTING.OA_GROUPING_FULLKIT_WISE
WHERE PRODUCT_GROUP LIKE '%{product_group}%'
  AND BUYER_NAME LIKE '%{buyer}%';</t>
  </si>
  <si>
    <t>Find items with pending inspection stock greater than /quantity {quantity}.</t>
  </si>
  <si>
    <t>product_group, buyer</t>
  </si>
  <si>
    <t>items with pending inspection stock greater than quantity</t>
  </si>
  <si>
    <t>SELECT
    CHILD_ITEM,
    CHILD_DESCRIPTION,
    STOCK_PENDING_INSP,
    BUYER_NAME,
    SUPPLIER_NAME
FROM KPCL_REPORTING.KPC_FULL_KIT_BOM_EXPLODE
WHERE NVL(STOCK_PENDING_INSP, 0) &gt; {quantity}
ORDER BY STOCK_PENDING_INSP DESC;</t>
  </si>
  <si>
    <t>Display minimum and maximum Min-Max quantities.</t>
  </si>
  <si>
    <t>Show organisation name for product_model {product_model} and product_group {product_group}.</t>
  </si>
  <si>
    <t>What is the organisation name for /product_model {product_model} and /product_group {product_group}?</t>
  </si>
  <si>
    <t xml:space="preserve">organisation name for product model and product group </t>
  </si>
  <si>
    <t>SELECT PRODUCT_MODEL,
       PRODUCT_GROUP
FROM KPCL_REPORTING.OA_GROUPING_FULLKIT_WISE
WHERE PRODUCT_MODEL LIKE '%{product_model}%'
  AND PRODUCT_GROUP LIKE '%{product_group}%';</t>
  </si>
  <si>
    <t>product_model, product_group</t>
  </si>
  <si>
    <t>SELECT ORG_NAME,
    CHILD_ITEM,
    CHILD_DESCRIPTION,
    MIN(MIN_MINMAX_QTY) AS MIN_MINMAX_QTY,
    MAX(MAX_MINMAX_QTY) AS MAX_MINMAX_QTY
FROM  KPCL_REPORTING.FULLKIT_ITEMWISE_INV
WHERE REQ_QTY_MONTH = UPPER(TO_CHAR(SYSDATE, 'MON-YYYY')) AND CHILD_ITEM not like 'N%' 
GROUP BY CHILD_ITEM, CHILD_DESCRIPTION, ORG_NAME;</t>
  </si>
  <si>
    <t>View components with high procurement quantities.</t>
  </si>
  <si>
    <t>Show order type for buyer {buyer} and item_type {item_type}.</t>
  </si>
  <si>
    <t>Show components with high procurement quantities.</t>
  </si>
  <si>
    <t>What is the order type for /buyer {buyer} and /item_type {item_type}?</t>
  </si>
  <si>
    <t>components with high procurement quantities</t>
  </si>
  <si>
    <t xml:space="preserve">order type for buyer and item type </t>
  </si>
  <si>
    <t>SELECT BUYER_NAME,
       ITEM_TYPE,
       ORDER_TYPE
FROM KPCL_REPORTING.OA_GROUPING_FULLKIT_WISE
WHERE BUYER_NAME LIKE '%{buyer}%'
  AND ITEM_TYPE LIKE '%{item_type}%';</t>
  </si>
  <si>
    <t>SELECT
    CHILD_ITEM,
    CHILD_DESCRIPTION,
    APP_PO_QTY,
    PENDING_PO,
    BUYER_NAME,
    SUPPLIER_NAME
FROM KPCL_REPORTING.KPC_FULL_KIT_BOM_EXPLODE
WHERE NVL(APP_PO_QTY, 0) &gt; 0
ORDER BY APP_PO_QTY DESC;</t>
  </si>
  <si>
    <t>buyer, item_type</t>
  </si>
  <si>
    <t>Show minimum and maximum order quantities.</t>
  </si>
  <si>
    <t>SELECT ORG_NAME,
    CHILD_ITEM,
    CHILD_DESCRIPTION,
    MIN(MINIMUM_ORDER_QTY) AS MINIMUM_ORDER_QTY,
    MAX(MAXIMUM_ORDER_QTY) AS MAXIMUM_ORDER_QTY
FROM  KPCL_REPORTING.FULLKIT_ITEMWISE_INV
WHERE REQ_QTY_MONTH = UPPER(TO_CHAR(SYSDATE, 'MON-YYYY')) AND CHILD_ITEM not like 'N%' 
GROUP BY CHILD_ITEM, CHILD_DESCRIPTION, ORG_NAME;</t>
  </si>
  <si>
    <t>View order type for customer {customer}, product_model {product_model} and buyer {buyer}.</t>
  </si>
  <si>
    <t>What is the order type for /customer {customer}, /product_model {product_model} and /buyer {buyer}?</t>
  </si>
  <si>
    <t>Display item wise standard rates.</t>
  </si>
  <si>
    <t xml:space="preserve">order type for customer, product model and buyer </t>
  </si>
  <si>
    <t>item wise standard rates</t>
  </si>
  <si>
    <t>SELECT CUSTOMER_NAME,
       PRODUCT_MODEL,
       BUYER_NAME,
       ORDER_TYPE
FROM KPCL_REPORTING.OA_GROUPING_FULLKIT_WISE
WHERE CUSTOMER_NAME LIKE '%{customer}%'
  AND PRODUCT_MODEL LIKE '%{product_model}%'
  AND BUYER_NAME LIKE '%{buyer}%';</t>
  </si>
  <si>
    <t>customer, product_model, buyer</t>
  </si>
  <si>
    <t>SELECT
    CHILD_ITEM,
    CHILD_DESCRIPTION,
    ITEM_STD_RATE,
    UOM,
    BUYER_NAME
FROM KPCL_REPORTING.KPC_FULL_KIT_BOM_EXPLODE
WHERE NVL(ITEM_STD_RATE, 0) &gt; 0
ORDER BY ITEM_STD_RATE DESC;</t>
  </si>
  <si>
    <t>Display all fixed order quantity items.</t>
  </si>
  <si>
    <t>SELECT 
    CHILD_ITEM,
    CHILD_DESCRIPTION,
    FIXED_ORDER_QTY
FROM  KPCL_REPORTING.FULLKIT_ITEMWISE_INV
WHERE FIXED_ORDER_QTY IS NOT NULL  AND REQ_QTY_MONTH = UPPER(TO_CHAR(SYSDATE, 'MON-YYYY')) AND CHILD_ITEM not like 'N%' 
AND FIXED_ORDER_QTY &gt; '0';</t>
  </si>
  <si>
    <t>Show  product group for parent_item {parent_item), product_model {product_model} and item_type {item_type}.</t>
  </si>
  <si>
    <t>What is the product group for /parent_item {parent_item), /product_model {product_model} and /item_type {item_type}?</t>
  </si>
  <si>
    <t>View full kits with shortages.</t>
  </si>
  <si>
    <t xml:space="preserve">product group for parent item, product model and item type </t>
  </si>
  <si>
    <t>Find full kits with shortages.</t>
  </si>
  <si>
    <t>full kits with shortages</t>
  </si>
  <si>
    <t>SELECT SBM_NUMBER,
       PRODUCT_MODEL,
       ITEM_TYPE,
       PRODUCT_GROUP
FROM KPCL_REPORTING.OA_GROUPING_FULLKIT_WISE
WHERE SBM_NUMBER LIKE '%{parent_item}%'
  AND PRODUCT_MODEL LIKE '%{product_model}%'
  AND ITEM_TYPE LIKE '%{item_type}%';</t>
  </si>
  <si>
    <t>Show inventory grouped by item type.</t>
  </si>
  <si>
    <t>parent_item, product_model, item_type</t>
  </si>
  <si>
    <t>SELECT DISTINCT
    FULL_KIT_NAME,
    OA_NUMBER,
    CHILD_ITEM,
    CHILD_DESCRIPTION,
    SHORT_QTY,
    BUYER_NAME
FROM KPCL_REPORTING.KPC_FULL_KIT_BOM_EXPLODE
WHERE NVL(SHORT_QTY, 0) &gt; 0
  AND FULL_KIT_NAME IS NOT NULL
  AND (FULL_KIT_NAME) &lt;&gt; 'NA'
ORDER BY FULL_KIT_NAME, SHORT_QTY DESC;</t>
  </si>
  <si>
    <t>SELECT ORG_NAME,
    CHILD_ITEM_TYPE,
    COUNT(CHILD_ITEM) AS TOTAL_ITEMS,
    SUM(TODAYS_STOCKS_ITEM_COUNT) AS TOTAL_STOCK_QTY,
    SUM(TODAYS_STOCK_VALUE) AS TOTAL_STOCK_VALUE
FROM  KPCL_REPORTING.FULLKIT_ITEMWISE_INV
WHERE REQ_QTY_MONTH = UPPER(TO_CHAR(SYSDATE, 'MON-YYYY')) AND CHILD_ITEM not like 'N%' 
GROUP BY CHILD_ITEM_TYPE, ORG_NAME;</t>
  </si>
  <si>
    <t>Show customer name for parent_item {parent_item), product_model {product_model} and buyer {buyer}.</t>
  </si>
  <si>
    <t>Display inventory grouped by product group and model.</t>
  </si>
  <si>
    <t>What is the customer name for /parent_item {parent_item), /product_model {product_model} and /buyer {buyer}?</t>
  </si>
  <si>
    <t>View components with no WIP allocation.</t>
  </si>
  <si>
    <t xml:space="preserve">customer for parent item, product model and buyer </t>
  </si>
  <si>
    <t>Show components with no WIP allocation.</t>
  </si>
  <si>
    <t>components with no WIP allocation</t>
  </si>
  <si>
    <t>SELECT 
    PRODUCT_GROUP,
    MODEL,
    COUNT(CHILD_ITEM) AS TOTAL_ITEMS,
    SUM(TODAYS_STOCKS_ITEM_COUNT) AS TOTAL_STOCK_QTY,
    SUM(TODAYS_STOCK_VALUE) AS TOTAL_STOCK_VALUE
FROM  KPCL_REPORTING.FULLKIT_ITEMWISE_INV
WHERE REQ_QTY_MONTH = UPPER(TO_CHAR(SYSDATE, 'MON-YYYY')) AND CHILD_ITEM not like 'N%' 
GROUP BY PRODUCT_GROUP, MODEL;</t>
  </si>
  <si>
    <t>SELECT DISTINCT
    CHILD_ITEM,
    CHILD_DESCRIPTION,
    ALLOCATED_FRM_WIP,
    WIP_STOCK,
    BUYER_NAME,
    SUPPLIER_NAME
FROM KPCL_REPORTING.KPC_FULL_KIT_BOM_EXPLODE
WHERE NVL(ALLOCATED_FRM_WIP, 0) = 0
ORDER BY CHILD_ITEM;</t>
  </si>
  <si>
    <t>SELECT SBM_NUMBER,
       PRODUCT_MODEL,
       BUYER_NAME,
       CUSTOMER_NAME
FROM KPCL_REPORTING.OA_GROUPING_FULLKIT_WISE
WHERE SBM_NUMBER LIKE '%{parent_item}%'
  AND PRODUCT_MODEL LIKE '%{product_model}%'
  AND BUYER_NAME LIKE '%{buyer}%';</t>
  </si>
  <si>
    <t>parent_item, product_model, buyer</t>
  </si>
  <si>
    <t>Show stock available in Finished Component inventory.</t>
  </si>
  <si>
    <t>SELECT ORG_NAME,
    CHILD_ITEM,
    CHILD_DESCRIPTION,
    STOCK_QTY_FC
FROM  KPCL_REPORTING.FULLKIT_ITEMWISE_INV
WHERE REQ_QTY_MONTH = UPPER(TO_CHAR(SYSDATE, 'MON-YYYY')) AND CHILD_ITEM not like 'N%' 
GROUP BY ORG_NAME,   
     CHILD_ITEM,
    CHILD_DESCRIPTION,
    STOCK_QTY_FC;</t>
  </si>
  <si>
    <t>Display OA / Order number having promise date after need by date.</t>
  </si>
  <si>
    <t>Show product model for full_kit {full_kit}, customer {customer} and buyer {buyer}.</t>
  </si>
  <si>
    <t>What is the product model for /full_kit {full_kit}, /customer {customer} and /buyer {buyer}?</t>
  </si>
  <si>
    <t>OA / Order number having promise date after need by date</t>
  </si>
  <si>
    <t xml:space="preserve">product model for full kit, customer and buyer </t>
  </si>
  <si>
    <t>SELECT 
    OA_NUMBER,
    CUSTOMER_NAME,
    OA_PROMISE_DATE,
    OA_NEED_BY_DATE
FROM KPCL_REPORTING.KPC_FULL_KIT_BOM_EXPLODE
WHERE OA_PROMISE_DATE &gt; OA_NEED_BY_DATE;</t>
  </si>
  <si>
    <t>SELECT FULL_KIT_NAME,
       CUSTOMER_NAME,
       BUYER_NAME,
       PRODUCT_MODEL
FROM KPCL_REPORTING.OA_GROUPING_FULLKIT_WISE
WHERE FULL_KIT_NAME LIKE '%{full_kit}%'
  AND CUSTOMER_NAME LIKE '%{customer}%'
  AND BUYER_NAME LIKE '%{buyer}%';</t>
  </si>
  <si>
    <t>full_kit, customer, buyer</t>
  </si>
  <si>
    <t>Display stock available in Finished Goods inventory.</t>
  </si>
  <si>
    <t>View order type for customer {customer}, product_group {product_group} and buyer {buyer}.</t>
  </si>
  <si>
    <t>What is the order type for /customer {customer}, /product_group {product_group} and /buyer {buyer}?</t>
  </si>
  <si>
    <t>order type for customer, product group and buyer</t>
  </si>
  <si>
    <t>View child_item_type {child_item_type}.</t>
  </si>
  <si>
    <t>Find /child_item_type {child_item_type}.</t>
  </si>
  <si>
    <t>SELECT CUSTOMER_NAME,
       PRODUCT_GROUP,
       BUYER_NAME,
       ORDER_TYPE
FROM KPCL_REPORTING.OA_GROUPING_FULLKIT_WISE
WHERE CUSTOMER_NAME LIKE '%{customer}%'
  AND PRODUCT_GROUP LIKE '%{product_group}%'
  AND BUYER_NAME LIKE '%{buyer}%';</t>
  </si>
  <si>
    <t>child item type</t>
  </si>
  <si>
    <t>customer, product_group, buyer</t>
  </si>
  <si>
    <t>SELECT 
    CHILD_ITEM_ID,
    CHILD_ITEM,
    CHILD_DESCRIPTION,
    CHILD_ITEM_TYPE
FROM KPCL_REPORTING.KPC_FULL_KIT_BOM_EXPLODE
WHERE CHILD_ITEM_TYPE LIKE '%{child_item_type}%';</t>
  </si>
  <si>
    <t>child_item_type</t>
  </si>
  <si>
    <t>SELECT ORG_NAME,
    CHILD_ITEM,
    CHILD_DESCRIPTION,
    STOCK_QTY_FG
FROM  KPCL_REPORTING.FULLKIT_ITEMWISE_INV
WHERE REQ_QTY_MONTH = UPPER(TO_CHAR(SYSDATE, 'MON-YYYY')) AND CHILD_ITEM not like 'N%' 
GROUP BY ORG_NAME,CHILD_ITEM,
    CHILD_DESCRIPTION,
    STOCK_QTY_FG;</t>
  </si>
  <si>
    <t>Show organisation name for customer {customer}, product_group {product_group} and product_model {product_model}.</t>
  </si>
  <si>
    <t>Show stock available in Assembly inventory.</t>
  </si>
  <si>
    <t>What is the organisation name for /customer {customer}, /product_group {product_group} and /product_model {product_model}?</t>
  </si>
  <si>
    <t xml:space="preserve">organisation name for customer, product group and product model </t>
  </si>
  <si>
    <t>SELECT CUSTOMER_NAME,
       PRODUCT_GROUP,
       PRODUCT_MODEL
FROM KPCL_REPORTING.OA_GROUPING_FULLKIT_WISE
WHERE CUSTOMER_NAME LIKE '%{customer}%'
  AND PRODUCT_GROUP LIKE '%{product_group}%'
  AND PRODUCT_MODEL LIKE '%{product_model}%';</t>
  </si>
  <si>
    <t>customer, product_group, product_model</t>
  </si>
  <si>
    <t>Show items with no supplier contact information.</t>
  </si>
  <si>
    <t>SELECT ORG_NAME,
    CHILD_ITEM,
    CHILD_DESCRIPTION,
    STOCK_QTY_ASM
FROM  KPCL_REPORTING.FULLKIT_ITEMWISE_INV
WHERE REQ_QTY_MONTH = UPPER(TO_CHAR(SYSDATE, 'MON-YYYY')) AND CHILD_ITEM not like 'N%' 
GROUP BY ORG_NAME, CHILD_ITEM,
    CHILD_DESCRIPTION,
    STOCK_QTY_ASM;</t>
  </si>
  <si>
    <t>Find items with no supplier contact information.</t>
  </si>
  <si>
    <t>items with no supplier contact information</t>
  </si>
  <si>
    <t>SELECT 
    CHILD_ITEM_ID,
    CHILD_ITEM,
    CHILD_DESCRIPTION,
    SUPPLIER_NAME,
    SUPPLIER_CONTACT
FROM KPCL_REPORTING.KPC_FULL_KIT_BOM_EXPLODE
WHERE SUPPLIER_CONTACT IS NULL 
   OR TRIM(SUPPLIER_CONTACT) IS NULL
   OR TRIM(SUPPLIER_CONTACT) = '';</t>
  </si>
  <si>
    <t>Display stock available in Machine Shop inventory.</t>
  </si>
  <si>
    <t>Show buyer for parent_item {parent_item), item_type {item_type} and product_model {product_model}.</t>
  </si>
  <si>
    <t>What is the buyer for /parent_item {parent_item), /item_type {item_type} and /product_model {product_model}?</t>
  </si>
  <si>
    <t>Show buyer for parent item, item type and product model</t>
  </si>
  <si>
    <t>SELECT SBM_NUMBER,
       ITEM_TYPE,
       PRODUCT_MODEL,
       BUYER_NAME
FROM KPCL_REPORTING.OA_GROUPING_FULLKIT_WISE
WHERE SBM_NUMBER LIKE '%{parent_item}%'
  AND ITEM_TYPE LIKE '%{item_type}%'
  AND PRODUCT_MODEL LIKE '%{product_model}%';</t>
  </si>
  <si>
    <t>parent_item, item_type, product_model</t>
  </si>
  <si>
    <t>SELECT ORG_NAME,
    CHILD_ITEM,
    CHILD_DESCRIPTION,
    STOCK_QTY_MS
FROM  KPCL_REPORTING.FULLKIT_ITEMWISE_INV
WHERE REQ_QTY_MONTH = UPPER(TO_CHAR(SYSDATE, 'MON-YYYY')) AND CHILD_ITEM not like 'N%' 
GROUP BY ORG_NAME, CHILD_ITEM,
    CHILD_DESCRIPTION,
    STOCK_QTY_MS;</t>
  </si>
  <si>
    <t>View top buyers by shortage quantity.</t>
  </si>
  <si>
    <t>Show top buyers by shortage quantity.</t>
  </si>
  <si>
    <t>top buyers by shortage quantity</t>
  </si>
  <si>
    <t>Show customer name for buyer {buyer}, order_type {order_type} and product_model {product_model}.</t>
  </si>
  <si>
    <t>SELECT 
    BUYER_NAME,
    SUM(NVL(SHORT_QTY, 0)) AS TOTAL_SHORT_QTY
FROM KPCL_REPORTING.KPC_FULL_KIT_BOM_EXPLODE
GROUP BY BUYER_NAME
ORDER BY TOTAL_SHORT_QTY DESC;</t>
  </si>
  <si>
    <t>Show stock available in General Store inventory.</t>
  </si>
  <si>
    <t>What is the customer name for /buyer {buyer}, /order_type {order_type} and /product_model {product_model}?</t>
  </si>
  <si>
    <t xml:space="preserve">customer for buyer, order type and product model </t>
  </si>
  <si>
    <t>SELECT BUYER_NAME,
       ORDER_TYPE,
       PRODUCT_MODEL,
       CUSTOMER_NAME
FROM KPCL_REPORTING.OA_GROUPING_FULLKIT_WISE
WHERE BUYER_NAME LIKE '%{buyer}%'
  AND ORDER_TYPE LIKE '%{order_type}%'
  AND PRODUCT_MODEL LIKE '%{product_model}%';</t>
  </si>
  <si>
    <t>buyer, order_type, product_model</t>
  </si>
  <si>
    <t>SELECT ORG_NAME,
    CHILD_ITEM,
    CHILD_DESCRIPTION,
    STOCK_GENERAL_STORE
FROM  KPCL_REPORTING.FULLKIT_ITEMWISE_INV
WHERE REQ_QTY_MONTH = UPPER(TO_CHAR(SYSDATE, 'MON-YYYY')) AND CHILD_ITEM not like 'N%' 
GROUP BY ORG_NAME, CHILD_ITEM,
    CHILD_DESCRIPTION,
    STOCK_GENERAL_STORE;</t>
  </si>
  <si>
    <t>Display stock available in Rejection Store inventory.</t>
  </si>
  <si>
    <t>Show suppliers with maximum pending ASN quantity.</t>
  </si>
  <si>
    <t>Show full kit for buyer {buyer}, customer {customer} and product_model {product_model}.</t>
  </si>
  <si>
    <t>Display suppliers with maximum pending ASN quantity.</t>
  </si>
  <si>
    <t>What is the full kit for /buyer {buyer}, /customer {customer} and /product_model {product_model}?</t>
  </si>
  <si>
    <t>SELECT ORG_NAME,
    CHILD_ITEM,
    CHILD_DESCRIPTION,
    STOCK_REJ_SUB_INV
FROM  KPCL_REPORTING.FULLKIT_ITEMWISE_INV
WHERE REQ_QTY_MONTH = UPPER(TO_CHAR(SYSDATE, 'MON-YYYY')) AND CHILD_ITEM not like 'N%' 
GROUP BY ORG_NAME,  CHILD_ITEM,
    CHILD_DESCRIPTION,
    STOCK_REJ_SUB_INV;</t>
  </si>
  <si>
    <t>suppliers with maximum pending ASN quantity</t>
  </si>
  <si>
    <t xml:space="preserve">full kit for buyer, customer and product model </t>
  </si>
  <si>
    <t>SELECT 
    SUPPLIER_NAME,
    SUM(NVL(PENDING_ASN, 0)) AS TOTAL_PENDING_ASN_QTY
FROM KPCL_REPORTING.KPC_FULL_KIT_BOM_EXPLODE
GROUP BY SUPPLIER_NAME
ORDER BY TOTAL_PENDING_ASN_QTY DESC;</t>
  </si>
  <si>
    <t>SELECT BUYER_NAME,
       CUSTOMER_NAME,
       PRODUCT_MODEL,
       FULL_KIT_NAME
FROM KPCL_REPORTING.OA_GROUPING_FULLKIT_WISE
WHERE BUYER_NAME LIKE '%{buyer}%'
  AND CUSTOMER_NAME LIKE '%{customer}%'
  AND PRODUCT_MODEL LIKE '%{product_model}%';</t>
  </si>
  <si>
    <t>buyer, customer, product_model</t>
  </si>
  <si>
    <t>Show stock available in OSP inventory.</t>
  </si>
  <si>
    <t>SELECT ORG_NAME,
    CHILD_ITEM,
    CHILD_DESCRIPTION,
    OSP
FROM  KPCL_REPORTING.FULLKIT_ITEMWISE_INV
WHERE REQ_QTY_MONTH = UPPER(TO_CHAR(SYSDATE, 'MON-YYYY')) AND CHILD_ITEM not like 'N%' 
GROUP BY ORG_NAME, CHILD_ITEM,
    CHILD_DESCRIPTION, OSP ;</t>
  </si>
  <si>
    <t>View organisation name for product_group {product_group}, customer {customer} and buyer {buyer}.</t>
  </si>
  <si>
    <t>What is the organisation name for /product_group {product_group}, /customer {customer} and /buyer {buyer}?</t>
  </si>
  <si>
    <t xml:space="preserve">organisation name for product group, customer and buyer </t>
  </si>
  <si>
    <t>Display item wise procurement lead time.</t>
  </si>
  <si>
    <t>SELECT PRODUCT_GROUP,
       CUSTOMER_NAME,
       BUYER_NAME
FROM KPCL_REPORTING.OA_GROUPING_FULLKIT_WISE
WHERE PRODUCT_GROUP LIKE '%{product_group}%'
  AND CUSTOMER_NAME LIKE '%{customer}%'
  AND BUYER_NAME LIKE '%{buyer}%';</t>
  </si>
  <si>
    <t>product_group, customer</t>
  </si>
  <si>
    <t>item wise procurement lead time</t>
  </si>
  <si>
    <t>SELECT ORG_NAME,
    CHILD_ITEM,
    CHILD_DESCRIPTION,
    LEAD_TIME
FROM  KPCL_REPORTING.FULLKIT_ITEMWISE_INV
WHERE REQ_QTY_MONTH = UPPER(TO_CHAR(SYSDATE, 'MON-YYYY')) AND CHILD_ITEM not like 'N%' 
GROUP BY ORG_NAME,
    CHILD_ITEM,
    CHILD_DESCRIPTION,
    LEAD_TIME;</t>
  </si>
  <si>
    <t>Show items with highest extended item cost.</t>
  </si>
  <si>
    <t>Find items with highest extended item cost.</t>
  </si>
  <si>
    <t>items with highest extended item cost</t>
  </si>
  <si>
    <t>Show item wise MRP demand.</t>
  </si>
  <si>
    <t>SELECT DISTINCT
    CHILD_ITEM_ID,
    CHILD_ITEM,
    CHILD_DESCRIPTION,
    EXT_ITEM_COST
FROM KPCL_REPORTING.KPC_FULL_KIT_BOM_EXPLODE
ORDER BY NVL(EXT_ITEM_COST, 0) DESC;</t>
  </si>
  <si>
    <t>item wise MRP demand</t>
  </si>
  <si>
    <t>SELECT ORG_NAME,
    CHILD_ITEM,
    CHILD_DESCRIPTION,
    REQ_QTY
FROM  KPCL_REPORTING.FULLKIT_ITEMWISE_INV
WHERE REQ_QTY_MONTH = UPPER(TO_CHAR(SYSDATE, 'MON-YYYY')) AND CHILD_ITEM not like 'N%' 
GROUP BY ORG_NAME, CHILD_ITEM,
    CHILD_DESCRIPTION,
    REQ_QTY;</t>
  </si>
  <si>
    <t>Show need by date for full_kit {full_kit} and sub_full_kit {sub_full_kit}.</t>
  </si>
  <si>
    <t>What is the need by date for /full_kit {full_kit} and /sub_full_kit {sub_full_kit}?</t>
  </si>
  <si>
    <t xml:space="preserve">need by date for full kit and sub full kit </t>
  </si>
  <si>
    <t>SELECT FULL_KIT_NAME,
       SUB_FULL_KIT,
       NEED_BY_DATE
FROM KPCL_REPORTING.OA_GROUPING_FULLKIT_WISE
WHERE FULL_KIT_NAME LIKE '%{full_kit}%'
  AND SUB_FULL_KIT LIKE '%{sub_full_kit}%';</t>
  </si>
  <si>
    <t>Display item wise safety stock.</t>
  </si>
  <si>
    <t>full_kit, sub_full_kit</t>
  </si>
  <si>
    <t>item wise safety stock</t>
  </si>
  <si>
    <t>View components with highest required quantity.</t>
  </si>
  <si>
    <t>SELECT ORG_NAME,
    CHILD_ITEM,
    CHILD_DESCRIPTION,
    SAFETY_STOCK
FROM  KPCL_REPORTING.FULLKIT_ITEMWISE_INV
WHERE REQ_QTY_MONTH = UPPER(TO_CHAR(SYSDATE, 'MON-YYYY')) AND CHILD_ITEM not like 'N%' 
GROUP BY ORG_NAME, CHILD_ITEM,
    CHILD_DESCRIPTION,
    SAFETY_STOCK;</t>
  </si>
  <si>
    <t>Show components with highest required quantity.</t>
  </si>
  <si>
    <t>components with highest required quantity</t>
  </si>
  <si>
    <t>SELECT 
    CHILD_ITEM_ID,
    CHILD_ITEM,
    CHILD_DESCRIPTION,
    REQUIRED_QTY
FROM KPCL_REPORTING.KPC_FULL_KIT_BOM_EXPLODE
ORDER BY NVL(REQUIRED_QTY, 0) DESC;</t>
  </si>
  <si>
    <t>Show availability for full_kit {full_kit} and sub_full_kit {sub_full_kit}.</t>
  </si>
  <si>
    <t>What is the availability for /full_kit {full_kit} and /sub_full_kit {sub_full_kit}?</t>
  </si>
  <si>
    <t>availability for full kit and sub full kit</t>
  </si>
  <si>
    <t>SELECT FULL_KIT_NAME,
       SUB_FULL_KIT,
       AVAILABILITY
FROM KPCL_REPORTING.OA_GROUPING_FULLKIT_WISE
WHERE FULL_KIT_NAME LIKE '%{full_kit}%'
  AND SUB_FULL_KIT LIKE '%{sub_full_kit}%';</t>
  </si>
  <si>
    <t>Show item wise remaining quantity.</t>
  </si>
  <si>
    <t>item wise remaining quantity</t>
  </si>
  <si>
    <t>SELECT ORG_NAME,
    CHILD_ITEM,
    CHILD_DESCRIPTION,
    REMAINING_QTY
FROM  KPCL_REPORTING.FULLKIT_ITEMWISE_INV
WHERE REQ_QTY_MONTH = UPPER(TO_CHAR(SYSDATE, 'MON-YYYY')) AND CHILD_ITEM not like 'N%' 
GROUP BY ORG_NAME, CHILD_ITEM,
    CHILD_DESCRIPTION,
    REMAINING_QTY;</t>
  </si>
  <si>
    <t>Show full kit wise shortage quantities.</t>
  </si>
  <si>
    <t>Display item wise standard cost.</t>
  </si>
  <si>
    <t>Show  color for full_kit {full_kit} and  sub_full_kit {sub_full_kit}.</t>
  </si>
  <si>
    <t>Display full kit wise shortage quantities.</t>
  </si>
  <si>
    <t>What is the color for /full_kit {full_kit} and /sub_full_kit {sub_full_kit}?</t>
  </si>
  <si>
    <t>full kit wise shortage quantities</t>
  </si>
  <si>
    <t>item wise standard cost</t>
  </si>
  <si>
    <t xml:space="preserve">color for full kit and sub full kit </t>
  </si>
  <si>
    <t>SELECT 
    FULL_KIT_NAME,
    SUM(NVL(SHORT_QTY, 0)) AS TOTAL_SHORT_QTY
FROM KPCL_REPORTING.KPC_FULL_KIT_BOM_EXPLODE
GROUP BY FULL_KIT_NAME
ORDER BY TOTAL_SHORT_QTY DESC;</t>
  </si>
  <si>
    <t>SELECT  ORG_NAME,
    CHILD_ITEM,
    CHILD_DESCRIPTION,
    ITEM_COST
FROM  KPCL_REPORTING.FULLKIT_ITEMWISE_INV
WHERE REQ_QTY_MONTH = UPPER(TO_CHAR(SYSDATE, 'MON-YYYY')) AND CHILD_ITEM not like 'N%' 
GROUP BY ORG_NAME,
    CHILD_ITEM,
    CHILD_DESCRIPTION,
    ITEM_COST ;</t>
  </si>
  <si>
    <t>SELECT FULL_KIT_NAME,
       SUB_FULL_KIT,
       COLOR
FROM KPCL_REPORTING.OA_GROUPING_FULLKIT_WISE
WHERE FULL_KIT_NAME LIKE '%{full_kit}%'
  AND SUB_FULL_KIT LIKE '%{sub_full_kit}%';</t>
  </si>
  <si>
    <t>Show items having fixed order quantity.</t>
  </si>
  <si>
    <t>List the orders and SBM numbers where the need-by date is exactly date {date}</t>
  </si>
  <si>
    <t>View OA / Order number allocated quantities from WIP.</t>
  </si>
  <si>
    <t>Whar are the orders and SBM numbers where the need-by date is exactly /date {date}?</t>
  </si>
  <si>
    <t>Find OA / Order number allocated quantities from WIP.</t>
  </si>
  <si>
    <t xml:space="preserve"> orders and SBM numbers where the need by date is exactly date </t>
  </si>
  <si>
    <t>OA / Order number allocated quantities from WIP</t>
  </si>
  <si>
    <t>SELECT DISTINCT
    OA_NUMBER,
    CUSTOMER_NAME,
    SBM_NUMBER,
    OA_NEED_BY_DATE,
    SCHEDULE_SHIP_DATE,
    OA_COLOUR
FROM KPCL_REPORTING.OA_GROUPING_FULLKIT_WISE
WHERE OA_NEED_BY_DATE IS NOT NULL
  AND TRUNC(OA_NEED_BY_DATE) = TO_DATE('{date}', 'DD-MM-YY')
ORDER BY OA_NEED_BY_DATE;</t>
  </si>
  <si>
    <t>SELECT 
    OA_NUMBER,
    SUM(NVL(ALLOCATED_FRM_WIP, 0)) AS TOTAL_WIP_ALLOCATED_QTY
FROM KPCL_REPORTING.KPC_FULL_KIT_BOM_EXPLODE
GROUP BY OA_NUMBER
ORDER BY TOTAL_WIP_ALLOCATED_QTY DESC;</t>
  </si>
  <si>
    <t>date</t>
  </si>
  <si>
    <t>Show items with no approved PO quantity.</t>
  </si>
  <si>
    <t>items with no approved PO quantity</t>
  </si>
  <si>
    <t>Display all orders and SBM numbers with a need-by date before date {date}.</t>
  </si>
  <si>
    <t>What are the all orders and SBM numbers with a need-by date before /date {date}?</t>
  </si>
  <si>
    <t>SELECT 
    CHILD_ITEM_ID,
    CHILD_ITEM,
    CHILD_DESCRIPTION,
    APP_PO_QTY
FROM KPCL_REPORTING.KPC_FULL_KIT_BOM_EXPLODE
WHERE NVL(APP_PO_QTY, 0) = 0;</t>
  </si>
  <si>
    <t xml:space="preserve">all orders and SBM numbers with a need by date before date </t>
  </si>
  <si>
    <t>SELECT ORG_NAME,
    CHILD_ITEM,
    CHILD_DESCRIPTION,
    FIXED_ORDER_QTY
FROM  KPCL_REPORTING.FULLKIT_ITEMWISE_INV
WHERE FIXED_ORDER_QTY IS NOT NULL 
  AND FIXED_ORDER_QTY &gt; 0
AND REQ_QTY_MONTH = UPPER(TO_CHAR(SYSDATE, 'MON-YYYY')) AND CHILD_ITEM not like 'N%' 
GROUP BY ORG_NAME, 
    CHILD_ITEM,
    CHILD_DESCRIPTION,
    FIXED_ORDER_QTY;</t>
  </si>
  <si>
    <t>SELECT DISTINCT
    OA_NUMBER,
    CUSTOMER_NAME,
    SBM_NUMBER,
    OA_NEED_BY_DATE,
    SCHEDULE_SHIP_DATE,
    OA_COLOUR
FROM KPCL_REPORTING.OA_GROUPING_FULLKIT_WISE
WHERE OA_NEED_BY_DATE IS NOT NULL
  AND OA_NEED_BY_DATE &lt; TO_DATE('{date}', 'DD-MM-YY')
ORDER BY OA_NEED_BY_DATE;</t>
  </si>
  <si>
    <t>Display inventory creation summary.</t>
  </si>
  <si>
    <t>Show all orders and SBM numbers with a need-by date in the year {year}.</t>
  </si>
  <si>
    <t>Show all orders and SBM numbers with a need-by date in the /year {year}.</t>
  </si>
  <si>
    <t>all orders and SBM numbers with a need by date in year</t>
  </si>
  <si>
    <t>SELECT  ORG_NAME,
    TRUNC(CREATION_DATE) AS CREATED_DATE,
    COUNT(DISTINCT CHILD_ITEM) AS TOTAL_ITEMS_CREATED,
    SUM(REQ_QTY) AS TOTAL_REQUIRED_QTY,
    SUM(TODAYS_STOCK_VALUE) AS TOTAL_STOCK_VALUE
FROM  KPCL_REPORTING.FULLKIT_ITEMWISE_INV
WHERE CREATION_DATE IS NOT NULL AND REQ_QTY_MONTH = UPPER(TO_CHAR(SYSDATE, 'MON-YYYY')) AND CHILD_ITEM not like 'N%' 
GROUP BY TRUNC(CREATION_DATE), ORG_NAME
ORDER BY CREATED_DATE DESC;</t>
  </si>
  <si>
    <t>SELECT DISTINCT
    OA_NUMBER,
    CUSTOMER_NAME,
    SBM_NUMBER,
    OA_NEED_BY_DATE,
    SCHEDULE_SHIP_DATE,
    OA_COLOUR
FROM KPCL_REPORTING.OA_GROUPING_FULLKIT_WISE
WHERE OA_NEED_BY_DATE IS NOT NULL
  AND TO_CHAR(OA_NEED_BY_DATE, 'YY') = SUBSTR('{year}', -2)
ORDER BY OA_NEED_BY_DATE;</t>
  </si>
  <si>
    <t>year</t>
  </si>
  <si>
    <t>Display all components under bom_level {bom_level}.</t>
  </si>
  <si>
    <t>Display all components under /bom_level {bom_level}.</t>
  </si>
  <si>
    <t>all components under bom level</t>
  </si>
  <si>
    <t>SELECT 
    PARENT_ITEM,
    PARENT_DESCRIPTION,
    CHILD_ITEM_ID,
    CHILD_ITEM,
    CHILD_DESCRIPTION,
    BOM_LEVEL
FROM KPCL_REPORTING.KPC_FULL_KIT_BOM_EXPLODE
WHERE BOM_LEVEL LIKE '%{bom_level}%';</t>
  </si>
  <si>
    <t>bom_level</t>
  </si>
  <si>
    <t>Show recently updated inventory records.</t>
  </si>
  <si>
    <t>Display all orders and SBM numbers with need-by dates between year {year} and year {year}.</t>
  </si>
  <si>
    <t>What are all orders and SBM numbers with need-by dates between /year {year} and /year {year}?</t>
  </si>
  <si>
    <t xml:space="preserve">all orders and SBM numbers with need by dates between year and year </t>
  </si>
  <si>
    <t>SELECT ORG_NAME,
    CHILD_ITEM,
    CHILD_DESCRIPTION,
    REQ_QTY,
    TODAYS_STOCK_VALUE,
    LAST_UPDATE_DATE
FROM  KPCL_REPORTING.FULLKIT_ITEMWISE_INV
WHERE LAST_UPDATE_DATE IS NOT NULL AND REQ_QTY_MONTH = UPPER(TO_CHAR(SYSDATE, 'MON-YYYY')) AND CHILD_ITEM not like 'N%' 
GROUP BY ORG_NAME, CHILD_ITEM,
    CHILD_DESCRIPTION,
    REQ_QTY,
    TODAYS_STOCK_VALUE,
    LAST_UPDATE_DATE
ORDER BY LAST_UPDATE_DATE DESC
FETCH FIRST 100 ROWS ONLY;</t>
  </si>
  <si>
    <t>SELECT DISTINCT
    OA_NUMBER,
    CUSTOMER_NAME,
    SBM_NUMBER,
    OA_NEED_BY_DATE,
    SCHEDULE_SHIP_DATE,
    OA_COLOUR
FROM KPCL_REPORTING.OA_GROUPING_FULLKIT_WISE
WHERE OA_NEED_BY_DATE IS NOT NULL
  AND TO_CHAR(OA_NEED_BY_DATE, 'YYYY') = TO_CHAR(TO_DATE('{year}', CASE WHEN LENGTH('{year}') = 2 THEN 'YY' ELSE 'YYYY' END), 'YYYY')
ORDER BY OA_NEED_BY_DATE ASC;</t>
  </si>
  <si>
    <t>Display all reasons recorded for excess inventory.</t>
  </si>
  <si>
    <t>Display all orders and SBM numbers with need-by dates between month {month} and month {month}.</t>
  </si>
  <si>
    <t>Show deepest BOM level items.</t>
  </si>
  <si>
    <t>What are all orders and SBM numbers with need-by dates between /month {month} and /month {month}?</t>
  </si>
  <si>
    <t>all orders and SBM numbers with need-by dates between month and month</t>
  </si>
  <si>
    <t>SELECT ORG_NAME,
    CHILD_ITEM,
    CHILD_DESCRIPTION,
    REMAINING_QTY,
    REASON,
    REASON_REMARK,
    ACTION_REMARK
FROM  KPCL_REPORTING.FULLKIT_ITEMWISE_INV
WHERE REASON IS NOT NULL AND REQ_QTY_MONTH = UPPER(TO_CHAR(SYSDATE, 'MON-YYYY')) AND CHILD_ITEM not like 'N%' 
   OR REASON_REMARK IS NOT NULL 
   OR ACTION_REMARK IS NOT NULL
GROUP BY ORG_NAME, CHILD_ITEM,
    CHILD_DESCRIPTION,
    REMAINING_QTY,
    REASON,
    REASON_REMARK,
    ACTION_REMARK;</t>
  </si>
  <si>
    <t>Find deepest BOM level items.</t>
  </si>
  <si>
    <t>SELECT DISTINCT
    OA_NUMBER,
    CUSTOMER_NAME,
    SBM_NUMBER,
    OA_NEED_BY_DATE,
    SCHEDULE_SHIP_DATE,
    OA_COLOUR
FROM KPCL_REPORTING.OA_GROUPING_FULLKIT_WISE
WHERE OA_NEED_BY_DATE IS NOT NULL
  AND TO_NUMBER(TO_CHAR(OA_NEED_BY_DATE, 'MM')) BETWEEN 
      TO_NUMBER(TO_CHAR(TO_DATE(SUBSTR(UPPER('{month}'), 1, 3), 'MON', 'NLS_DATE_LANGUAGE = American'), 'MM'))
      AND 
      TO_NUMBER(TO_CHAR(TO_DATE(SUBSTR(UPPER('{month}'), 1, 3), 'MON', 'NLS_DATE_LANGUAGE = American'), 'MM'))
ORDER BY OA_NEED_BY_DATE ASC;</t>
  </si>
  <si>
    <t>deepest BOM level items</t>
  </si>
  <si>
    <t>SELECT DISTINCT
    PARENT_ITEM,
    CHILD_ITEM_ID,
    CHILD_ITEM,
    CHILD_DESCRIPTION,
    BOM_LEVEL
FROM KPCL_REPORTING.KPC_FULL_KIT_BOM_EXPLODE
WHERE BOM_LEVEL = (
    SELECT MAX(BOM_LEVEL)
    FROM KPCL_REPORTING.KPC_FULL_KIT_BOM_EXPLODE
);</t>
  </si>
  <si>
    <t>Show all actions taken against excess inventory.</t>
  </si>
  <si>
    <t>Show all orders and SBM numbers with a need-by date in month {month} and year {year}.</t>
  </si>
  <si>
    <t>SELECT ORG_NAME,
    CHILD_ITEM,
    CHILD_DESCRIPTION,
    REMAINING_QTY,
    REASON,
    ACTION_REMARK
FROM  KPCL_REPORTING.FULLKIT_ITEMWISE_INV
WHERE ACTION_REMARK IS NOT NULL AND REQ_QTY_MONTH = UPPER(TO_CHAR(SYSDATE, 'MON-YYYY')) AND CHILD_ITEM not like 'N%' 
GROUP BY ORG_NAME,
    CHILD_ITEM,
    CHILD_DESCRIPTION,
    REMAINING_QTY,
    REASON,
    ACTION_REMARK;</t>
  </si>
  <si>
    <t>What are all orders and SBM numbers with a need-by date in /month {month} and /year {year}.</t>
  </si>
  <si>
    <t>all orders and SBM numbers with a need by date in month and year</t>
  </si>
  <si>
    <t>SELECT DISTINCT
    OA_NUMBER,
    CUSTOMER_NAME,
    SBM_NUMBER,
    OA_NEED_BY_DATE,
    SCHEDULE_SHIP_DATE,
    OA_COLOUR
FROM KPCL_REPORTING.OA_GROUPING_FULLKIT_WISE
WHERE OA_NEED_BY_DATE IS NOT NULL
  AND TO_CHAR(OA_NEED_BY_DATE, 'MON', 'NLS_DATE_LANGUAGE = American') =
      SUBSTR(UPPER('{month}'), 1, 3)
  AND TO_CHAR(OA_NEED_BY_DATE, 'YY') = SUBSTR('{year}', -2)
ORDER BY OA_NEED_BY_DATE;</t>
  </si>
  <si>
    <t>month, year</t>
  </si>
  <si>
    <t>Show complete inventory details for item {item}.</t>
  </si>
  <si>
    <t>Show complete inventory details for /item {item}.</t>
  </si>
  <si>
    <t xml:space="preserve">complete inventory details for item </t>
  </si>
  <si>
    <t>SELECT *
FROM  KPCL_REPORTING.FULLKIT_ITEMWISE_INV
WHERE CHILD_ITEM LIKE '%{item}%' AND REQ_QTY_MONTH = UPPER(TO_CHAR(SYSDATE, 'MON-YYYY')) AND CHILD_ITEM not like 'N%' ;</t>
  </si>
  <si>
    <t>List all orders and SBM numbers with need-by dates between month {month} , year {year} and month {month}, year{year}.</t>
  </si>
  <si>
    <t>What are all orders and SBM numbers with need-by dates between /month {month} , /year {year} and /month {month}, /year{year}.</t>
  </si>
  <si>
    <t>View components with routing enabled.</t>
  </si>
  <si>
    <t>all orders and SBM numbers with need-by dates between month, year and month, year</t>
  </si>
  <si>
    <t>Show components with routing enabled.</t>
  </si>
  <si>
    <t>SELECT DISTINCT
    OA_NUMBER,
    CUSTOMER_NAME,
    SBM_NUMBER,
    OA_NEED_BY_DATE,
    SCHEDULE_SHIP_DATE,
    OA_COLOUR
FROM KPCL_REPORTING.OA_GROUPING_FULLKIT_WISE
WHERE OA_NEED_BY_DATE IS NOT NULL
  AND (
        TO_CHAR(OA_NEED_BY_DATE, 'YYMM') BETWEEN
        SUBSTR('{year}', -2) ||
        LPAD(TO_CHAR(TO_DATE(SUBSTR(UPPER('{month}'), 1, 3), 'MON',
        'NLS_DATE_LANGUAGE = American'), 'MM'), 2, '0')
        AND
        SUBSTR('{year}', -2) ||
        LPAD(TO_CHAR(TO_DATE(SUBSTR(UPPER('{month}'), 1, 3), 'MON',
        'NLS_DATE_LANGUAGE = American'), 'MM'), 2, '0')
      )
ORDER BY OA_NEED_BY_DATE;</t>
  </si>
  <si>
    <t>components with routing enabled</t>
  </si>
  <si>
    <t>Display planning parameters for item {item}.</t>
  </si>
  <si>
    <t>Display planning parameters for /item {item}.</t>
  </si>
  <si>
    <t>SELECT 
PARENT_ITEM,
    CHILD_ITEM_ID,
    CHILD_ITEM,
    CHILD_DESCRIPTION,
    ROUTING_FLAG
FROM KPCL_REPORTING.KPC_FULL_KIT_BOM_EXPLODE
WHERE NVL(ROUTING_FLAG, 0) = 1;</t>
  </si>
  <si>
    <t xml:space="preserve">planning parameters for item </t>
  </si>
  <si>
    <t>SELECT ORG_NAME,
    CHILD_ITEM,
    CHILD_DESCRIPTION,
    LEAD_TIME,
    SAFETY_STOCK,
    FIXED_ORDER_QTY,
    REQ_QTY
FROM  KPCL_REPORTING.FULLKIT_ITEMWISE_INV
WHERE CHILD_ITEM LIKE '%{item}%' AND REQ_QTY_MONTH = UPPER(TO_CHAR(SYSDATE, 'MON-YYYY')) AND CHILD_ITEM not like 'N%' 
GROUP BY ORG_NAME, CHILD_ITEM,
    CHILD_DESCRIPTION,
    LEAD_TIME,
    SAFETY_STOCK,
    FIXED_ORDER_QTY,
    REQ_QTY;</t>
  </si>
  <si>
    <t>Find all orders and SBM numbers with a need-by date in month {month} for the year {year} and year {year}.</t>
  </si>
  <si>
    <t>What are all orders and SBM numbers with a need-by date in /month {month} for the /year {year} and /year {year}.</t>
  </si>
  <si>
    <t>all orders and SBM numbers with a need by date in month for the year and year</t>
  </si>
  <si>
    <t>SELECT DISTINCT
    OA_NUMBER,
    CUSTOMER_NAME,
    SBM_NUMBER,
    OA_NEED_BY_DATE,
    SCHEDULE_SHIP_DATE,
    OA_COLOUR
FROM KPCL_REPORTING.OA_GROUPING_FULLKIT_WISE
WHERE OA_NEED_BY_DATE IS NOT NULL
  AND TO_CHAR(OA_NEED_BY_DATE, 'MON', 'NLS_DATE_LANGUAGE = American') =
      SUBSTR(UPPER('{month}'), 1, 3)
  AND TO_CHAR(OA_NEED_BY_DATE, 'YY') IN (
      SUBSTR('{year}', -2),
      SUBSTR('{year}', -2)
  )
ORDER BY OA_NEED_BY_DATE;</t>
  </si>
  <si>
    <t>Show procurement details for item {item}.</t>
  </si>
  <si>
    <t>Show procurement details for /item {item}.</t>
  </si>
  <si>
    <t>procurement details for item</t>
  </si>
  <si>
    <t>SELECT ORG_NAME,
    CHILD_ITEM,
    CHILD_DESCRIPTION,
    LEAD_TIME,
    FIXED_ORDER_QTY,
    REQ_QTY,
    ITEM_COST
FROM  KPCL_REPORTING.FULLKIT_ITEMWISE_INV
WHERE CHILD_ITEM LIKE '%{item}%' AND REQ_QTY_MONTH = UPPER(TO_CHAR(SYSDATE, 'MON-YYYY')) AND CHILD_ITEM not like 'N%' 
GROUP BY ORG_NAME, 
    CHILD_ITEM,
    CHILD_DESCRIPTION,
    LEAD_TIME,
    FIXED_ORDER_QTY,
    REQ_QTY,
    ITEM_COST;</t>
  </si>
  <si>
    <t>Display Min-Max quantities for item {item}.</t>
  </si>
  <si>
    <t>Display Min-Max quantities for /item {item}.</t>
  </si>
  <si>
    <t>View components with routing disabled.</t>
  </si>
  <si>
    <t>Min-Max quantities for item</t>
  </si>
  <si>
    <t>Show components with routing disabled.</t>
  </si>
  <si>
    <t>SELECT ORG_NAME,
    CHILD_ITEM,
    CHILD_DESCRIPTION,
    MIN_MINMAX_QTY,
    MAX_MINMAX_QTY,
    MINIMUM_ORDER_QTY,
    MAXIMUM_ORDER_QTY,
    ALLOCATED_QTY_MINMAX
FROM  KPCL_REPORTING.FULLKIT_ITEMWISE_INV
WHERE CHILD_ITEM LIKE '%{item}%' AND REQ_QTY_MONTH = UPPER(TO_CHAR(SYSDATE, 'MON-YYYY')) AND CHILD_ITEM not like 'N%' 
GROUP BY ORG_NAME, 
    CHILD_ITEM,
    CHILD_DESCRIPTION,
    MIN_MINMAX_QTY,
    MAX_MINMAX_QTY,
    MINIMUM_ORDER_QTY,
    MAXIMUM_ORDER_QTY,
    ALLOCATED_QTY_MINMAX;</t>
  </si>
  <si>
    <t>components with routing disabled</t>
  </si>
  <si>
    <t>SELECT 
PARENT_ITEM,
    CHILD_ITEM_ID,
    CHILD_ITEM,
    CHILD_DESCRIPTION,
    ROUTING_FLAG
FROM KPCL_REPORTING.KPC_FULL_KIT_BOM_EXPLODE
WHERE NVL(ROUTING_FLAG, 0) = 0;</t>
  </si>
  <si>
    <t>Show order quantities for item {item}.</t>
  </si>
  <si>
    <t>Show order quantities for /item {item}.</t>
  </si>
  <si>
    <t>order quantities for item</t>
  </si>
  <si>
    <t>SELECT ORG_NAME,
    CHILD_ITEM,
    CHILD_DESCRIPTION,
    FIXED_ORDER_QTY,
    MINIMUM_ORDER_QTY,
    MAXIMUM_ORDER_QTY,
    REQ_QTY
FROM  KPCL_REPORTING.FULLKIT_ITEMWISE_INV
WHERE CHILD_ITEM LIKE '%{item}%' AND REQ_QTY_MONTH = UPPER(TO_CHAR(SYSDATE, 'MON-YYYY')) AND CHILD_ITEM not like 'N%' 
GROUP BY ORG_NAME,
    CHILD_ITEM,
    CHILD_DESCRIPTION,
    FIXED_ORDER_QTY,
    MINIMUM_ORDER_QTY,
    MAXIMUM_ORDER_QTY,
    REQ_QTY;</t>
  </si>
  <si>
    <t>Display MRP demand for item {item}.</t>
  </si>
  <si>
    <t>Display MRP demand for /item {item}.</t>
  </si>
  <si>
    <t xml:space="preserve">MRP demand for item </t>
  </si>
  <si>
    <t>SELECT ORG_NAME,
    CHILD_ITEM,
    CHILD_DESCRIPTION,
    REQ_QTY
FROM  KPCL_REPORTING.FULLKIT_ITEMWISE_INV
WHERE CHILD_ITEM LIKE '%{item}%' AND REQ_QTY_MONTH = UPPER(TO_CHAR(SYSDATE, 'MON-YYYY')) AND CHILD_ITEM not like 'N%' 
GROUP BY ORG_NAME, CHILD_ITEM,
    CHILD_DESCRIPTION,
    REQ_QTY;</t>
  </si>
  <si>
    <t>Display high cost BOM items grouped by OA / Order number.</t>
  </si>
  <si>
    <t>Show total remaining quantity for item {item}.</t>
  </si>
  <si>
    <t>high cost BOM items grouped by OA / Order number</t>
  </si>
  <si>
    <t>Show total remaining quantity for /item {item}.</t>
  </si>
  <si>
    <t xml:space="preserve">total remaining quantity for item </t>
  </si>
  <si>
    <t>SELECT ORG_NAME,
    CHILD_ITEM,
    CHILD_DESCRIPTION,
    REMAINING_QTY
FROM  KPCL_REPORTING.FULLKIT_ITEMWISE_INV
WHERE CHILD_ITEM LIKE '%{item}%' AND REQ_QTY_MONTH = UPPER(TO_CHAR(SYSDATE, 'MON-YYYY')) AND CHILD_ITEM not like 'N%' 
GROUP BY ORG_NAME, CHILD_ITEM,
    CHILD_DESCRIPTION,
    REMAINING_QTY;</t>
  </si>
  <si>
    <t>SELECT 
    PARENT_ITEM_ID,
    PARENT_ITEM,
    OA_NUMBER,
    SUM(NVL(BOM_ITEM_COST, 0)) AS TOTAL_HIGH_COST_BOM_COST
FROM 
    KPCL_REPORTING.KPC_FULL_KIT_BOM_EXPLODE
WHERE 
    NVL(HIGH_COST_FLAG, 0) = 1
GROUP BY 
    PARENT_ITEM_ID,
    PARENT_ITEM,
    OA_NUMBER
ORDER BY 
    TOTAL_HIGH_COST_BOM_COST DESC;</t>
  </si>
  <si>
    <t>Display total allocated quantity for item {item}.</t>
  </si>
  <si>
    <t>Display total allocated quantity for /item {item}.</t>
  </si>
  <si>
    <t>total allocated quantity for item</t>
  </si>
  <si>
    <t>SELECT ORG_NAME,
    CHILD_ITEM,
    CHILD_DESCRIPTION,
    ALLOCATED_QTY_MINMAX
FROM  KPCL_REPORTING.FULLKIT_ITEMWISE_INV
WHERE CHILD_ITEM LIKE '%{item}%' AND REQ_QTY_MONTH = UPPER(TO_CHAR(SYSDATE, 'MON-YYYY')) AND CHILD_ITEM not like 'N%' 
GROUP BY ORG_NAME, CHILD_ITEM,
    CHILD_DESCRIPTION,
    ALLOCATED_QTY_MINMAX;</t>
  </si>
  <si>
    <t>Show inventory details for item_description {item_description}.</t>
  </si>
  <si>
    <t>Show inventory details for /item_description {item_description}.</t>
  </si>
  <si>
    <t xml:space="preserve">inventory details for item description </t>
  </si>
  <si>
    <t>SELECT *
FROM  KPCL_REPORTING.FULLKIT_ITEMWISE_INV
WHERE CHILD_DESCRIPTION LIKE '%{item_description}%' AND REQ_QTY_MONTH = UPPER(TO_CHAR(SYSDATE, 'MON-YYYY')) AND CHILD_ITEM not like 'N%' ;</t>
  </si>
  <si>
    <t>View items with total demand greater than supply quantity.</t>
  </si>
  <si>
    <t>Find items with total demand greater than supply quantity.</t>
  </si>
  <si>
    <t>items with total demand greater than supply quantity</t>
  </si>
  <si>
    <t>Display procurement information for item_description {item_description}.</t>
  </si>
  <si>
    <t>Display procurement information for /item_description {item_description}.</t>
  </si>
  <si>
    <t>SELECT 
    CHILD_ITEM,
    CHILD_DESCRIPTION,
    TOTAL_DD,
    SUPPLY_QTY
FROM KPCL_REPORTING.KPC_FULL_KIT_BOM_EXPLODE
WHERE NVL(TOTAL_DD, 0) &gt; NVL(SUPPLY_QTY, 0);</t>
  </si>
  <si>
    <t>procurement information for item description</t>
  </si>
  <si>
    <t>SELECT ORG_NAME,
    CHILD_ITEM,
    CHILD_DESCRIPTION,
    LEAD_TIME,
    FIXED_ORDER_QTY,
    MINIMUM_ORDER_QTY,
    MAXIMUM_ORDER_QTY,
    REQ_QTY,
    ITEM_COST
FROM  KPCL_REPORTING.FULLKIT_ITEMWISE_INV
WHERE CHILD_DESCRIPTION LIKE '%{item_description}%' AND REQ_QTY_MONTH = UPPER(TO_CHAR(SYSDATE, 'MON-YYYY')) AND CHILD_ITEM not like 'N%' 
GROUP BY ORG_NAME, CHILD_ITEM,
    CHILD_DESCRIPTION,
    LEAD_TIME,
    FIXED_ORDER_QTY,
    MINIMUM_ORDER_QTY,
    MAXIMUM_ORDER_QTY,
    REQ_QTY,
    ITEM_COST;</t>
  </si>
  <si>
    <t>Show planning information for item_description {item_description}.</t>
  </si>
  <si>
    <t>Show planning information for /item_description {item_description}.</t>
  </si>
  <si>
    <t>planning information for item description</t>
  </si>
  <si>
    <t>SELECT ORG_NAME,
    CHILD_ITEM,
    CHILD_DESCRIPTION,
    LEAD_TIME,
    SAFETY_STOCK,
    FIXED_ORDER_QTY,
    MIN_MINMAX_QTY,
    MAX_MINMAX_QTY,
    REQ_QTY
FROM  KPCL_REPORTING.FULLKIT_ITEMWISE_INV
WHERE CHILD_DESCRIPTION LIKE '%{item_description}%' AND REQ_QTY_MONTH = UPPER(TO_CHAR(SYSDATE, 'MON-YYYY')) AND CHILD_ITEM not like 'N%' 
GROUP BY ORG_NAME,CHILD_ITEM,
    CHILD_DESCRIPTION,
    LEAD_TIME,
    SAFETY_STOCK,
    FIXED_ORDER_QTY,
    MIN_MINMAX_QTY,
    MAX_MINMAX_QTY,
    REQ_QTY;</t>
  </si>
  <si>
    <t>Display all items under product_model {product_model}.</t>
  </si>
  <si>
    <t>Show procurement planning for buyer {buyer}.</t>
  </si>
  <si>
    <t>Show procurement planning for /buyer {buyer}.</t>
  </si>
  <si>
    <t>Show all items under /product_model {product_model}.</t>
  </si>
  <si>
    <t xml:space="preserve">procurement planning for buyer </t>
  </si>
  <si>
    <t>all items under product model</t>
  </si>
  <si>
    <t>SELECT 
    CHILD_ITEM,
    CHILD_DESCRIPTION,
    PRD_MODEL
FROM KPCL_REPORTING.KPC_FULL_KIT_BOM_EXPLODE
WHERE PRD_MODEL ={product_model};</t>
  </si>
  <si>
    <t>SELECT ORG_NAME,
    CHILD_ITEM,
    CHILD_DESCRIPTION,
    BUYER_NAME,
    LEAD_TIME,
    SAFETY_STOCK,
    FIXED_ORDER_QTY,
    MINIMUM_ORDER_QTY,
    MAXIMUM_ORDER_QTY,
    REQ_QTY,
    REMAINING_QTY,
    ITEM_COST
FROM  KPCL_REPORTING.FULLKIT_ITEMWISE_INV
WHERE BUYER_NAME LIKE '%{buyer}%' AND REQ_QTY_MONTH = UPPER(TO_CHAR(SYSDATE, 'MON-YYYY')) AND CHILD_ITEM not like 'N%' 
GROUP BY ORG_NAME,
    CHILD_ITEM,
    CHILD_DESCRIPTION,
    BUYER_NAME,
    LEAD_TIME,
    SAFETY_STOCK,
    FIXED_ORDER_QTY,
    MINIMUM_ORDER_QTY,
    MAXIMUM_ORDER_QTY,
    REQ_QTY,
    REMAINING_QTY,
    ITEM_COST;</t>
  </si>
  <si>
    <t>Display inventory managed by buyer {buyer}.</t>
  </si>
  <si>
    <t>Display inventory managed by /buyer {buyer}.</t>
  </si>
  <si>
    <t xml:space="preserve">inventory managed by buyer </t>
  </si>
  <si>
    <t>SELECT ORG_NAME,
    CHILD_ITEM,
    CHILD_DESCRIPTION,
    BUYER_NAME,
    STOCK_QTY_ASM,
    STOCK_QTY_FC,
    STOCK_QTY_FG,
    STOCK_QTY_MS,
    STOCK_GENERAL_STORE,
    TODAYS_STOCK_VALUE,
    REMAINING_QTY,
    ALLOCATED_QTY_MINMAX,
    REQ_QTY,
    ITEM_COST
FROM  KPCL_REPORTING.FULLKIT_ITEMWISE_INV
WHERE BUYER_NAME LIKE '%{buyer}%' AND CHILD_ITEM not like 'N%' AND REQ_QTY_MONTH = UPPER(TO_CHAR(SYSDATE, 'MON-YYYY'))  
GROUP BY ORG_NAME,
    CHILD_ITEM,
    CHILD_DESCRIPTION,
    BUYER_NAME,
    STOCK_QTY_ASM,
    STOCK_QTY_FC,
    STOCK_QTY_FG,
    STOCK_QTY_MS,
    STOCK_GENERAL_STORE,
    TODAYS_STOCK_VALUE,
    REMAINING_QTY,
    ALLOCATED_QTY_MINMAX,
    REQ_QTY,
    ITEM_COST;</t>
  </si>
  <si>
    <t>Show remaining quantity handled by buyer {buyer}.</t>
  </si>
  <si>
    <t>Show remaining quantity handled by /buyer {buyer}.</t>
  </si>
  <si>
    <t>Show latest PO date for each supplier.</t>
  </si>
  <si>
    <t xml:space="preserve">remaining quantity handled by buyer </t>
  </si>
  <si>
    <t>Display latest PO date for each supplier.</t>
  </si>
  <si>
    <t>SELECT ORG_NAME,
    CHILD_ITEM,
    CHILD_DESCRIPTION,
    BUYER_NAME,
    REMAINING_QTY
FROM  KPCL_REPORTING.FULLKIT_ITEMWISE_INV
WHERE BUYER_NAME LIKE '%{buyer}%' AND REQ_QTY_MONTH = UPPER(TO_CHAR(SYSDATE, 'MON-YYYY'))
AND CHILD_ITEM not like 'N%' 
GROUP BY ORG_NAME,CHILD_ITEM,
    CHILD_DESCRIPTION,
    BUYER_NAME,
    REMAINING_QTY;</t>
  </si>
  <si>
    <t>latest PO date for each supplier</t>
  </si>
  <si>
    <t>SELECT 
    SUPPLIER_NAME,
    MAX(SUPPLIER_CONTACT) AS SUPPLIER_CONTACT,
    MAX(EXPECTED_DATE) AS LATEST_PO_EXPECTED_DATE,
    COUNT(DISTINCT CHILD_ITEM) AS ACTIVE_SHORTAGE_ITEMS,
    SUM(NVL(SHORT_QTY, 0)) AS TOTAL_PENDING_SHORT_QTY
FROM 
    KPCL_REPORTING.KPC_FULL_KIT_BOM_EXPLODE
WHERE 
    SUPPLIER_NAME IS NOT NULL
GROUP BY 
    SUPPLIER_NAME
ORDER BY 
    LATEST_PO_EXPECTED_DATE DESC NULLS LAST, 
    SUPPLIER_NAME ASC;</t>
  </si>
  <si>
    <t>Display total allocated quantity handled by buyer {buyer}.</t>
  </si>
  <si>
    <t>Display total allocated quantity handled by /buyer {buyer}.</t>
  </si>
  <si>
    <t xml:space="preserve">total allocated quantity handled by buyer </t>
  </si>
  <si>
    <t>SELECT ORG_NAME, 
    CHILD_ITEM,
    CHILD_DESCRIPTION,
    BUYER_NAME,
    ALLOCATED_QTY_MINMAX
FROM  KPCL_REPORTING.FULLKIT_ITEMWISE_INV
WHERE BUYER_NAME LIKE '%{buyer}%' AND REQ_QTY_MONTH = UPPER(TO_CHAR(SYSDATE, 'MON-YYYY')) AND CHILD_ITEM not like 'N%' 
GROUP BY ORG_NAME, CHILD_ITEM,
    CHILD_DESCRIPTION,
    BUYER_NAME,ALLOCATED_QTY_MINMAX;</t>
  </si>
  <si>
    <t>Show total required quantity handled by buyer {buyer}.</t>
  </si>
  <si>
    <t>Show total required quantity handled by /buyer {buyer}.</t>
  </si>
  <si>
    <t>total required quantity handled by buyer</t>
  </si>
  <si>
    <t>SELECT ORG_NAME,
    CHILD_ITEM,
    CHILD_DESCRIPTION,
    BUYER_NAME,
    REQ_QTY
FROM  KPCL_REPORTING.FULLKIT_ITEMWISE_INV
WHERE BUYER_NAME LIKE '%{buyer}%' AND REQ_QTY_MONTH = UPPER(TO_CHAR(SYSDATE, 'MON-YYYY')) AND CHILD_ITEM not like 'N%' 
GROUP BY ORG_NAME,CHILD_ITEM,
    CHILD_DESCRIPTION,
    BUYER_NAME,
    REQ_QTY;</t>
  </si>
  <si>
    <t>Show suppliers linked to high shortage items.</t>
  </si>
  <si>
    <t>Find suppliers linked to high shortage items.</t>
  </si>
  <si>
    <t>suppliers linked to high shortage items</t>
  </si>
  <si>
    <t>Display average lead time of buyer {buyer}.</t>
  </si>
  <si>
    <t>SELECT 
    SUPPLIER_NAME,
    CHILD_ITEM_ID,
    CHILD_ITEM,
    CHILD_DESCRIPTION,
    SHORT_QTY
FROM KPCL_REPORTING.KPC_FULL_KIT_BOM_EXPLODE
WHERE NVL(SHORT_QTY, 0) &gt; 0
ORDER BY SHORT_QTY DESC;</t>
  </si>
  <si>
    <t>Display average lead time of /buyer {buyer}.</t>
  </si>
  <si>
    <t>average lead time of buyer</t>
  </si>
  <si>
    <t>SELECT ORG_NAME,
    BUYER_NAME,
    AVG(LEAD_TIME) AS AVG_LEAD_TIME
FROM  KPCL_REPORTING.FULLKIT_ITEMWISE_INV
WHERE BUYER_NAME LIKE '%{buyer}%' AND REQ_QTY_MONTH = UPPER(TO_CHAR(SYSDATE, 'MON-YYYY')) AND CHILD_ITEM not like 'N%' 
GROUP BY BUYER_NAME, ORG_NAME;</t>
  </si>
  <si>
    <t>Show average item cost managed by buyer {buyer}.</t>
  </si>
  <si>
    <t>Show average item cost managed by /buyer {buyer}.</t>
  </si>
  <si>
    <t xml:space="preserve">average item cost managed by buyer </t>
  </si>
  <si>
    <t>SELECT ORG_NAME
    BUYER_NAME,
    COUNT(DISTINCT CHILD_ITEM) AS TOTAL_ITEMS_MANAGED,
    ROUND(AVG(ITEM_COST), 2) AS AVG_ITEM_COST,
    MIN(ITEM_COST) AS MIN_ITEM_COST,
    MAX(ITEM_COST) AS MAX_ITEM_COST,
    SUM(TODAYS_STOCK_VALUE) AS TOTAL_STOCK_VALUE
FROM  KPCL_REPORTING.FULLKIT_ITEMWISE_INV
WHERE BUYER_NAME LIKE '%{buyer}%' AND REQ_QTY_MONTH = UPPER(TO_CHAR(SYSDATE, 'MON-YYYY')) AND CHILD_ITEM not like 'N%' 
GROUP BY BUYER_NAME, ORG_NAME;</t>
  </si>
  <si>
    <t>View all OA / Order number for buyer {buyer}.</t>
  </si>
  <si>
    <t>Show all OA / Order number for /buyer {buyer}.</t>
  </si>
  <si>
    <t>all OA  / Order number for buyer</t>
  </si>
  <si>
    <t>SELECT DISTINCT
    OA_NUMBER,
    BUYER_NAME
FROM KPCL_REPORTING.KPC_FULL_KIT_BOM_EXPLODE
WHERE BUYER_NAME = 'RAM';</t>
  </si>
  <si>
    <t>Show inventory for product_group {product_group}.</t>
  </si>
  <si>
    <t>Show inventory for /product_group {product_group}.</t>
  </si>
  <si>
    <t>Display components with zero safety stock.</t>
  </si>
  <si>
    <t>inventory for product group</t>
  </si>
  <si>
    <t>components with zero safety stock</t>
  </si>
  <si>
    <t>SELECT ORG_NAME,
    CHILD_ITEM,
    CHILD_DESCRIPTION,
    PRODUCT_GROUP,
    STOCK_QTY_ASM,
    STOCK_QTY_FC,
    STOCK_QTY_FG,
    STOCK_QTY_MS,
    STOCK_GENERAL_STORE,
    TODAYS_STOCK_VALUE,
    REMAINING_QTY,
    ALLOCATED_QTY_MINMAX,
    REQ_QTY,
    ITEM_COST
FROM  KPCL_REPORTING.FULLKIT_ITEMWISE_INV
WHERE PRODUCT_GROUP LIKE '%{product_group}%' AND REQ_QTY_MONTH = UPPER(TO_CHAR(SYSDATE, 'MON-YYYY')) AND CHILD_ITEM not like 'N%' 
GROUP BY ORG_NAME,
    CHILD_ITEM,
    CHILD_DESCRIPTION,
    PRODUCT_GROUP,
    STOCK_QTY_ASM,
    STOCK_QTY_FC,
    STOCK_QTY_FG,
    STOCK_QTY_MS,
    STOCK_GENERAL_STORE,
    TODAYS_STOCK_VALUE,
    REMAINING_QTY,
    ALLOCATED_QTY_MINMAX,
    REQ_QTY,
    ITEM_COST;</t>
  </si>
  <si>
    <t>SELECT 
PARENT_ITEM,
    CHILD_ITEM,
    CHILD_DESCRIPTION,
    SAFETY_STOCK
FROM KPCL_REPORTING.KPC_FULL_KIT_BOM_EXPLODE
WHERE NVL(SAFETY_STOCK, 0) = 0;</t>
  </si>
  <si>
    <t>Display planning details for product_group {product_group}.</t>
  </si>
  <si>
    <t>Display planning details for /product_group {product_group}.</t>
  </si>
  <si>
    <t>planning details for product group</t>
  </si>
  <si>
    <t>SELECT ORG_NAME,
    CHILD_ITEM,
    CHILD_DESCRIPTION,
    PRODUCT_GROUP,
    BUYER_NAME,
    LEAD_TIME,
    SAFETY_STOCK,
    FIXED_ORDER_QTY,
    MINIMUM_ORDER_QTY,
    MAXIMUM_ORDER_QTY,
    MIN_MINMAX_QTY,
    MAX_MINMAX_QTY,
    REQ_QTY,
    ALLOCATED_QTY_MINMAX,
    REMAINING_QTY
FROM  KPCL_REPORTING.FULLKIT_ITEMWISE_INV
WHERE PRODUCT_GROUP LIKE '%{product_group}%' AND REQ_QTY_MONTH = UPPER(TO_CHAR(SYSDATE, 'MON-YYYY')) AND CHILD_ITEM not like 'N%' 
GROUP BY ORG_NAME,CHILD_ITEM,
    CHILD_DESCRIPTION,
    PRODUCT_GROUP,
    BUYER_NAME,
    LEAD_TIME,
    SAFETY_STOCK,
    FIXED_ORDER_QTY,
    MINIMUM_ORDER_QTY,
    MAXIMUM_ORDER_QTY,
    MIN_MINMAX_QTY,
    MAX_MINMAX_QTY,
    REQ_QTY,
    ALLOCATED_QTY_MINMAX,
    REMAINING_QTY;</t>
  </si>
  <si>
    <t>View items with stock from OSP inventory.</t>
  </si>
  <si>
    <t>Find items with stock from OSP inventory.</t>
  </si>
  <si>
    <t>items with stock from OSP inventory</t>
  </si>
  <si>
    <t>SELECT 
    CHILD_ITEM_ID,
    CHILD_ITEM,
    CHILD_DESCRIPTION,
    OSP_STOCK
FROM KPCL_REPORTING.KPC_FULL_KIT_BOM_EXPLODE
WHERE NVL(OSP_STOCK, 0) &gt; 0
  AND NVL(ON_HAND_STOCK, 0) = 0
  AND NVL(WIP_STOCK, 0) = 0
  AND NVL(STOCK_GENERAL_STORE, 0) = 0
  AND NVL(STOCK_SUP_SUB_INV, 0) = 0;</t>
  </si>
  <si>
    <t>Show stock summary for product_group {product_group}.</t>
  </si>
  <si>
    <t>Show stock summary for /product_group {product_group}.</t>
  </si>
  <si>
    <t>stock summary for product group</t>
  </si>
  <si>
    <t>SELECT ORG_NAME,
    PRODUCT_GROUP,
    COUNT(DISTINCT CHILD_ITEM) AS TOTAL_ITEMS,
    SUM(STOCK_QTY_ASM) AS TOTAL_STOCK_ASM,
    SUM(STOCK_QTY_FC) AS TOTAL_STOCK_FC,
    SUM(STOCK_QTY_FG) AS TOTAL_STOCK_FG,
    SUM(STOCK_QTY_MS) AS TOTAL_STOCK_MS,
    SUM(STOCK_GENERAL_STORE) AS TOTAL_GENERAL_STORE_STOCK,
    SUM(TODAYS_STOCK_VALUE) AS TOTAL_STOCK_VALUE,
    SUM(DAYS_0_180_STOCK_VALUE) AS STOCK_VALUE_0_180_DAYS,
    SUM(DAYS_181_360_STOCK_VALUE) AS STOCK_VALUE_181_360_DAYS,
    SUM(BEYOND_3_YEARS_STOCK_VALUE) AS STOCK_VALUE_BEYOND_3_YEARS
FROM  KPCL_REPORTING.FULLKIT_ITEMWISE_INV
WHERE PRODUCT_GROUP LIKE '%{product_group}%' AND REQ_QTY_MONTH = UPPER(TO_CHAR(SYSDATE, 'MON-YYYY')) AND CHILD_ITEM not like 'N%' 
GROUP BY PRODUCT_GROUP, ORG_NAME;</t>
  </si>
  <si>
    <t>Show components where pending requisition exceeds pending PO.</t>
  </si>
  <si>
    <t>Display total requirement for product_group {product_group}.</t>
  </si>
  <si>
    <t>Display total requirement for /product_group {product_group}.</t>
  </si>
  <si>
    <t>components where pending requisition exceeds pending PO</t>
  </si>
  <si>
    <t xml:space="preserve">total requirement for product group </t>
  </si>
  <si>
    <t>SELECT 
    CHILD_ITEM,
    CHILD_DESCRIPTION,
    PENDING_REQUISITION,
    PENDING_PO
FROM KPCL_REPORTING.KPC_FULL_KIT_BOM_EXPLODE
WHERE NVL(PENDING_REQUISITION, 0) &gt; NVL(PENDING_PO, 0);</t>
  </si>
  <si>
    <t>SELECT ORG_NAME,
    PRODUCT_GROUP,
    COUNT(DISTINCT CHILD_ITEM) AS TOTAL_ITEMS,
    SUM(REQ_QTY) AS TOTAL_REQUIRED_QTY,
    SUM(ALLOCATED_QTY_MINMAX) AS TOTAL_ALLOCATED_QTY,
    SUM(REMAINING_QTY) AS TOTAL_REMAINING_QTY
FROM  KPCL_REPORTING.FULLKIT_ITEMWISE_INV
WHERE PRODUCT_GROUP LIKE '%{product_group}%' AND REQ_QTY_MONTH = UPPER(TO_CHAR(SYSDATE, 'MON-YYYY')) AND CHILD_ITEM not like 'N%' 
GROUP BY PRODUCT_GROUP, ORG_NAME;</t>
  </si>
  <si>
    <t>View make items with no routing information.</t>
  </si>
  <si>
    <t>Display make items with no routing information.</t>
  </si>
  <si>
    <t>make items with no routing information</t>
  </si>
  <si>
    <t>Show total allocation for product_group {product_group}.</t>
  </si>
  <si>
    <t>Show total allocation for /product_group {product_group}.</t>
  </si>
  <si>
    <t>SELECT 
    CHILD_ITEM,
    CHILD_DESCRIPTION,
    PLAN_MAKE_BUY_CODE,
    ROUTING_FLAG
FROM KPCL_REPORTING.KPC_FULL_KIT_BOM_EXPLODE
WHERE PLAN_MAKE_BUY_CODE = 1
  AND NVL(ROUTING_FLAG, 0) = 0;</t>
  </si>
  <si>
    <t>total allocation for product group</t>
  </si>
  <si>
    <t>Show inventory for product_model {product_model}.</t>
  </si>
  <si>
    <t>Show inventory for /product_model {product_model}.</t>
  </si>
  <si>
    <t>inventory for product model</t>
  </si>
  <si>
    <t>Display items with lead time less than days {days}.</t>
  </si>
  <si>
    <t>Find items with lead time less than /days {days}.</t>
  </si>
  <si>
    <t>items with lead time less than days</t>
  </si>
  <si>
    <t>SELECT ORG_NAME, 
    CHILD_ITEM,
    CHILD_DESCRIPTION,
    MODEL,
    PRODUCT_GROUP,
    STOCK_QTY_ASM,
    STOCK_QTY_FC,
    STOCK_QTY_FG,
    STOCK_QTY_MS,
    STOCK_GENERAL_STORE,
    TODAYS_STOCK_VALUE,
    REMAINING_QTY,
    ALLOCATED_QTY_MINMAX,
    REQ_QTY,
    ITEM_COST
FROM  KPCL_REPORTING.FULLKIT_ITEMWISE_INV
WHERE MODEL LIKE '%{product_model}%' AND REQ_QTY_MONTH = UPPER(TO_CHAR(SYSDATE, 'MON-YYYY')) AND CHILD_ITEM not like 'N%' 
GROUP BY ORG_NAME, CHILD_ITEM,
    CHILD_DESCRIPTION,
    MODEL,
    PRODUCT_GROUP,
    STOCK_QTY_ASM,
    STOCK_QTY_FC,
    STOCK_QTY_FG,
    STOCK_QTY_MS,
    STOCK_GENERAL_STORE,
    TODAYS_STOCK_VALUE,
    REMAINING_QTY,
    ALLOCATED_QTY_MINMAX,
    REQ_QTY,
    ITEM_COST;</t>
  </si>
  <si>
    <t>SELECT 
    CHILD_ITEM,
    CHILD_DESCRIPTION,
    FULL_LEAD_TIME,
    FIXED_LEAD_TIME
FROM KPCL_REPORTING.KPC_FULL_KIT_BOM_EXPLODE
WHERE NVL(FULL_LEAD_TIME, 0) &lt; {days};</t>
  </si>
  <si>
    <t>Display planning summary for product_model {product_model}.</t>
  </si>
  <si>
    <t>Display planning summary for /product_model {product_model}.</t>
  </si>
  <si>
    <t xml:space="preserve">planning summary for product model </t>
  </si>
  <si>
    <t>SELECT ORG_NAME,
    MODEL,
    COUNT(DISTINCT CHILD_ITEM) AS TOTAL_ITEMS,
    ROUND(AVG(LEAD_TIME), 2) AS AVG_LEAD_TIME,
    SUM(SAFETY_STOCK) AS TOTAL_SAFETY_STOCK,
    SUM(REQ_QTY) AS TOTAL_REQUIRED_QTY,
    SUM(ALLOCATED_QTY_MINMAX) AS TOTAL_ALLOCATED_QTY,
    SUM(REMAINING_QTY) AS TOTAL_REMAINING_QTY,
    SUM(TODAYS_STOCK_VALUE) AS TOTAL_STOCK_VALUE
FROM  KPCL_REPORTING.FULLKIT_ITEMWISE_INV
WHERE MODEL LIKE '%{product_model}%' AND REQ_QTY_MONTH = UPPER(TO_CHAR(SYSDATE, 'MON-YYYY')) AND CHILD_ITEM not like 'N%' 
GROUP BY MODEL, ORG_NAME;</t>
  </si>
  <si>
    <t>Display OA / Order number wise inventory value.</t>
  </si>
  <si>
    <t>Show OA / Order number wise inventory value.</t>
  </si>
  <si>
    <t>OA / Order number wise inventory wise value</t>
  </si>
  <si>
    <t>SELECT 
    OA_NUMBER,
    SUM(NVL(EXT_ITEM_COST, 0)) AS TOTAL_INVENTORY_VALUE
FROM KPCL_REPORTING.KPC_FULL_KIT_BOM_EXPLODE
GROUP BY OA_NUMBER
ORDER BY TOTAL_INVENTORY_VALUE DESC;</t>
  </si>
  <si>
    <t>Show total stock value for product_model {product_model}.</t>
  </si>
  <si>
    <t>Show total stock value for /product_model {product_model}.</t>
  </si>
  <si>
    <t>total stock value for product model</t>
  </si>
  <si>
    <t>SELECT ORG_NAME,
    MODEL,
    COUNT(DISTINCT CHILD_ITEM) AS TOTAL_ITEMS,
    SUM(TODAYS_STOCK_VALUE) AS TOTAL_STOCK_VALUE,
    SUM(DAYS_0_180_STOCK_VALUE) AS STOCK_VALUE_0_180_DAYS,
    SUM(DAYS_181_360_STOCK_VALUE) AS STOCK_VALUE_181_360_DAYS,
    SUM(BEYOND_3_YEARS_STOCK_VALUE) AS STOCK_VALUE_BEYOND_3_YEARS
FROM  KPCL_REPORTING.FULLKIT_ITEMWISE_INV
WHERE MODEL LIKE '%{product_model}%' AND REQ_QTY_MONTH = UPPER(TO_CHAR(SYSDATE, 'MON-YYYY')) AND CHILD_ITEM not like 'N%' 
GROUP BY MODEL, ORG_NAME;</t>
  </si>
  <si>
    <t>Show supplier wise rejected stock quantities.</t>
  </si>
  <si>
    <t>Display total MRP demand for product_model {product_model}.</t>
  </si>
  <si>
    <t>Display supplier wise rejected stock quantities.</t>
  </si>
  <si>
    <t>Display total MRP demand for /product_model {product_model}.</t>
  </si>
  <si>
    <t>supplier wise rejected stock quantities</t>
  </si>
  <si>
    <t>total MRP demand for product model</t>
  </si>
  <si>
    <t>SELECT 
    SUPPLIER_NAME,
    SUM(NVL(STOCK_REJ_SUB_INV, 0)) AS TOTAL_REJECTED_QTY
FROM KPCL_REPORTING.KPC_FULL_KIT_BOM_EXPLODE
GROUP BY SUPPLIER_NAME
ORDER BY TOTAL_REJECTED_QTY DESC;</t>
  </si>
  <si>
    <t>SELECT ORG_NAME,
    MODEL,
    COUNT(DISTINCT CHILD_ITEM) AS TOTAL_ITEMS,
    SUM(REQ_QTY) AS TOTAL_MRP_DEMAND_QTY,
    SUM(ALLOCATED_QTY_MINMAX) AS TOTAL_ALLOCATED_QTY,
    SUM(REMAINING_QTY) AS TOTAL_REMAINING_QTY
FROM  KPCL_REPORTING.FULLKIT_ITEMWISE_INV
WHERE MODEL LIKE '%{product_model}%' AND REQ_QTY_MONTH = UPPER(TO_CHAR(SYSDATE, 'MON-YYYY')) AND CHILD_ITEM not like 'N%' 
GROUP BY MODEL, ORG_NAME;</t>
  </si>
  <si>
    <t>Show remaining quantity for product_model {product_model}.</t>
  </si>
  <si>
    <t>Show remaining quantity for /product_model {product_model}.</t>
  </si>
  <si>
    <t>Display components having stock but no demand.</t>
  </si>
  <si>
    <t>Find components having stock but no demand.</t>
  </si>
  <si>
    <t>remaining quantity for product model</t>
  </si>
  <si>
    <t>components having stock but no demand</t>
  </si>
  <si>
    <t>SELECT ORG_NAME,
    MODEL,
    CHILD_ITEM,
    CHILD_DESCRIPTION,
    REMAINING_QTY,
    REQ_QTY,
    ALLOCATED_QTY_MINMAX
FROM  KPCL_REPORTING.FULLKIT_ITEMWISE_INV
WHERE MODEL LIKE '%{product_model}%' AND REQ_QTY_MONTH = UPPER(TO_CHAR(SYSDATE, 'MON-YYYY')) AND CHILD_ITEM not like 'N%' 
GROUP BY ORG_NAME,MODEL,
    CHILD_ITEM,
    CHILD_DESCRIPTION,
    REMAINING_QTY,
    REQ_QTY,
    ALLOCATED_QTY_MINMAX;</t>
  </si>
  <si>
    <t>SELECT 
    CHILD_ITEM_ID,
    CHILD_ITEM,
    CHILD_DESCRIPTION,
    ON_HAND_STOCK,
    WIP_STOCK,
    STOCK_GENERAL_STORE,
    OSP_STOCK,
    MRP_DEMAND
FROM KPCL_REPORTING.KPC_FULL_KIT_BOM_EXPLODE
WHERE NVL(MRP_DEMAND, 0) = 0
  AND (
        NVL(ON_HAND_STOCK, 0) &gt; 0
     OR NVL(WIP_STOCK, 0) &gt; 0
     OR NVL(STOCK_GENERAL_STORE, 0) &gt; 0
     OR NVL(OSP_STOCK, 0) &gt; 0
  );</t>
  </si>
  <si>
    <t>Show inventory of item_type {item_type}.</t>
  </si>
  <si>
    <t>Show inventory of /item_type {item_type}.</t>
  </si>
  <si>
    <t xml:space="preserve">inventory of item type </t>
  </si>
  <si>
    <t>SELECT ORG_NAME,
    CHILD_ITEM,
    CHILD_DESCRIPTION,
    CHILD_ITEM_TYPE,
    STOCK_QTY_ASM,
    STOCK_QTY_FC,
    STOCK_QTY_FG,
    STOCK_QTY_MS,
    STOCK_GENERAL_STORE,
    TODAYS_STOCK_VALUE,
    REMAINING_QTY,
    ALLOCATED_QTY_MINMAX,
    REQ_QTY,
    ITEM_COST
FROM  KPCL_REPORTING.FULLKIT_ITEMWISE_INV
WHERE CHILD_ITEM_TYPE LIKE '%{item_type}%' AND REQ_QTY_MONTH = UPPER(TO_CHAR(SYSDATE, 'MON-YYYY')) AND CHILD_ITEM not like 'N%' 
GROUP BY ORG_NAME,
    CHILD_ITEM,
    CHILD_DESCRIPTION,
    CHILD_ITEM_TYPE,
    STOCK_QTY_ASM,
    STOCK_QTY_FC,
    STOCK_QTY_FG,
    STOCK_QTY_MS,
    STOCK_GENERAL_STORE,
    TODAYS_STOCK_VALUE,
    REMAINING_QTY,
    ALLOCATED_QTY_MINMAX,
    REQ_QTY,
    ITEM_COST;</t>
  </si>
  <si>
    <t>item_type</t>
  </si>
  <si>
    <t>View items with demand but zero supply.</t>
  </si>
  <si>
    <t>Show items with demand but zero supply.</t>
  </si>
  <si>
    <t>items with demand but zero supply</t>
  </si>
  <si>
    <t>SELECT 
    CHILD_ITEM_ID,
    CHILD_ITEM,
    CHILD_DESCRIPTION,
    MRP_DEMAND,
    SUPPLY_QTY
FROM KPCL_REPORTING.KPC_FULL_KIT_BOM_EXPLODE
WHERE NVL(MRP_DEMAND, 0) &gt; 0
  AND NVL(SUPPLY_QTY, 0) = 0;</t>
  </si>
  <si>
    <t>Display stock summary for item_type {item_type}.</t>
  </si>
  <si>
    <t>Display stock summary for /item_type {item_type}.</t>
  </si>
  <si>
    <t>stock summary for item type</t>
  </si>
  <si>
    <t>SELECT ORG_NAME
    CHILD_ITEM_TYPE,
    COUNT(DISTINCT CHILD_ITEM) AS TOTAL_ITEMS,
    SUM(STOCK_QTY_ASM) AS TOTAL_STOCK_ASM,
    SUM(STOCK_QTY_FC) AS TOTAL_STOCK_FC,
    SUM(STOCK_QTY_FG) AS TOTAL_STOCK_FG,
    SUM(STOCK_QTY_MS) AS TOTAL_STOCK_MS,
    SUM(STOCK_GENERAL_STORE) AS TOTAL_GENERAL_STORE_STOCK,
    SUM(TODAYS_STOCK_VALUE) AS TOTAL_STOCK_VALUE,
    SUM(DAYS_0_180_STOCK_VALUE) AS STOCK_VALUE_0_180_DAYS,
    SUM(DAYS_181_360_STOCK_VALUE) AS STOCK_VALUE_181_360_DAYS,
    SUM(BEYOND_3_YEARS_STOCK_VALUE) AS STOCK_VALUE_BEYOND_3_YEARS
FROM  KPCL_REPORTING.FULLKIT_ITEMWISE_INV
WHERE CHILD_ITEM_TYPE LIKE '%{item_type}%' AND REQ_QTY_MONTH = UPPER(TO_CHAR(SYSDATE, 'MON-YYYY')) AND CHILD_ITEM not like 'N%' 
GROUP BY CHILD_ITEM_TYPE, ORG_NAME;</t>
  </si>
  <si>
    <t>Show all items under category {category}.</t>
  </si>
  <si>
    <t>Display all items under /category {category}.</t>
  </si>
  <si>
    <t>all items under category</t>
  </si>
  <si>
    <t>SELECT 
    CHILD_ITEM_ID,
    CHILD_ITEM,
    CHILD_DESCRIPTION,
    CATEGORY_NAME
FROM KPCL_REPORTING.KPC_FULL_KIT_BOM_EXPLODE
WHERE CATEGORY_NAME LIKE '%{category}%';</t>
  </si>
  <si>
    <t>category</t>
  </si>
  <si>
    <t>Show procurement details for item_type {item_type}.</t>
  </si>
  <si>
    <t>Show procurement details for /item_type {item_type}.</t>
  </si>
  <si>
    <t xml:space="preserve">procurement details for item type </t>
  </si>
  <si>
    <t>SELECT ORG_NAME,
    CHILD_ITEM,
    CHILD_DESCRIPTION,
    CHILD_ITEM_TYPE,
    BUYER_NAME,
    LEAD_TIME,
    SAFETY_STOCK,
    FIXED_ORDER_QTY,
    MINIMUM_ORDER_QTY,
    MAXIMUM_ORDER_QTY,
    ITEM_COST,
    REQ_QTY,
    ALLOCATED_QTY_MINMAX,
    REMAINING_QTY,
    TODAYS_STOCK_VALUE
FROM  KPCL_REPORTING.FULLKIT_ITEMWISE_INV
WHERE CHILD_ITEM_TYPE LIKE '%{item_type}%' AND REQ_QTY_MONTH = UPPER(TO_CHAR(SYSDATE, 'MON-YYYY')) AND CHILD_ITEM not like 'N%' 
GROUP BY ORG_NAME,
    CHILD_ITEM,
    CHILD_DESCRIPTION,
    CHILD_ITEM_TYPE,
    BUYER_NAME,
    LEAD_TIME,
    SAFETY_STOCK,
    FIXED_ORDER_QTY,
    MINIMUM_ORDER_QTY,
    MAXIMUM_ORDER_QTY,
    ITEM_COST,
    REQ_QTY,
    ALLOCATED_QTY_MINMAX,
    REMAINING_QTY,
    TODAYS_STOCK_VALUE;</t>
  </si>
  <si>
    <t>View components with no allocation remark.</t>
  </si>
  <si>
    <t>Find components with no allocation remark.</t>
  </si>
  <si>
    <t>components with no allocation remark</t>
  </si>
  <si>
    <t>SELECT 
    CHILD_ITEM_ID,
    CHILD_ITEM,
    CHILD_DESCRIPTION,
    ALLOCATION_REMARK
FROM KPCL_REPORTING.KPC_FULL_KIT_BOM_EXPLODE
WHERE ALLOCATION_REMARK IS NULL
   OR TRIM(ALLOCATION_REMARK) IS NULL
   OR TRIM(ALLOCATION_REMARK) = '';</t>
  </si>
  <si>
    <t>Show items having lead time greater than days {days}.</t>
  </si>
  <si>
    <t>Show items having lead time greater than /days {days}.</t>
  </si>
  <si>
    <t xml:space="preserve">items having lead time greater than days </t>
  </si>
  <si>
    <t>SELECT ORG_NAME,
    CHILD_ITEM,
    CHILD_DESCRIPTION,
    BUYER_NAME,
    LEAD_TIME,
    SAFETY_STOCK,
    FIXED_ORDER_QTY,
    MINIMUM_ORDER_QTY,
    MAXIMUM_ORDER_QTY,
    REQ_QTY,
    ALLOCATED_QTY_MINMAX,
    REMAINING_QTY,
    TODAYS_STOCK_VALUE
FROM  KPCL_REPORTING.FULLKIT_ITEMWISE_INV
WHERE LEAD_TIME &gt; {days} AND REQ_QTY_MONTH = UPPER(TO_CHAR(SYSDATE, 'MON-YYYY')) AND CHILD_ITEM not like 'N%' 
ORDER BY LEAD_TIME DESC
GROUP BY ORG_NAME,CHILD_ITEM,
    CHILD_DESCRIPTION,
    BUYER_NAME,
    LEAD_TIME,
    SAFETY_STOCK,
    FIXED_ORDER_QTY,
    MINIMUM_ORDER_QTY,
    MAXIMUM_ORDER_QTY,
    REQ_QTY,
    ALLOCATED_QTY_MINMAX,
    REMAINING_QTY,
    TODAYS_STOCK_VALUE;</t>
  </si>
  <si>
    <t>View OA / Order number priority wise order count.</t>
  </si>
  <si>
    <t>Show OA / Order number priority wise order count.</t>
  </si>
  <si>
    <t>OA / Order number priority wise order count</t>
  </si>
  <si>
    <t>SELECT 
    OA_PRIORITY_NO,
    COUNT(DISTINCT OA_NUMBER) AS ORDER_COUNT
FROM KPCL_REPORTING.KPC_FULL_KIT_BOM_EXPLODE
GROUP BY OA_PRIORITY_NO
ORDER BY OA_PRIORITY_NO;</t>
  </si>
  <si>
    <t>Display items having lead time less than days {days}.</t>
  </si>
  <si>
    <t>Display items having lead time less than /days {days}.</t>
  </si>
  <si>
    <t xml:space="preserve">items having lead time less than days </t>
  </si>
  <si>
    <t>SELECT ORG_NAME,
    CHILD_ITEM,
    CHILD_DESCRIPTION,
    BUYER_NAME,
    LEAD_TIME,
    SAFETY_STOCK,
    FIXED_ORDER_QTY,
    MINIMUM_ORDER_QTY,
    MAXIMUM_ORDER_QTY,
    REQ_QTY,
    ALLOCATED_QTY_MINMAX,
    REMAINING_QTY,
    TODAYS_STOCK_VALUE
FROM  KPCL_REPORTING.FULLKIT_ITEMWISE_INV
WHERE LEAD_TIME &lt; {days} AND REQ_QTY_MONTH = UPPER(TO_CHAR(SYSDATE, 'MON-YYYY')) AND CHILD_ITEM not like 'N%' 
ORDER BY LEAD_TIME ASC
GROUP BY ORG_NAME,CHILD_ITEM,
    CHILD_DESCRIPTION,
    BUYER_NAME,
    LEAD_TIME,
    SAFETY_STOCK,
    FIXED_ORDER_QTY,
    MINIMUM_ORDER_QTY,
    MAXIMUM_ORDER_QTY,
    REQ_QTY,
    ALLOCATED_QTY_MINMAX,
    REMAINING_QTY,
    TODAYS_STOCK_VALUE;</t>
  </si>
  <si>
    <t>Show high priority OA / Order number with shortages.</t>
  </si>
  <si>
    <t>Show buyers handling items with lead time greater than days {days}.</t>
  </si>
  <si>
    <t>Display high priority OA / Order number with shortages.</t>
  </si>
  <si>
    <t>Show buyers handling items with lead time greater than /days {days}.</t>
  </si>
  <si>
    <t xml:space="preserve">buyers handling items with lead time greater than days </t>
  </si>
  <si>
    <t>high priority OA / Order number with shortages</t>
  </si>
  <si>
    <t>SELECT ORG_NAME,
    BUYER_NAME,
    COUNT(DISTINCT CHILD_ITEM) AS TOTAL_ITEMS,
    ROUND(AVG(LEAD_TIME), 2) AS AVG_LEAD_TIME,
    MAX(LEAD_TIME) AS MAX_LEAD_TIME,
    SUM(REQ_QTY) AS TOTAL_REQUIRED_QTY,
    SUM(ALLOCATED_QTY_MINMAX) AS TOTAL_ALLOCATED_QTY,
    SUM(REMAINING_QTY) AS TOTAL_REMAINING_QTY,
    SUM(TODAYS_STOCK_VALUE) AS TOTAL_STOCK_VALUE
FROM  KPCL_REPORTING.FULLKIT_ITEMWISE_INV
WHERE LEAD_TIME &gt; {days} AND REQ_QTY_MONTH = UPPER(TO_CHAR(SYSDATE, 'MON-YYYY')) AND CHILD_ITEM not like 'N%' 
 AND BUYER_NAME IS NOT NULL
GROUP BY BUYER_NAME, ORG_NAME
ORDER BY TOTAL_ITEMS DESC;</t>
  </si>
  <si>
    <t>SELECT 
    OA_NUMBER,
    OA_PRIORITY_NO,
    SUM(NVL(SHORT_QTY, 0)) AS TOTAL_SHORT_QTY
FROM KPCL_REPORTING.KPC_FULL_KIT_BOM_EXPLODE
WHERE NVL(OA_PRIORITY_NO, 0) &lt;= 2
GROUP BY OA_NUMBER, OA_PRIORITY_NO
HAVING SUM(NVL(SHORT_QTY, 0)) &gt; 0
ORDER BY TOTAL_SHORT_QTY DESC;</t>
  </si>
  <si>
    <t>Show items having current month required quantity greater than quantity {quantity}.</t>
  </si>
  <si>
    <t>Show items having current month required quantity greater than /quantity {quantity}.</t>
  </si>
  <si>
    <t xml:space="preserve">items having current month required quantity greater than quantity </t>
  </si>
  <si>
    <t>SELECT 
    CHILD_ITEM,
    CHILD_DESCRIPTION,
    BUYER_NAME,
    PRODUCT_GROUP,
    MODEL,
    ORG_NAME,
    REQ_QTY,
    ALLOCATED_QTY_MINMAX,
    REMAINING_QTY,
    TODAYS_STOCK_VALUE
FROM  KPCL_REPORTING.FULLKIT_ITEMWISE_INV
WHERE REQ_QTY &gt; {quantity} AND REQ_QTY_MONTH = UPPER(TO_CHAR(SYSDATE, 'MON-YYYY')) AND CHILD_ITEM not like 'N%' 
GROUP BY ORG_NAME,
    CHILD_ITEM,
    CHILD_DESCRIPTION,
    BUYER_NAME,
    PRODUCT_GROUP,
    MODEL,
    ORG_NAME,
    REQ_QTY,
    ALLOCATED_QTY_MINMAX,
    REMAINING_QTY,
    TODAYS_STOCK_VALUE
ORDER BY REQ_QTY DESC;</t>
  </si>
  <si>
    <t>Show items where expected date exceeds need by date.</t>
  </si>
  <si>
    <t>Find items where expected date exceeds need by date.</t>
  </si>
  <si>
    <t>items where expected date exceeds need by date</t>
  </si>
  <si>
    <t>SELECT 
    CHILD_ITEM_ID,
    CHILD_ITEM,
    CHILD_DESCRIPTION,
    EXPECTED_DATE,
    OA_NEED_BY_DATE
FROM KPCL_REPORTING.KPC_FULL_KIT_BOM_EXPLODE
WHERE EXPECTED_DATE &gt; OA_NEED_BY_DATE;</t>
  </si>
  <si>
    <t>Show buyers whose required quantity exceeds quantity {quantity}.</t>
  </si>
  <si>
    <t>Show buyers whose required quantity exceeds /quantity {quantity}.</t>
  </si>
  <si>
    <t xml:space="preserve">buyers whose required quantity exceeds quantity </t>
  </si>
  <si>
    <t>SELECT ORG_NAME,
    BUYER_NAME,
    COUNT(DISTINCT CHILD_ITEM) AS TOTAL_ITEMS,
    SUM(REQ_QTY) AS TOTAL_REQ_QTY,
    SUM(ALLOCATED_QTY_MINMAX) AS TOTAL_ALLOCATED_QTY,
    SUM(REMAINING_QTY) AS TOTAL_REMAINING_QTY,
    SUM(TODAYS_STOCK_VALUE) AS TOTAL_TODAYS_STOCK_VALUE
FROM  KPCL_REPORTING.FULLKIT_ITEMWISE_INV
WHERE REQ_QTY_MONTH = UPPER(TO_CHAR(SYSDATE, 'MON-YYYY')) AND CHILD_ITEM not like 'N%' 
GROUP BY BUYER_NAME, ORG_NAME
HAVING SUM(REQ_QTY) &gt; {quantity}
ORDER BY TOTAL_REQ_QTY DESC;</t>
  </si>
  <si>
    <t>View parent items with maximum BOM cost.</t>
  </si>
  <si>
    <t>Show parent items with maximum BOM cost.</t>
  </si>
  <si>
    <t>parent items with maximum BOM cost</t>
  </si>
  <si>
    <t>SELECT 
    PARENT_ITEM_ID,
    PARENT_ITEM,
    PARENT_DESCRIPTION,
    SUM(NVL(BOM_ITEM_COST, 0)) AS TOTAL_BOM_COST
FROM KPCL_REPORTING.KPC_FULL_KIT_BOM_EXPLODE
GROUP BY 
    PARENT_ITEM_ID,
    PARENT_ITEM,
    PARENT_DESCRIPTION
ORDER BY TOTAL_BOM_COST DESC;</t>
  </si>
  <si>
    <t>Show items having allocated quantity greater than quantity {quantity}.</t>
  </si>
  <si>
    <t>Show items having allocated quantity greater than /quantity {quantity}.</t>
  </si>
  <si>
    <t>items having allocated quantity greater than quantity</t>
  </si>
  <si>
    <t>SELECT 
    CHILD_ITEM,
    CHILD_DESCRIPTION,
    BUYER_NAME,
    PRODUCT_GROUP,
    MODEL,
    ORG_NAME,
    ALLOCATED_QTY_MINMAX,
    REQ_QTY,
    REMAINING_QTY,
    TODAYS_STOCK_VALUE
FROM  KPCL_REPORTING.FULLKIT_ITEMWISE_INV
WHERE ALLOCATED_QTY_MINMAX &gt; {quantity} AND REQ_QTY_MONTH = UPPER(TO_CHAR(SYSDATE, 'MON-YYYY')) AND CHILD_ITEM not like 'N%' 
GROUP BY ORG_NAME,
    CHILD_ITEM,
    CHILD_DESCRIPTION,
    BUYER_NAME,
    PRODUCT_GROUP,
    MODEL,
    ORG_NAME,
    ALLOCATED_QTY_MINMAX,
    REQ_QTY,
    REMAINING_QTY,
    TODAYS_STOCK_VALUE
ORDER BY ALLOCATED_QTY_MINMAX DESC;</t>
  </si>
  <si>
    <t>View top 10 shortage items by cost.</t>
  </si>
  <si>
    <t>Display top 10 shortage items by cost.</t>
  </si>
  <si>
    <t>top 10 shortage items by cost</t>
  </si>
  <si>
    <t>Display buyers with allocated quantity greater than quantity {quantity}.</t>
  </si>
  <si>
    <t>Display buyers with allocated quantity greater than /quantity {quantity}.</t>
  </si>
  <si>
    <t>SELECT 
    CHILD_ITEM_ID,
    CHILD_ITEM,
    CHILD_DESCRIPTION,
    SHORT_QTY,
    EXT_ITEM_COST,
    (NVL(SHORT_QTY, 0) * NVL(EXT_ITEM_COST, 0)) AS SHORTAGE_VALUE
FROM KPCL_REPORTING.KPC_FULL_KIT_BOM_EXPLODE
WHERE NVL(SHORT_QTY, 0) &gt; 0
ORDER BY SHORTAGE_VALUE DESC
FETCH FIRST 10 ROWS ONLY;</t>
  </si>
  <si>
    <t xml:space="preserve">buyers with allocated quantity greater than quantity </t>
  </si>
  <si>
    <t>SELECT ORG_NAME,
    BUYER_NAME,
    COUNT(DISTINCT CHILD_ITEM) AS TOTAL_ITEMS,
    SUM(ALLOCATED_QTY_MINMAX) AS TOTAL_ALLOCATED_QTY,
    SUM(REQ_QTY) AS TOTAL_REQ_QTY,
    SUM(REMAINING_QTY) AS TOTAL_REMAINING_QTY,
    SUM(TODAYS_STOCK_VALUE) AS TOTAL_TODAYS_STOCK_VALUE
FROM  KPCL_REPORTING.FULLKIT_ITEMWISE_INV
WHERE REQ_QTY_MONTH = UPPER(TO_CHAR(SYSDATE, 'MON-YYYY')) AND CHILD_ITEM not like 'N%' 
GROUP BY BUYER_NAME, ORG_NAME
HAVING SUM(ALLOCATED_QTY_MINMAX) &gt; {quantity}
ORDER BY TOTAL_ALLOCATED_QTY DESC;</t>
  </si>
  <si>
    <t>Show product groups having allocated quantity greater than quantity {quantity}.</t>
  </si>
  <si>
    <t>Show product groups having allocated quantity greater than /quantity {quantity}.</t>
  </si>
  <si>
    <t xml:space="preserve">product groups having allocated quantity greater than quantity </t>
  </si>
  <si>
    <t>SELECT ORG_NAME
    PRODUCT_GROUP,
    COUNT(DISTINCT CHILD_ITEM) AS TOTAL_ITEMS,
    SUM(ALLOCATED_QTY_MINMAX) AS TOTAL_ALLOCATED_QTY,
    SUM(REQ_QTY) AS TOTAL_REQ_QTY,
    SUM(REMAINING_QTY) AS TOTAL_REMAINING_QTY,
    SUM(TODAYS_STOCK_VALUE) AS TOTAL_TODAYS_STOCK_VALUE
FROM  KPCL_REPORTING.FULLKIT_ITEMWISE_INV
WHERE REQ_QTY_MONTH = UPPER(TO_CHAR(SYSDATE, 'MON-YYYY')) AND CHILD_ITEM not like 'N%' 
GROUP BY PRODUCT_GROUP, ORG_NAME
HAVING SUM(ALLOCATED_QTY_MINMAX) &gt; {quantity}
ORDER BY TOTAL_ALLOCATED_QTY DESC;</t>
  </si>
  <si>
    <t>View components with pending PO but no supplier assigned.</t>
  </si>
  <si>
    <t>Find components with pending PO but no supplier assigned.</t>
  </si>
  <si>
    <t>components with pending PO but no supplier assigned</t>
  </si>
  <si>
    <t>SELECT 
    CHILD_ITEM_ID,
    CHILD_ITEM,
    CHILD_DESCRIPTION,
    PENDING_PO,
    SUPPLIER_NAME
FROM KPCL_REPORTING.KPC_FULL_KIT_BOM_EXPLODE
WHERE NVL(PENDING_PO, 0) &gt; 0
  AND (SUPPLIER_NAME IS NULL OR TRIM(SUPPLIER_NAME) = '');</t>
  </si>
  <si>
    <t>Show items having remaining quantity greater than quantity {quantity}.</t>
  </si>
  <si>
    <t>Show items having remaining quantity greater than /quantity {quantity}.</t>
  </si>
  <si>
    <t>items having remaining quantity greater than quantity</t>
  </si>
  <si>
    <t>SELECT ORG_NAME,
    CHILD_ITEM,
    CHILD_DESCRIPTION,
    BUYER_NAME,
    PRODUCT_GROUP,
    MODEL,
    REMAINING_QTY,
    REQ_QTY,
    ALLOCATED_QTY_MINMAX,
    TODAYS_STOCK_VALUE
FROM  KPCL_REPORTING.FULLKIT_ITEMWISE_INV
WHERE REMAINING_QTY &gt; {quantity} AND  REQ_QTY_MONTH = UPPER(TO_CHAR(SYSDATE, 'MON-YYYY')) AND CHILD_ITEM not like 'N%' 
ORDER BY REMAINING_QTY DESC;</t>
  </si>
  <si>
    <t>Display buyers having remaining quantity greater than quantity {quantity}.</t>
  </si>
  <si>
    <t>Display all BOM containing child_item {child_item}.</t>
  </si>
  <si>
    <t>Display buyers having remaining quantity greater than /quantity {quantity}.</t>
  </si>
  <si>
    <t>Show all BOM containing /child_item {child_item}.</t>
  </si>
  <si>
    <t xml:space="preserve">buyers having remaining quantity greater than quantity </t>
  </si>
  <si>
    <t>all BOM containing child item</t>
  </si>
  <si>
    <t>SELECT ORG_NAME,
    BUYER_NAME,
    COUNT(DISTINCT CHILD_ITEM) AS TOTAL_ITEMS,
    SUM(REMAINING_QTY) AS TOTAL_REMAINING_QTY,
    SUM(REQ_QTY) AS TOTAL_REQ_QTY,
    SUM(ALLOCATED_QTY_MINMAX) AS TOTAL_ALLOCATED_QTY,
    SUM(TODAYS_STOCK_VALUE) AS TOTAL_TODAYS_STOCK_VALUE
FROM  KPCL_REPORTING.FULLKIT_ITEMWISE_INV
WHERE REQ_QTY_MONTH = UPPER(TO_CHAR(SYSDATE, 'MON-YYYY')) AND CHILD_ITEM not like 'N%' 
HAVING SUM(REMAINING_QTY) &gt; {quantity}
GROUP BY ORG_NAME, BUYER_NAME
ORDER BY TOTAL_REMAINING_QTY DESC;</t>
  </si>
  <si>
    <t>SELECT 
    PARENT_ITEM_ID,
    PARENT_ITEM,
    PARENT_DESCRIPTION,
    CHILD_ITEM_ID,
    CHILD_ITEM,
    CHILD_DESCRIPTION,
    BOM_LEVEL
FROM KPCL_REPORTING.KPC_FULL_KIT_BOM_EXPLODE
WHERE CHILD_ITEM LIKE '%{child_item}%';</t>
  </si>
  <si>
    <t>child_item</t>
  </si>
  <si>
    <t>Show product groups having remaining quantity greater than quantity {quantity}.</t>
  </si>
  <si>
    <t>Show product groups having remaining quantity greater than /quantity {quantity}.</t>
  </si>
  <si>
    <t>groups having remaining quantity greater than quantity</t>
  </si>
  <si>
    <t>SELECT ORG_NAME,
    PRODUCT_GROUP,
    COUNT(DISTINCT CHILD_ITEM) AS TOTAL_ITEMS,
    SUM(REMAINING_QTY) AS TOTAL_REMAINING_QTY,
    SUM(REQ_QTY) AS TOTAL_REQ_QTY,
    SUM(ALLOCATED_QTY_MINMAX) AS TOTAL_ALLOCATED_QTY,
    SUM(TODAYS_STOCK_VALUE) AS TOTAL_TODAYS_STOCK_VALUE
FROM  KPCL_REPORTING.FULLKIT_ITEMWISE_INV
WHERE REQ_QTY_MONTH = UPPER(TO_CHAR(SYSDATE, 'MON-YYYY')) AND CHILD_ITEM not like 'N%' 
HAVING SUM(REMAINING_QTY) &gt; {quantity}
GROUP BY ORG_NAME, PRODUCT_GROUP
ORDER BY TOTAL_REMAINING_QTY DESC;</t>
  </si>
  <si>
    <t>Show OA / Order number wise total component count.</t>
  </si>
  <si>
    <t>Display OA / Order number wise total component count.</t>
  </si>
  <si>
    <t>OA / Order number wise total component count</t>
  </si>
  <si>
    <t>SELECT 
    OA_NUMBER,
    COUNT(DISTINCT CHILD_ITEM_ID) AS TOTAL_COMPONENT_COUNT
FROM KPCL_REPORTING.KPC_FULL_KIT_BOM_EXPLODE
GROUP BY OA_NUMBER
ORDER BY TOTAL_COMPONENT_COUNT DESC;</t>
  </si>
  <si>
    <t>Show items costing more than item_cost {item_cost}.</t>
  </si>
  <si>
    <t>Show items costing more than /item_cost {item_cost}.</t>
  </si>
  <si>
    <t>items costing more than item cost</t>
  </si>
  <si>
    <t>SELECT ORG_NAME,
    CHILD_ITEM,
    CHILD_DESCRIPTION,
    BUYER_NAME,
    PRODUCT_GROUP,
    MODEL,
    ITEM_COST,
    MRP_DEMAND,
    REQ_QTY,
    ALLOCATED_QTY_MINMAX,
    REMAINING_QTY,
    TODAYS_STOCK_VALUE
FROM  KPCL_REPORTING.FULLKIT_ITEMWISE_INV
WHERE ITEM_COST &gt; {item_cost} AND REQ_QTY_MONTH = UPPER(TO_CHAR(SYSDATE, 'MON-YYYY')) AND CHILD_ITEM not like 'N%' 
ORDER BY ITEM_COST DESC;</t>
  </si>
  <si>
    <t>Display buyers managing items costing more than item_cost {item_cost}.</t>
  </si>
  <si>
    <t>Display buyers managing items costing more than /item_cost {item_cost}.</t>
  </si>
  <si>
    <t xml:space="preserve">buyers managing items costing more than item cost </t>
  </si>
  <si>
    <t>Show items having both WIP and OSP stock.</t>
  </si>
  <si>
    <t>Find items having both WIP and OSP stock.</t>
  </si>
  <si>
    <t>items having both WIP and OSP stock</t>
  </si>
  <si>
    <t>SELECT ORG_NAME,
    BUYER_NAME,
    COUNT(DISTINCT CHILD_ITEM) AS TOTAL_ITEMS,
    ROUND(AVG(ITEM_COST), 2) AS AVG_ITEM_COST,
    MAX(ITEM_COST) AS MAX_ITEM_COST,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ITEM_COST &gt; {item_cost}
  AND BUYER_NAME IS NOT NULL AND REQ_QTY_MONTH = UPPER(TO_CHAR(SYSDATE, 'MON-YYYY')) AND CHILD_ITEM not like 'N%' 
GROUP BY BUYER_NAME, ORG_NAME
ORDER BY TOTAL_ITEMS DESC;</t>
  </si>
  <si>
    <t>SELECT
    CHILD_ITEM,
    CHILD_DESCRIPTION,
    WIP_STOCK,
    OSP_STOCK,
    BUYER_NAME,
    SUPPLIER_NAME
FROM KPCL_REPORTING.KPC_FULL_KIT_BOM_EXPLODE
WHERE NVL(WIP_STOCK, 0) &gt; 0
  AND NVL(OSP_STOCK, 0) &gt; 0
ORDER BY WIP_STOCK DESC, OSP_STOCK DESC;</t>
  </si>
  <si>
    <t>Show product groups having item cost greater than item_cost {item_cost}.</t>
  </si>
  <si>
    <t>Display supplier wise approved PO quantities.</t>
  </si>
  <si>
    <t>Show supplier wise approved PO quantities.</t>
  </si>
  <si>
    <t>supplier wise approved PO quantities</t>
  </si>
  <si>
    <t>SELECT
    SUPPLIER_NAME,
    SUM(NVL(APP_PO_QTY, 0)) AS TOTAL_APPROVED_PO_QTY
FROM KPCL_REPORTING.KPC_FULL_KIT_BOM_EXPLODE
WHERE NVL(APP_PO_QTY, 0) &gt; 0
GROUP BY SUPPLIER_NAME
ORDER BY TOTAL_APPROVED_PO_QTY DESC;</t>
  </si>
  <si>
    <t>Show product groups having item cost greater than /item_cost {item_cost}.</t>
  </si>
  <si>
    <t>product groups having item cost greater than item cost</t>
  </si>
  <si>
    <t>SELECT ORG_NAME,
    PRODUCT_GROUP,
    COUNT(DISTINCT CHILD_ITEM) AS TOTAL_ITEMS,
    ROUND(AVG(ITEM_COST), 2) AS AVG_ITEM_COST,
    MAX(ITEM_COST) AS MAX_ITEM_COST,
    MIN(ITEM_COST) AS MIN_ITEM_COST,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ITEM_COST &gt; {item_cost}
  AND PRODUCT_GROUP IS NOT NULL AND REQ_QTY_MONTH = UPPER(TO_CHAR(SYSDATE, 'MON-YYYY')) AND CHILD_ITEM not like 'N%' 
GROUP BY PRODUCT_GROUP, ORG_NAME
ORDER BY TOTAL_ITEMS DESC;</t>
  </si>
  <si>
    <t>Display buyers handling high MOQ/minimum order quantity items.</t>
  </si>
  <si>
    <t>buyers handling high MOQ/minimum order quantity items</t>
  </si>
  <si>
    <t>View approved PO quantities by buyer {buyer}.</t>
  </si>
  <si>
    <t>Show approved PO quantities by /buyer {buyer}</t>
  </si>
  <si>
    <t>approved PO quantities by buyer</t>
  </si>
  <si>
    <t>SELECT ORG_NAME,
    BUYER_NAME,
    COUNT(DISTINCT CHILD_ITEM) AS HIGH_MOQ_ITEMS_COUNT,
    ROUND(AVG(MINIMUM_ORDER_QTY), 2) AS AVG_MIN_ORDER_QTY,
    MAX(MINIMUM_ORDER_QTY) AS MAX_MIN_ORDER_QTY,
    SUM(MINIMUM_ORDER_QTY) AS TOTAL_MIN_ORDER_QTY,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MINIMUM_ORDER_QTY &gt; (
    SELECT AVG(MINIMUM_ORDER_QTY) 
    FROM  KPCL_REPORTING.FULLKIT_ITEMWISE_INV 
    WHERE MINIMUM_ORDER_QTY IS NOT NULL AND MINIMUM_ORDER_QTY &gt; 0
)
  AND BUYER_NAME IS NOT NULL AND REQ_QTY_MONTH = UPPER(TO_CHAR(SYSDATE, 'MON-YYYY')) AND CHILD_ITEM not like 'N%' 
GROUP BY BUYER_NAME, ORG_NAME
ORDER BY MAX_MIN_ORDER_QTY DESC;</t>
  </si>
  <si>
    <t>SELECT
    BUYER_NAME,
    SUM(NVL(APP_PO_QTY, 0)) AS TOTAL_APPROVED_PO_QTY
FROM 
    KPCL_REPORTING.KPC_FULL_KIT_BOM_EXPLODE
WHERE 
    (BUYER_NAME) LIKE ('%{buyer}%')
    AND NVL(APP_PO_QTY, 0) &gt; 0
GROUP BY 
    BUYER_NAME
ORDER BY 
    TOTAL_APPROVED_PO_QTY DESC;</t>
  </si>
  <si>
    <t>Show product groups with MOQ/minimum order quantity greater than quantity {quantity}.</t>
  </si>
  <si>
    <t>Show product groups with MOQ/minimum order quantity greater than /quantity {quantity}.</t>
  </si>
  <si>
    <t xml:space="preserve">product groups with MOQ/minimum order quantity greater than quantity </t>
  </si>
  <si>
    <t>SELECT ORG_NAME,
    PRODUCT_GROUP,
    COUNT(DISTINCT CHILD_ITEM) AS TOTAL_ITEMS,
    ROUND(AVG(MINIMUM_ORDER_QTY), 2) AS AVG_MIN_ORDER_QTY,
    MAX(MINIMUM_ORDER_QTY) AS MAX_MIN_ORDER_QTY,
    MIN(MINIMUM_ORDER_QTY) AS MIN_MIN_ORDER_QTY,
    SUM(MINIMUM_ORDER_QTY) AS TOTAL_MIN_ORDER_QTY,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MINIMUM_ORDER_QTY &gt; {quantity}
  AND PRODUCT_GROUP IS NOT NULL AND REQ_QTY_MONTH = UPPER(TO_CHAR(SYSDATE, 'MON-YYYY')) AND CHILD_ITEM not like 'N%' 
GROUP BY PRODUCT_GROUP, ORG_NAME
ORDER BY TOTAL_ITEMS DESC;</t>
  </si>
  <si>
    <t>Show components with zero standard rate.</t>
  </si>
  <si>
    <t>Find components with zero standard rate.</t>
  </si>
  <si>
    <t>components with zero standard rate</t>
  </si>
  <si>
    <t>SELECT
    CHILD_ITEM,
    CHILD_DESCRIPTION,
    ITEM_STD_RATE,
    BUYER_NAME,
    SUPPLIER_NAME
FROM KPCL_REPORTING.KPC_FULL_KIT_BOM_EXPLODE
WHERE NVL(ITEM_STD_RATE, 0) = 0
ORDER BY CHILD_ITEM;</t>
  </si>
  <si>
    <t>Show items having maximum order quantity greater than quantity {quantity}.</t>
  </si>
  <si>
    <t>Show items having maximum order quantity greater than /quantity {quantity}.</t>
  </si>
  <si>
    <t xml:space="preserve">items having maximum order quantity greater than quantity </t>
  </si>
  <si>
    <t>SELECT  ORG_NAME,
    CHILD_ITEM,
    CHILD_DESCRIPTION,
    BUYER_NAME,
    PRODUCT_GROUP,
    MODEL,
    MAXIMUM_ORDER_QTY,
    MINIMUM_ORDER_QTY,
    FIXED_ORDER_QTY,
    MRP_DEMAND,
    REQ_QTY,
    ALLOCATED_QTY_MINMAX,
    REMAINING_QTY,
    TODAYS_STOCK_VALUE
FROM  KPCL_REPORTING.FULLKIT_ITEMWISE_INV
WHERE MAXIMUM_ORDER_QTY &gt; {quantity} AND REQ_QTY_MONTH = UPPER(TO_CHAR(SYSDATE, 'MON-YYYY')) AND CHILD_ITEM not like 'N%' 
ORDER BY MAXIMUM_ORDER_QTY DESC;</t>
  </si>
  <si>
    <t>Display buyers handling high maximum order quantity items.</t>
  </si>
  <si>
    <t>buyers handling high maximum order quantity items</t>
  </si>
  <si>
    <t>Display inventory planning code wise item count.</t>
  </si>
  <si>
    <t>Show inventory planning code wise item count.</t>
  </si>
  <si>
    <t>inventory planning code wise item count</t>
  </si>
  <si>
    <t>SELECT 
    BUYER_NAME, ORG_NAME,
    COUNT(DISTINCT CHILD_ITEM) AS HIGH_MAX_OQ_ITEMS_COUNT,
    ROUND(AVG(MAXIMUM_ORDER_QTY), 2) AS AVG_MAX_ORDER_QTY,
    MAX(MAXIMUM_ORDER_QTY) AS MAX_MAX_ORDER_QTY,
    SUM(MAXIMUM_ORDER_QTY) AS TOTAL_MAX_ORDER_QTY,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MAXIMUM_ORDER_QTY &gt; (
    SELECT AVG(MAXIMUM_ORDER_QTY) 
    FROM  KPCL_REPORTING.FULLKIT_ITEMWISE_INV 
    WHERE MAXIMUM_ORDER_QTY IS NOT NULL AND MAXIMUM_ORDER_QTY &gt; 0
)
  AND BUYER_NAME IS NOT NULL AND REQ_QTY_MONTH = UPPER(TO_CHAR(SYSDATE, 'MON-YYYY')) AND CHILD_ITEM not like 'N%' 
GROUP BY BUYER_NAME, ORG_NAME
ORDER BY MAX_MAX_ORDER_QTY DESC;</t>
  </si>
  <si>
    <t>SELECT
    INVENTORY_PLANNING_CODE,
    COUNT(DISTINCT CHILD_ITEM) AS ITEM_COUNT
FROM KPCL_REPORTING.KPC_FULL_KIT_BOM_EXPLODE
GROUP BY INVENTORY_PLANNING_CODE
ORDER BY ITEM_COUNT DESC;</t>
  </si>
  <si>
    <t>Show product groups with maximum order quantity greater than quantity {quantity}.</t>
  </si>
  <si>
    <t>Show product groups with maximum order quantity greater than /quantity {quantity}.</t>
  </si>
  <si>
    <t xml:space="preserve">product groups with maximum order quantity greater than quantity </t>
  </si>
  <si>
    <t>SELECT 
    PRODUCT_GROUP, ORG_NAME,
    COUNT(DISTINCT CHILD_ITEM) AS TOTAL_ITEMS,
    ROUND(AVG(MAXIMUM_ORDER_QTY), 2) AS AVG_MAX_ORDER_QTY,
    MAX(MAXIMUM_ORDER_QTY) AS MAX_MAX_ORDER_QTY,
    MIN(MAXIMUM_ORDER_QTY) AS MIN_MAX_ORDER_QTY,
    SUM(MAXIMUM_ORDER_QTY) AS TOTAL_MAX_ORDER_QTY,
    SUM(MRP_DEMAND) AS TOTAL_MRP_DEMAND,
    SUM(REQ_QTY) AS TOTAL_REQUIRED_QTY,
    SUM(ALLOCATED_QTY_MINMAX) AS TOTAL_ALLOCATED_QTY,
    SUM(REMAINING_QTY) AS TOTAL_REMAINING_QTY,
    SUM(TODAYS_STOCK_VALUE) AS TOTAL_STOCK_VALUE
FROM  KPCL_REPORTING.FULLKIT_ITEMWISE_INV
WHERE MAXIMUM_ORDER_QTY &gt; {quantity}
  AND PRODUCT_GROUP IS NOT NULL AND REQ_QTY_MONTH = UPPER(TO_CHAR(SYSDATE, 'MON-YYYY')) AND CHILD_ITEM not like 'N%' 
GROUP BY PRODUCT_GROUP, ORG_NAME
ORDER BY TOTAL_ITEMS DESC;</t>
  </si>
  <si>
    <t>View MRP planning code wise shortages.</t>
  </si>
  <si>
    <t>Display MRP planning code wise shortages.</t>
  </si>
  <si>
    <t>MRP planning code wise shortages</t>
  </si>
  <si>
    <t>SELECT
    MRP_PLANNING_CODE,
    SUM(NVL(SHORT_QTY, 0)) AS TOTAL_SHORTAGE_QTY
FROM KPCL_REPORTING.KPC_FULL_KIT_BOM_EXPLODE
WHERE NVL(SHORT_QTY, 0) &gt; 0
GROUP BY MRP_PLANNING_CODE
ORDER BY TOTAL_SHORTAGE_QTY DESC;</t>
  </si>
  <si>
    <t xml:space="preserve">inventory for product group </t>
  </si>
  <si>
    <t>SELECT ORG_NAME,
    PRODUCT_GROUP,
    CHILD_ITEM,
    CHILD_DESCRIPTION,
    CHILD_ITEM_TYPE,
    STOCK_QTY_ASM,
    STOCK_QTY_FC,
    STOCK_QTY_FG,
    STOCK_QTY_MS,
    STOCK_GENERAL_STORE,
    TODAYS_STOCK_VALUE,
    DAYS_0_180_STOCK_VALUE,
    DAYS_181_360_STOCK_VALUE,
    BEYOND_3_YEARS_STOCK_VALUE
FROM  KPCL_REPORTING.FULLKIT_ITEMWISE_INV
WHERE PRODUCT_GROUP LIKE '%{product_group}%' AND REQ_QTY_MONTH = UPPER(TO_CHAR(SYSDATE, 'MON-YYYY')) AND CHILD_ITEM not like 'N%' 
ORDER BY TODAYS_STOCK_VALUE DESC;</t>
  </si>
  <si>
    <t>Display stock value of product_model {product_model}.</t>
  </si>
  <si>
    <t>Display stock value of /product_model {product_model}.</t>
  </si>
  <si>
    <t>Show items with maximum safety stock.</t>
  </si>
  <si>
    <t xml:space="preserve">stock value of product model </t>
  </si>
  <si>
    <t>Find items with maximum safety stock.</t>
  </si>
  <si>
    <t>items with maximum safety stock</t>
  </si>
  <si>
    <t>SELECT 
    MODEL,
    ORG_NAME,
    COUNT(DISTINCT CHILD_ITEM) AS TOTAL_ITEMS,
    SUM(STOCK_QTY_ASM) AS TOTAL_STOCK_QTY_ASM,
    SUM(STOCK_QTY_FC) AS TOTAL_STOCK_QTY_FC,
    SUM(STOCK_QTY_FG) AS TOTAL_STOCK_QTY_FG,
    SUM(STOCK_QTY_MS) AS TOTAL_STOCK_QTY_MS,
    SUM(STOCK_GENERAL_STORE) AS TOTAL_STOCK_GENERAL_STORE,
    SUM(TODAYS_STOCK_VALUE) AS TOTAL_TODAYS_STOCK_VALUE,
    SUM(DAYS_0_180_STOCK_VALUE) AS TOTAL_0_180_DAYS_STOCK_VALUE,
    SUM(DAYS_181_360_STOCK_VALUE) AS TOTAL_181_360_DAYS_STOCK_VALUE,
    SUM(BEYOND_3_YEARS_STOCK_VALUE) AS TOTAL_BEYOND_3_YEARS_STOCK_VALUE
FROM  KPCL_REPORTING.FULLKIT_ITEMWISE_INV
WHERE MODEL LIKE '%{product_model}%' AND REQ_QTY_MONTH = UPPER(TO_CHAR(SYSDATE, 'MON-YYYY')) AND CHILD_ITEM not like 'N%' 
GROUP BY MODEL, ORG_NAME;</t>
  </si>
  <si>
    <t>SELECT DISTINCT
    CHILD_ITEM,
    CHILD_DESCRIPTION,
    SAFETY_STOCK,
    BUYER_NAME,
    SUPPLIER_NAME
FROM KPCL_REPORTING.KPC_FULL_KIT_BOM_EXPLODE
WHERE NVL(SAFETY_STOCK, 0) &gt; 0
ORDER BY SAFETY_STOCK DESC;</t>
  </si>
  <si>
    <t>Show item of item_type {item_type} in product_group {product_group}.</t>
  </si>
  <si>
    <t>Show item of /item_type {item_type} in /product_group {product_group}.</t>
  </si>
  <si>
    <t xml:space="preserve"> item of item type in product group </t>
  </si>
  <si>
    <t>SELECT ORG_NAME,
    CHILD_ITEM,
    CHILD_DESCRIPTION,
    CHILD_ITEM_TYPE,
    PRODUCT_GROUP,
    MODEL,
    BUYER_NAME,
    MRP_DEMAND,
    REQ_QTY,
    ALLOCATED_QTY_MINMAX,
    REMAINING_QTY,
    TODAYS_STOCK_VALUE
FROM  KPCL_REPORTING.FULLKIT_ITEMWISE_INV
WHERE CHILD_ITEM_TYPE LIKE '%{item_type}%'
  AND PRODUCT_GROUP LIKE '%{product_group}%' AND REQ_QTY_MONTH = UPPER(TO_CHAR(SYSDATE, 'MON-YYYY')) AND CHILD_ITEM not like 'N%' 
ORDER BY CHILD_ITEM ASC;</t>
  </si>
  <si>
    <t>item_type, product_group</t>
  </si>
  <si>
    <t>Display BOM components with latest expected dates.</t>
  </si>
  <si>
    <t>Show BOM components with latest expected dates.</t>
  </si>
  <si>
    <t>BOM components with latest expected dates</t>
  </si>
  <si>
    <t>SELECT DISTINCT
    PARENT_ITEM,
    CHILD_ITEM,
    CHILD_DESCRIPTION,
    EXPECTED_DATE,
    BUYER_NAME,
    SUPPLIER_NAME
FROM KPCL_REPORTING.KPC_FULL_KIT_BOM_EXPLODE
WHERE EXPECTED_DATE IS NOT NULL
ORDER BY EXPECTED_DATE DESC;</t>
  </si>
  <si>
    <t>Display MRP demand for product_model {product_model} in product_group {product_group}.</t>
  </si>
  <si>
    <t>Display MRP demand for /product_model {product_model} in /product_group {product_group}.</t>
  </si>
  <si>
    <t>MRP demand for product model in product group</t>
  </si>
  <si>
    <t>SELECT ORG_NAME,
    MODEL,
    PRODUCT_GROUP,
    CHILD_ITEM,
    CHILD_DESCRIPTION,
    BUYER_NAME,
    MRP_DEMAND,
    REQ_QTY,
    ALLOCATED_QTY_MINMAX,
    REMAINING_QTY,
    TODAYS_STOCK_VALUE
FROM  KPCL_REPORTING.FULLKIT_ITEMWISE_INV
WHERE MODEL LIKE '%{product_model}%'
  AND PRODUCT_GROUP LIKE '%{product_group}%' AND REQ_QTY_MONTH = UPPER(TO_CHAR(SYSDATE, 'MON-YYYY')) AND CHILD_ITEM not like 'N%' 
ORDER BY MRP_DEMAND DESC;</t>
  </si>
  <si>
    <t>Display child items with high required quantity but low stock.</t>
  </si>
  <si>
    <t>child items with high required quantity but low stock</t>
  </si>
  <si>
    <t>Show lead time for product_group {product_group}.</t>
  </si>
  <si>
    <t>Show lead time for /product_group {product_group}.</t>
  </si>
  <si>
    <t>SELECT
    CHILD_ITEM,
    CHILD_DESCRIPTION,
    REQUIRED_QTY,
    ON_HAND_STOCK,
    SHORT_QTY,
    BUYER_NAME,
    SUPPLIER_NAME
FROM KPCL_REPORTING.KPC_FULL_KIT_BOM_EXPLODE
WHERE NVL(REQUIRED_QTY, 0) &gt; NVL(ON_HAND_STOCK, 0)
ORDER BY (NVL(REQUIRED_QTY, 0) - NVL(ON_HAND_STOCK, 0)) DESC;</t>
  </si>
  <si>
    <t xml:space="preserve">lead time for product group </t>
  </si>
  <si>
    <t>SELECT ORG_NAME,
    PRODUCT_GROUP,
    CHILD_ITEM,
    CHILD_DESCRIPTION,
    BUYER_NAME,
    LEAD_TIME,
    MINIMUM_ORDER_QTY,
    MAXIMUM_ORDER_QTY,
    MRP_DEMAND,
    REQ_QTY,
    TODAYS_STOCK_VALUE
FROM  KPCL_REPORTING.FULLKIT_ITEMWISE_INV
WHERE PRODUCT_GROUP LIKE '%{product_group}%' AND REQ_QTY_MONTH = UPPER(TO_CHAR(SYSDATE, 'MON-YYYY')) AND CHILD_ITEM not like 'N%' 
ORDER BY LEAD_TIME DESC;</t>
  </si>
  <si>
    <t>Display remaining quantity for product_model {product_model}.</t>
  </si>
  <si>
    <t>Display remaining quantity for /product_model {product_model}.</t>
  </si>
  <si>
    <t xml:space="preserve">remaining quantity for product model </t>
  </si>
  <si>
    <t>SELECT ORG_NAME,
    MODEL,
    CHILD_ITEM,
    CHILD_DESCRIPTION,
    BUYER_NAME,
    MRP_DEMAND,
    REQ_QTY,
    ALLOCATED_QTY_MINMAX,
    REMAINING_QTY,
    TODAYS_STOCK_VALUE
FROM  KPCL_REPORTING.FULLKIT_ITEMWISE_INV
WHERE MODEL LIKE '%{product_model}%' AND REQ_QTY_MONTH = UPPER(TO_CHAR(SYSDATE, 'MON-YYYY')) AND CHILD_ITEM not like 'N%' 
 ORDER BY REMAINING_QTY DESC;</t>
  </si>
  <si>
    <t>Show status of all OA  / Order number having oa_colour {oa_colour}.</t>
  </si>
  <si>
    <t>Find status of all OA  / Order number having /oa_colour{oa_colour}.</t>
  </si>
  <si>
    <t>status of all OA  / Order number having oa colour</t>
  </si>
  <si>
    <t>SELECT
    OA_NUMBER,
    CUSTOMER_NAME,
    OA_COLOUR,
    OA_PROMISE_DATE,
    FULL_KIT_NAME
FROM KPCL_REPORTING.KPC_FULL_KIT_BOM_EXPLODE
WHERE (OA_COLOUR) LIKE '%{oa_colour}%'
ORDER BY OA_PROMISE_DATE;</t>
  </si>
  <si>
    <t>Show safety stock for product_group {product_group}.</t>
  </si>
  <si>
    <t>Show safety stock for /product_group {product_group}.</t>
  </si>
  <si>
    <t xml:space="preserve">safety stock for product group </t>
  </si>
  <si>
    <t>SELECT ORG_NAME,
    PRODUCT_GROUP,
    CHILD_ITEM,
    CHILD_DESCRIPTION,
    BUYER_NAME,
    SAFETY_STOCK,
    MRP_DEMAND,
    REQ_QTY,
    ALLOCATED_QTY_MINMAX,
    REMAINING_QTY,
    TODAYS_STOCK_VALUE
FROM  KPCL_REPORTING.FULLKIT_ITEMWISE_INV
WHERE PRODUCT_GROUP LIKE '%{product_group}%' AND REQ_QTY_MONTH = UPPER(TO_CHAR(SYSDATE, 'MON-YYYY')) AND CHILD_ITEM not like 'N%' 
ORDER BY SAFETY_STOCK DESC;</t>
  </si>
  <si>
    <t>Display item cost for product_model {product_model} in product_group {product_group}.</t>
  </si>
  <si>
    <t>Display supplier wise delayed components .</t>
  </si>
  <si>
    <t>Display item cost for /product_model {product_model} in /product_group {product_group}.</t>
  </si>
  <si>
    <t xml:space="preserve">item cost for product model in product group </t>
  </si>
  <si>
    <t xml:space="preserve"> supplier wise delayed components</t>
  </si>
  <si>
    <t xml:space="preserve">SELECT  ORG_NAME,
    MODEL,
    PRODUCT_GROUP,
    CHILD_ITEM,
    CHILD_DESCRIPTION,
    BUYER_NAME,
    ITEM_COST,
    MRP_DEMAND,
    REQ_QTY,
    TODAYS_STOCK_VALUE
FROM  KPCL_REPORTING.FULLKIT_ITEMWISE_INV
WHERE MODEL LIKE '%{product_model}%'
  AND PRODUCT_GROUP LIKE '%{product_group}%' AND REQ_QTY_MONTH = UPPER(TO_CHAR(SYSDATE, 'MON-YYYY')) AND CHILD_ITEM not like 'N%' 
ORDER BY ITEM_COST DESC; </t>
  </si>
  <si>
    <t>SELECT DISTINCT
    OA_NUMBER                             AS ORDER_ACCEPTANCE_NO,
    CUSTOMER_NAME,
    PRD_MODEL                             AS PRODUCT_MODEL,
    PRD_GRP                               AS PRODUCT_GROUP,
    CHILD_ITEM_ID,
    CHILD_ITEM,
    CHILD_DESCRIPTION,
    TO_NUMBER(SHORT_QTY DEFAULT 0 ON CONVERSION ERROR) AS SHORTAGE_QTY,
    CASE 
        WHEN TO_NUMBER(SHORT_QTY DEFAULT 0 ON CONVERSION ERROR) = 0 THEN 'GREEN - FULL KIT READY'
        WHEN TO_NUMBER(SHORT_QTY DEFAULT 0 ON CONVERSION ERROR) &gt; 0 THEN 'RED - SHORTAGE'
        ELSE 'GREY - UNKNOWN'
    END AS OA_COLOR_STATUS
FROM 
    KPCL_REPORTING.KPC_FULL_KIT_BOM_EXPLODE
WHERE 
    OA_NUMBER IS NOT NULL
ORDER BY 
    OA_NUMBER ASC,
    SHORTAGE_QTY DESC;</t>
  </si>
  <si>
    <t>Show minimum order quantity for product_group {product_group}.</t>
  </si>
  <si>
    <t>Show minimum order quantity for /product_group {product_group}.</t>
  </si>
  <si>
    <t>minimum order quantity for product group</t>
  </si>
  <si>
    <t>SELECT ORG_NAME,
    PRODUCT_GROUP,
    CHILD_ITEM,
    CHILD_DESCRIPTION,
    BUYER_NAME,
    MINIMUM_ORDER_QTY,
    MAXIMUM_ORDER_QTY,
    FIXED_ORDER_QTY,
    MRP_DEMAND,
    REQ_QTY,
    TODAYS_STOCK_VALUE
FROM  KPCL_REPORTING.FULLKIT_ITEMWISE_INV
WHERE PRODUCT_GROUP LIKE '%{product_group}%' AND REQ_QTY_MONTH = UPPER(TO_CHAR(SYSDATE, 'MON-YYYY')) AND CHILD_ITEM not like 'N%' 
ORDER BY MINIMUM_ORDER_QTY DESC;</t>
  </si>
  <si>
    <t>Show top 20 shortage components.</t>
  </si>
  <si>
    <t>Find top 20 shortage components.</t>
  </si>
  <si>
    <t>top 20 shortage components</t>
  </si>
  <si>
    <t>Display maximum order quantity for product_model {product_model}.</t>
  </si>
  <si>
    <t>SELECT
    CHILD_ITEM,
    CHILD_DESCRIPTION,
    SHORT_QTY,
    BUYER_NAME,
    SUPPLIER_NAME,
    OA_NUMBER
FROM KPCL_REPORTING.KPC_FULL_KIT_BOM_EXPLODE
WHERE NVL(SHORT_QTY, 0) &gt; 0 AND PLAN_MAKE_BUY_CODE = 1
ORDER BY SHORT_QTY DESC
FETCH FIRST 20 ROWS ONLY;</t>
  </si>
  <si>
    <t>Display maximum order quantity for /product_model {product_model}.</t>
  </si>
  <si>
    <t xml:space="preserve">maximum order quantity for product model </t>
  </si>
  <si>
    <t>SELECT ORG_NAME,
    MODEL,
    CHILD_ITEM,
    CHILD_DESCRIPTION,
    BUYER_NAME,
    PRODUCT_GROUP,
    MAXIMUM_ORDER_QTY,
    MINIMUM_ORDER_QTY,
    FIXED_ORDER_QTY,
    MRP_DEMAND,
    REQ_QTY,
    TODAYS_STOCK_VALUE
FROM  KPCL_REPORTING.FULLKIT_ITEMWISE_INV
WHERE MODEL LIKE '%{product_model}%' AND REQ_QTY_MONTH = UPPER(TO_CHAR(SYSDATE, 'MON-YYYY')) AND CHILD_ITEM not like 'N%' 
ORDER BY MAXIMUM_ORDER_QTY DESC;</t>
  </si>
  <si>
    <t>Show required quantity and allocated quantity for product_group {product_group}, product_model {product_model} and item_type {item_type}.</t>
  </si>
  <si>
    <t>Show required quantity and allocated quantity for /product_group {product_group}, /product_model {product_model} and /item_type {item_type}.</t>
  </si>
  <si>
    <t xml:space="preserve">required quantity and allocated quantity for product group ,product model and item type </t>
  </si>
  <si>
    <t>View all make items with shortages.</t>
  </si>
  <si>
    <t>SELECT ORG_NAME,
    PRODUCT_GROUP,
    MODEL,
    CHILD_ITEM_TYPE,
    CHILD_ITEM,
    CHILD_DESCRIPTION,
    BUYER_NAME,
    REQ_QTY,
    ALLOCATED_QTY_MINMAX,
    REMAINING_QTY,
    TODAYS_STOCK_VALUE
FROM  KPCL_REPORTING.FULLKIT_ITEMWISE_INV
WHERE PRODUCT_GROUP LIKE '%{product_group}%'
  AND MODEL LIKE '%{product_model}%'
  AND CHILD_ITEM_TYPE LIKE '%{item_type}%' AND REQ_QTY_MONTH = UPPER(TO_CHAR(SYSDATE, 'MON-YYYY')) AND CHILD_ITEM not like 'N%' 
ORDER BY REQ_QTY DESC;</t>
  </si>
  <si>
    <t>Show all make items with shortages.</t>
  </si>
  <si>
    <t>product_model, product_group, item_type</t>
  </si>
  <si>
    <t>all make items with shortages</t>
  </si>
  <si>
    <t>SELECT
    CHILD_ITEM,
    CHILD_DESCRIPTION,
    SHORT_QTY,
    BUYER_NAME,
    SUPPLIER_NAME,
    OA_NUMBER,
    PLAN_MAKE_BUY_CODE
FROM KPCL_REPORTING.KPC_FULL_KIT_BOM_EXPLODE
WHERE NVL(SHORT_QTY, 0) &gt; 0 AND PLAN_MAKE_BUY_CODE = 1
ORDER BY SHORT_QTY DESC
FETCH FIRST 20 ROWS ONLY;</t>
  </si>
  <si>
    <t>Display remaining quantity for product_group {product_group}, product_model {product_model} and item_type {item_type}.</t>
  </si>
  <si>
    <t>Display remaining quantity for /product_group {product_group}, /product_model {product_model} and /item_type {item_type}.</t>
  </si>
  <si>
    <t xml:space="preserve">remaining quantity for product group, product model and item type </t>
  </si>
  <si>
    <t xml:space="preserve">SELECT ORG_NAME,
    PRODUCT_GROUP,
    MODEL,
    CHILD_ITEM_TYPE,
    CHILD_ITEM,
    CHILD_DESCRIPTION,
    BUYER_NAME,
    REMAINING_QTY,
    REQ_QTY,
    ALLOCATED_QTY_MINMAX,
    TODAYS_STOCK_VALUE
FROM  KPCL_REPORTING.FULLKIT_ITEMWISE_INV
WHERE PRODUCT_GROUP LIKE '%{product_group}%'
  AND MODEL LIKE '%{product_model}%'
  AND CHILD_ITEM_TYPE LIKE '%{item_type}%' AND REQ_QTY_MONTH = UPPER(TO_CHAR(SYSDATE, 'MON-YYYY')) AND CHILD_ITEM not like 'N%' 
ORDER BY REMAINING_QTY DESC; </t>
  </si>
  <si>
    <t>View buy items with pending PO quantities.</t>
  </si>
  <si>
    <t>Display buy items with pending PO quantities.</t>
  </si>
  <si>
    <t>buy items with pending PO quantities</t>
  </si>
  <si>
    <t>SELECT DISTINCT
    CHILD_ITEM,
    CHILD_DESCRIPTION,
    CHILD_ITEM_TYPE,
    PENDING_PO,
    BUYER_NAME,
    SUPPLIER_NAME,
    PLAN_MAKE_BUY_CODE
FROM KPCL_REPORTING.KPC_FULL_KIT_BOM_EXPLODE
WHERE NVL(PENDING_PO, 0) &gt; 0 AND PLAN_MAKE_BUY_CODE = 0
ORDER BY PENDING_PO DESC;</t>
  </si>
  <si>
    <t>Display inventory for product_group {product_group}, product_model {product_model} and item cost greater than item_cost {item_cost}.</t>
  </si>
  <si>
    <t>Display inventory for /product_group {product_group}, /product_model {product_model} and item cost greater than /item_cost {item_cost}.</t>
  </si>
  <si>
    <t xml:space="preserve">inventory for product group, product model and item cost greater than item cost </t>
  </si>
  <si>
    <t>SELECT ORG_NAME,
    PRODUCT_GROUP,
    MODEL,
    CHILD_ITEM,
    CHILD_DESCRIPTION,
    CHILD_ITEM_TYPE,
    BUYER_NAME,
    ITEM_COST,
    STOCK_QTY_ASM,
    STOCK_QTY_FC,
    STOCK_QTY_FG,
    STOCK_QTY_MS,
    STOCK_GENERAL_STORE,
    TODAYS_STOCK_VALUE
FROM  KPCL_REPORTING.FULLKIT_ITEMWISE_INV
WHERE PRODUCT_GROUP LIKE '%{product_group}%'
  AND MODEL LIKE '%{product_model}%'
  AND ITEM_COST &gt; {item_cost} AND REQ_QTY_MONTH = UPPER(TO_CHAR(SYSDATE, 'MON-YYYY')) AND CHILD_ITEM not like 'N%' 
ORDER BY ITEM_COST DESC;</t>
  </si>
  <si>
    <t>product_model, product_group, item_cost</t>
  </si>
  <si>
    <t>Show safety stock allocation for product_group {product_group}, product_model {product_model} and required quantity greater than quantity {quantity}.</t>
  </si>
  <si>
    <t>Display components having no stock in any inventory.</t>
  </si>
  <si>
    <t>Show safety stock allocation for /product_group {product_group}, /product_model {product_model} and required quantity greater than /quantity {quantity}.</t>
  </si>
  <si>
    <t>Find components having no stock in any inventory.</t>
  </si>
  <si>
    <t>components having no stock in any inventory</t>
  </si>
  <si>
    <t xml:space="preserve">safety stock allocation for product group, product model and required quantity greater than quantity </t>
  </si>
  <si>
    <t>SELECT DISTINCT
    CHILD_ITEM,
    CHILD_DESCRIPTION,
    ON_HAND_STOCK,
    WIP_STOCK,
    OSP_STOCK,
    STOCK_GENERAL_STORE,
    STOCK_SUP_SUB_INV,
    STOCK_REJ_SUB_INV,
    BUYER_NAME,
    SUPPLIER_NAME
FROM KPCL_REPORTING.KPC_FULL_KIT_BOM_EXPLODE
WHERE NVL(ON_HAND_STOCK, 0) = 0
  AND NVL(WIP_STOCK, 0) = 0
  AND NVL(OSP_STOCK, 0) = 0
  AND NVL(STOCK_GENERAL_STORE, 0) = 0
  AND NVL(STOCK_SUP_SUB_INV, 0) = 0
  AND NVL(STOCK_REJ_SUB_INV, 0) = 0
ORDER BY CHILD_ITEM;</t>
  </si>
  <si>
    <t>SELECT ORG_NAME, 
    PRODUCT_GROUP,
    MODEL,
    CHILD_ITEM,
    CHILD_DESCRIPTION,
    BUYER_NAME,
    SAFETY_STOCK,
    REQ_QTY,
    ALLOCATED_QTY_MINMAX,
    REMAINING_QTY,
    TODAYS_STOCK_VALUE
FROM  KPCL_REPORTING.FULLKIT_ITEMWISE_INV
WHERE PRODUCT_GROUP LIKE '%{product_group}%'
  AND MODEL LIKE '%{product_model}%'
  AND REQ_QTY &gt; {quantity} AND REQ_QTY_MONTH = UPPER(TO_CHAR(SYSDATE, 'MON-YYYY')) AND CHILD_ITEM not like 'N%' 
ORDER BY SAFETY_STOCK DESC;</t>
  </si>
  <si>
    <t>product_model, product_group, quantity</t>
  </si>
  <si>
    <t>Display MOQ/ minimum order quantity allocation for product_group {product_group}, product_model {product_model} and allocated quantity greater than quantity {quantity}.</t>
  </si>
  <si>
    <t>Display MOQ/ minimum order quantity allocation for /product_group {product_group}, /product_model {product_model} and allocated quantity greater than /quantity {quantity}.</t>
  </si>
  <si>
    <t>MOQ/ minimum order quantity allocation for product group, product model and allocated quantity greater than quantity</t>
  </si>
  <si>
    <t>View items with both approved and unapproved PO quantities.</t>
  </si>
  <si>
    <t>Show items with both approved and unapproved PO quantities.</t>
  </si>
  <si>
    <t>SELECT  ORG_NAME,
    PRODUCT_GROUP,
    MODEL,
    CHILD_ITEM,
    CHILD_DESCRIPTION,
    BUYER_NAME,
    MINIMUM_ORDER_QTY,
    ALLOCATED_QTY_MINMAX,
    REQ_QTY,
    REMAINING_QTY,
    TODAYS_STOCK_VALUE
FROM  KPCL_REPORTING.FULLKIT_ITEMWISE_INV
WHERE PRODUCT_GROUP LIKE '%{product_group}%'
  AND MODEL LIKE '%{product_model}%'
  AND ALLOCATED_QTY_MINMAX &gt; {quantity} AND REQ_QTY_MONTH = UPPER(TO_CHAR(SYSDATE, 'MON-YYYY')) AND CHILD_ITEM not like 'N%' 
ORDER BY ALLOCATED_QTY_MINMAX DESC;</t>
  </si>
  <si>
    <t>items with both approved and unapproved PO quantities</t>
  </si>
  <si>
    <t>SELECT DISTINCT
    CHILD_ITEM,
    CHILD_DESCRIPTION,
    APP_PO_QTY,
    UN_APPR_PO_QTY,
    BUYER_NAME,
    SUPPLIER_NAME
FROM KPCL_REPORTING.KPC_FULL_KIT_BOM_EXPLODE
WHERE NVL(APP_PO_QTY, 0) &gt; 0
  AND NVL(UN_APPR_PO_QTY, 0) &gt; 0
ORDER BY APP_PO_QTY DESC, UN_APPR_PO_QTY DESC;</t>
  </si>
  <si>
    <t>Show item_type {item_type} in product_group {product_group} and product_model {product_model}.</t>
  </si>
  <si>
    <t>Show /item_type {item_type} in /product_group {product_group} and /product_model {product_model}.</t>
  </si>
  <si>
    <t>item type in product group and product model</t>
  </si>
  <si>
    <t>SELECT ORG_NAME,
    CHILD_ITEM,
    CHILD_DESCRIPTION,
    CHILD_ITEM_TYPE,
    PRODUCT_GROUP,
    MODEL,
    BUYER_NAME,
    MRP_DEMAND,
    REQ_QTY,
    ALLOCATED_QTY_MINMAX,
    REMAINING_QTY,
    TODAYS_STOCK_VALUE
FROM  KPCL_REPORTING.FULLKIT_ITEMWISE_INV
WHERE CHILD_ITEM_TYPE LIKE '%{item_type}%'
  AND PRODUCT_GROUP LIKE '%{product_group}%'
  AND MODEL LIKE '%{product_model}%' AND REQ_QTY_MONTH = UPPER(TO_CHAR(SYSDATE, 'MON-YYYY')) AND CHILD_ITEM not like 'N%' 
 ORDER BY CHILD_ITEM ASC;</t>
  </si>
  <si>
    <t>View OA / Order number supply versus demand quantities.</t>
  </si>
  <si>
    <t>Display OA  / Order number wise supply versus demand quantities.</t>
  </si>
  <si>
    <t>OA  / Order number supply versus demand quantities</t>
  </si>
  <si>
    <t>SELECT
    OA_NUMBER,
    SUM(NVL(SUPPLY_QTY, 0)) AS TOTAL_SUPPLY_QTY,
    SUM(NVL(TOTAL_DD, 0)) AS TOTAL_DEMAND_QTY,
    SUM(NVL(SUPPLY_QTY, 0)) - SUM(NVL(TOTAL_DD, 0)) AS SUPPLY_DEMAND_DIFF
FROM KPCL_REPORTING.KPC_FULL_KIT_BOM_EXPLODE
GROUP BY OA_NUMBER
ORDER BY OA_NUMBER;</t>
  </si>
  <si>
    <t>Display minimum and maximum order quantities for product_group {product_group}, product_model {product_model} and item_type {item_type}.</t>
  </si>
  <si>
    <t>Display minimum and maximum order quantities for /product_group {product_group}, /product_model {product_model} and /item_type {item_type}.</t>
  </si>
  <si>
    <t xml:space="preserve">minimum and maximum order quantities for product group, product model and item type </t>
  </si>
  <si>
    <t>SELECT  
    PRODUCT_GROUP,
    MODEL,
    ORG_NAME,
    CHILD_ITEM_TYPE,
    CHILD_ITEM,
    CHILD_DESCRIPTION,
    BUYER_NAME,
    MINIMUM_ORDER_QTY,
    MAXIMUM_ORDER_QTY,
    FIXED_ORDER_QTY,
    MRP_DEMAND,
    REQ_QTY,
    TODAYS_STOCK_VALUE
FROM  KPCL_REPORTING.FULLKIT_ITEMWISE_INV
WHERE PRODUCT_GROUP LIKE '%{product_group}%'
  AND MODEL LIKE '%{product_model}%'
  AND CHILD_ITEM_TYPE LIKE '%{item_type}%' AND REQ_QTY_MONTH = UPPER(TO_CHAR(SYSDATE, 'MON-YYYY')) AND CHILD_ITEM not like 'N%' 
ORDER BY MAXIMUM_ORDER_QTY DESC, MINIMUM_ORDER_QTY DESC;</t>
  </si>
  <si>
    <t>Show total supply quantity, demand quantity, and supply-demand difference for each child item and item type by OA / Order number.</t>
  </si>
  <si>
    <t>total supply quantity, demand quantity, and supply-demand difference for each child item and item type by OA / Order number.</t>
  </si>
  <si>
    <t>SELECT
    OA_NUMBER,
    CHILD_ITEM,
    CHILD_ITEM_TYPE,
    SUM(NVL(SUPPLY_QTY, 0)) AS TOTAL_SUPPLY_QTY,
    SUM(NVL(TOTAL_DD, 0)) AS TOTAL_DEMAND_QTY,
    SUM(NVL(SUPPLY_QTY, 0)) - SUM(NVL(TOTAL_DD, 0)) AS SUPPLY_DEMAND_DIFF
FROM KPCL_REPORTING.KPC_FULL_KIT_BOM_EXPLODE
GROUP BY OA_NUMBER,CHILD_ITEM, CHILD_ITEM_TYPE
ORDER BY OA_NUMBER;</t>
  </si>
  <si>
    <t>Show inventory with remaining quantity greater than quantity {quantity} for product_group {product_group} and product_model {product_model}.</t>
  </si>
  <si>
    <t>Show inventory with remaining quantity greater than /quantity {quantity} for /product_group {product_group} and /product_model {product_model}.</t>
  </si>
  <si>
    <t xml:space="preserve">inventory with remaining quantity greater than quantity for product group and product model </t>
  </si>
  <si>
    <t>SELECT ORG_NAME,
    PRODUCT_GROUP,
    MODEL,
    CHILD_ITEM,
    CHILD_DESCRIPTION,
    BUYER_NAME,
    REMAINING_QTY,
    REQ_QTY,
    ALLOCATED_QTY_MINMAX,
    MRP_DEMAND,
    TODAYS_STOCK_VALUE
FROM  KPCL_REPORTING.FULLKIT_ITEMWISE_INV
WHERE PRODUCT_GROUP LIKE '%{product_group}%'
  AND MODEL LIKE '%{product_model}%'
  AND REMAINING_QTY &gt; {quantity} AND REQ_QTY_MONTH = UPPER(TO_CHAR(SYSDATE, 'MON-YYYY')) AND CHILD_ITEM not like 'N%' 
ORDER BY REMAINING_QTY DESC;</t>
  </si>
  <si>
    <t>View customer orders with insufficient stock allocation.</t>
  </si>
  <si>
    <t>Find customer orders with insufficient stock allocation.</t>
  </si>
  <si>
    <t>customer orders with insufficient stock allocation</t>
  </si>
  <si>
    <t>SELECT
    OA_NUMBER,
    PENDING_PO,
    CUSTOMER_NAME,
    CHILD_ITEM,
    CHILD_DESCRIPTION,
    REQUIRED_QTY,
    ALLOCATED_FRM_STOCK,
    SHORT_QTY,
    OA_COLOUR
FROM KPCL_REPORTING.KPC_FULL_KIT_BOM_EXPLODE
WHERE NVL(ALLOCATED_FRM_STOCK, 0) &lt; NVL(REQUIRED_QTY, 0)
ORDER BY (NVL(REQUIRED_QTY, 0) - NVL(ALLOCATED_FRM_STOCK, 0)) DESC;</t>
  </si>
  <si>
    <t>Show the required quantity and allocated quantity for req_qty_month {req_qty_month}.</t>
  </si>
  <si>
    <t>Show the required quantity and allocated quantity for /req_qty_month {req_qty_month}.</t>
  </si>
  <si>
    <t>required quantity and allocated quantity for req qty month</t>
  </si>
  <si>
    <t>SELECT ORG_NAME,
    REQ_QTY_MONTH,
    REQ_QTY,
    ALLOCATED_QTY_MONTH,
    ALLOCATED_QTY
FROM KPCL_REPORTING.FULLKIT_ITEMWISE_INV
WHERE REQ_QTY_MONTH LIKE '%{req_qty_month}%' AND CHILD_ITEM not like 'N%' 
ORDER BY REQ_QTY DESC;</t>
  </si>
  <si>
    <t>req_qty_month</t>
  </si>
  <si>
    <t>Show all items and buyers where allocated quantity exceeds available stock.</t>
  </si>
  <si>
    <t>Show the required quantity and allocated quantity for req_qty_month {req_qty_month} and buyer {buyer}.</t>
  </si>
  <si>
    <t>all items and buyers where allocated quantity exceeds available stock</t>
  </si>
  <si>
    <t>Show the required quantity and allocated quantity for /req_qty_month {req_qty_month} and /buyer {buyer}.</t>
  </si>
  <si>
    <t>required quantity and allocated quantity for req qty month and buyer</t>
  </si>
  <si>
    <t>SELECT
    CHILD_ITEM,
    CHILD_DESCRIPTION,
    ALLOCATED_FRM_STOCK,
    ON_HAND_STOCK,
    STOCK_GENERAL_STORE,
    WIP_STOCK,
    BUYER_NAME,
    SUPPLIER_NAME
FROM KPCL_REPORTING.KPC_FULL_KIT_BOM_EXPLODE
WHERE NVL(ALLOCATED_FRM_STOCK, 0) &gt;
      (
          NVL(ON_HAND_STOCK, 0) +
          NVL(STOCK_GENERAL_STORE, 0) +
          NVL(WIP_STOCK, 0)
      )
ORDER BY (NVL(ALLOCATED_FRM_STOCK, 0) -
         (
             NVL(ON_HAND_STOCK, 0) +
             NVL(STOCK_GENERAL_STORE, 0) +
             NVL(WIP_STOCK, 0)
         )) DESC;</t>
  </si>
  <si>
    <t>SELECT ORG_NAME,
    BUYER_NAME, REQ_QTY,
    REQ_QTY_MONTH,
    ALLOCATED_QTY_MONTH, ALLOCATED_QTY
FROM KPCL_REPORTING.FULLKIT_ITEMWISE_INV
WHERE BUYER_NAME LIKE '%{buyer}%'
  AND REQ_QTY_MONTH LIKE '%{req_qty_month}%' AND CHILD_ITEM not like 'N%'  
ORDER BY REQ_QTY_MONTH DESC;</t>
  </si>
  <si>
    <t>buyer, req_qty_month</t>
  </si>
  <si>
    <t>Display the required quantity and allocated quantity for req_qty_month {req_qty_month} and product_group {product_group}.</t>
  </si>
  <si>
    <t>Display the required quantity and allocated quantity for /req_qty_month {req_qty_month} and /product_group {product_group}.</t>
  </si>
  <si>
    <t>required quantity and allocated quantity for req qty month and product group</t>
  </si>
  <si>
    <t>SELECT ORG_NAME,
    PRODUCT_GROUP,
    REQ_QTY_MONTH,
    REQ_QTY,
    ALLOCATED_QTY_MONTH,
    ALLOCATED_QTY
FROM KPCL_REPORTING.FULLKIT_ITEMWISE_INV
WHERE PRODUCT_GROUP LIKE '%{product_group}%'
  AND REQ_QTY_MONTH LIKE '%{req_qty_month}%' AND CHILD_ITEM not like 'N%' 
ORDER BY REQ_QTY DESC;</t>
  </si>
  <si>
    <t>product_group, req_qty_month</t>
  </si>
  <si>
    <t>Display pending PO quantities by organization code.</t>
  </si>
  <si>
    <t>Find pending PO quantities by organization code.</t>
  </si>
  <si>
    <t>pending PO quantities by organization code</t>
  </si>
  <si>
    <t>SELECT 
    ORG_CODE,
    COUNT(DISTINCT OA_NUMBER) AS IMPACTED_OA_COUNT,
    COUNT(DISTINCT CHILD_ITEM) AS SHORT_ITEM_LINES_COUNT,
    SUM(NVL(SHORT_QTY, 0)) AS TOTAL_SHORTAGE_QTY,
    SUM(NVL(APP_PO_QTY, 0)) AS PENDING_APPROVED_PO_QTY,
    SUM(
        CASE 
            WHEN NVL(SHORT_QTY, 0) - NVL(APP_PO_QTY, 0) &gt; 0 
            THEN NVL(SHORT_QTY, 0) - NVL(APP_PO_QTY, 0)
            ELSE 0 
        END
    ) AS UNCOVERED_SHORTAGE_QTY
FROM 
    KPCL_REPORTING.KPC_FULL_KIT_BOM_EXPLODE
WHERE 
    ORG_CODE IS NOT NULL
    AND NVL(SHORT_QTY, 0) &gt; 0
GROUP BY 
    ORG_CODE
ORDER BY 
    PENDING_APPROVED_PO_QTY DESC, 
    TOTAL_SHORTAGE_QTY DESC;</t>
  </si>
  <si>
    <t>Show the required quantity and allocated quantity for req_qty_month {req_qty_month} and item {item}.</t>
  </si>
  <si>
    <t>Show the required quantity and allocated quantity for /req_qty_month {req_qty_month} and /item {item}.</t>
  </si>
  <si>
    <t>required quantity and allocated quantity for req_qty_month and item</t>
  </si>
  <si>
    <t>SELECT ORG_NAME,
    CHILD_ITEM,
    REQ_QTY_MONTH,
    REQ_QTY,
    ALLOCATED_QTY_MONTH,
    ALLOCATED_QTY
FROM KPCL_REPORTING.FULLKIT_ITEMWISE_INV
WHERE CHILD_ITEM LIKE '%{item}%'
  AND REQ_QTY_MONTH LIKE '%{req_qty_month}%' AND CHILD_ITEM not like 'N%' 
ORDER BY REQ_QTY DESC;</t>
  </si>
  <si>
    <t>item, req_qty_month</t>
  </si>
  <si>
    <t>Display the required quantity and allocated quantity for req_qty_month {req_qty_month}, product_model {product_model}, and product_group {product_group}.</t>
  </si>
  <si>
    <t>Display the required quantity and allocated quantity for /req_qty_month {req_qty_month} /product_model {product_model}, and /product_group {product_group}.</t>
  </si>
  <si>
    <t>View stock availability by org code.</t>
  </si>
  <si>
    <t>required quantity and allocated quantity for req qty month, product model and product group</t>
  </si>
  <si>
    <t>Display stock availability by org code.</t>
  </si>
  <si>
    <t>SELECT ORG_NAME,
    PRODUCT_GROUP,
    MODEL,
    REQ_QTY_MONTH,
    REQ_QTY,
    ALLOCATED_QTY_MONTH,
    ALLOCATED_QTY
FROM KPCL_REPORTING.FULLKIT_ITEMWISE_INV
WHERE PRODUCT_GROUP LIKE '%{product_group}%'
  AND MODEL LIKE '%{product_model}%'
  AND REQ_QTY_MONTH LIKE '%{req_qty_month}%' AND CHILD_ITEM not like 'N%' 
ORDER BY REQ_QTY DESC;</t>
  </si>
  <si>
    <t>stock availability by org code</t>
  </si>
  <si>
    <t>product_model, product_group, req_qty_month</t>
  </si>
  <si>
    <t>SELECT
    ORG_CODE,
    ORG_NAME,
    SUM(NVL(ON_HAND_STOCK, 0)) AS TOTAL_ON_HAND_STOCK,
    SUM(NVL(WIP_STOCK, 0)) AS TOTAL_WIP_STOCK,
    SUM(NVL(OSP_STOCK, 0)) AS TOTAL_OSP_STOCK,
    SUM(NVL(SUPPLY_QTY, 0)) AS TOTAL_SUPPLY_QTY
FROM KPCL_REPORTING.KPC_FULL_KIT_BOM_EXPLODE
GROUP BY ORG_CODE, ORG_NAME
ORDER BY TOTAL_SUPPLY_QTY DESC;</t>
  </si>
  <si>
    <t>Display the required quantity and allocated quantity for req_qty_month {req_qty_month}, buyer {buyer} and item {item}.</t>
  </si>
  <si>
    <t>Display the required quantity and allocated quantity for /req_qty_month {req_qty_month}, /buyer {buyer}, and /item {item}.</t>
  </si>
  <si>
    <t>required quantity and allocated quantity for req qty month, buyer and item</t>
  </si>
  <si>
    <t>SELECT ORG_NAME,
    CHILD_ITEM,
    BUYER_NAME,
    REQ_QTY_MONTH,
    REQ_QTY,
    ALLOCATED_QTY_MONTH,
    ALLOCATED_QTY
FROM KPCL_REPORTING.FULLKIT_ITEMWISE_INV
WHERE BUYER_NAME LIKE '%{buyer}%'
  AND CHILD_ITEM LIKE '%{item}%'
  AND REQ_QTY_MONTH LIKE '%{req_qty_month}%' AND CHILD_ITEM not like 'N%' 
ORDER BY REQ_QTY DESC;</t>
  </si>
  <si>
    <t>buyer, item, req_qty_month</t>
  </si>
  <si>
    <t>Display all components for oa_number {oa_number}.</t>
  </si>
  <si>
    <t>Show all components for /oa_number {oa_number}.</t>
  </si>
  <si>
    <t>all components for oa number</t>
  </si>
  <si>
    <t>SELECT DISTINCT
    OA_NUMBER,
    PARENT_ITEM,
    PARENT_DESCRIPTION,
    CHILD_ITEM,
    CHILD_DESCRIPTION,
    BOM_LEVEL,
    REQUIRED_QTY,
    ON_HAND_STOCK,
    SHORT_QTY,
    BUYER_NAME,
    SUPPLIER_NAME
FROM KPCL_REPORTING.KPC_FULL_KIT_BOM_EXPLODE
WHERE OA_NUMBER LIKE '%{oa_number}%'
ORDER BY BOM_LEVEL, PARENT_ITEM, CHILD_ITEM;</t>
  </si>
  <si>
    <t>View shortages for oa_number {oa_number}.</t>
  </si>
  <si>
    <t>Find shortages for /oa_number {oa_number}.</t>
  </si>
  <si>
    <t>shortages for oa number</t>
  </si>
  <si>
    <t>SELECT DISTINCT
    OA_NUMBER,
    CHILD_ITEM,
    CHILD_DESCRIPTION,
    SHORT_QTY,
    REQUIRED_QTY,
    ON_HAND_STOCK,
    BUYER_NAME,
    SUPPLIER_NAME,
    OA_COLOUR
FROM KPCL_REPORTING.KPC_FULL_KIT_BOM_EXPLODE
WHERE OA_NUMBER LIKE '%{oa_number}%'
  AND NVL(SHORT_QTY, 0) &gt; 0
ORDER BY SHORT_QTY DESC;</t>
  </si>
  <si>
    <t>View pending PO quantities for oa_number {oa_number}.</t>
  </si>
  <si>
    <t>Display pending PO quantities for /oa_number {oa_number}.</t>
  </si>
  <si>
    <t>pending PO quantities for oa number</t>
  </si>
  <si>
    <t>SELECT DISTINCT
    OA_NUMBER,
    CHILD_ITEM,
    CHILD_DESCRIPTION,
    PENDING_PO,
    BUYER_NAME,
    SUPPLIER_NAME,
    OA_COLOUR
FROM KPCL_REPORTING.KPC_FULL_KIT_BOM_EXPLODE
WHERE OA_NUMBER LIKE '%{oa_number}%'
  AND NVL(PENDING_PO, 0) &gt; 0
ORDER BY PENDING_PO DESC;</t>
  </si>
  <si>
    <t>Display all OA  / Order number for customer {customer}.</t>
  </si>
  <si>
    <t>Show all OA  / Order number for /customer {customer} .</t>
  </si>
  <si>
    <t xml:space="preserve">all OA  / Order number for customer </t>
  </si>
  <si>
    <t>SELECT DISTINCT
    OA_NUMBER,
    CUSTOMER_NAME,
    OA_CREATION_DATE,
    OA_PROMISE_DATE,
    OA_COLOUR,
    FULL_KIT_NAME
FROM KPCL_REPORTING.KPC_FULL_KIT_BOM_EXPLODE
WHERE 
    CUSTOMER_NAME LIKE '%{customer}%'
ORDER BY OA_NUMBER;</t>
  </si>
  <si>
    <t>View shortages for customer {customer}.</t>
  </si>
  <si>
    <t>Find shortages for /customer {customer}.</t>
  </si>
  <si>
    <t>shortages for customer</t>
  </si>
  <si>
    <t>SELECT DISTINCT
    OA_NUMBER,
    CUSTOMER_NAME,
    CHILD_ITEM,
    CHILD_DESCRIPTION,
    SHORT_QTY,
    REQUIRED_QTY,
    ON_HAND_STOCK,
    BUYER_NAME,
    SUPPLIER_NAME,
    OA_COLOUR
FROM KPCL_REPORTING.KPC_FULL_KIT_BOM_EXPLODE
WHERE 
    CUSTOMER_NAME LIKE '%{customer}%'
  AND NVL(SHORT_QTY, 0) &gt; 0
ORDER BY SHORT_QTY DESC;</t>
  </si>
  <si>
    <t>Show customer wise order count.</t>
  </si>
  <si>
    <t>Display customer wise order count.</t>
  </si>
  <si>
    <t>customer wise order count</t>
  </si>
  <si>
    <t>SELECT
    CUSTOMER_NAME,
    COUNT(DISTINCT OA_NUMBER) AS ORDER_COUNT
FROM KPCL_REPORTING.KPC_FULL_KIT_BOM_EXPLODE
GROUP BY CUSTOMER_NAME
ORDER BY ORDER_COUNT DESC;</t>
  </si>
  <si>
    <t>View OA / Order number scheduled for shipment this week.</t>
  </si>
  <si>
    <t>Find OA / Order number scheduled for shipment this week.</t>
  </si>
  <si>
    <t>OA / Order number scheduled for shipment this week</t>
  </si>
  <si>
    <t>SELECT DISTINCT
    OA_NUMBER,
    CUSTOMER_NAME,
    OA_SCH_SHIP_DT,
    OA_PROMISE_DATE,
    OA_COLOUR,
    FULL_KIT_NAME
FROM KPCL_REPORTING.KPC_FULL_KIT_BOM_EXPLODE
WHERE OA_SCH_SHIP_DT BETWEEN TRUNC(SYSDATE, 'IW')
AND TRUNC(SYSDATE, 'IW') + 6
ORDER BY OA_SCH_SHIP_DT;</t>
  </si>
  <si>
    <t>Display deepest BOM level items.</t>
  </si>
  <si>
    <t>SELECT DISTINCT
    OA_NUMBER,
    PARENT_ITEM,
    CHILD_ITEM,
    CHILD_DESCRIPTION,
    BOM_LEVEL,
    REQUIRED_QTY,
    ON_HAND_STOCK
FROM KPCL_REPORTING.KPC_FULL_KIT_BOM_EXPLODE
WHERE BOM_LEVEL = (
    SELECT MAX(BOM_LEVEL)
    FROM KPCL_REPORTING.KPC_FULL_KIT_BOM_EXPLODE
)
ORDER BY OA_NUMBER, PARENT_ITEM, CHILD_ITEM;</t>
  </si>
  <si>
    <t>Display components by BOM level.</t>
  </si>
  <si>
    <t>components grouped by BOM level</t>
  </si>
  <si>
    <t>SELECT
    BOM_LEVEL,
    COUNT(DISTINCT CHILD_ITEM) AS COMPONENT_COUNT,
    SUM(NVL(REQUIRED_QTY, 0)) AS TOTAL_REQUIRED_QTY,
    SUM(NVL(SHORT_QTY, 0)) AS TOTAL_SHORTAGE_QTY
FROM KPCL_REPORTING.KPC_FULL_KIT_BOM_EXPLODE
GROUP BY BOM_LEVEL
ORDER BY BOM_LEVEL;</t>
  </si>
  <si>
    <t>Show BOM structure for parent_item {parent_item}.</t>
  </si>
  <si>
    <t>Show BOM structure for /parent_item {parent_item}.</t>
  </si>
  <si>
    <t xml:space="preserve"> BOM structure for parent item</t>
  </si>
  <si>
    <t>SELECT DISTINCT
    PARENT_ITEM_ID,
    PARENT_ITEM,
    PARENT_DESCRIPTION,
    CHILD_ITEM_ID,
    CHILD_ITEM,
    CHILD_DESCRIPTION,
    BOM_LEVEL,
    COMPONENT_QTY
FROM KPCL_REPORTING.KPC_FULL_KIT_BOM_EXPLODE
WHERE PARENT_ITEM LIKE '%{parent_item}%'
ORDER BY BOM_LEVEL, CHILD_ITEM;</t>
  </si>
  <si>
    <t>Show all child items under parent_item {parent_item}</t>
  </si>
  <si>
    <t>Find all child items under /parent_item {parent_item}.</t>
  </si>
  <si>
    <t>all child items under parent item</t>
  </si>
  <si>
    <t>SELECT 
    CHILD_ITEM_ID,
    CHILD_ITEM,
    CHILD_DESCRIPTION,
    COMPONENT_QTY
FROM KPCL_REPORTING.KPC_FULL_KIT_BOM_EXPLODE
WHERE PARENT_ITEM LIKE '%{parent_item}%';</t>
  </si>
  <si>
    <t>Show shortages for parent_item {parent_item}.</t>
  </si>
  <si>
    <t>Display shortages for /parent_item {parent_item}.</t>
  </si>
  <si>
    <t>shortages for parent item</t>
  </si>
  <si>
    <t>SELECT 
    PARENT_ITEM_ID,
    PARENT_ITEM,
    CHILD_ITEM_ID,
    CHILD_ITEM,
    CHILD_DESCRIPTION,
    SHORT_QTY
FROM KPCL_REPORTING.KPC_FULL_KIT_BOM_EXPLODE
WHERE PARENT_ITEM LIKE '%{parent_item}%'
  AND NVL(SHORT_QTY, 0) &gt; 0;</t>
  </si>
  <si>
    <t>View parent items having parent_description {parent_description}.</t>
  </si>
  <si>
    <t>Search parent items having /parent_description {parent_description}.</t>
  </si>
  <si>
    <t>parent items having parent description</t>
  </si>
  <si>
    <t>SELECT 
    PARENT_ITEM_ID,
    PARENT_ITEM,
    PARENT_DESCRIPTION
FROM KPCL_REPORTING.KPC_FULL_KIT_BOM_EXPLODE
WHERE (PARENT_DESCRIPTION) LIKE '%{parent_description}%';</t>
  </si>
  <si>
    <t>parent_description</t>
  </si>
  <si>
    <t>View parent descriptions for all BOM.</t>
  </si>
  <si>
    <t>Show parent descriptions for all BOM.</t>
  </si>
  <si>
    <t>parent descriptions for all BOM</t>
  </si>
  <si>
    <t>SELECT DISTINCT
    PARENT_ITEM_ID,
    PARENT_ITEM,
    PARENT_DESCRIPTION
FROM KPCL_REPORTING.KPC_FULL_KIT_BOM_EXPLODE;</t>
  </si>
  <si>
    <t>View BOM related to gearbox assemblies.</t>
  </si>
  <si>
    <t>Find BOM related to gearbox assemblies.</t>
  </si>
  <si>
    <t>BOM related to gearbox assemblies</t>
  </si>
  <si>
    <t>SELECT 
    PARENT_ITEM_ID,
    PARENT_ITEM,
    PARENT_DESCRIPTION,
    CHILD_ITEM_ID,
    CHILD_ITEM,
    CHILD_DESCRIPTION,
    BOM_LEVEL
FROM KPCL_REPORTING.KPC_FULL_KIT_BOM_EXPLODE
WHERE (PARENT_DESCRIPTION) LIKE '%{parent_description}%';</t>
  </si>
  <si>
    <t>Show parent items with zero stock.</t>
  </si>
  <si>
    <t>parent items with zero stock</t>
  </si>
  <si>
    <t>SELECT DISTINCT
    PARENT_ITEM_ID,
    PARENT_ITEM,
    PARENT_DESCRIPTION,
    PARENT_ONHAND
FROM KPCL_REPORTING.KPC_FULL_KIT_BOM_EXPLODE
WHERE NVL(PARENT_ONHAND, 0) = 0;</t>
  </si>
  <si>
    <t>View parent items having stock greater than quantity {quantity}.</t>
  </si>
  <si>
    <t>Find parent items having stock greater than /quantity {quantity}.</t>
  </si>
  <si>
    <t>parent items having stock greater than quantity</t>
  </si>
  <si>
    <t>SELECT 
    PARENT_ITEM_ID,
    PARENT_ITEM,
    PARENT_DESCRIPTION,
    PARENT_ONHAND
FROM KPCL_REPORTING.KPC_FULL_KIT_BOM_EXPLODE
WHERE NVL(PARENT_ONHAND, 0) &gt; {quantity};</t>
  </si>
  <si>
    <t>View low stock parent items.</t>
  </si>
  <si>
    <t>Display low stock parent items.</t>
  </si>
  <si>
    <t>low stock parent items</t>
  </si>
  <si>
    <t>SELECT DISTINCT
    PARENT_ITEM_ID,
    PARENT_ITEM,
    PARENT_DESCRIPTION,
    PARENT_ONHAND
FROM KPCL_REPORTING.KPC_FULL_KIT_BOM_EXPLODE
WHERE NVL(PARENT_ONHAND, 0) &lt;= 50;</t>
  </si>
  <si>
    <t>Display details for child_item {child_item}.</t>
  </si>
  <si>
    <t>Show details for /child_item {child_item}.</t>
  </si>
  <si>
    <t>details for child item</t>
  </si>
  <si>
    <t>SELECT DISTINCT
    PARENT_ITEM_ID,
    PARENT_ITEM,
    PARENT_DESCRIPTION,
    CHILD_ITEM_ID,
    CHILD_ITEM,
    CHILD_DESCRIPTION,
    CHILD_ITEM_TYPE,
    CATEGORY_NAME,
    BOM_LEVEL,
    NVL(COMPONENT_QTY, 0) AS COMPONENT_QTY,
    NVL(STOCK_GENERAL_STORE, 0) AS ON_HAND_STOCK,
    NVL(WIP_STOCK, 0) AS WIP_STOCK,
    NVL(OSP_STOCK, 0) AS OSP_STOCK,
    NVL(SHORT_QTY, 0) AS SHORT_QTY,
    NVL(SUPPLY_QTY, 0) AS SUPPLY_QTY
FROM 
    KPCL_REPORTING.KPC_FULL_KIT_BOM_EXPLODE
WHERE 
   (CHILD_ITEM) LIKE ('%{child_item}%')
ORDER BY 
    PARENT_ITEM ASC, 
    BOM_LEVEL ASC, 
    CHILD_ITEM ASC;</t>
  </si>
  <si>
    <t>Show all OA  / Order number having child_item {child_item}.</t>
  </si>
  <si>
    <t>Find all OA  / Order number having /child_item {child_item}.</t>
  </si>
  <si>
    <t>all OA / Order number having child item</t>
  </si>
  <si>
    <t>SELECT DISTINCT
    OA_NUMBER,
    CUSTOMER_NAME,
    CHILD_ITEM_ID,
    CHILD_ITEM,
    CHILD_DESCRIPTION
FROM KPCL_REPORTING.KPC_FULL_KIT_BOM_EXPLODE
WHERE (CHILD_ITEM) LIKE ('%{child_item}%');</t>
  </si>
  <si>
    <t>Display shortages for child_item {child_item}.</t>
  </si>
  <si>
    <t>Display shortages for /child_item {child_item}.</t>
  </si>
  <si>
    <t>shortages for child item</t>
  </si>
  <si>
    <t>SELECT 
    CHILD_ITEM_ID,
    CHILD_ITEM,
    CHILD_DESCRIPTION,
    SHORT_QTY,
    MRP_DEMAND,
    SUPPLY_QTY
FROM KPCL_REPORTING.KPC_FULL_KIT_BOM_EXPLODE
WHERE (CHILD_ITEM) LIKE ('%{child_item}%')
  AND NVL(SHORT_QTY, 0) &gt; 0;</t>
  </si>
  <si>
    <t>Display descriptions for shortage items.</t>
  </si>
  <si>
    <t>Show descriptions for shortage items.</t>
  </si>
  <si>
    <t>descriptions for shortage items</t>
  </si>
  <si>
    <t>SELECT 
    CHILD_ITEM_ID,
    CHILD_ITEM,
    CHILD_DESCRIPTION,
    SHORT_QTY
FROM KPCL_REPORTING.KPC_FULL_KIT_BOM_EXPLODE
WHERE NVL(SHORT_QTY, 0) &gt; 0;</t>
  </si>
  <si>
    <t>View child items containing child_description {child_description}.</t>
  </si>
  <si>
    <t>Find child items containing /child_description {child_description}.</t>
  </si>
  <si>
    <t>child items containing child description</t>
  </si>
  <si>
    <t>SELECT DISTINCT
    CHILD_ITEM_ID,
    CHILD_ITEM,
    CHILD_DESCRIPTION 
FROM 
    KPCL_REPORTING.KPC_FULL_KIT_BOM_EXPLODE
WHERE 
    (CHILD_DESCRIPTION) LIKE ('%{child_description}%')
ORDER BY 
    CHILD_ITEM_ID;</t>
  </si>
  <si>
    <t>child_description</t>
  </si>
  <si>
    <t>Show child_item_type {child_item_type} BOM components.</t>
  </si>
  <si>
    <t>Display /child_item_type {child_item_type} BOM components.</t>
  </si>
  <si>
    <t>child item type BOM components</t>
  </si>
  <si>
    <t>SELECT 
    CHILD_ITEM_ID,
    CHILD_ITEM,
    CHILD_DESCRIPTION,
    CHILD_ITEM_TYPE
FROM KPCL_REPORTING.KPC_FULL_KIT_BOM_EXPLODE
WHERE (CHILD_ITEM) LIKE ('%{child_item}%');</t>
  </si>
  <si>
    <t>View child items with zero on-hand stock.</t>
  </si>
  <si>
    <t>Show child items with zero on-hand stock.</t>
  </si>
  <si>
    <t>child items with zero on-hand stock</t>
  </si>
  <si>
    <t>SELECT 
    CHILD_ITEM_ID,
    CHILD_ITEM,
    CHILD_DESCRIPTION,
    ON_HAND_STOCK
FROM KPCL_REPORTING.KPC_FULL_KIT_BOM_EXPLODE
WHERE NVL(ON_HAND_STOCK, 0) = 0;</t>
  </si>
  <si>
    <t>View child items having stock below 10.</t>
  </si>
  <si>
    <t>Find child items having stock below 10.</t>
  </si>
  <si>
    <t>child items having stock below 10</t>
  </si>
  <si>
    <t>SELECT 
    CHILD_ITEM_ID,
    CHILD_ITEM,
    CHILD_DESCRIPTION,
    ON_HAND_STOCK
FROM KPCL_REPORTING.KPC_FULL_KIT_BOM_EXPLODE
WHERE NVL(ON_HAND_STOCK, 0) &lt; 10;</t>
  </si>
  <si>
    <t>Show high stock child items.</t>
  </si>
  <si>
    <t>Display high stock child items.</t>
  </si>
  <si>
    <t>high stock child items</t>
  </si>
  <si>
    <t>SELECT 
    CHILD_ITEM_ID,
    CHILD_ITEM,
    CHILD_DESCRIPTION,
    ON_HAND_STOCK
FROM KPCL_REPORTING.KPC_FULL_KIT_BOM_EXPLODE
WHERE NVL(ON_HAND_STOCK, 0) &gt; 100;</t>
  </si>
  <si>
    <t>Show components with highest extended quantity.</t>
  </si>
  <si>
    <t>components with highest extended quantity</t>
  </si>
  <si>
    <t>SELECT 
    CHILD_ITEM_ID,
    CHILD_ITEM,
    CHILD_DESCRIPTION,
    EXTENDED_QUANTITY
FROM KPCL_REPORTING.KPC_FULL_KIT_BOM_EXPLODE
ORDER BY NVL(EXTENDED_QUANTITY, 0) DESC;</t>
  </si>
  <si>
    <t>Display total extended quantity for OA / Order number.</t>
  </si>
  <si>
    <t>Find total extended quantity for OA / Order number.</t>
  </si>
  <si>
    <t>total extended quantity for OA / Order number</t>
  </si>
  <si>
    <t>SELECT 
    OA_NUMBER,
    SUM(NVL(EXTENDED_QUANTITY, 0)) AS TOTAL_EXTENDED_QUANTITY
FROM KPCL_REPORTING.KPC_FULL_KIT_BOM_EXPLODE
GROUP BY OA_NUMBER
ORDER BY TOTAL_EXTENDED_QUANTITY DESC;</t>
  </si>
  <si>
    <t>View extended quantity by BOM level.</t>
  </si>
  <si>
    <t>Display extended quantity by BOM level.</t>
  </si>
  <si>
    <t>extended quantity by BOM level</t>
  </si>
  <si>
    <t>SELECT 
    BOM_LEVEL,
    SUM(NVL(EXTENDED_QUANTITY, 0)) AS TOTAL_EXTENDED_QUANTITY
FROM KPCL_REPORTING.KPC_FULL_KIT_BOM_EXPLODE
GROUP BY BOM_LEVEL
ORDER BY BOM_LEVEL;</t>
  </si>
  <si>
    <t>Display all items with uom {uom}.</t>
  </si>
  <si>
    <t>Find all items with /uom {uom}.</t>
  </si>
  <si>
    <t>all items with uom</t>
  </si>
  <si>
    <t>SELECT DISTINCT
    CHILD_ITEM_ID,
    CHILD_ITEM,
    CHILD_DESCRIPTION,
    UOM
FROM 
    KPCL_REPORTING.KPC_FULL_KIT_BOM_EXPLODE
WHERE 
   (UOM) LIKE ('%{uom}%')
ORDER BY 
    CHILD_ITEM ASC;</t>
  </si>
  <si>
    <t>uom</t>
  </si>
  <si>
    <t>Display item count by UOM.</t>
  </si>
  <si>
    <t>item count by UOM</t>
  </si>
  <si>
    <t>SELECT 
    UOM,
    COUNT(DISTINCT CHILD_ITEM_ID) AS ITEM_COUNT
FROM KPCL_REPORTING.KPC_FULL_KIT_BOM_EXPLODE
GROUP BY UOM
ORDER BY ITEM_COUNT DESC;</t>
  </si>
  <si>
    <t>Display items under category {category}.</t>
  </si>
  <si>
    <t>Show items under /category {category}.</t>
  </si>
  <si>
    <t>items under category</t>
  </si>
  <si>
    <t>SELECT DISTINCT
    CHILD_ITEM_ID,
    CHILD_ITEM,
    CHILD_DESCRIPTION,
    CATEGORY_NAME
FROM 
    KPCL_REPORTING.KPC_FULL_KIT_BOM_EXPLODE
WHERE 
    (CATEGORY_NAME) LIKE ('%{category}%')
ORDER BY 
    CATEGORY_NAME ASC, 
    CHILD_ITEM ASC;</t>
  </si>
  <si>
    <t>Display shortages by category.</t>
  </si>
  <si>
    <t>Find shortages by category.</t>
  </si>
  <si>
    <t>shortages by category</t>
  </si>
  <si>
    <t>SELECT 
    CATEGORY_NAME,
    SUM(NVL(SHORT_QTY, 0)) AS TOTAL_SHORTAGE_QTY
FROM KPCL_REPORTING.KPC_FULL_KIT_BOM_EXPLODE
GROUP BY CATEGORY_NAME
HAVING SUM(NVL(SHORT_QTY, 0)) &gt; 0
ORDER BY TOTAL_SHORTAGE_QTY DESC;</t>
  </si>
  <si>
    <t>Display category wise inventory value.</t>
  </si>
  <si>
    <t>category wise inventory value</t>
  </si>
  <si>
    <t>SELECT 
    CATEGORY_NAME,
    SUM(NVL(EXT_ITEM_COST, 0)) AS TOTAL_INVENTORY_VALUE
FROM KPCL_REPORTING.KPC_FULL_KIT_BOM_EXPLODE
GROUP BY CATEGORY_NAME
ORDER BY TOTAL_INVENTORY_VALUE DESC;</t>
  </si>
  <si>
    <t>View shortages by buyer.</t>
  </si>
  <si>
    <t>Show shortages by buyer.</t>
  </si>
  <si>
    <t>shortages by buyer</t>
  </si>
  <si>
    <t>SELECT 
    BUYER_ID,
    BUYER_NAME,
    SUM(NVL(SHORT_QTY, 0)) AS TOTAL_SHORTAGE_QTY
FROM KPCL_REPORTING.KPC_FULL_KIT_BOM_EXPLODE
GROUP BY BUYER_ID, BUYER_NAME
HAVING SUM(NVL(SHORT_QTY, 0)) &gt; 0
ORDER BY TOTAL_SHORTAGE_QTY DESC;</t>
  </si>
  <si>
    <t>Display all items handled by buyer {buyer}.</t>
  </si>
  <si>
    <t>Find all items handled by /buyer {buyer}.</t>
  </si>
  <si>
    <t>all items handled by buyer</t>
  </si>
  <si>
    <t>SELECT DISTINCT
    BUYER_ID,
    BUYER_NAME,
    CHILD_ITEM_ID,
    CHILD_ITEM,
    CHILD_DESCRIPTION
FROM 
    KPCL_REPORTING.KPC_FULL_KIT_BOM_EXPLODE
WHERE 
    (BUYER_NAME) LIKE ('%{buyer}%')
ORDER BY 
    BUYER_NAME ASC, 
    CHILD_ITEM ASC;</t>
  </si>
  <si>
    <t>Show pending PO quantity by buyer.</t>
  </si>
  <si>
    <t>Display pending PO quantity by buyer.</t>
  </si>
  <si>
    <t>pending PO quantity by buyer</t>
  </si>
  <si>
    <t>SELECT 
    BUYER_ID,
    BUYER_NAME,
    SUM(NVL(PENDING_PO, 0)) AS TOTAL_PENDING_PO_QTY
FROM KPCL_REPORTING.KPC_FULL_KIT_BOM_EXPLODE
GROUP BY BUYER_ID, BUYER_NAME
ORDER BY TOTAL_PENDING_PO_QTY DESC;</t>
  </si>
  <si>
    <t>Show vendor wise ASN quantities.</t>
  </si>
  <si>
    <t>Display vendor wise ASN quantities.</t>
  </si>
  <si>
    <t>vendor wise ASN quantities</t>
  </si>
  <si>
    <t>SELECT 
    VENDOR_ID,
    SUPPLIER_NAME,
    SUM(NVL(PENDING_ASN, 0)) AS TOTAL_ASN_QTY
FROM KPCL_REPORTING.KPC_FULL_KIT_BOM_EXPLODE
GROUP BY VENDOR_ID, SUPPLIER_NAME
ORDER BY TOTAL_ASN_QTY DESC;</t>
  </si>
  <si>
    <t>Display all items supplied by supplier {supplier}.</t>
  </si>
  <si>
    <t>Show all items supplied by /supplier {supplier}.</t>
  </si>
  <si>
    <t>all items supplied by supplier</t>
  </si>
  <si>
    <t>SELECT DISTINCT
    SUPPLIER_NAME,
    SUPPLIER_CONTACT,
    CHILD_ITEM_ID,
    CHILD_ITEM,
    CHILD_DESCRIPTION
FROM KPCL_REPORTING.KPC_FULL_KIT_BOM_EXPLODE
WHERE SUPPLIER_NAME LIKE '%{supplier}%';</t>
  </si>
  <si>
    <t>Show delayed orders linked to supplier {supplier}.</t>
  </si>
  <si>
    <t>Find delayed orders linked to /supplier {supplier}.</t>
  </si>
  <si>
    <t>delayed orders linked to supplier</t>
  </si>
  <si>
    <t>SELECT DISTINCT
    SUPPLIER_NAME,
    OA_NUMBER,
    CUSTOMER_NAME,
    OA_PROMISE_DATE,
    FULL_KIT_MRP_SUGG_DATE AS OA_NEED_BY_DATE
FROM 
    KPCL_REPORTING.KPC_FULL_KIT_BOM_EXPLODE
WHERE SUPPLIER_NAME LIKE '%{supplier}%'
     AND OA_PROMISE_DATE &gt; FULL_KIT_MRP_SUGG_DATE
ORDER BY 
    OA_PROMISE_DATE DESC,
    OA_NUMBER ASC;</t>
  </si>
  <si>
    <t>View supplier wise pending PO quantities.</t>
  </si>
  <si>
    <t>Display supplier wise pending PO quantities.</t>
  </si>
  <si>
    <t>supplier wise pending PO quantities</t>
  </si>
  <si>
    <t>SELECT 
    SUPPLIER_NAME,
    SUM(NVL(PENDING_PO, 0)) AS TOTAL_PENDING_PO_QTY
FROM KPCL_REPORTING.KPC_FULL_KIT_BOM_EXPLODE
GROUP BY SUPPLIER_NAME
ORDER BY TOTAL_PENDING_PO_QTY DESC;</t>
  </si>
  <si>
    <t>Show child items with pending PO quantity.</t>
  </si>
  <si>
    <t>child items with pending PO quantity</t>
  </si>
  <si>
    <t>SELECT 
    CHILD_ITEM_ID,
    CHILD_ITEM,
    CHILD_DESCRIPTION,
    SUM(NVL(PENDING_PO, 0)) AS TOTAL_PENDING_PO_QTY
FROM KPCL_REPORTING.KPC_FULL_KIT_BOM_EXPLODE
GROUP BY 
    CHILD_ITEM_ID,
    CHILD_ITEM,
    CHILD_DESCRIPTION
HAVING SUM(NVL(PENDING_PO, 0)) &gt; 0
ORDER BY TOTAL_PENDING_PO_QTY DESC;</t>
  </si>
  <si>
    <t>View items having pending PO greater than 100.</t>
  </si>
  <si>
    <t>Find items having pending PO greater than 100.</t>
  </si>
  <si>
    <t>items having pending PO greater than 100</t>
  </si>
  <si>
    <t>SELECT 
    CHILD_ITEM_ID,
    CHILD_ITEM,
    CHILD_DESCRIPTION,
    SUM(NVL(PENDING_PO, 0)) AS TOTAL_PENDING_PO_QTY
FROM KPCL_REPORTING.KPC_FULL_KIT_BOM_EXPLODE
GROUP BY 
    CHILD_ITEM_ID,
    CHILD_ITEM,
    CHILD_DESCRIPTION
HAVING SUM(NVL(PENDING_PO, 0)) &gt; 100
ORDER BY TOTAL_PENDING_PO_QTY DESC;</t>
  </si>
  <si>
    <t>Show pending PO quantities supplier wise.</t>
  </si>
  <si>
    <t>Display pending PO quantities supplier wise.</t>
  </si>
  <si>
    <t>pending PO quantities supplier wise</t>
  </si>
  <si>
    <t>View items with pending requisitions.</t>
  </si>
  <si>
    <t>Show items with pending requisitions.</t>
  </si>
  <si>
    <t>items with pending requisitions</t>
  </si>
  <si>
    <t>SELECT 
    CHILD_ITEM_ID,
    CHILD_ITEM,
    CHILD_DESCRIPTION,
    SUM(NVL(PENDING_REQUISITION, 0)) AS TOTAL_PENDING_REQUISITION_QTY
FROM KPCL_REPORTING.KPC_FULL_KIT_BOM_EXPLODE
GROUP BY 
    CHILD_ITEM_ID,
    CHILD_ITEM,
    CHILD_DESCRIPTION
HAVING SUM(NVL(PENDING_REQUISITION, 0)) &gt; 0
ORDER BY TOTAL_PENDING_REQUISITION_QTY DESC;</t>
  </si>
  <si>
    <t>View requisition quantities pending for PO creation.</t>
  </si>
  <si>
    <t>Find requisition quantities pending for PO creation.</t>
  </si>
  <si>
    <t>requisition quantities pending for PO creation</t>
  </si>
  <si>
    <t>SELECT 
    CHILD_ITEM_ID,
    CHILD_ITEM,
    CHILD_DESCRIPTION,
    SUM(NVL(PENDING_REQUISITION, 0)) AS TOTAL_PENDING_REQUISITION_QTY,
    SUM(NVL(PENDING_PO, 0)) AS TOTAL_PENDING_PO_QTY
FROM KPCL_REPORTING.KPC_FULL_KIT_BOM_EXPLODE
WHERE NVL(PENDING_REQUISITION, 0) &gt; 0
GROUP BY 
    CHILD_ITEM_ID,
    CHILD_ITEM,
    CHILD_DESCRIPTION
HAVING SUM(NVL(PENDING_REQUISITION, 0)) &gt; SUM(NVL(PENDING_PO, 0))
ORDER BY TOTAL_PENDING_REQUISITION_QTY DESC;</t>
  </si>
  <si>
    <t>View buyer wise pending requisitions.</t>
  </si>
  <si>
    <t>Display buyer wise pending requisitions.</t>
  </si>
  <si>
    <t>buyer wise pending requisitions</t>
  </si>
  <si>
    <t>SELECT 
    BUYER_ID,
    BUYER_NAME,
    SUM(NVL(PENDING_REQUISITION, 0)) AS TOTAL_PENDING_REQUISITION_QTY
FROM KPCL_REPORTING.KPC_FULL_KIT_BOM_EXPLODE
GROUP BY BUYER_ID, BUYER_NAME
HAVING SUM(NVL(PENDING_REQUISITION, 0)) &gt; 0
ORDER BY TOTAL_PENDING_REQUISITION_QTY DESC;</t>
  </si>
  <si>
    <t>View pending ASN quantities for all items.</t>
  </si>
  <si>
    <t>Show pending ASN quantities for all items.</t>
  </si>
  <si>
    <t>pending ASN quantities for all items</t>
  </si>
  <si>
    <t>SELECT 
    CHILD_ITEM_ID,
    CHILD_ITEM,
    CHILD_DESCRIPTION,
    SUM(NVL(PENDING_ASN, 0)) AS TOTAL_PENDING_ASN_QTY
FROM KPCL_REPORTING.KPC_FULL_KIT_BOM_EXPLODE
GROUP BY 
    CHILD_ITEM_ID,
    CHILD_ITEM,
    CHILD_DESCRIPTION
HAVING SUM(NVL(PENDING_ASN, 0)) &gt; 0
ORDER BY TOTAL_PENDING_ASN_QTY DESC;</t>
  </si>
  <si>
    <t>Display suppliers with highest pending ASN.</t>
  </si>
  <si>
    <t>Find suppliers with highest pending ASN.</t>
  </si>
  <si>
    <t>suppliers with highest pending ASN</t>
  </si>
  <si>
    <t>SELECT 
    SUPPLIER_NAME,
    SUM(NVL(PENDING_ASN, 0)) AS TOTAL_PENDING_ASN_QTY
FROM KPCL_REPORTING.KPC_FULL_KIT_BOM_EXPLODE
GROUP BY SUPPLIER_NAME
HAVING SUM(NVL(PENDING_ASN, 0)) &gt; 0
ORDER BY TOTAL_PENDING_ASN_QTY DESC;</t>
  </si>
  <si>
    <t>View ASN quantities for shortage items.</t>
  </si>
  <si>
    <t>Display ASN quantities for shortage items.</t>
  </si>
  <si>
    <t>ASN quantities for shortage items</t>
  </si>
  <si>
    <t>SELECT 
    CHILD_ITEM_ID,
    CHILD_ITEM,
    CHILD_DESCRIPTION,
    SUM(NVL(SHORT_QTY, 0)) AS TOTAL_SHORTAGE_QTY,
    SUM(NVL(PENDING_ASN, 0)) AS TOTAL_PENDING_ASN_QTY
FROM KPCL_REPORTING.KPC_FULL_KIT_BOM_EXPLODE
WHERE NVL(SHORT_QTY, 0) &gt; 0
GROUP BY 
    CHILD_ITEM_ID,
    CHILD_ITEM,
    CHILD_DESCRIPTION
ORDER BY TOTAL_SHORTAGE_QTY DESC;</t>
  </si>
  <si>
    <t>View stock pending for inspection.</t>
  </si>
  <si>
    <t>Show stock pending for inspection.</t>
  </si>
  <si>
    <t>SELECT 
    TRANSACTION_ID,
    ORG_ID,
    ORG_NAME,
    CHILD_ITEM,
    CHILD_DESCRIPTION,
    STOCK_PENDING_INSP
FROM 
    KPCL_REPORTING.KPC_FULL_KIT_BOM_EXPLODE
WHERE 
    STOCK_PENDING_INSP &gt; 0;</t>
  </si>
  <si>
    <t>Show items awaiting for inspection.</t>
  </si>
  <si>
    <t>Find items awaiting for inspection.</t>
  </si>
  <si>
    <t>items awaiting for inspection</t>
  </si>
  <si>
    <t>SELECT 
    CHILD_ITEM,
    CHILD_DESCRIPTION,
    STOCK_PENDING_INSP
FROM 
    KPCL_REPORTING.KPC_FULL_KIT_BOM_EXPLODE
WHERE 
    STOCK_PENDING_INSP &gt; 0;</t>
  </si>
  <si>
    <t>View  supplier wise pending inspection quantities.</t>
  </si>
  <si>
    <t>supplier wise pending inspection quantities</t>
  </si>
  <si>
    <t>SELECT 
    VENDOR_ID,
    SUPPLIER_NAME,
    SUM(STOCK_PENDING_INSP) AS TOTAL_PENDING_INSPECTION_QTY
FROM 
    KPCL_REPORTING.KPC_FULL_KIT_BOM_EXPLODE
WHERE 
    STOCK_PENDING_INSP &gt; 0
GROUP BY 
    VENDOR_ID,
    SUPPLIER_NAME
ORDER BY 
    TOTAL_PENDING_INSPECTION_QTY DESC;</t>
  </si>
  <si>
    <t>Show stock pending for posting.</t>
  </si>
  <si>
    <t>stock pending for posting</t>
  </si>
  <si>
    <t>SELECT 
    TRANSACTION_ID,
    ORG_ID,
    ORG_NAME,
    CHILD_ITEM,
    CHILD_DESCRIPTION,
    STOCK_PEND_IN_POSTING
FROM 
    KPCL_REPORTING.KPC_FULL_KIT_BOM_EXPLODE
WHERE 
    STOCK_PEND_IN_POSTING &gt; 0;</t>
  </si>
  <si>
    <t>Display items awaiting for inventory posting.</t>
  </si>
  <si>
    <t>Find items awaiting for inventory posting.</t>
  </si>
  <si>
    <t>items awaiting for inventory posting</t>
  </si>
  <si>
    <t>SELECT 
    CHILD_ITEM,
    CHILD_DESCRIPTION,
    STOCK_PEND_IN_POSTING
FROM 
    KPCL_REPORTING.KPC_FULL_KIT_BOM_EXPLODE
WHERE 
    STOCK_PEND_IN_POSTING &gt; 0;</t>
  </si>
  <si>
    <t>Show pending posting quantities.</t>
  </si>
  <si>
    <t>pending posting quantities</t>
  </si>
  <si>
    <t>SELECT 
    CHILD_ITEM,
    CHILD_DESCRIPTION,
    SUM(STOCK_PEND_IN_POSTING) AS TOTAL_PENDING_POSTING_QTY
FROM 
    KPCL_REPORTING.KPC_FULL_KIT_BOM_EXPLODE
WHERE 
    STOCK_PEND_IN_POSTING &gt; 0
GROUP BY 
    CHILD_ITEM,
    CHILD_DESCRIPTION
ORDER BY 
    TOTAL_PENDING_POSTING_QTY DESC;</t>
  </si>
  <si>
    <t>View stock available in general stores.</t>
  </si>
  <si>
    <t>Show stock available in general stores.</t>
  </si>
  <si>
    <t>stock available in general stores</t>
  </si>
  <si>
    <t>SELECT 
    CHILD_ITEM_ID,
    CHILD_ITEM,
    CHILD_DESCRIPTION,
    SUM(NVL(STOCK_GENERAL_STORE, 0)) AS TOTAL_GENERAL_STORE_STOCK
FROM KPCL_REPORTING.KPC_FULL_KIT_BOM_EXPLODE
GROUP BY 
    CHILD_ITEM_ID,
    CHILD_ITEM,
    CHILD_DESCRIPTION
HAVING SUM(NVL(STOCK_GENERAL_STORE, 0)) &gt; 0
ORDER BY TOTAL_GENERAL_STORE_STOCK DESC;</t>
  </si>
  <si>
    <t>Display items with high general store stock.</t>
  </si>
  <si>
    <t>Find items with high general store stock.</t>
  </si>
  <si>
    <t>items with high general store stock</t>
  </si>
  <si>
    <t>SELECT 
    CHILD_ITEM_ID,
    CHILD_ITEM,
    CHILD_DESCRIPTION,
    SUM(NVL(STOCK_GENERAL_STORE, 0)) AS TOTAL_GENERAL_STORE_STOCK
FROM KPCL_REPORTING.KPC_FULL_KIT_BOM_EXPLODE
GROUP BY 
    CHILD_ITEM_ID,
    CHILD_ITEM,
    CHILD_DESCRIPTION
HAVING SUM(NVL(STOCK_GENERAL_STORE, 0)) &gt; 100
ORDER BY TOTAL_GENERAL_STORE_STOCK DESC;</t>
  </si>
  <si>
    <t>View general store inventory value.</t>
  </si>
  <si>
    <t>Display general store inventory value.</t>
  </si>
  <si>
    <t>general store inventory value</t>
  </si>
  <si>
    <t>SELECT 
    CHILD_ITEM_ID,
    CHILD_ITEM,
    CHILD_DESCRIPTION,
    SUM(NVL(STOCK_GENERAL_STORE, 0) * NVL(EXT_ITEM_COST, 0)) AS GENERAL_STORE_INVENTORY_VALUE
FROM KPCL_REPORTING.KPC_FULL_KIT_BOM_EXPLODE
GROUP BY 
    CHILD_ITEM_ID,
    CHILD_ITEM,
    CHILD_DESCRIPTION
HAVING SUM(NVL(STOCK_GENERAL_STORE, 0)) &gt; 0
ORDER BY GENERAL_STORE_INVENTORY_VALUE DESC;</t>
  </si>
  <si>
    <t>Display stock available in WIP sub inventory.</t>
  </si>
  <si>
    <t>Show stock available in WIP sub inventory.</t>
  </si>
  <si>
    <t>stock available in WIP sub inventory</t>
  </si>
  <si>
    <t>SELECT 
    CHILD_ITEM_ID,
    CHILD_ITEM,
    CHILD_DESCRIPTION,
    SUM(NVL(WIP_STOCK, 0)) AS TOTAL_WIP_STOCK
FROM KPCL_REPORTING.KPC_FULL_KIT_BOM_EXPLODE
GROUP BY 
    CHILD_ITEM_ID,
    CHILD_ITEM,
    CHILD_DESCRIPTION
HAVING SUM(NVL(WIP_STOCK, 0)) &gt; 0
ORDER BY TOTAL_WIP_STOCK DESC;</t>
  </si>
  <si>
    <t>View components available for processing.</t>
  </si>
  <si>
    <t>Find components available for processing.</t>
  </si>
  <si>
    <t>components available for processing</t>
  </si>
  <si>
    <t>SELECT 
    CHILD_ITEM,
    CHILD_DESCRIPTION,
    STOCK_SUP_SUB_INV AS PROCESSING_STOCK_QTY
FROM 
    KPCL_REPORTING.KPC_FULL_KIT_BOM_EXPLODE
WHERE 
    STOCK_SUP_SUB_INV &gt; 0;</t>
  </si>
  <si>
    <t>Show sub inventory stock quantities.</t>
  </si>
  <si>
    <t>Display sub inventory stock quantities.</t>
  </si>
  <si>
    <t>sub inventory stock quantities</t>
  </si>
  <si>
    <t>SELECT 
    CHILD_ITEM,
    CHILD_DESCRIPTION,
    STOCK_SUP_SUB_INV AS WIP_SUB_INVENTORY_STOCK,
    STOCK_REJ_SUB_INV AS REJECTED_SUB_INVENTORY_STOCK
FROM 
    KPCL_REPORTING.KPC_FULL_KIT_BOM_EXPLODE
WHERE 
    STOCK_SUP_SUB_INV &gt; 0 
    OR STOCK_REJ_SUB_INV &gt; 0;</t>
  </si>
  <si>
    <t>Show rejected stock items.</t>
  </si>
  <si>
    <t>SELECT 
    CHILD_ITEM,
    CHILD_DESCRIPTION,
    STOCK_REJ_SUB_INV AS REJECTED_STOCK_QTY
FROM KPCL_REPORTING.KPC_FULL_KIT_BOM_EXPLODE
WHERE 
    STOCK_REJ_SUB_INV &gt; 0;</t>
  </si>
  <si>
    <t>View  supplier wise rejected stock quantities .</t>
  </si>
  <si>
    <t>SELECT 
    SUPPLIER_NAME,
    SUM(NVL(EXCEPTION_QTY, 0)) AS TOTAL_REJECTED_QTY
FROM KPCL_REPORTING.KPC_FULL_KIT_BOM_EXPLODE
WHERE NVL(EXCEPTION_QTY, 0) &gt; 0
GROUP BY SUPPLIER_NAME
ORDER BY TOTAL_REJECTED_QTY DESC;</t>
  </si>
  <si>
    <t>View items under min-max planning.</t>
  </si>
  <si>
    <t>Show items under min-max planning.</t>
  </si>
  <si>
    <t>items under min-max planning</t>
  </si>
  <si>
    <t>SELECT DISTINCT
    CHILD_ITEM_ID,
    CHILD_ITEM,
    CHILD_DESCRIPTION,
    ON_HAND_STOCK,
    MIN_MINMAX_QTY,
    MAX_MINMAX_QTY,
    CASE 
        WHEN NVL(ON_HAND_STOCK, 0) &lt; NVL( MIN_MINMAX_QTY, 0) THEN 'BELOW MIN'
        WHEN NVL(ON_HAND_STOCK, 0) &gt; NVL( MAX_MINMAX_QTY, 0) THEN 'ABOVE MAX'
        ELSE 'WITHIN RANGE'
    END AS MIN_MAX_STATUS
FROM KPCL_REPORTING.KPC_FULL_KIT_BOM_EXPLODE
WHERE NVL(MIN_MINMAX_QTY, 0) &gt; 0
   OR NVL(MAX_MINMAX_QTY, 0) &gt; 0
ORDER BY MIN_MAX_STATUS, CHILD_ITEM;</t>
  </si>
  <si>
    <t>Display reorderd planned items.</t>
  </si>
  <si>
    <t>Find reorderd planned items.</t>
  </si>
  <si>
    <t>reorderd planned items</t>
  </si>
  <si>
    <t>SELECT DISTINCT
    CHILD_ITEM_ID,
    CHILD_ITEM,
    CHILD_DESCRIPTION,
    ON_HAND_STOCK,
    MIN_MINMAX_QTY,
    MAX_MINMAX_QTY,
    PENDING_REQUISITION,
    PENDING_PO,
    CASE 
        WHEN NVL(ON_HAND_STOCK, 0) &lt;= NVL(MIN_MINMAX_QTY, 0)
             AND NVL(PENDING_REQUISITION, 0) = 0
             AND NVL(PENDING_PO, 0) = 0
        THEN 'REORDER REQUIRED'
        WHEN NVL(ON_HAND_STOCK, 0) &lt;= NVL(MIN_MINMAX_QTY, 0)
             AND (NVL(PENDING_REQUISITION, 0) &gt; 0 OR NVL(PENDING_PO, 0) &gt; 0)
        THEN 'REORDER IN PROCESS'
        ELSE 'OK'
    END AS REORDER_STATUS
FROM KPCL_REPORTING.KPC_FULL_KIT_BOM_EXPLODE
WHERE NVL(ON_HAND_STOCK, 0) &lt;= NVL(MIN_MINMAX_QTY, 0)
   OR NVL(PENDING_REQUISITION, 0) &gt; 0
   OR NVL(PENDING_PO, 0) &gt; 0
ORDER BY REORDER_STATUS, CHILD_ITEM;</t>
  </si>
  <si>
    <t>Show item count by inventory planning code.</t>
  </si>
  <si>
    <t>Display item count by inventory planning code.</t>
  </si>
  <si>
    <t>item count by inventory planning code</t>
  </si>
  <si>
    <t>SELECT 
    INVENTORY_PLANNING_CODE,
    COUNT(DISTINCT CHILD_ITEM_ID) AS ITEM_COUNT
FROM KPCL_REPORTING.KPC_FULL_KIT_BOM_EXPLODE
GROUP BY INVENTORY_PLANNING_CODE
ORDER BY ITEM_COUNT DESC;</t>
  </si>
  <si>
    <t>Show items under inventory_planning_code {inventory_planning_code}.</t>
  </si>
  <si>
    <t>Show items under /inventory_planning_code {inventory_planning_code}</t>
  </si>
  <si>
    <t>items under inventory planning code</t>
  </si>
  <si>
    <t>SELECT DISTINCT
    CHILD_ITEM_ID,
    CHILD_ITEM,
    CHILD_DESCRIPTION,
    INVENTORY_PLANNING_CODE
FROM 
    KPCL_REPORTING.KPC_FULL_KIT_BOM_EXPLODE
WHERE 
     (INVENTORY_PLANNING_CODE) LIKE ('%{inventory_planning_code}%')
ORDER BY 
    INVENTORY_PLANNING_CODE ASC,
    CHILD_ITEM ASC;</t>
  </si>
  <si>
    <t>inventory_planning_code</t>
  </si>
  <si>
    <t>Show shortages by MRP planning code.</t>
  </si>
  <si>
    <t>Display shortages by MRP planning code.</t>
  </si>
  <si>
    <t>shortages by MRP planning code</t>
  </si>
  <si>
    <t>SELECT 
    INVENTORY_PLANNING_CODE,
    SUM(NVL(SHORT_QTY, 0)) AS TOTAL_SHORTAGE_QTY
FROM KPCL_REPORTING.KPC_FULL_KIT_BOM_EXPLODE
GROUP BY INVENTORY_PLANNING_CODE
HAVING SUM(NVL(SHORT_QTY, 0)) &gt; 0
ORDER BY TOTAL_SHORTAGE_QTY DESC;</t>
  </si>
  <si>
    <t>Show items below safety stock.</t>
  </si>
  <si>
    <t>items below safety stock</t>
  </si>
  <si>
    <t>SELECT DISTINCT
    CHILD_ITEM_ID,
    CHILD_ITEM,
    CHILD_DESCRIPTION,
    ON_HAND_STOCK,
    SAFETY_STOCK
FROM KPCL_REPORTING.KPC_FULL_KIT_BOM_EXPLODE
WHERE NVL(ON_HAND_STOCK, 0) &lt; NVL(SAFETY_STOCK, 0)
ORDER BY (NVL(SAFETY_STOCK, 0) - NVL(ON_HAND_STOCK, 0)) DESC;</t>
  </si>
  <si>
    <t>Show components with highest safety stock.</t>
  </si>
  <si>
    <t>Find components with highest safety stock.</t>
  </si>
  <si>
    <t>components with highest safety stock</t>
  </si>
  <si>
    <t>SELECT DISTINCT
    CHILD_ITEM_ID,
    CHILD_ITEM,
    CHILD_DESCRIPTION,
    SAFETY_STOCK
FROM KPCL_REPORTING.KPC_FULL_KIT_BOM_EXPLODE
WHERE NVL(SAFETY_STOCK, 0) &gt; 0
ORDER BY SAFETY_STOCK DESC;</t>
  </si>
  <si>
    <t>Show item wise safety stock.</t>
  </si>
  <si>
    <t xml:space="preserve">item wise safety stock </t>
  </si>
  <si>
    <t>SELECT DISTINCT
    CHILD_ITEM_ID,
    CHILD_ITEM,
    CHILD_DESCRIPTION,
    SAFETY_STOCK
FROM KPCL_REPORTING.KPC_FULL_KIT_BOM_EXPLODE
WHERE NVL(SAFETY_STOCK, 0) &gt; 0
ORDER BY CHILD_ITEM;</t>
  </si>
  <si>
    <t>View shortage quantity for all OA / Order number.</t>
  </si>
  <si>
    <t>Show shortage quantity for all OA / Order number.</t>
  </si>
  <si>
    <t>shortage quantity for all OA / Order number</t>
  </si>
  <si>
    <t>SELECT 
    OA_NUMBER,
    CUSTOMER_NAME,
    SUM(NVL(SHORT_QTY, 0)) AS TOTAL_SHORTAGE_QTY
FROM KPCL_REPORTING.KPC_FULL_KIT_BOM_EXPLODE
GROUP BY 
    OA_NUMBER,
    CUSTOMER_NAME
HAVING SUM(NVL(SHORT_QTY, 0)) &gt; 0
ORDER BY TOTAL_SHORTAGE_QTY DESC;</t>
  </si>
  <si>
    <t>Display top shortage items.</t>
  </si>
  <si>
    <t>Find top shortage items.</t>
  </si>
  <si>
    <t>top shortage items</t>
  </si>
  <si>
    <t>SELECT 
    CHILD_ITEM_ID,
    CHILD_ITEM,
    CHILD_DESCRIPTION,
    SUM(NVL(SHORT_QTY, 0)) AS TOTAL_SHORTAGE_QTY
FROM KPCL_REPORTING.KPC_FULL_KIT_BOM_EXPLODE
GROUP BY 
    CHILD_ITEM_ID,
    CHILD_ITEM,
    CHILD_DESCRIPTION
HAVING SUM(NVL(SHORT_QTY, 0)) &gt; 0
ORDER BY TOTAL_SHORTAGE_QTY DESC
FETCH FIRST 10 ROWS ONLY;</t>
  </si>
  <si>
    <t>Show shortage quantity by buyer.</t>
  </si>
  <si>
    <t>Display shortage quantity by buyer.</t>
  </si>
  <si>
    <t>shortage quantity by buyer</t>
  </si>
  <si>
    <t>SELECT 
    BUYER_ID,
    BUYER_NAME,
    SUM(NVL(SHORT_QTY, 0)) AS TOTAL_SHORTAGE_QTY
FROM KPCL_REPORTING.KPC_FULL_KIT_BOM_EXPLODE
GROUP BY 
    BUYER_ID,
    BUYER_NAME
HAVING SUM(NVL(SHORT_QTY, 0)) &gt; 0
ORDER BY TOTAL_SHORTAGE_QTY DESC;</t>
  </si>
  <si>
    <t>View shortages for production jobs.</t>
  </si>
  <si>
    <t>Show shortages for production jobs.</t>
  </si>
  <si>
    <t>shortages for production jobs</t>
  </si>
  <si>
    <t>SELECT 
    JOB_NAME,
    OA_NUMBER,
    CHILD_ITEM_ID,
    CHILD_ITEM,
    CHILD_DESCRIPTION,
    SUM(NVL(SHORT_QTY, 0)) AS TOTAL_SHORTAGE_QTY
FROM KPCL_REPORTING.KPC_FULL_KIT_BOM_EXPLODE
WHERE NVL(SHORT_QTY, 0) &gt; 0
GROUP BY 
    JOB_NAME,
    OA_NUMBER,
    CHILD_ITEM_ID,
    CHILD_ITEM,
    CHILD_DESCRIPTION
ORDER BY TOTAL_SHORTAGE_QTY DESC;</t>
  </si>
  <si>
    <t>Show job wise shortage quantities.</t>
  </si>
  <si>
    <t>Find job wise shortage quantities.</t>
  </si>
  <si>
    <t>job wise shortage quantities</t>
  </si>
  <si>
    <t>SELECT 
    JOB_NAME,
    SUM(NVL(SHORT_QTY, 0)) AS TOTAL_SHORTAGE_QTY
FROM KPCL_REPORTING.KPC_FULL_KIT_BOM_EXPLODE
GROUP BY JOB_NAME
HAVING SUM(NVL(SHORT_QTY, 0)) &gt; 0
ORDER BY TOTAL_SHORTAGE_QTY DESC;</t>
  </si>
  <si>
    <t>Show shortage quantity for components by jobs.</t>
  </si>
  <si>
    <t>Display shortage quantity for components by jobs.</t>
  </si>
  <si>
    <t>shortage quantity for components by jobs</t>
  </si>
  <si>
    <t>SELECT 
    JOB_NAME,
    CHILD_ITEM_ID,
    CHILD_ITEM,
    CHILD_DESCRIPTION,
    SUM(NVL(SHORT_QTY, 0)) AS TOTAL_SHORTAGE_QTY
FROM KPCL_REPORTING.KPC_FULL_KIT_BOM_EXPLODE
WHERE NVL(SHORT_QTY, 0) &gt; 0
GROUP BY 
    JOB_NAME,
    CHILD_ITEM_ID,
    CHILD_ITEM,
    CHILD_DESCRIPTION
ORDER BY JOB_NAME, TOTAL_SHORTAGE_QTY DESC;</t>
  </si>
  <si>
    <t>View quantities of component issued for jobs.</t>
  </si>
  <si>
    <t>Show quantities of component issued for jobs.</t>
  </si>
  <si>
    <t>quantities of components issued for jobs</t>
  </si>
  <si>
    <t>SELECT 
    JOB_NAME,
    CHILD_ITEM_ID,
    CHILD_ITEM,
    CHILD_DESCRIPTION,
    SUM(NVL(JOB_ISSUE_QTY, 0)) AS TOTAL_ISSUED_QTY
FROM KPCL_REPORTING.KPC_FULL_KIT_BOM_EXPLODE
GROUP BY 
    JOB_NAME,
    CHILD_ITEM_ID,
    CHILD_ITEM,
    CHILD_DESCRIPTION
ORDER BY JOB_NAME, TOTAL_ISSUED_QTY DESC;</t>
  </si>
  <si>
    <t>Display components issued to production.</t>
  </si>
  <si>
    <t>Find components issued to production.</t>
  </si>
  <si>
    <t>components issued to production</t>
  </si>
  <si>
    <t>SELECT 
    CHILD_ITEM_ID,
    CHILD_ITEM,
    CHILD_DESCRIPTION,
    SUM(NVL(JOB_ISSUE_QTY, 0)) AS TOTAL_ISSUED_QTY
FROM KPCL_REPORTING.KPC_FULL_KIT_BOM_EXPLODE
WHERE NVL(JOB_ISSUE_QTY, 0) &gt; 0
GROUP BY 
    CHILD_ITEM_ID,
    CHILD_ITEM,
    CHILD_DESCRIPTION
ORDER BY TOTAL_ISSUED_QTY DESC;</t>
  </si>
  <si>
    <t>Show job issue quantities by OA / Order number.</t>
  </si>
  <si>
    <t>Display job issue quantities by OA / Order number.</t>
  </si>
  <si>
    <t>job issue quantities by OA / Order number</t>
  </si>
  <si>
    <t>SELECT 
    OA_NUMBER,
    CUSTOMER_NAME,
    COUNT(DISTINCT PARENT_ITEM) AS TOTAL_PARENT_ASSEMBLIES,
    COUNT(DISTINCT CHILD_ITEM) AS TOTAL_BOM_LINES,
    SUM(NVL(COMPONENT_QTY, 0)) AS TOTAL_REQUIRED_QTY,
    SUM(NVL(JOB_ISSUE_QTY, 0)) AS TOTAL_ISSUED_QTY,
    SUM(
        CASE 
            WHEN NVL(COMPONENT_QTY, 0) - NVL(JOB_ISSUE_QTY, 0) &gt; 0 
            THEN NVL(COMPONENT_QTY, 0) - NVL(JOB_ISSUE_QTY, 0)
            ELSE 0 
        END
    ) AS REMAINING_TO_ISSUE_QTY,
    ROUND(
        CASE 
            WHEN SUM(NVL(COMPONENT_QTY, 0)) &gt; 0 
            THEN (SUM(NVL(JOB_ISSUE_QTY, 0)) / SUM(NVL(COMPONENT_QTY, 0))) * 100
            ELSE 0 
        END, 2
    ) AS KIT_ISSUE_FULFILLMENT_PCT
FROM 
    KPCL_REPORTING.KPC_FULL_KIT_BOM_EXPLODE
WHERE 
    OA_NUMBER IS NOT NULL
GROUP BY 
    OA_NUMBER,
    CUSTOMER_NAME
ORDER BY 
    KIT_ISSUE_FULFILLMENT_PCT ASC, 
    TOTAL_REQUIRED_QTY DESC;</t>
  </si>
  <si>
    <t>Show MRP demand for all items.</t>
  </si>
  <si>
    <t>MRP demand for all items</t>
  </si>
  <si>
    <t>SELECT 
    CHILD_ITEM_ID,
    CHILD_ITEM,
    CHILD_DESCRIPTION,
    SUM(NVL(MRP_DEMAND, 0)) AS TOTAL_MRP_DEMAND
FROM KPCL_REPORTING.KPC_FULL_KIT_BOM_EXPLODE
GROUP BY 
    CHILD_ITEM_ID,
    CHILD_ITEM,
    CHILD_DESCRIPTION
ORDER BY TOTAL_MRP_DEMAND DESC;</t>
  </si>
  <si>
    <t>Display items with highest MRP demand.</t>
  </si>
  <si>
    <t>Find items with highest MRP demand.</t>
  </si>
  <si>
    <t>items with highest MRP demand</t>
  </si>
  <si>
    <t>SELECT 
    CHILD_ITEM_ID,
    CHILD_ITEM,
    CHILD_DESCRIPTION,
    SUM(NVL(MRP_DEMAND, 0)) AS TOTAL_MRP_DEMAND
FROM KPCL_REPORTING.KPC_FULL_KIT_BOM_EXPLODE
GROUP BY 
    CHILD_ITEM_ID,
    CHILD_ITEM,
    CHILD_DESCRIPTION
HAVING SUM(NVL(MRP_DEMAND, 0)) &gt; 0
ORDER BY TOTAL_MRP_DEMAND DESC
FETCH FIRST 10 ROWS ONLY;</t>
  </si>
  <si>
    <t>Show items with demand greater than supply quantities.</t>
  </si>
  <si>
    <t>Display items with demand greater than supply quantities.</t>
  </si>
  <si>
    <t>items with demand greater than supply quantities</t>
  </si>
  <si>
    <t>SELECT 
    CHILD_ITEM_ID,
    CHILD_ITEM,
    CHILD_DESCRIPTION,
    SUM(NVL(MRP_DEMAND, 0)) AS TOTAL_DEMAND,
    SUM(NVL(SUPPLY_QTY, 0)) AS TOTAL_SUPPLY
FROM KPCL_REPORTING.KPC_FULL_KIT_BOM_EXPLODE
GROUP BY 
    CHILD_ITEM_ID,
    CHILD_ITEM,
    CHILD_DESCRIPTION
HAVING SUM(NVL(MRP_DEMAND, 0)) &gt; SUM(NVL(SUPPLY_QTY, 0))
ORDER BY (SUM(NVL(MRP_DEMAND, 0)) - SUM(NVL(SUPPLY_QTY, 0))) DESC;</t>
  </si>
  <si>
    <t>Show items with highest procurement lead time.</t>
  </si>
  <si>
    <t>items with highest procurement lead time</t>
  </si>
  <si>
    <t>SELECT 
    CHILD_ITEM,
    CHILD_DESCRIPTION,
    MAX_LEAD_TIME,
    FULL_LEAD_TIME,
    FIXED_LEAD_TIME
FROM 
    KPCL_REPORTING.KPC_FULL_KIT_BOM_EXPLODE
WHERE 
    MAX_LEAD_TIME IS NOT NULL
ORDER BY 
    MAX_LEAD_TIME DESC;</t>
  </si>
  <si>
    <t>Find items with lead time greater than /days {days}</t>
  </si>
  <si>
    <t>SELECT DISTINCT
    CHILD_ITEM_ID,
    CHILD_ITEM,
    CHILD_DESCRIPTION,
    FULL_LEAD_TIME
FROM KPCL_REPORTING.KPC_FULL_KIT_BOM_EXPLODE
WHERE NVL(FULL_LEAD_TIME, 0) &gt; {days}
ORDER BY FULL_LEAD_TIME DESC;</t>
  </si>
  <si>
    <t>View supplier wise lead times.</t>
  </si>
  <si>
    <t>Display supplier wise lead times.</t>
  </si>
  <si>
    <t>supplier wise lead times</t>
  </si>
  <si>
    <t>SELECT 
    VENDOR_ID,
    SUPPLIER_NAME,
    MAX(MAX_LEAD_TIME) AS MAX_LEAD_TIME_DAYS,
    MAX(FULL_LEAD_TIME) AS MAX_PURCHASE_LEAD_TIME,
    AVG(FULL_LEAD_TIME) AS AVG_PURCHASE_LEAD_TIME
FROM 
    KPCL_REPORTING.KPC_FULL_KIT_BOM_EXPLODE
WHERE 
    VENDOR_ID IS NOT NULL
GROUP BY 
    VENDOR_ID,
    SUPPLIER_NAME
ORDER BY 
    MAX_LEAD_TIME_DAYS DESC;</t>
  </si>
  <si>
    <t>View child_item_type {child_item_type} with highest fixed lead time.</t>
  </si>
  <si>
    <t>Show /child_item_type {child_item_type} with highest fixed lead time.</t>
  </si>
  <si>
    <t>child item type with highest fixed lead time</t>
  </si>
  <si>
    <t>SELECT DISTINCT
    CHILD_ITEM_ID,
    CHILD_ITEM,
    CHILD_DESCRIPTION,
    NVL(FIXED_LEAD_TIME, 0) AS FIXED_LEAD_TIME
FROM 
    KPCL_REPORTING.KPC_FULL_KIT_BOM_EXPLODE
WHERE 
     (CHILD_ITEM_TYPE) LIKE ('%{child_item_type}%')
    AND NVL(FIXED_LEAD_TIME, 0) &gt; 0
ORDER BY 
    FIXED_LEAD_TIME DESC,
    CHILD_ITEM ASC;</t>
  </si>
  <si>
    <t>Display make items with fixed lead time above days {days}.</t>
  </si>
  <si>
    <t>Find make items with fixed lead time above  /days {days}</t>
  </si>
  <si>
    <t>make items with fixed lead time above days</t>
  </si>
  <si>
    <t>SELECT 
    CHILD_ITEM_ID,
    CHILD_ITEM,
    CHILD_DESCRIPTION,
    FIXED_LEAD_TIME
FROM KPCL_REPORTING.KPC_FULL_KIT_BOM_EXPLODE
WHERE CHILD_ITEM_TYPE = 'MAKE'
  AND NVL(FIXED_LEAD_TIME, 0) &gt; {days}
ORDER BY FIXED_LEAD_TIME DESC;</t>
  </si>
  <si>
    <t>View item wise fixed lead time.</t>
  </si>
  <si>
    <t>Display item wise fixed lead time.</t>
  </si>
  <si>
    <t>item wise fixed lead time</t>
  </si>
  <si>
    <t>SELECT 
    CHILD_ITEM_ID,
    CHILD_ITEM,
    CHILD_DESCRIPTION,
    FIXED_LEAD_TIME
FROM KPCL_REPORTING.KPC_FULL_KIT_BOM_EXPLODE
WHERE NVL(FIXED_LEAD_TIME, 0) &gt; 0
ORDER BY FIXED_LEAD_TIME DESC;</t>
  </si>
  <si>
    <t>Show latest PO date for all items.</t>
  </si>
  <si>
    <t>latest PO date for all items</t>
  </si>
  <si>
    <t>SELECT 
    CHILD_ITEM_ID,
    CHILD_ITEM,
    CHILD_DESCRIPTION,
    MAX(PO_DATE) AS LATEST_PO_DATE
FROM KPCL_REPORTING.KPC_FULL_KIT_BOM_EXPLODE
GROUP BY 
    CHILD_ITEM_ID,
    CHILD_ITEM,
    CHILD_DESCRIPTION
ORDER BY LATEST_PO_DATE DESC;</t>
  </si>
  <si>
    <t>Show PO created this month.</t>
  </si>
  <si>
    <t>Find PO created this month.</t>
  </si>
  <si>
    <t>PO created this month</t>
  </si>
  <si>
    <t>SELECT 
    PO_NUMBER,
    PO_DATE,
    SUPPLIER_NAME,
    CHILD_ITEM_ID,
    CHILD_ITEM,
    CHILD_DESCRIPTION,
    APP_PO_QTY,
    UN_APPR_PO_QTY
FROM KPCL_REPORTING.KPC_FULL_KIT_BOM_EXPLODE
WHERE PO_DATE &gt;= TRUNC(SYSDATE, 'MM')
  AND PO_DATE &lt; ADD_MONTHS(TRUNC(SYSDATE, 'MM'), 1)
ORDER BY PO_DATE DESC;</t>
  </si>
  <si>
    <t>Show supplier wise PO dates.</t>
  </si>
  <si>
    <t>Display supplier wise PO dates.</t>
  </si>
  <si>
    <t>supplier wise PO dates</t>
  </si>
  <si>
    <t>SELECT 
    SUPPLIER_NAME,
    MIN(PO_DATE) AS FIRST_PO_DATE,
    MAX(PO_DATE) AS LATEST_PO_DATE
FROM KPCL_REPORTING.KPC_FULL_KIT_BOM_EXPLODE
WHERE PO_DATE IS NOT NULL
GROUP BY SUPPLIER_NAME
ORDER BY LATEST_PO_DATE DESC;</t>
  </si>
  <si>
    <t>Display allocation remarks for shortage items.</t>
  </si>
  <si>
    <t>Show allocation remarks for shortage items.</t>
  </si>
  <si>
    <t>allocation remarks for shortage items</t>
  </si>
  <si>
    <t>SELECT 
    CHILD_ITEM_ID,
    CHILD_ITEM,
    CHILD_DESCRIPTION,
    SHORT_QTY,
    ALLOCATION_REMARK
FROM KPCL_REPORTING.KPC_FULL_KIT_BOM_EXPLODE
WHERE NVL(SHORT_QTY, 0) &gt; 0
  AND ALLOCATION_REMARK IS NOT NULL
ORDER BY SHORT_QTY DESC;</t>
  </si>
  <si>
    <t>Show items with allocation comments.</t>
  </si>
  <si>
    <t>Find items with allocation comments.</t>
  </si>
  <si>
    <t>items with allocation comments</t>
  </si>
  <si>
    <t>SELECT 
    CHILD_ITEM_ID,
    CHILD_ITEM,
    CHILD_DESCRIPTION,
    ALLOCATION_REMARK
FROM KPCL_REPORTING.KPC_FULL_KIT_BOM_EXPLODE
WHERE ALLOCATION_REMARK IS NOT NULL
  AND TRIM(ALLOCATION_REMARK) IS NOT NULL
ORDER BY CHILD_ITEM;</t>
  </si>
  <si>
    <t>Display remarks for delayed allocations.</t>
  </si>
  <si>
    <t>remarks for delayed allocations</t>
  </si>
  <si>
    <t>SELECT 
    OA_NUMBER,
    CHILD_ITEM_ID,
    CHILD_ITEM,
    CHILD_DESCRIPTION,
    SHORT_QTY,
    ALLOCATION_REMARK
FROM KPCL_REPORTING.KPC_FULL_KIT_BOM_EXPLODE
WHERE NVL(SHORT_QTY, 0) &gt; 0
  AND ALLOCATION_REMARK IS NOT NULL
  AND TRIM(ALLOCATION_REMARK) IS NOT NULL
ORDER BY OA_NUMBER, SHORT_QTY DESC;</t>
  </si>
  <si>
    <t>Show red status OA / Order number.</t>
  </si>
  <si>
    <t>red status OA / Order number</t>
  </si>
  <si>
    <t>SELECT
    OA_NUMBER,
    CUSTOMER_NAME,
    MAX(OA_CREATION_DATE) AS OA_CREATION_DATE,
    MAX(OA_PROMISE_DATE) AS OA_PROMISE_DATE,
    MAX(OA_NEED_BY_DATE) AS OA_NEED_BY_DATE,
    SUM(NVL(SHORT_QTY, 0)) AS TOTAL_SHORTAGE_QTY,
    CASE
        WHEN SUM(NVL(SHORT_QTY, 0)) &gt; 0
             OR MAX(OA_PROMISE_DATE) &gt; MAX(OA_NEED_BY_DATE)
        THEN 'RED'
        ELSE 'GREEN'
    END AS OA_STATUS
FROM KPCL_REPORTING.KPC_FULL_KIT_BOM_EXPLODE
GROUP BY
    OA_NUMBER,
    CUSTOMER_NAME
HAVING SUM(NVL(SHORT_QTY, 0)) &gt; 0
    OR MAX(OA_PROMISE_DATE) &gt; MAX(OA_NEED_BY_DATE)
ORDER BY
    TOTAL_SHORTAGE_QTY DESC,
    OA_NEED_BY_DATE;</t>
  </si>
  <si>
    <t>View supplier contact details.</t>
  </si>
  <si>
    <t>Show supplier contact details.</t>
  </si>
  <si>
    <t>supplier contact details</t>
  </si>
  <si>
    <t>SELECT DISTINCT
    SUPPLIER_NAME,
    SUPPLIER_CONTACT
FROM 
    KPCL_REPORTING.KPC_FULL_KIT_BOM_EXPLODE
WHERE 
    SUPPLIER_NAME IS NOT NULL
ORDER BY 
    SUPPLIER_NAME ASC;</t>
  </si>
  <si>
    <t>View suppliers without contact information.</t>
  </si>
  <si>
    <t>Find suppliers without contact information.</t>
  </si>
  <si>
    <t>suppliers without contact information</t>
  </si>
  <si>
    <t>SELECT DISTINCT
    SUPPLIER_NAME
FROM 
    KPCL_REPORTING.KPC_FULL_KIT_BOM_EXPLODE
WHERE 
    SUPPLIER_NAME IS NOT NULL
    AND TRIM(SUPPLIER_CONTACT) IS NULL
ORDER BY 
    SUPPLIER_NAME ASC;</t>
  </si>
  <si>
    <t>Display supplier contacts for shortage items.</t>
  </si>
  <si>
    <t>supplier contacts for shortage items</t>
  </si>
  <si>
    <t>SELECT DISTINCT
    SUPPLIER_NAME,
    SUPPLIER_CONTACT,
    CHILD_ITEM_ID,
    CHILD_ITEM,
    CHILD_DESCRIPTION,
    PRD_GRP AS PRODUCT_GROUP,
    TO_NUMBER(SHORT_QTY DEFAULT 0 ON CONVERSION ERROR)     AS SHORTAGE_QTY,
    PO_NUMBER,
    PO_DATE
FROM 
    KPCL_REPORTING.KPC_FULL_KIT_BOM_EXPLODE
WHERE 
    TO_NUMBER(SHORT_QTY DEFAULT 0 ON CONVERSION ERROR) &gt; 0
    AND SUPPLIER_NAME IS NOT NULL
ORDER BY 
    SUPPLIER_NAME ASC NULLS LAST,
    SHORTAGE_QTY DESC;</t>
  </si>
  <si>
    <t>View full kit records for oa_number {oa_number}.</t>
  </si>
  <si>
    <t>Show full kit records for /oa_number {oa_number}.</t>
  </si>
  <si>
    <t>full kit records for oa number</t>
  </si>
  <si>
    <t>SELECT *
FROM KPCL_REPORTING.KPC_FULL_KIT_BOM_EXPLODE
WHERE OA_NUMBER LIKE '%{oa_number}%'
ORDER BY BOM_LEVEL, CHILD_ITEM;</t>
  </si>
  <si>
    <t>Show full kit shortages by oa_number {oa_number}.</t>
  </si>
  <si>
    <t>Find full kit shortages by  /oa_number{oa_number}.</t>
  </si>
  <si>
    <t>full kit shortages by oa number</t>
  </si>
  <si>
    <t>SELECT
    OA_NUMBER,
    CHILD_ITEM_ID,
    CHILD_ITEM,
    CHILD_DESCRIPTION,
    BOM_LEVEL,
    REQUIRED_QTY,
    SHORT_QTY
FROM KPCL_REPORTING.KPC_FULL_KIT_BOM_EXPLODE
WHERE OA_NUMBER  LIKE '%{oa_number}%'
  AND NVL(SHORT_QTY, 0) &gt; 0
ORDER BY SHORT_QTY DESC, BOM_LEVEL;</t>
  </si>
  <si>
    <t>Display components linked to full kit for oa_number {oa_number}.</t>
  </si>
  <si>
    <t>Display components linked to full kit for /oa_number{oa_number}.</t>
  </si>
  <si>
    <t>components linked to full kit for oa number</t>
  </si>
  <si>
    <t>SELECT
    OA_NUMBER,
    PARENT_ITEM_ID,
    PARENT_ITEM,
    CHILD_ITEM_ID,
    CHILD_ITEM,
    CHILD_DESCRIPTION,
    BOM_LEVEL,
    COMPONENT_QTY,
    UOM
FROM KPCL_REPORTING.KPC_FULL_KIT_BOM_EXPLODE
WHERE OA_NUMBER LIKE '%{oa_number}%'
ORDER BY BOM_LEVEL, PARENT_ITEM, CHILD_ITEM;</t>
  </si>
  <si>
    <t>Display all OA  / Order number under product_group {product_group}.</t>
  </si>
  <si>
    <t>Show all OA  / Order number under /product_group {product_group}.</t>
  </si>
  <si>
    <t>all OA  / Order number under product group</t>
  </si>
  <si>
    <t>SELECT DISTINCT
    OA_NUMBER,
    CUSTOMER_NAME,
    PRD_GRP,
    OA_CREATION_DATE,
    OA_PROMISE_DATE,
    OA_NEED_BY_DATE
FROM KPCL_REPORTING.KPC_FULL_KIT_BOM_EXPLODE
WHERE (PRD_GRP) LIKE ('%{product_group}%')
ORDER BY OA_NEED_BY_DATE;</t>
  </si>
  <si>
    <t>View shortages by product group.</t>
  </si>
  <si>
    <t>Find shortages by product group.</t>
  </si>
  <si>
    <t>shortages by product group</t>
  </si>
  <si>
    <t>SELECT
    PRD_GRP AS PRODUCT_GROUP,
    SUM(
        TO_NUMBER(SHORT_QTY DEFAULT 0 ON CONVERSION ERROR)
    ) AS TOTAL_SHORTAGE_QTY
FROM 
    KPCL_REPORTING.KPC_FULL_KIT_BOM_EXPLODE
GROUP BY 
    PRD_GRP
HAVING 
    SUM(TO_NUMBER(SHORT_QTY DEFAULT 0 ON CONVERSION ERROR)) &gt; 0
ORDER BY 
    TOTAL_SHORTAGE_QTY DESC;</t>
  </si>
  <si>
    <t>Display inventory value by product group.</t>
  </si>
  <si>
    <t>inventory value by product group</t>
  </si>
  <si>
    <t>SELECT 
    PRD_GRP AS PRODUCT_GROUP,
    SUM(
        TO_NUMBER(ON_HAND_STOCK DEFAULT 0 ON CONVERSION ERROR) * 
        TO_NUMBER(EXT_ITEM_COST DEFAULT 0 ON CONVERSION ERROR)
    ) AS TOTAL_INVENTORY_VALUE
FROM 
    KPCL_REPORTING.KPC_FULL_KIT_BOM_EXPLODE
GROUP BY 
    PRD_GRP
HAVING 
    SUM(TO_NUMBER(ON_HAND_STOCK DEFAULT 0 ON CONVERSION ERROR)) &gt; 0
ORDER BY 
    TOTAL_INVENTORY_VALUE DESC;</t>
  </si>
  <si>
    <t>Display records under compile_designator {compile_designator}.</t>
  </si>
  <si>
    <t>Show records under /compile_designator {compile_designator}.</t>
  </si>
  <si>
    <t>records under compile designator</t>
  </si>
  <si>
    <t>SELECT * FROM KPCL_REPORTING.KPC_FULL_KIT_BOM_EXPLODE
WHERE (COMPILE_DESIGNATOR)  LIKE ('%{compile_designator}%')
ORDER BY OA_NUMBER, BOM_LEVEL, CHILD_ITEM;</t>
  </si>
  <si>
    <t>compile_designator</t>
  </si>
  <si>
    <t>Display shortages by compile designator.</t>
  </si>
  <si>
    <t>Find shortages by compile designator.</t>
  </si>
  <si>
    <t>shortages by compile designator</t>
  </si>
  <si>
    <t>SELECT
    COMPILE_DESIGNATOR,
    SUM(NVL(SHORT_QTY, 0)) AS TOTAL_SHORTAGE_QTY
FROM KPCL_REPORTING.KPC_FULL_KIT_BOM_EXPLODE
GROUP BY COMPILE_DESIGNATOR
HAVING SUM(NVL(SHORT_QTY, 0)) &gt; 0
ORDER BY TOTAL_SHORTAGE_QTY DESC;</t>
  </si>
  <si>
    <t>Show demand by compile designator.</t>
  </si>
  <si>
    <t>Display demand by compile designator.</t>
  </si>
  <si>
    <t>demand by compile designator</t>
  </si>
  <si>
    <t>SELECT 
    COMPILE_DESIGNATOR,
    SUM(NVL(MRP_DEMAND, 0)) AS TOTAL_MRP_DEMAND
FROM KPCL_REPORTING.KPC_FULL_KIT_BOM_EXPLODE
GROUP BY COMPILE_DESIGNATOR
HAVING SUM(NVL(MRP_DEMAND, 0)) &gt; 0
ORDER BY TOTAL_MRP_DEMAND DESC;</t>
  </si>
  <si>
    <t>View all items under product_model {product_model}.</t>
  </si>
  <si>
    <t>SELECT DISTINCT
    PRD_MODEL AS PRODUCT_MODEL,
    CHILD_ITEM_ID,
    CHILD_ITEM,
    CHILD_DESCRIPTION,
    UOM
FROM 
    KPCL_REPORTING.KPC_FULL_KIT_BOM_EXPLODE
WHERE 
    (PRD_MODEL) LIKE ('%{product_model}%')
ORDER BY 
    CHILD_ITEM ASC;</t>
  </si>
  <si>
    <t>Display shortages by product model.</t>
  </si>
  <si>
    <t>Find shortages by product model.</t>
  </si>
  <si>
    <t>shortages by product model</t>
  </si>
  <si>
    <t>SELECT
    PRD_MODEL AS PRODUCT_MODEL,
    SUM(
        TO_NUMBER(SHORT_QTY DEFAULT 0 ON CONVERSION ERROR)
    ) AS TOTAL_SHORTAGE_QTY
FROM 
    KPCL_REPORTING.KPC_FULL_KIT_BOM_EXPLODE
WHERE 
    PRD_MODEL IS NOT NULL
GROUP BY 
    PRD_MODEL
HAVING 
    SUM(TO_NUMBER(SHORT_QTY DEFAULT 0 ON CONVERSION ERROR)) &gt; 0
ORDER BY 
    TOTAL_SHORTAGE_QTY DESC;</t>
  </si>
  <si>
    <t>Show OA / Order number by model.</t>
  </si>
  <si>
    <t>Display OA / Order number by model.</t>
  </si>
  <si>
    <t>OA / Order number by model</t>
  </si>
  <si>
    <t>SELECT
    PRD_MODEL AS PRODUCT_MODEL,
    COUNT(DISTINCT OA_NUMBER) AS OA_COUNT
FROM 
    KPCL_REPORTING.KPC_FULL_KIT_BOM_EXPLODE
GROUP BY 
    PRD_MODEL
ORDER BY 
    OA_COUNT DESC;</t>
  </si>
  <si>
    <t>View all non-billable orders.</t>
  </si>
  <si>
    <t>SELECT DISTINCT
    OA_NUMBER,
    CUSTOMER_NAME,
    OA_CREATION_DATE,
    OA_PROMISE_DATE,
    OA_NEED_BY_DATE,
    NVL(TO_CHAR(BILLING_FLAG), 'N') AS BILLING_FLAG
FROM 
    KPCL_REPORTING.KPC_FULL_KIT_BOM_EXPLODE
WHERE 
    (TRIM(NVL(TO_CHAR(BILLING_FLAG), 'N'))) NOT IN ('Y', 'YES', 'BILLABLE', 'TRUE')
ORDER BY 
    OA_CREATION_DATE DESC NULLS LAST,
    OA_NUMBER ASC;</t>
  </si>
  <si>
    <t>View billable customer orders.</t>
  </si>
  <si>
    <t>Find billable customer orders.</t>
  </si>
  <si>
    <t>billable customer orders</t>
  </si>
  <si>
    <t>SELECT DISTINCT
    OA_NUMBER,
    CUSTOMER_NAME,
    OA_CREATION_DATE,
    OA_PROMISE_DATE,
    OA_NEED_BY_DATE,
    BILLING_FLAG AS BILLABLE_FLAG
FROM 
    KPCL_REPORTING.KPC_FULL_KIT_BOM_EXPLODE
WHERE 
    (TRIM(TO_CHAR(BILLING_FLAG))) IN ('Y', 'YES', 'BILLABLE', 'TRUE')
ORDER BY 
    OA_CREATION_DATE DESC NULLS LAST;</t>
  </si>
  <si>
    <t>Display billing flag wise OA / Order number count.</t>
  </si>
  <si>
    <t>billing flag wise OA / Order number count</t>
  </si>
  <si>
    <t>SELECT 
    NVL(BILLING_FLAG, 'NOT SPECIFIED') AS BILLING_FLAG,
    COUNT(DISTINCT OA_NUMBER)          AS TOTAL_OA_COUNT,
    COUNT(DISTINCT CHILD_ITEM_ID)      AS TOTAL_COMPONENTS,
    SUM(NVL(REQUIRED_QTY, 0))          AS TOTAL_REQUIRED_QTY,
    SUM(NVL(SHORT_QTY, 0))             AS TOTAL_SHORTAGE_QTY
FROM 
    KPCL_REPORTING.KPC_FULL_KIT_BOM_EXPLODE
GROUP BY 
    NVL(BILLING_FLAG, 'NOT SPECIFIED')
ORDER BY 
    TOTAL_OA_COUNT DESC;</t>
  </si>
  <si>
    <t>Show items having expected_date_color{expected_date_color}.</t>
  </si>
  <si>
    <t>Show items having /expected_date_color {expected_date_color}</t>
  </si>
  <si>
    <t>items having expected date color</t>
  </si>
  <si>
    <t>SELECT 
    CHILD_ITEM_ID,
    CHILD_ITEM,
    CHILD_DESCRIPTION,
    OA_NUMBER,
    CUSTOMER_NAME,
    EXPECTED_DATE_COLOR,
    FULL_KIT_MRP_SUGG_DATE,
    OA_NEED_BY_DATE,
    NVL(REQUIRED_QTY, 0) AS REQUIRED_QTY,
    NVL(SHORT_QTY, 0)    AS SHORTAGE_QTY,
    SUPPLIER_NAME,
    NVL(FULL_LEAD_TIME, 0) AS LEAD_TIME_DAYS
FROM 
    KPCL_REPORTING.KPC_FULL_KIT_BOM_EXPLODE
WHERE 
    (EXPECTED_DATE_COLOR) LIKE '%{expected_date_color}%'
ORDER BY 
    SHORTAGE_QTY DESC,
    OA_NEED_BY_DATE ASC;</t>
  </si>
  <si>
    <t>Show items having delayed expected date.</t>
  </si>
  <si>
    <t>items having delayed expected date</t>
  </si>
  <si>
    <t>SELECT
    CHILD_ITEM_ID,
    CHILD_ITEM,
    CHILD_DESCRIPTION,
    OA_NUMBER,
    EXPECTED_DATE,
    OA_NEED_BY_DATE
FROM KPCL_REPORTING.KPC_FULL_KIT_BOM_EXPLODE
WHERE EXPECTED_DATE &gt; OA_NEED_BY_DATE
ORDER BY (EXPECTED_DATE - OA_NEED_BY_DATE) DESC;</t>
  </si>
  <si>
    <t>Display expected date colour summary.</t>
  </si>
  <si>
    <t>expected date colour summary</t>
  </si>
  <si>
    <t>SELECT 
    EXPECTED_DATE_COLOR,
    COUNT(DISTINCT OA_NUMBER)     AS TOTAL_ORDERS,
    COUNT(DISTINCT CHILD_ITEM_ID) AS TOTAL_COMPONENTS,
    SUM(NVL(REQUIRED_QTY, 0))     AS TOTAL_REQUIRED_QTY,
    SUM(NVL(SHORT_QTY, 0))        AS TOTAL_SHORTAGE_QTY
FROM 
    KPCL_REPORTING.KPC_FULL_KIT_BOM_EXPLODE
WHERE 
    EXPECTED_DATE_COLOR IS NOT NULL
GROUP BY 
    EXPECTED_DATE_COLOR
ORDER BY 
    TOTAL_SHORTAGE_QTY DESC,
    TOTAL_ORDERS DESC;</t>
  </si>
  <si>
    <t>Show OA  / Order number created this month.</t>
  </si>
  <si>
    <t>OA  / Order number created this month</t>
  </si>
  <si>
    <t>SELECT DISTINCT
    OA_NUMBER,
    CUSTOMER_NAME,
    OA_CREATION_DATE,
    OA_PROMISE_DATE,
    OA_NEED_BY_DATE
FROM KPCL_REPORTING.KPC_FULL_KIT_BOM_EXPLODE
WHERE OA_CREATION_DATE &gt;= TRUNC(SYSDATE, 'MM')
  AND OA_CREATION_DATE &lt; ADD_MONTHS(TRUNC(SYSDATE, 'MM'), 1)
ORDER BY OA_CREATION_DATE DESC;</t>
  </si>
  <si>
    <t>Display customer orders created today.</t>
  </si>
  <si>
    <t>Find customer orders created today.</t>
  </si>
  <si>
    <t>customer orders created today</t>
  </si>
  <si>
    <t>SELECT DISTINCT
    OA_NUMBER,
    CUSTOMER_NAME,
    OA_CREATION_DATE,
    OA_PROMISE_DATE,
    OA_NEED_BY_DATE
FROM KPCL_REPORTING.KPC_FULL_KIT_BOM_EXPLODE
WHERE TRUNC(OA_CREATION_DATE) = TRUNC(SYSDATE)
ORDER BY OA_CREATION_DATE DESC;</t>
  </si>
  <si>
    <t>Display OA  / Order number creation trend.</t>
  </si>
  <si>
    <t>OA  / Order number creation trend</t>
  </si>
  <si>
    <t>SELECT
    TRUNC(OA_CREATION_DATE) AS CREATION_DATE,
    COUNT(DISTINCT OA_NUMBER) AS OA_COUNT
FROM KPCL_REPORTING.KPC_FULL_KIT_BOM_EXPLODE
WHERE OA_CREATION_DATE IS NOT NULL
GROUP BY TRUNC(OA_CREATION_DATE)
ORDER BY CREATION_DATE;</t>
  </si>
  <si>
    <t>View OA  / Order number due within next 7 days.</t>
  </si>
  <si>
    <t>Show OA  / Order number due within next 7 days.</t>
  </si>
  <si>
    <t>OA  / Order number due within next 7 days</t>
  </si>
  <si>
    <t>SELECT DISTINCT
    OA_NUMBER,
    CUSTOMER_NAME,
    OA_NEED_BY_DATE,
    OA_PROMISE_DATE
FROM KPCL_REPORTING.KPC_FULL_KIT_BOM_EXPLODE
WHERE OA_NEED_BY_DATE &gt;= TRUNC(SYSDATE)
  AND OA_NEED_BY_DATE &lt; TRUNC(SYSDATE) + 7
ORDER BY OA_NEED_BY_DATE;</t>
  </si>
  <si>
    <t>Show overdue promise date OA / Order number.</t>
  </si>
  <si>
    <t>Find overdue promise date OA / Order number.</t>
  </si>
  <si>
    <t>overdue promise date OA / Order number</t>
  </si>
  <si>
    <t>SELECT DISTINCT
    OA_NUMBER,
    CUSTOMER_NAME,
    OA_PROMISE_DATE,
    OA_NEED_BY_DATE
FROM KPCL_REPORTING.KPC_FULL_KIT_BOM_EXPLODE
WHERE OA_PROMISE_DATE &lt; TRUNC(SYSDATE)
ORDER BY OA_PROMISE_DATE;</t>
  </si>
  <si>
    <t>Show customer delivery commitments.</t>
  </si>
  <si>
    <t>Display customer delivery commitments.</t>
  </si>
  <si>
    <t>customer delivery commitments</t>
  </si>
  <si>
    <t>SELECT 
    CUSTOMER_NAME,
    COUNT(DISTINCT OA_NUMBER)              AS TOTAL_ORDERS,
    MIN(OA_PROMISE_DATE)                   AS EARLIEST_PROMISE_DATE,
    MIN(OA_SCH_SHIP_DT)                    AS EARLIEST_SCHED_SHIP_DATE,
    MAX(FULL_KIT_MRP_SUGG_DATE)            AS LATEST_MRP_SUGGESTED_DATE,
    SUM(NVL(SHORT_QTY, 0))                 AS TOTAL_COMPONENT_SHORTAGE_QTY,
    COUNT(CASE 
        WHEN NVL(SHORT_QTY, 0) &gt; 0 THEN 1 
    END)                                   AS SHORTAGE_LINE_COUNT
FROM 
    KPCL_REPORTING.KPC_FULL_KIT_BOM_EXPLODE
WHERE 
    CUSTOMER_NAME IS NOT NULL
GROUP BY 
    CUSTOMER_NAME
ORDER BY 
    TOTAL_COMPONENT_SHORTAGE_QTY DESC,
    EARLIEST_PROMISE_DATE ASC;</t>
  </si>
  <si>
    <t>View material availability by full kit.</t>
  </si>
  <si>
    <t>Display material availability by full kit.</t>
  </si>
  <si>
    <t>material availability by full kit</t>
  </si>
  <si>
    <t>SELECT 
    FULL_KIT_NAME,
    COUNT(DISTINCT OA_NUMBER)                  AS TOTAL_ORDERS,
    COUNT(DISTINCT CHILD_ITEM_ID)              AS TOTAL_COMPONENTS,
    SUM(NVL(REQUIRED_QTY, 0))                  AS TOTAL_REQUIRED_QTY,
    SUM(NVL(STOCK_GENERAL_STORE, 0))          AS STORE_ON_HAND_STOCK,
    SUM(NVL(WIP_STOCK, 0))                    AS WIP_STOCK,
    SUM(NVL(OSP_STOCK, 0))                    AS OSP_STOCK,
    SUM(NVL(SHORT_QTY, 0))                    AS TOTAL_SHORTAGE_QTY,
    CASE 
        WHEN SUM(NVL(REQUIRED_QTY, 0)) = 0 THEN 100
        ELSE ROUND(
            ((SUM(NVL(REQUIRED_QTY, 0)) - SUM(NVL(SHORT_QTY, 0))) / SUM(NVL(REQUIRED_QTY, 0))) * 100, 2
        )
    END                                        AS AVAILABILITY_PCT
FROM 
    KPCL_REPORTING.KPC_FULL_KIT_BOM_EXPLODE
WHERE 
    FULL_KIT_NAME IS NOT NULL
GROUP BY 
    FULL_KIT_NAME
ORDER BY 
    AVAILABILITY_PCT ASC,
    TOTAL_SHORTAGE_QTY DESC;</t>
  </si>
  <si>
    <t>Show overdue MRP suggestion dates.</t>
  </si>
  <si>
    <t>overdue MRP suggestion dates</t>
  </si>
  <si>
    <t>SELECT DISTINCT
    OA_NUMBER,
    CUSTOMER_NAME,
    ORG_NAME,
    FULL_KIT_NAME,
    PARENT_ITEM,
    PARENT_DESCRIPTION,
    FULL_KIT_MRP_SUGG_DATE,
    OA_NEED_BY_DATE,
    TRUNC(SYSDATE) - TRUNC(FULL_KIT_MRP_SUGG_DATE) AS DAYS_OVERDUE,
    NVL(SHORT_QTY, 0)                              AS SHORTAGE_QTY
FROM 
    KPCL_REPORTING.KPC_FULL_KIT_BOM_EXPLODE
WHERE 
    FULL_KIT_MRP_SUGG_DATE IS NOT NULL
    AND TRUNC(FULL_KIT_MRP_SUGG_DATE) &lt; TRUNC(SYSDATE)
ORDER BY 
    DAYS_OVERDUE DESC,
    OA_NUMBER ASC;</t>
  </si>
  <si>
    <t>Display full kits due for procurement.</t>
  </si>
  <si>
    <t>Find full kits due for procurement.</t>
  </si>
  <si>
    <t>full kits due for procurement</t>
  </si>
  <si>
    <t>SELECT
    OA_NUMBER,
    PARENT_ITEM_ID,
    PARENT_ITEM,
    SUM(NVL(SHORT_QTY, 0)) AS TOTAL_SHORTAGE_QTY,
    SUM(NVL(PENDING_PO, 0)) AS TOTAL_PENDING_PO_QTY
FROM KPCL_REPORTING.KPC_FULL_KIT_BOM_EXPLODE
GROUP BY
    OA_NUMBER,
    PARENT_ITEM_ID,
    PARENT_ITEM
HAVING SUM(NVL(SHORT_QTY, 0)) &gt; 0
   AND SUM(NVL(PENDING_PO, 0)) = 0
ORDER BY TOTAL_SHORTAGE_QTY DESC;</t>
  </si>
  <si>
    <t>Show  full kit wise MRP suggestion dates.</t>
  </si>
  <si>
    <t>Display  full kit wise MRP suggestion dates.</t>
  </si>
  <si>
    <t xml:space="preserve"> full kit wise MRP suggestion dates</t>
  </si>
  <si>
    <t>SELECT 
    FULL_KIT_NAME,
    COUNT(DISTINCT OA_NUMBER)               AS TOTAL_ORDERS,
    MIN(FULL_KIT_MRP_SUGG_DATE)             AS EARLIEST_MRP_SUGG_DATE,
    MAX(FULL_KIT_MRP_SUGG_DATE)             AS LATEST_MRP_SUGG_DATE,
    COUNT(DISTINCT CHILD_ITEM_ID)           AS TOTAL_COMPONENTS,
    SUM(NVL(SHORT_QTY, 0))                  AS TOTAL_SHORTAGE_QTY
FROM 
    KPCL_REPORTING.KPC_FULL_KIT_BOM_EXPLODE
WHERE 
    FULL_KIT_NAME IS NOT NULL
GROUP BY 
    FULL_KIT_NAME
ORDER BY 
    EARLIEST_MRP_SUGG_DATE ASC,
    FULL_KIT_NAME ASC;</t>
  </si>
  <si>
    <t>Display item with standard rates.</t>
  </si>
  <si>
    <t>Show item with standard rates.</t>
  </si>
  <si>
    <t>item with standard rates</t>
  </si>
  <si>
    <t>SELECT DISTINCT
    CHILD_ITEM_ID,
    CHILD_ITEM,
    CHILD_DESCRIPTION,
    ITEM_STD_RATE AS STANDARD_RATE
FROM 
    KPCL_REPORTING.KPC_FULL_KIT_BOM_EXPLODE
WHERE 
    ITEM_STD_RATE IS NOT NULL
ORDER BY 
    CHILD_ITEM ASC;</t>
  </si>
  <si>
    <t>View highest cost items.</t>
  </si>
  <si>
    <t>Find highest cost items.</t>
  </si>
  <si>
    <t>highest cost items</t>
  </si>
  <si>
    <t>SELECT
    CHILD_ITEM_ID,
    CHILD_ITEM,
    CHILD_DESCRIPTION,
    EXT_ITEM_COST
FROM KPCL_REPORTING.KPC_FULL_KIT_BOM_EXPLODE
WHERE NVL(EXT_ITEM_COST, 0) &gt; 0
ORDER BY EXT_ITEM_COST DESC;</t>
  </si>
  <si>
    <t>View inventory valuation using standard rate.</t>
  </si>
  <si>
    <t>Display inventory valuation using standard rate.</t>
  </si>
  <si>
    <t>inventory valuation using standard rate</t>
  </si>
  <si>
    <t>SELECT
    CHILD_ITEM_ID,
    CHILD_ITEM,
    CHILD_DESCRIPTION,
    SUM(NVL(ON_HAND_STOCK, 0)) AS TOTAL_STOCK,
    MAX(NVL(ITEM_STD_RATE, NVL(BOM_ITEM_COST, 0))) AS STANDARD_RATE,
    SUM(
        NVL(ON_HAND_STOCK, 0) * NVL(ITEM_STD_RATE, NVL(BOM_ITEM_COST, 0))
    ) AS INVENTORY_VALUE
FROM 
    KPCL_REPORTING.KPC_FULL_KIT_BOM_EXPLODE
GROUP BY
    CHILD_ITEM_ID,
    CHILD_ITEM,
    CHILD_DESCRIPTION
HAVING 
    SUM(NVL(ON_HAND_STOCK, 0)) &gt; 0
ORDER BY 
    INVENTORY_VALUE DESC;</t>
  </si>
  <si>
    <t>Display quantities allocated from stock.</t>
  </si>
  <si>
    <t>Show quantities allocated from stock.</t>
  </si>
  <si>
    <t>quantities allocated from stock</t>
  </si>
  <si>
    <t>SELECT
    CHILD_ITEM_ID,
    CHILD_ITEM,
    CHILD_DESCRIPTION,
    OA_NUMBER,
    SUM(
        NVL(ALLOCATED_FRM_STOCK, 0) + 
        NVL(ALLOCATED_FRM_WIP, 0) + 
        NVL(ALLOCATED_QTY_WOUT_RES, 0)
    ) AS TOTAL_ALLOCATED_QTY,
    SUM(NVL(ALLOCATED_FRM_STOCK, 0))    AS ALLOCATED_FROM_STOCK,
    SUM(NVL(ALLOCATED_FRM_WIP, 0))      AS ALLOCATED_FROM_WIP,
    SUM(NVL(ALLOCATED_QTY_WOUT_RES, 0)) AS ALLOCATED_WITHOUT_RESERVATION
FROM 
    KPCL_REPORTING.KPC_FULL_KIT_BOM_EXPLODE
WHERE 
    (
        NVL(ALLOCATED_FRM_STOCK, 0) + 
        NVL(ALLOCATED_FRM_WIP, 0) + 
        NVL(ALLOCATED_QTY_WOUT_RES, 0)
    ) &gt; 0
GROUP BY
    CHILD_ITEM_ID,
    CHILD_ITEM,
    CHILD_DESCRIPTION,
    OA_NUMBER
ORDER BY 
    TOTAL_ALLOCATED_QTY DESC;</t>
  </si>
  <si>
    <t>Display items with negative stock allocation.</t>
  </si>
  <si>
    <t>Find items with negative stock allocation.</t>
  </si>
  <si>
    <t>items with negative stock allocation</t>
  </si>
  <si>
    <t>SELECT
    CHILD_ITEM_ID,
    CHILD_ITEM,
    CHILD_DESCRIPTION,
    OA_NUMBER,
    CUSTOMER_NAME,
    ORG_NAME,
    NVL(ALLOCATED_FRM_STOCK, 0) AS ALLOCATED_FRM_STOCK,
    NVL(ALLOCATED_FRM_WIP, 0) AS ALLOCATED_FRM_WIP,
    NVL(ALLOCATED_QTY_WOUT_RES, 0) AS ALLOCATED_QTY_WOUT_RES,
    (
        NVL(ALLOCATED_FRM_STOCK, 0) + 
        NVL(ALLOCATED_FRM_WIP, 0) + 
        NVL(ALLOCATED_QTY_WOUT_RES, 0)
    ) AS TOTAL_ALLOCATED_QTY
FROM 
    KPCL_REPORTING.KPC_FULL_KIT_BOM_EXPLODE
WHERE 
    NVL(ALLOCATED_FRM_STOCK, 0) &lt; 0
    OR NVL(ALLOCATED_FRM_WIP, 0) &lt; 0
    OR NVL(ALLOCATED_QTY_WOUT_RES, 0) &lt; 0
ORDER BY 
    TOTAL_ALLOCATED_QTY ASC;</t>
  </si>
  <si>
    <t>View stock allocation by OA / Order number.</t>
  </si>
  <si>
    <t>Display stock allocation by OA / Order number.</t>
  </si>
  <si>
    <t>stock allocation by OA / Order number</t>
  </si>
  <si>
    <t>SELECT
    OA_NUMBER,
    CHILD_ITEM_ID,
    CHILD_ITEM,
    CHILD_DESCRIPTION,
    SUM(
        NVL(ALLOCATED_FRM_STOCK, 0) + 
        NVL(ALLOCATED_FRM_WIP, 0) + 
        NVL(ALLOCATED_QTY_WOUT_RES, 0)
    ) AS TOTAL_ALLOCATED_QTY,
    SUM(NVL(ALLOCATED_FRM_STOCK, 0))    AS ALLOCATED_FROM_STOCK,
    SUM(NVL(ALLOCATED_FRM_WIP, 0))      AS ALLOCATED_FROM_WIP,
    SUM(NVL(ALLOCATED_QTY_WOUT_RES, 0)) AS ALLOCATED_WITHOUT_RESERVATION
FROM 
    KPCL_REPORTING.KPC_FULL_KIT_BOM_EXPLODE
GROUP BY
    OA_NUMBER,
    CHILD_ITEM_ID,
    CHILD_ITEM,
    CHILD_DESCRIPTION
HAVING 
    SUM(
        NVL(ALLOCATED_FRM_STOCK, 0) + 
        NVL(ALLOCATED_FRM_WIP, 0) + 
        NVL(ALLOCATED_QTY_WOUT_RES, 0)
    ) &gt; 0
ORDER BY 
    OA_NUMBER ASC, 
    TOTAL_ALLOCATED_QTY DESC;</t>
  </si>
  <si>
    <t>Display immediate parent for child_item {child_item}.</t>
  </si>
  <si>
    <t>Show immediate parent for /child_item {child_item}.</t>
  </si>
  <si>
    <t>immediate parent for child item</t>
  </si>
  <si>
    <t>SELECT
    CHILD_ITEM_ID,
    CHILD_ITEM,
    PARENT_ITEM_ID,
    PARENT_ITEM
FROM KPCL_REPORTING.KPC_FULL_KIT_BOM_EXPLODE
WHERE (CHILD_ITEM) LIKE ('%{child_item}%')
ORDER BY PARENT_ITEM;</t>
  </si>
  <si>
    <t>Display immediate parent structure.</t>
  </si>
  <si>
    <t>immediate parent structure</t>
  </si>
  <si>
    <t>SELECT
    CHILD_ITEM_ID,
    CHILD_ITEM,
    PARENT_ITEM_ID,
    PARENT_ITEM,
    BOM_LEVEL,
    COMPONENT_QTY
FROM KPCL_REPORTING.KPC_FULL_KIT_BOM_EXPLODE
WHERE PARENT_ITEM_ID IS NOT NULL
ORDER BY PARENT_ITEM_ID, CHILD_ITEM;</t>
  </si>
  <si>
    <t>Show item of child_item_type {child_item_type}.</t>
  </si>
  <si>
    <t>Show item of /child_item_type {child_item_type}.</t>
  </si>
  <si>
    <t>item of child item type</t>
  </si>
  <si>
    <t>SELECT
    CHILD_ITEM_ID,
    CHILD_ITEM,
    CHILD_DESCRIPTION,
    CHILD_ITEM_TYPE
FROM KPCL_REPORTING.KPC_FULL_KIT_BOM_EXPLODE
WHERE (CHILD_ITEM_TYPE) LIKE ('%{child_item_type}%')
ORDER BY CHILD_ITEM;</t>
  </si>
  <si>
    <t>Display make-buy classification.</t>
  </si>
  <si>
    <t>make-buy classification</t>
  </si>
  <si>
    <t>SELECT DISTINCT
    ORG_NAME,
    CHILD_ITEM_ID,
    CHILD_ITEM,
    CHILD_DESCRIPTION,
    CHILD_ITEM_TYPE,
    PLAN_MAKE_BUY_CODE,
    INVENTORY_PLANNING_CODE,
    MRP_PLANNING_CODE,
    SUPPLIER_NAME,
    FULL_LEAD_TIME,
    NVL(STOCK_GENERAL_STORE, 0) AS STORE_STOCK,
    NVL(SHORT_QTY, 0)           AS SHORTAGE_QTY
FROM 
    KPCL_REPORTING.KPC_FULL_KIT_BOM_EXPLODE
ORDER BY 
    ORG_NAME ASC,
    PLAN_MAKE_BUY_CODE ASC,
    CHILD_ITEM ASC;</t>
  </si>
  <si>
    <t>Show items with need by date less than 5 days.</t>
  </si>
  <si>
    <t>items with need by date less than 5 days</t>
  </si>
  <si>
    <t>SELECT
    CHILD_ITEM_ID,
    CHILD_ITEM,
    CHILD_DESCRIPTION,
    OA_NUMBER,
    EXPECTED_DATE,
    OA_NEED_BY_DATE,
    (OA_NEED_BY_DATE - TRUNC(SYSDATE)) AS DAYS_REMAINING
FROM KPCL_REPORTING.KPC_FULL_KIT_BOM_EXPLODE
WHERE (OA_NEED_BY_DATE - TRUNC(SYSDATE)) &lt; 5
  AND OA_NEED_BY_DATE IS NOT NULL
ORDER BY DAYS_REMAINING ASC;</t>
  </si>
  <si>
    <t>Show urgent procurement items.</t>
  </si>
  <si>
    <t>Find urgent procurement items.</t>
  </si>
  <si>
    <t>urgent procurement items</t>
  </si>
  <si>
    <t>SELECT
    CHILD_ITEM_ID,
    CHILD_ITEM,
    CHILD_DESCRIPTION,
    SUPPLIER_NAME,
    OA_NUMBER,
    OA_NEED_BY_DATE,
    NVL(FULL_LEAD_TIME, 0) AS PROCUREMENT_LEAD_TIME,
    NVL(SHORT_QTY, 0) AS SHORT_QTY,
    (NVL(FULL_LEAD_TIME, 0) - (OA_NEED_BY_DATE - TRUNC(SYSDATE))) AS URGENCY_SCORE
FROM 
    KPCL_REPORTING.KPC_FULL_KIT_BOM_EXPLODE
WHERE 
    NVL(SHORT_QTY, 0) &gt; 0
    AND NVL(FULL_LEAD_TIME, 0) &gt; 0
    AND OA_NEED_BY_DATE IS NOT NULL
ORDER BY 
    URGENCY_SCORE DESC,
    SHORT_QTY DESC;</t>
  </si>
  <si>
    <t>Display procurement deadlines.</t>
  </si>
  <si>
    <t>procurement deadlines</t>
  </si>
  <si>
    <t>SELECT
    CHILD_ITEM_ID,
    CHILD_ITEM,
    CHILD_DESCRIPTION,
    SUPPLIER_NAME,
    NVL(FULL_LEAD_TIME, 0) AS PROCUREMENT_LEAD_TIME,
    (TRUNC(SYSDATE) + NVL(FULL_LEAD_TIME, 0)) AS PROCUREMENT_DEADLINE_DATE
FROM 
    KPCL_REPORTING.KPC_FULL_KIT_BOM_EXPLODE
WHERE 
    FULL_LEAD_TIME IS NOT NULL 
    AND FULL_LEAD_TIME &gt; 0
ORDER BY 
    PROCUREMENT_DEADLINE_DATE ASC;</t>
  </si>
  <si>
    <t>Display total demand for all child items.</t>
  </si>
  <si>
    <t>Show total demand for all child items.</t>
  </si>
  <si>
    <t>total demand for all child items</t>
  </si>
  <si>
    <t>SELECT
    CHILD_ITEM_ID,
    CHILD_ITEM,
    CHILD_DESCRIPTION,
    SUM(NVL(MRP_DEMAND, 0)) AS TOTAL_DEMAND_QTY
FROM KPCL_REPORTING.KPC_FULL_KIT_BOM_EXPLODE
GROUP BY
    CHILD_ITEM_ID,
    CHILD_ITEM,
    CHILD_DESCRIPTION
ORDER BY TOTAL_DEMAND_QTY DESC;</t>
  </si>
  <si>
    <t>View items with highest total demand.</t>
  </si>
  <si>
    <t>Find items with highest total demand.</t>
  </si>
  <si>
    <t>items with highest total demand</t>
  </si>
  <si>
    <t>SELECT
    CHILD_ITEM_ID,
    CHILD_ITEM,
    CHILD_DESCRIPTION,
    SUM(NVL(MRP_DEMAND, 0)) AS TOTAL_DEMAND_QTY
FROM KPCL_REPORTING.KPC_FULL_KIT_BOM_EXPLODE
GROUP BY
    CHILD_ITEM_ID,
    CHILD_ITEM,
    CHILD_DESCRIPTION
HAVING SUM(NVL(MRP_DEMAND, 0)) &gt; 0
ORDER BY TOTAL_DEMAND_QTY DESC
FETCH FIRST 10 ROWS ONLY;</t>
  </si>
  <si>
    <t>Display demand grouped by OA / Order number.</t>
  </si>
  <si>
    <t>demand grouped by OA / Order number</t>
  </si>
  <si>
    <t>SELECT
    OA_NUMBER,
    SUM(NVL(MRP_DEMAND, 0)) AS TOTAL_DEMAND_QTY
FROM KPCL_REPORTING.KPC_FULL_KIT_BOM_EXPLODE
GROUP BY OA_NUMBER
ORDER BY TOTAL_DEMAND_QTY DESC;</t>
  </si>
  <si>
    <t>View items with exception quantity.</t>
  </si>
  <si>
    <t>Show items with exception quantity.</t>
  </si>
  <si>
    <t>items with exception quantity</t>
  </si>
  <si>
    <t>SELECT
    CHILD_ITEM_ID,
    CHILD_ITEM,
    CHILD_DESCRIPTION,
    EXCEPTION_QTY
FROM KPCL_REPORTING.KPC_FULL_KIT_BOM_EXPLODE
WHERE NVL(EXCEPTION_QTY, 0) &gt; 0
ORDER BY EXCEPTION_QTY DESC;</t>
  </si>
  <si>
    <t>Show pending requisition, exception, and shortage quantities by OA number, customer, and organization.</t>
  </si>
  <si>
    <t>pending requisition, exception, and shortage quantities by OA number, customer, and organization</t>
  </si>
  <si>
    <t>SELECT
    CHILD_ITEM_ID,
    CHILD_ITEM,
    CHILD_DESCRIPTION,
    OA_NUMBER,
    CUSTOMER_NAME,
    ORG_NAME,
    NVL(PENDING_REQUISITION, 0) AS PENDING_REQUISITION_QTY,
    NVL(EXCEPTION_QTY, 0)       AS EXCEPTION_QTY,
    NVL(SHORT_QTY, 0)           AS SHORTAGE_QTY
FROM 
    KPCL_REPORTING.KPC_FULL_KIT_BOM_EXPLODE
WHERE 
    NVL(EXCEPTION_QTY, 0) &gt; 0
    OR NVL(PENDING_REQUISITION, 0) &gt; 0
ORDER BY 
    EXCEPTION_QTY DESC, 
    PENDING_REQUISITION_QTY DESC;</t>
  </si>
  <si>
    <t>Show supplier wise exception quantities.</t>
  </si>
  <si>
    <t>Display supplier wise exception quantities.</t>
  </si>
  <si>
    <t>supplier wise exception quantities</t>
  </si>
  <si>
    <t>SELECT
    SUPPLIER_NAME,
    SUM(NVL(EXCEPTION_QTY, 0)) AS TOTAL_EXCEPTION_QTY
FROM KPCL_REPORTING.KPC_FULL_KIT_BOM_EXPLODE
WHERE NVL(EXCEPTION_QTY, 0) &gt; 0
GROUP BY SUPPLIER_NAME
ORDER BY TOTAL_EXCEPTION_QTY DESC;</t>
  </si>
  <si>
    <t>View supply quantity for all items.</t>
  </si>
  <si>
    <t>Show supply quantity for all items.</t>
  </si>
  <si>
    <t>supply quantity for all items</t>
  </si>
  <si>
    <t>SELECT
    CHILD_ITEM_ID,
    CHILD_ITEM,
    CHILD_DESCRIPTION,
    SUM(NVL(SUPPLY_QTY, 0)) AS TOTAL_SUPPLY_QTY
FROM KPCL_REPORTING.KPC_FULL_KIT_BOM_EXPLODE
GROUP BY
    CHILD_ITEM_ID,
    CHILD_ITEM,
    CHILD_DESCRIPTION
ORDER BY TOTAL_SUPPLY_QTY DESC;</t>
  </si>
  <si>
    <t>Display items where supply is less than demand.</t>
  </si>
  <si>
    <t>Find items where supply is less than demand.</t>
  </si>
  <si>
    <t>items where supply is less than demand</t>
  </si>
  <si>
    <t>SELECT
    CHILD_ITEM_ID,
    CHILD_ITEM,
    CHILD_DESCRIPTION,
    SUM(NVL(MRP_DEMAND, 0)) AS TOTAL_DEMAND_QTY,
    SUM(NVL(SUPPLY_QTY, 0)) AS TOTAL_SUPPLY_QTY
FROM KPCL_REPORTING.KPC_FULL_KIT_BOM_EXPLODE
GROUP BY
    CHILD_ITEM_ID,
    CHILD_ITEM,
    CHILD_DESCRIPTION
HAVING SUM(NVL(SUPPLY_QTY, 0)) &lt; SUM(NVL(MRP_DEMAND, 0))
ORDER BY (SUM(NVL(MRP_DEMAND, 0)) - SUM(NVL(SUPPLY_QTY, 0))) DESC;</t>
  </si>
  <si>
    <t>View supply quantities by OA / Order number.</t>
  </si>
  <si>
    <t>Display supply quantities by OA / Order number.</t>
  </si>
  <si>
    <t>supply quantities by OA / Order number</t>
  </si>
  <si>
    <t>SELECT
    OA_NUMBER,
    SUM(NVL(SUPPLY_QTY, 0)) AS TOTAL_SUPPLY_QTY
FROM KPCL_REPORTING.KPC_FULL_KIT_BOM_EXPLODE
GROUP BY OA_NUMBER
ORDER BY TOTAL_SUPPLY_QTY DESC;</t>
  </si>
  <si>
    <t>Display current on-hand stock.</t>
  </si>
  <si>
    <t>Show current on-hand stock.</t>
  </si>
  <si>
    <t>current on-hand stock</t>
  </si>
  <si>
    <t>SELECT
    CHILD_ITEM_ID,
    CHILD_ITEM,
    CHILD_DESCRIPTION,
    SUM(NVL(ON_HAND_STOCK, 0)) AS TOTAL_ON_HAND_STOCK
FROM KPCL_REPORTING.KPC_FULL_KIT_BOM_EXPLODE
GROUP BY
    CHILD_ITEM_ID,
    CHILD_ITEM,
    CHILD_DESCRIPTION
ORDER BY TOTAL_ON_HAND_STOCK DESC;</t>
  </si>
  <si>
    <t>Show items with zero stock.</t>
  </si>
  <si>
    <t>Find items with zero stock.</t>
  </si>
  <si>
    <t>items with zero stock</t>
  </si>
  <si>
    <t>SELECT 
    CHILD_ITEM_ID,
    CHILD_ITEM,
    CHILD_DESCRIPTION,
    CHILD_ITEM_TYPE,
    ORG_NAME,
    SUM(NVL(STOCK_GENERAL_STORE, 0)) AS STORE_STOCK,
    SUM(NVL(WIP_STOCK, 0))           AS WIP_STOCK,
    SUM(NVL(OSP_STOCK, 0))           AS OSP_STOCK,
    SUM(NVL(APP_PO_QTY, 0))          AS APPROVED_PO_QTY,
    SUM(NVL(UN_APPR_PO_QTY, 0))      AS UNAPPROVED_PO_QTY
FROM 
    KPCL_REPORTING.KPC_FULL_KIT_BOM_EXPLODE
GROUP BY 
    CHILD_ITEM_ID,
    CHILD_ITEM,
    CHILD_DESCRIPTION,
    CHILD_ITEM_TYPE,
    ORG_NAME
HAVING 
    SUM(NVL(STOCK_GENERAL_STORE, 0) + NVL(WIP_STOCK, 0) + NVL(OSP_STOCK, 0)) = 0
ORDER BY 
    CHILD_ITEM ASC;</t>
  </si>
  <si>
    <t>Display on-hand inventory valuation.</t>
  </si>
  <si>
    <t>on-hand inventory valuation</t>
  </si>
  <si>
    <t>SELECT 
    ORG_NAME,
    CHILD_ITEM,
    CHILD_DESCRIPTION,
    CHILD_ITEM_TYPE,
    NVL(ITEM_STD_RATE, NVL(BOM_ITEM_COST, 0))              AS UNIT_COST,
    SUM(NVL(STOCK_GENERAL_STORE, 0))                       AS STORE_QTY,
    SUM(NVL(WIP_STOCK, 0))                                 AS WIP_QTY,
    SUM(NVL(OSP_STOCK, 0))                                 AS OSP_QTY,
    SUM(NVL(STOCK_GENERAL_STORE, 0) + NVL(WIP_STOCK, 0) + NVL(OSP_STOCK, 0)) AS TOTAL_PHYSICAL_QTY,
    SUM(NVL(STOCK_GENERAL_STORE, 0) * NVL(ITEM_STD_RATE, NVL(BOM_ITEM_COST, 0))) AS STORE_VALUATION,
    SUM(NVL(WIP_STOCK, 0) * NVL(ITEM_STD_RATE, NVL(BOM_ITEM_COST, 0)))            AS WIP_VALUATION,
    SUM(NVL(OSP_STOCK, 0) * NVL(ITEM_STD_RATE, NVL(BOM_ITEM_COST, 0)))            AS OSP_VALUATION,
    SUM((NVL(STOCK_GENERAL_STORE, 0) + NVL(WIP_STOCK, 0) + NVL(OSP_STOCK, 0)) * 
        NVL(ITEM_STD_RATE, NVL(BOM_ITEM_COST, 0)))                                 AS GRAND_TOTAL_VALUATION
FROM 
    KPCL_REPORTING.KPC_FULL_KIT_BOM_EXPLODE
WHERE 
    (NVL(STOCK_GENERAL_STORE, 0) + NVL(WIP_STOCK, 0) + NVL(OSP_STOCK, 0)) &gt; 0
GROUP BY 
    ORG_NAME,
    CHILD_ITEM,
    CHILD_DESCRIPTION,
    CHILD_ITEM_TYPE,
    NVL(ITEM_STD_RATE, NVL(BOM_ITEM_COST, 0))
ORDER BY 
    GRAND_TOTAL_VALUATION DESC;</t>
  </si>
  <si>
    <t>Show WIP stock quantities.</t>
  </si>
  <si>
    <t>WIP stock quantities</t>
  </si>
  <si>
    <t>SELECT 
    CHILD_ITEM_ID,
    CHILD_ITEM,
    CHILD_DESCRIPTION,
    CHILD_ITEM_TYPE,
    ORG_NAME,
    SUM(NVL(WIP_STOCK, 0))            AS TOTAL_WIP_STOCK,
    SUM(NVL(ALLOCATED_FRM_WIP, 0))   AS ALLOCATED_FROM_WIP,
    SUM(NVL(STOCK_GENERAL_STORE, 0)) AS STORE_ON_HAND_STOCK,
    SUM(NVL(SHORT_QTY, 0))           AS TOTAL_SHORTAGE_QTY
FROM 
    KPCL_REPORTING.KPC_FULL_KIT_BOM_EXPLODE
WHERE 
    NVL(WIP_STOCK, 0) &gt; 0
GROUP BY 
    CHILD_ITEM_ID,
    CHILD_ITEM,
    CHILD_DESCRIPTION,
    CHILD_ITEM_TYPE,
    ORG_NAME
ORDER BY 
    TOTAL_WIP_STOCK DESC;</t>
  </si>
  <si>
    <t>Display items available in WIP.</t>
  </si>
  <si>
    <t>Find items available in WIP.</t>
  </si>
  <si>
    <t>items available in WIP</t>
  </si>
  <si>
    <t>SELECT 
    CHILD_ITEM_ID,
    CHILD_ITEM,
    CHILD_DESCRIPTION,
    CHILD_ITEM_TYPE,
    ORG_NAME,
    SUM(NVL(WIP_STOCK, 0))              AS TOTAL_WIP_STOCK,
    SUM(NVL(ALLOCATED_FRM_WIP, 0))     AS WIP_ALLOCATED_QTY,
    SUM(NVL(STOCK_GENERAL_STORE, 0))   AS ON_HAND_STORE_STOCK,
    SUM(NVL(MRP_DEMAND, 0))            AS TOTAL_MRP_DEMAND,
    SUM(NVL(SHORT_QTY, 0))             AS TOTAL_SHORTAGE_QTY
FROM 
    KPCL_REPORTING.KPC_FULL_KIT_BOM_EXPLODE
WHERE 
    NVL(WIP_STOCK, 0) &gt; 0
GROUP BY 
    CHILD_ITEM_ID,
    CHILD_ITEM,
    CHILD_DESCRIPTION,
    CHILD_ITEM_TYPE,
    ORG_NAME
ORDER BY 
    TOTAL_WIP_STOCK DESC,
    CHILD_ITEM ASC;</t>
  </si>
  <si>
    <t>Show WIP inventory by component.</t>
  </si>
  <si>
    <t>Display WIP inventory by component.</t>
  </si>
  <si>
    <t>WIP inventory by component</t>
  </si>
  <si>
    <t>SELECT 
    CHILD_ITEM_ID,
    CHILD_ITEM,
    CHILD_DESCRIPTION,
    CHILD_ITEM_TYPE,
    ORG_NAME,
    SUM(NVL(WIP_STOCK, 0))              AS TOTAL_WIP_STOCK,
    SUM(NVL(STOCK_GENERAL_STORE, 0))   AS ON_HAND_STORE_STOCK,
    SUM(NVL(ALLOCATED_FRM_WIP, 0))     AS WIP_ALLOCATED_QTY,
    SUM(NVL(MRP_DEMAND, 0))            AS TOTAL_MRP_DEMAND,
    SUM(NVL(SHORT_QTY, 0))             AS TOTAL_SHORTAGE_QTY
FROM 
    KPCL_REPORTING.KPC_FULL_KIT_BOM_EXPLODE
WHERE 
    NVL(WIP_STOCK, 0) &gt; 0
GROUP BY 
    CHILD_ITEM_ID,
    CHILD_ITEM,
    CHILD_DESCRIPTION,
    CHILD_ITEM_TYPE,
    ORG_NAME
ORDER BY 
    TOTAL_WIP_STOCK DESC,
    CHILD_ITEM ASC;</t>
  </si>
  <si>
    <t>Show outside processing stock quantities.</t>
  </si>
  <si>
    <t>outside processing stock quantities</t>
  </si>
  <si>
    <t>SELECT
    ORG_NAME,
    CHILD_ITEM_ID,
    CHILD_ITEM,
    CHILD_DESCRIPTION,
    CHILD_ITEM_TYPE,
    SUM(NVL(OSP_STOCK, 0))          AS TOTAL_OSP_STOCK,
    SUM(NVL(APP_PO_QTY, 0))         AS APPROVED_PO_QTY,
    SUM(NVL(UN_APPR_PO_QTY, 0))     AS UNAPPROVED_PO_QTY,
    SUM(NVL(SHORT_QTY, 0))          AS SHORTAGE_QTY
FROM 
    KPCL_REPORTING.KPC_FULL_KIT_BOM_EXPLODE
GROUP BY
    ORG_NAME,
    CHILD_ITEM_ID,
    CHILD_ITEM,
    CHILD_DESCRIPTION,
    CHILD_ITEM_TYPE
HAVING 
    SUM(NVL(OSP_STOCK, 0)) &gt; 0
ORDER BY 
    ORG_NAME ASC,
    TOTAL_OSP_STOCK DESC;</t>
  </si>
  <si>
    <t>Show items available in OSP stock.</t>
  </si>
  <si>
    <t>Find items available in OSP stock.</t>
  </si>
  <si>
    <t>items available in OSP stock</t>
  </si>
  <si>
    <t>SELECT
    CHILD_ITEM_ID,
    CHILD_ITEM,
    CHILD_DESCRIPTION,
    SUM(NVL(OSP_STOCK, 0)) AS TOTAL_OSP_QTY
FROM 
    KPCL_REPORTING.KPC_FULL_KIT_BOM_EXPLODE
GROUP BY
    CHILD_ITEM_ID,
    CHILD_ITEM,
    CHILD_DESCRIPTION
HAVING 
    SUM(NVL(OSP_STOCK, 0)) &gt; 0
ORDER BY 
    TOTAL_OSP_QTY DESC;</t>
  </si>
  <si>
    <t>Display OSP stock by supplier.</t>
  </si>
  <si>
    <t>OSP stock by supplier</t>
  </si>
  <si>
    <t>SELECT 
    SUPPLIER_NAME,
    ORG_NAME,
    CHILD_ITEM_ID,
    CHILD_ITEM,
    CHILD_DESCRIPTION,
    SUM(NVL(OSP_STOCK, 0))      AS TOTAL_OSP_STOCK,
    SUM(NVL(APP_PO_QTY, 0))     AS APPROVED_PO_QTY,
    SUM(NVL(UN_APPR_PO_QTY, 0)) AS UNAPPROVED_PO_QTY,
    SUM(NVL(SHORT_QTY, 0))      AS SHORTAGE_QTY
FROM 
    KPCL_REPORTING.KPC_FULL_KIT_BOM_EXPLODE
WHERE 
    NVL(OSP_STOCK, 0) &gt; 0
GROUP BY 
    SUPPLIER_NAME,
    ORG_NAME,
    CHILD_ITEM_ID,
    CHILD_ITEM,
    CHILD_DESCRIPTION
ORDER BY 
    SUPPLIER_NAME ASC,
    TOTAL_OSP_STOCK DESC;</t>
  </si>
  <si>
    <t>Display unapproved PO quantities.</t>
  </si>
  <si>
    <t>Show unapproved PO quantities.</t>
  </si>
  <si>
    <t>SELECT 
    ORG_NAME,
    CHILD_ITEM_ID,
    CHILD_ITEM,
    CHILD_DESCRIPTION,
    CHILD_ITEM_TYPE,
    SUM(NVL(UN_APPR_PO_QTY, 0)) AS TOTAL_UNAPPROVED_PO_QTY,
    SUM(NVL(APP_PO_QTY, 0))     AS TOTAL_APPROVED_PO_QTY,
    SUM(NVL(SHORT_QTY, 0))      AS TOTAL_SHORTAGE_QTY
FROM 
    KPCL_REPORTING.KPC_FULL_KIT_BOM_EXPLODE
WHERE 
    NVL(UN_APPR_PO_QTY, 0) &gt; 0
GROUP BY 
    ORG_NAME,
    CHILD_ITEM_ID,
    CHILD_ITEM,
    CHILD_DESCRIPTION,
    CHILD_ITEM_TYPE
ORDER BY 
    TOTAL_UNAPPROVED_PO_QTY DESC;</t>
  </si>
  <si>
    <t>View items awaiting PO approval.</t>
  </si>
  <si>
    <t>Find items awaiting PO approval.</t>
  </si>
  <si>
    <t>items awaiting PO approval</t>
  </si>
  <si>
    <t>SELECT DISTINCT
    ORG_NAME,
    OA_NUMBER,
    CUSTOMER_NAME,
    CHILD_ITEM_ID,
    CHILD_ITEM,
    CHILD_DESCRIPTION,
    CHILD_ITEM_TYPE,
    NVL(MRP_DEMAND, 0) AS DEMAND_QTY,
    NVL(STOCK_GENERAL_STORE, 0) AS ON_HAND_STOCK,
    NVL(APP_PO_QTY, 0) AS APPROVED_PO_QTY,
    NVL(PENDING_ASN, 0) AS IN_TRANSIT_ASN_QTY,
    NVL(SHORT_QTY, 0) AS SHORTAGE_QTY
FROM 
    KPCL_REPORTING.KPC_FULL_KIT_BOM_EXPLODE
WHERE 
    NVL(SHORT_QTY, 0) &gt; 0
    AND (
        (CHILD_ITEM_TYPE) IN ('BUY', 'OSP', 'PURCHASED')
        OR NVL(APP_PO_QTY, 0) = 0
    )
ORDER BY 
    SHORTAGE_QTY DESC,
    OA_NUMBER ASC,
    CHILD_ITEM ASC;</t>
  </si>
  <si>
    <t>Display supplier wise unapproved PO quantities.</t>
  </si>
  <si>
    <t>supplier wise unapproved PO quantities</t>
  </si>
  <si>
    <t>SELECT
    ORG_NAME,
    CHILD_ITEM_ID,
    CHILD_ITEM,
    CHILD_DESCRIPTION,
    CHILD_ITEM_TYPE,
    SUM(NVL(APP_PO_QTY, 0)) AS TOTAL_APPROVED_PO_QTY,
    SUM(NVL(PENDING_ASN, 0)) AS TOTAL_IN_TRANSIT_ASN_QTY,
    SUM(NVL(SHORT_QTY, 0)) AS TOTAL_SHORTAGE_QTY
FROM 
    KPCL_REPORTING.KPC_FULL_KIT_BOM_EXPLODE
WHERE 
    NVL(APP_PO_QTY, 0) &gt; 0 
    OR NVL(PENDING_ASN, 0) &gt; 0
GROUP BY
    ORG_NAME,
    CHILD_ITEM_ID,
    CHILD_ITEM,
    CHILD_DESCRIPTION,
    CHILD_ITEM_TYPE
ORDER BY 
    TOTAL_APPROVED_PO_QTY DESC;</t>
  </si>
  <si>
    <t>Show OA  / Order number required this week.</t>
  </si>
  <si>
    <t>OA  / Order number required this week</t>
  </si>
  <si>
    <t>SELECT
    OA_NUMBER,
    CUSTOMER_NAME,
    OA_CREATION_DATE,
    OA_PROMISE_DATE,
    OA_NEED_BY_DATE
FROM KPCL_REPORTING.KPC_FULL_KIT_BOM_EXPLODE
WHERE OA_NEED_BY_DATE &gt;= TRUNC(SYSDATE)
  AND OA_NEED_BY_DATE &lt; TRUNC(SYSDATE) + 7
ORDER BY OA_NEED_BY_DATE;</t>
  </si>
  <si>
    <t>View urgent need by date orders.</t>
  </si>
  <si>
    <t>Find urgent need by date orders.</t>
  </si>
  <si>
    <t>urgent need by date orders</t>
  </si>
  <si>
    <t>SELECT
    OA_NUMBER,
    CUSTOMER_NAME,
    OA_CREATION_DATE,
    OA_PROMISE_DATE,
    OA_NEED_BY_DATE,
    (OA_NEED_BY_DATE - TRUNC(SYSDATE)) AS DAYS_REMAINING
FROM KPCL_REPORTING.KPC_FULL_KIT_BOM_EXPLODE
WHERE OA_NEED_BY_DATE IS NOT NULL
  AND (OA_NEED_BY_DATE - TRUNC(SYSDATE)) &lt;= 5
ORDER BY DAYS_REMAINING ASC;</t>
  </si>
  <si>
    <t>Display need by dates for shortages.</t>
  </si>
  <si>
    <t>need by dates for shortages</t>
  </si>
  <si>
    <t>SELECT
    OA_NUMBER,
    CHILD_ITEM_ID,
    CHILD_ITEM,
    CHILD_DESCRIPTION,
    OA_NEED_BY_DATE,
    SUM(NVL(SHORT_QTY, 0)) AS TOTAL_SHORTAGE_QTY
FROM KPCL_REPORTING.KPC_FULL_KIT_BOM_EXPLODE
WHERE NVL(SHORT_QTY, 0) &gt; 0
  AND OA_NEED_BY_DATE IS NOT NULL
GROUP BY
    OA_NUMBER,
    CHILD_ITEM_ID,
    CHILD_ITEM,
    CHILD_DESCRIPTION,
    OA_NEED_BY_DATE
ORDER BY OA_NEED_BY_DATE;</t>
  </si>
  <si>
    <t>View old PO creation dates.</t>
  </si>
  <si>
    <t>Show old PO creation dates.</t>
  </si>
  <si>
    <t>old PO creation dates</t>
  </si>
  <si>
    <t>SELECT
    PO_NUMBER,
    SUPPLIER_NAME,
    CHILD_ITEM_ID,
    CHILD_ITEM,
    CHILD_DESCRIPTION,
    PO_DATE
FROM KPCL_REPORTING.KPC_FULL_KIT_BOM_EXPLODE
WHERE PO_DATE IS NOT NULL
ORDER BY PO_DATE ASC;</t>
  </si>
  <si>
    <t>View oldest purchase orders.</t>
  </si>
  <si>
    <t>Find oldest purchase orders.</t>
  </si>
  <si>
    <t>oldest purchase orders</t>
  </si>
  <si>
    <t>SELECT
    PO_NUMBER,
    SUPPLIER_NAME,
    MIN(PO_DATE) AS PO_DATE
FROM KPCL_REPORTING.KPC_FULL_KIT_BOM_EXPLODE
WHERE PO_NUMBER IS NOT NULL
GROUP BY
    PO_NUMBER,
    SUPPLIER_NAME
ORDER BY PO_DATE ASC;</t>
  </si>
  <si>
    <t>View supplier wise old PO dates.</t>
  </si>
  <si>
    <t>Display supplier wise old PO dates.</t>
  </si>
  <si>
    <t>supplier wise old PO dates</t>
  </si>
  <si>
    <t>SELECT
    SUPPLIER_NAME,
    PO_NUMBER,
    MIN(PO_DATE) AS PO_DATE
FROM KPCL_REPORTING.KPC_FULL_KIT_BOM_EXPLODE
WHERE PO_NUMBER IS NOT NULL
GROUP BY
    SUPPLIER_NAME,
    PO_NUMBER
ORDER BY SUPPLIER_NAME, PO_DATE ASC;</t>
  </si>
  <si>
    <t>View expected delivery dates.</t>
  </si>
  <si>
    <t>Show expected delivery dates.</t>
  </si>
  <si>
    <t>expected delivery dates</t>
  </si>
  <si>
    <t>SELECT
    OA_NUMBER,
    CHILD_ITEM_ID,
    CHILD_ITEM,
    CHILD_DESCRIPTION,
    EXPECTED_DATE,
    SUPPLIER_NAME
FROM KPCL_REPORTING.KPC_FULL_KIT_BOM_EXPLODE
WHERE EXPECTED_DATE IS NOT NULL
ORDER BY EXPECTED_DATE;</t>
  </si>
  <si>
    <t>View items with delayed expected date .</t>
  </si>
  <si>
    <t>items with delayed expected date</t>
  </si>
  <si>
    <t>SELECT
    OA_NUMBER,
    CHILD_ITEM_ID,
    CHILD_ITEM,
    CHILD_DESCRIPTION,
    EXPECTED_DATE,
    OA_NEED_BY_DATE,
    (EXPECTED_DATE - OA_NEED_BY_DATE) AS DELAY_DAYS
FROM KPCL_REPORTING.KPC_FULL_KIT_BOM_EXPLODE
WHERE EXPECTED_DATE &gt; OA_NEED_BY_DATE
ORDER BY DELAY_DAYS DESC;</t>
  </si>
  <si>
    <t>Show items with null expected dates.</t>
  </si>
  <si>
    <t>Display items with null expected dates.</t>
  </si>
  <si>
    <t>items with null expected dates</t>
  </si>
  <si>
    <t>SELECT
    OA_NUMBER,
    CHILD_ITEM_ID,
    CHILD_ITEM,
    CHILD_DESCRIPTION,
    SUPPLIER_NAME
FROM KPCL_REPORTING.KPC_FULL_KIT_BOM_EXPLODE
WHERE EXPECTED_DATE IS NULL
ORDER BY OA_NUMBER, CHILD_ITEM;</t>
  </si>
  <si>
    <t>View BOM for this month.</t>
  </si>
  <si>
    <t>Show BOM for this month.</t>
  </si>
  <si>
    <t>BOM for this month</t>
  </si>
  <si>
    <t>SELECT DISTINCT
    OA_NUMBER,
    ORG_NAME,
    PARENT_ITEM_ID,
    PARENT_ITEM,
    CHILD_ITEM_ID,
    CHILD_ITEM,
    CHILD_DESCRIPTION,
    OA_CREATION_DATE,
    OA_SCH_SHIP_DT AS SCHEDULED_SHIP_DATE
FROM 
    KPCL_REPORTING.KPC_FULL_KIT_BOM_EXPLODE
WHERE 
    OA_CREATION_DATE &gt;= TRUNC(SYSDATE, 'MM')
    AND OA_CREATION_DATE &lt; ADD_MONTHS(TRUNC(SYSDATE, 'MM'), 1)
ORDER BY 
    OA_CREATION_DATE ASC,
    OA_NUMBER ASC,
    CHILD_ITEM ASC;</t>
  </si>
  <si>
    <t>View BOM effective dates for parent items.</t>
  </si>
  <si>
    <t>Find BOM effective dates for parent items.</t>
  </si>
  <si>
    <t>BOM effective dates for parent items</t>
  </si>
  <si>
    <t>SELECT
    PARENT_ITEM_ID,
    PARENT_ITEM,
    MIN(OA_CREATION_DATE) AS EARLIEST_CREATION_DATE,
    MAX(OA_SCH_SHIP_DT) AS LATEST_SCHEDULED_SHIP_DATE,
    COUNT(DISTINCT OA_NUMBER) AS TOTAL_ORDERS
FROM 
    KPCL_REPORTING.KPC_FULL_KIT_BOM_EXPLODE
WHERE 
    OA_CREATION_DATE IS NOT NULL
GROUP BY
    PARENT_ITEM_ID,
    PARENT_ITEM
ORDER BY 
    EARLIEST_CREATION_DATE ASC NULLS LAST;</t>
  </si>
  <si>
    <t>View recently activated BOM.</t>
  </si>
  <si>
    <t>Display recently activated BOM.</t>
  </si>
  <si>
    <t>recently activated BOM</t>
  </si>
  <si>
    <t>SELECT DISTINCT
    OA_NUMBER,
    ORG_NAME,
    PARENT_ITEM_ID,
    PARENT_ITEM,
    CHILD_ITEM_ID,
    CHILD_ITEM,
    CHILD_DESCRIPTION,
    OA_CREATION_DATE,
    OA_SCH_SHIP_DT AS SCHEDULED_SHIP_DATE
FROM 
    KPCL_REPORTING.KPC_FULL_KIT_BOM_EXPLODE
WHERE 
    OA_CREATION_DATE &gt;= TRUNC(SYSDATE) - 30
ORDER BY 
    OA_CREATION_DATE DESC NULLS LAST,
    OA_NUMBER ASC,
    CHILD_ITEM ASC;</t>
  </si>
  <si>
    <t>Display all stock orders.</t>
  </si>
  <si>
    <t>Show all stock orders.</t>
  </si>
  <si>
    <t>all stock orders</t>
  </si>
  <si>
    <t>SELECT DISTINCT
    OA_NUMBER,
    ORG_NAME,
    CUSTOMER_NAME,
    CHILD_ITEM_ID,
    CHILD_ITEM,
    CHILD_DESCRIPTION,
    NVL(STOCK_GENERAL_STORE, 0) AS ON_HAND_STOCK,
    NVL(WIP_STOCK, 0) AS WIP_STOCK,
    NVL(APP_PO_QTY, 0) AS OPEN_PO_QTY,
    NVL(PENDING_ASN, 0) AS IN_TRANSIT_ASN,
    (NVL(ALLOCATED_FRM_STOCK, 0) + NVL(ALLOCATED_FRM_WIP, 0)) AS TOTAL_ALLOCATED_QTY,
    NVL(MRP_DEMAND, 0) AS DEMAND_QTY,
    NVL(SHORT_QTY, 0) AS SHORTAGE_QTY
FROM 
    KPCL_REPORTING.KPC_FULL_KIT_BOM_EXPLODE
WHERE 
    NVL(STOCK_GENERAL_STORE, 0) &gt; 0
    OR NVL(WIP_STOCK, 0) &gt; 0
    OR NVL(APP_PO_QTY, 0) &gt; 0
    OR NVL(PENDING_ASN, 0) &gt; 0
ORDER BY 
    OA_NUMBER ASC, 
    CHILD_ITEM ASC;</t>
  </si>
  <si>
    <t>View parent items without child components.</t>
  </si>
  <si>
    <t>Show parent items without child components.</t>
  </si>
  <si>
    <t>parent items without child components</t>
  </si>
  <si>
    <t>SELECT
    PARENT_ITEM_ID,
    PARENT_ITEM
FROM KPCL_REPORTING.KPC_FULL_KIT_BOM_EXPLODE
GROUP BY
    PARENT_ITEM_ID,
    PARENT_ITEM
HAVING COUNT(CHILD_ITEM_ID) = 0
ORDER BY PARENT_ITEM;</t>
  </si>
  <si>
    <t>Show BOM with child existence flag enabled.</t>
  </si>
  <si>
    <t>Find BOM with child existence flag enabled.</t>
  </si>
  <si>
    <t>BOM with child existence flag enabled</t>
  </si>
  <si>
    <t>SELECT DISTINCT
    PARENT_ITEM_ID,
    PARENT_ITEM,
    CHILD_ITEM_ID,
    CHILD_ITEM,
    CHILD_DESCRIPTION,
    CHILD_EXIST_FLAG
FROM 
    KPCL_REPORTING.KPC_FULL_KIT_BOM_EXPLODE
WHERE 
    (CHILD_EXIST_FLAG) = 'Y' 
ORDER BY 
    PARENT_ITEM_ID ASC, 
    CHILD_ITEM ASC;</t>
  </si>
  <si>
    <t>Show BOM completeness status.</t>
  </si>
  <si>
    <t>Display BOM completeness status.</t>
  </si>
  <si>
    <t>BOM completeness status</t>
  </si>
  <si>
    <t>SELECT
    OA_NUMBER,
    PARENT_ITEM_ID,
    PARENT_ITEM,
    COUNT(CHILD_ITEM_ID) AS TOTAL_COMPONENTS,
    SUM(CASE WHEN CHILD_EXIST_FLAG = 'Y' THEN 1 ELSE 0 END) AS AVAILABLE_COMPONENTS,
    SUM(CASE WHEN NVL(SHORT_QTY, 0) &gt; 0 THEN 1 ELSE 0 END) AS SHORT_COMPONENTS,
    CASE 
        WHEN SUM(CASE WHEN NVL(SHORT_QTY, 0) &gt; 0 THEN 1 ELSE 0 END) = 0 THEN 'COMPLETE'
        ELSE 'INCOMPLETE'
    END AS BOM_STATUS
FROM 
    KPCL_REPORTING.KPC_FULL_KIT_BOM_EXPLODE
GROUP BY
    OA_NUMBER,
    PARENT_ITEM_ID,
    PARENT_ITEM
ORDER BY 
    BOM_STATUS ASC,
    OA_NUMBER ASC,
    PARENT_ITEM ASC;</t>
  </si>
  <si>
    <t>View allocations without reservation.</t>
  </si>
  <si>
    <t>Show allocations without reservation.</t>
  </si>
  <si>
    <t>allocations without reservation</t>
  </si>
  <si>
    <t>SELECT DISTINCT
    OA_NUMBER,
    CHILD_ITEM_ID,
    CHILD_ITEM,
    CHILD_DESCRIPTION,
    NVL(ALLOCATED_FRM_STOCK, 0) AS ALLOCATED_FROM_STOCK,
    NVL(ALLOCATED_FRM_WIP, 0) AS ALLOCATED_FROM_WIP,
    (NVL(ALLOCATED_FRM_STOCK, 0) + NVL(ALLOCATED_FRM_WIP, 0)) AS TOTAL_ALLOCATED_QTY,
    NVL(SHORT_QTY, 0) AS SHORTAGE_QTY,
    ALLOCATED_QTY_WOUT_RES AS RESERVATION_FLAG,
    OA_COLOUR AS BUFFER_COLOR
FROM 
    KPCL_REPORTING.KPC_FULL_KIT_BOM_EXPLODE
WHERE 
    (NVL(ALLOCATED_FRM_STOCK, 0) + NVL(ALLOCATED_FRM_WIP, 0)) &gt; 0
    AND NVL(SHORT_QTY, 0) &gt; 0
ORDER BY 
    TOTAL_ALLOCATED_QTY DESC,
    SHORTAGE_QTY DESC;</t>
  </si>
  <si>
    <t>Display WIP allocations without full kit.</t>
  </si>
  <si>
    <t>Find WIP allocations without full kit.</t>
  </si>
  <si>
    <t>WIP allocations without full kit</t>
  </si>
  <si>
    <t>SELECT
    OA_NUMBER,
    CHILD_ITEM_ID,
    CHILD_ITEM,
    CHILD_DESCRIPTION,
    SUM(NVL(WIP_STOCK, 0)) AS TOTAL_WIP_QTY,
    SUM(NVL(ALLOCATED_FRM_WIP, 0)) AS TOTAL_ALLOCATED_FROM_WIP
FROM 
    KPCL_REPORTING.KPC_FULL_KIT_BOM_EXPLODE
WHERE 
    NVL(WIP_STOCK, 0) &gt; 0
GROUP BY
    OA_NUMBER,
    CHILD_ITEM_ID,
    CHILD_ITEM,
    CHILD_DESCRIPTION
HAVING 
    SUM(NVL(ALLOCATED_FRM_WIP, 0)) = 0
ORDER BY 
    TOTAL_WIP_QTY DESC;</t>
  </si>
  <si>
    <t>Display required quantity for all components.</t>
  </si>
  <si>
    <t>Show required quantity for all components.</t>
  </si>
  <si>
    <t>required quantity for all components</t>
  </si>
  <si>
    <t>SELECT
    CHILD_ITEM_ID,
    CHILD_ITEM,
    CHILD_DESCRIPTION,
    SUM(NVL(REQUIRED_QTY, 0)) AS TOTAL_REQUIRED_QTY
FROM KPCL_REPORTING.KPC_FULL_KIT_BOM_EXPLODE
GROUP BY
    CHILD_ITEM_ID,
    CHILD_ITEM,
    CHILD_DESCRIPTION
ORDER BY TOTAL_REQUIRED_QTY DESC;</t>
  </si>
  <si>
    <t>View items with highest required quantity.</t>
  </si>
  <si>
    <t>Find items with highest required quantity.</t>
  </si>
  <si>
    <t>items with highest required quantity</t>
  </si>
  <si>
    <t>SELECT
    CHILD_ITEM_ID,
    CHILD_ITEM,
    CHILD_DESCRIPTION,
    SUM(NVL(REQUIRED_QTY, 0)) AS TOTAL_REQUIRED_QTY
FROM KPCL_REPORTING.KPC_FULL_KIT_BOM_EXPLODE
GROUP BY
    CHILD_ITEM_ID,
    CHILD_ITEM,
    CHILD_DESCRIPTION
HAVING SUM(NVL(REQUIRED_QTY, 0)) &gt; 0
ORDER BY TOTAL_REQUIRED_QTY DESC
FETCH FIRST 10 ROWS ONLY;</t>
  </si>
  <si>
    <t>Show required quantity by OA / Order number.</t>
  </si>
  <si>
    <t>Display required quantity by OA / Order number.</t>
  </si>
  <si>
    <t>required quantity by OA / Order number</t>
  </si>
  <si>
    <t>SELECT
    OA_NUMBER,
    SUM(NVL(REQUIRED_QTY, 0)) AS TOTAL_REQUIRED_QTY
FROM KPCL_REPORTING.KPC_FULL_KIT_BOM_EXPLODE
GROUP BY OA_NUMBER
ORDER BY TOTAL_REQUIRED_QTY DESC;</t>
  </si>
  <si>
    <t>Show components consumed from WIP stock.</t>
  </si>
  <si>
    <t>Find components consumed from WIP stock.</t>
  </si>
  <si>
    <t>components consumed from WIP stock</t>
  </si>
  <si>
    <t>SELECT 
    CHILD_ITEM,
    CHILD_DESCRIPTION,
    SUM(NVL(STOCK_SUP_SUB_INV, 0)) AS WIP_CONSUMED_QTY
FROM KPCL_REPORTING.KPC_FULL_KIT_BOM_EXPLODE
WHERE NVL(STOCK_SUP_SUB_INV, 0) &gt; 0
GROUP BY 
    CHILD_ITEM,
    CHILD_DESCRIPTION;</t>
  </si>
  <si>
    <t>Display itemwise quantities allocated from WIP.</t>
  </si>
  <si>
    <t>Show itemwise quantities allocated from WIP.</t>
  </si>
  <si>
    <t xml:space="preserve">itemwise quantities allocated from WIP </t>
  </si>
  <si>
    <t>SELECT 
    CHILD_ITEM,
    CHILD_DESCRIPTION,
    SUM(NVL(ALLOCATED_FRM_WIP, 0)) AS TOTAL_ALLOCATED_FROM_WIP
FROM KPCL_REPORTING.KPC_FULL_KIT_BOM_EXPLODE
GROUP BY 
    CHILD_ITEM,
    CHILD_DESCRIPTION;</t>
  </si>
  <si>
    <t>Display WIP allocations by OA / Order number.</t>
  </si>
  <si>
    <t>WIP allocations by OA / Order number</t>
  </si>
  <si>
    <t>SELECT 
    OA_NUMBER,
    SUM(NVL(ALLOCATED_FRM_WIP, 0)) AS TOTAL_WIP_ALLOCATED_QTY
FROM KPCL_REPORTING.KPC_FULL_KIT_BOM_EXPLODE
GROUP BY OA_NUMBER;</t>
  </si>
  <si>
    <t>Show planned order quantities.</t>
  </si>
  <si>
    <t>planned order quantities</t>
  </si>
  <si>
    <t>SELECT
    CHILD_ITEM_ID,
    CHILD_ITEM,
    CHILD_DESCRIPTION,
    OA_NUMBER,
    SUM(NVL(MRP_DEMAND, 0)) AS TOTAL_PLANNED_ORDER_QTY,
    SUM(NVL(SUPPLY_QTY, 0)) AS TOTAL_SUPPLY_QTY,
    SUM(NVL(SHORT_QTY, 0)) AS TOTAL_SHORTAGE_QTY
FROM KPCL_REPORTING.KPC_FULL_KIT_BOM_EXPLODE
GROUP BY
    CHILD_ITEM_ID,
    CHILD_ITEM,
    CHILD_DESCRIPTION,
    OA_NUMBER
ORDER BY TOTAL_SHORTAGE_QTY DESC;</t>
  </si>
  <si>
    <t>Display planned OA  / Order number workbench items.</t>
  </si>
  <si>
    <t>Find planned OA  / Order number workbench items.</t>
  </si>
  <si>
    <t>planned OA  / Order number workbench items</t>
  </si>
  <si>
    <t>SELECT 
    OA_NUMBER,
    ORG_NAME,
    PARENT_ITEM,
    CHILD_ITEM,
    CHILD_DESCRIPTION,
    PLANNED_OA_WB,
    REQUIRED_QTY,
    MRP_DEMAND,
    ALLOC_NEW_REQ_QTY
FROM KPCL_REPORTING.KPC_FULL_KIT_BOM_EXPLODE
WHERE PLANNED_OA_WB IS NOT NULL
  AND PLANNED_OA_WB &gt; 0;</t>
  </si>
  <si>
    <t>Display workbench quantities by component.</t>
  </si>
  <si>
    <t>workbench quantities by component</t>
  </si>
  <si>
    <t>SELECT 
    CHILD_ITEM,
    CHILD_DESCRIPTION,
    SUM(NVL(PLANNED_OA_WB, 0)) AS TOTAL_PLANNED_OA_WB
FROM KPCL_REPORTING.KPC_FULL_KIT_BOM_EXPLODE
GROUP BY 
    CHILD_ITEM,
    CHILD_DESCRIPTION
ORDER BY 
    TOTAL_PLANNED_OA_WB DESC;</t>
  </si>
  <si>
    <t>View approved PO quantities.</t>
  </si>
  <si>
    <t>Show approved PO quantities.</t>
  </si>
  <si>
    <t>approved PO quantities</t>
  </si>
  <si>
    <t>SELECT 
    OA_NUMBER,
    ORG_NAME,
    PARENT_ITEM,
    CHILD_ITEM,
    CHILD_DESCRIPTION,
    SUPPLIER_NAME,
    APP_PO_QTY
FROM KPCL_REPORTING.KPC_FULL_KIT_BOM_EXPLODE
WHERE APP_PO_QTY IS NOT NULL
  AND APP_PO_QTY &gt; 0;</t>
  </si>
  <si>
    <t>Find supplier wise approved PO quantities.</t>
  </si>
  <si>
    <t>SELECT 
    SUPPLIER_NAME,
    SUM(NVL(APP_PO_QTY, 0)) AS TOTAL_APPROVED_PO_QTY
FROM KPCL_REPORTING.KPC_FULL_KIT_BOM_EXPLODE
WHERE SUPPLIER_NAME IS NOT NULL
GROUP BY SUPPLIER_NAME
ORDER BY TOTAL_APPROVED_PO_QTY DESC;</t>
  </si>
  <si>
    <t>Display approved procurement quantities.</t>
  </si>
  <si>
    <t>approved procurement quantities</t>
  </si>
  <si>
    <t>SELECT 
    SUM(NVL(APP_PO_QTY, 0)) AS APPROVED_PROCUREMENT_QTY
FROM KPCL_REPORTING.KPC_FULL_KIT_BOM_EXPLODE
WHERE APP_PO_QTY IS NOT NULL;</t>
  </si>
  <si>
    <t>View high priority OA / Order number.</t>
  </si>
  <si>
    <t>Show high priority OA / Order number.</t>
  </si>
  <si>
    <t>high priority OA / Order number</t>
  </si>
  <si>
    <t>SELECT 
    OA_NUMBER,
    ORG_NAME,
    CUSTOMER_NAME,
    OA_PRIORITY_NO,
    OA_PROMISE_DATE,
    OA_NEED_BY_DATE,
    OA_COLOUR
FROM KPCL_REPORTING.KPC_FULL_KIT_BOM_EXPLODE
WHERE OA_PRIORITY_NO IS NOT NULL
ORDER BY OA_PRIORITY_NO ASC;</t>
  </si>
  <si>
    <t>View shortages in priority orders.</t>
  </si>
  <si>
    <t>Find shortages in priority orders.</t>
  </si>
  <si>
    <t>shortages in priority orders</t>
  </si>
  <si>
    <t>SELECT 
    OA_NUMBER,
    ORG_NAME,
    CUSTOMER_NAME,
    OA_PRIORITY_NO,
    CHILD_ITEM,
    CHILD_DESCRIPTION,
    SHORT_QTY,
    ALLOC_SHORT_REQ_QTY
FROM KPCL_REPORTING.KPC_FULL_KIT_BOM_EXPLODE
WHERE OA_PRIORITY_NO IS NOT NULL
  AND (SHORT_QTY &gt; 0 OR ALLOC_SHORT_REQ_QTY &gt; 0)
ORDER BY OA_PRIORITY_NO ASC;</t>
  </si>
  <si>
    <t>View OA  / Order number count by priority.</t>
  </si>
  <si>
    <t>Display OA  / Order number count by priority.</t>
  </si>
  <si>
    <t>OA  / Order number count by priority</t>
  </si>
  <si>
    <t>SELECT 
    OA_PRIORITY_NO,
    COUNT(DISTINCT OA_NUMBER) AS OA_COUNT
FROM KPCL_REPORTING.KPC_FULL_KIT_BOM_EXPLODE
WHERE OA_PRIORITY_NO IS NOT NULL
GROUP BY OA_PRIORITY_NO
ORDER BY OA_PRIORITY_NO ASC;</t>
  </si>
  <si>
    <t>Show component quantity per BOM.</t>
  </si>
  <si>
    <t>component quantity per BOM</t>
  </si>
  <si>
    <t>SELECT 
    BOM_TRANSACTION_ID,
    PARENT_ITEM,
    CHILD_ITEM,
    SUM(NVL(COMPONENT_QTY, 0)) AS TOTAL_COMPONENT_QTY
FROM KPCL_REPORTING.KPC_FULL_KIT_BOM_EXPLODE
GROUP BY 
    BOM_TRANSACTION_ID,
    PARENT_ITEM,
    CHILD_ITEM
ORDER BY 
    BOM_TRANSACTION_ID,
    PARENT_ITEM,
    CHILD_ITEM;</t>
  </si>
  <si>
    <t>View BOM with highest component quantity.</t>
  </si>
  <si>
    <t>Find BOM with highest component quantity.</t>
  </si>
  <si>
    <t>BOM with highest component quantity</t>
  </si>
  <si>
    <t>SELECT 
    BOM_TRANSACTION_ID,
    PARENT_ITEM,
    SUM(NVL(COMPONENT_QTY, 0)) AS TOTAL_COMPONENT_QTY
FROM KPCL_REPORTING.KPC_FULL_KIT_BOM_EXPLODE
GROUP BY 
    BOM_TRANSACTION_ID,
    PARENT_ITEM
ORDER BY 
    TOTAL_COMPONENT_QTY DESC;</t>
  </si>
  <si>
    <t>View total component quantities.</t>
  </si>
  <si>
    <t>Display total component quantities.</t>
  </si>
  <si>
    <t>total component quantities</t>
  </si>
  <si>
    <t>SELECT 
    CHILD_ITEM,
    CHILD_DESCRIPTION,
    SUM(NVL(COMPONENT_QTY, 0)) AS TOTAL_COMPONENT_QTY
FROM KPCL_REPORTING.KPC_FULL_KIT_BOM_EXPLODE
GROUP BY 
    CHILD_ITEM,
    CHILD_DESCRIPTION
ORDER BY 
    TOTAL_COMPONENT_QTY DESC;</t>
  </si>
  <si>
    <t>Display released jobs.</t>
  </si>
  <si>
    <t>Show released jobs.</t>
  </si>
  <si>
    <t>released jobs</t>
  </si>
  <si>
    <t>SELECT 
    OA_NUMBER,
    ORG_NAME,
    PARENT_ITEM,
    CHILD_ITEM,
    JOB_RELEASED_STATUS
FROM KPCL_REPORTING.KPC_FULL_KIT_BOM_EXPLODE
WHERE JOB_RELEASED_STATUS = 1;</t>
  </si>
  <si>
    <t>Display not released jobs.</t>
  </si>
  <si>
    <t>Show non released jobs.</t>
  </si>
  <si>
    <t>non released jobs</t>
  </si>
  <si>
    <t>SELECT 
    OA_NUMBER,
    ORG_NAME,
    PARENT_ITEM,
    CHILD_ITEM,
    JOB_RELEASED_STATUS
FROM KPCL_REPORTING.KPC_FULL_KIT_BOM_EXPLODE
WHERE JOB_RELEASED_STATUS = 0;</t>
  </si>
  <si>
    <t>Show items not released to WIP.</t>
  </si>
  <si>
    <t>Find items not released to WIP.</t>
  </si>
  <si>
    <t>items not released to WIP</t>
  </si>
  <si>
    <t>SELECT 
    OA_NUMBER,
    ORG_NAME,
    PARENT_ITEM,
    CHILD_ITEM,
    JOB_RELEASED_STATUS
FROM KPCL_REPORTING.KPC_FULL_KIT_BOM_EXPLODE
WHERE NVL(JOB_RELEASED_STATUS, 0) = 0;</t>
  </si>
  <si>
    <t>View job release status by OA / Order number.</t>
  </si>
  <si>
    <t>Display job release status by OA / Order number.</t>
  </si>
  <si>
    <t>job release status by OA / Order number</t>
  </si>
  <si>
    <t>SELECT 
    OA_NUMBER,
    ORG_NAME,
    SUM(CASE WHEN JOB_RELEASED_STATUS = 1 THEN 1 ELSE 0 END) AS RELEASED_ITEMS,
    SUM(CASE WHEN NVL(JOB_RELEASED_STATUS, 0) = 0 THEN 1 ELSE 0 END) AS NOT_RELEASED_ITEMS
FROM KPCL_REPORTING.KPC_FULL_KIT_BOM_EXPLODE
GROUP BY 
    OA_NUMBER,
    ORG_NAME
ORDER BY 
    OA_NUMBER;</t>
  </si>
  <si>
    <t>View items without routing information.</t>
  </si>
  <si>
    <t>Show items without routing information.</t>
  </si>
  <si>
    <t>SELECT 
    OA_NUMBER,
    ORG_NAME,
    PARENT_ITEM,
    CHILD_ITEM,
    ROUTING_FLAG
FROM KPCL_REPORTING.KPC_FULL_KIT_BOM_EXPLODE
WHERE NVL(ROUTING_FLAG, 0) = 0;</t>
  </si>
  <si>
    <t>Find components with routing enabled.</t>
  </si>
  <si>
    <t>SELECT 
    PARENT_ITEM,
    CHILD_ITEM,
    ROUTING_FLAG
FROM KPCL_REPORTING.KPC_FULL_KIT_BOM_EXPLODE
WHERE NVL(ROUTING_FLAG, 0) = 1;</t>
  </si>
  <si>
    <t>Show high cost BOM items.</t>
  </si>
  <si>
    <t>high cost BOM items</t>
  </si>
  <si>
    <t>SELECT 
    PARENT_ITEM,
    CHILD_ITEM,
    BOM_ITEM_COST,
    EXT_ITEM_COST,
    HIGH_COST_FLAG
FROM KPCL_REPORTING.KPC_FULL_KIT_BOM_EXPLODE
WHERE NVL(HIGH_COST_FLAG, 0) = 1;</t>
  </si>
  <si>
    <t>Show expensive components in BOM.</t>
  </si>
  <si>
    <t>Find expensive components in BOM.</t>
  </si>
  <si>
    <t>expensive components in BOM</t>
  </si>
  <si>
    <t>SELECT 
    PARENT_ITEM,
    CHILD_ITEM,
    BOM_ITEM_COST,
    EXT_ITEM_COST
FROM KPCL_REPORTING.KPC_FULL_KIT_BOM_EXPLODE
WHERE BOM_ITEM_COST IS NOT NULL
ORDER BY BOM_ITEM_COST DESC;</t>
  </si>
  <si>
    <t>Show high cost items by OA / Order number.</t>
  </si>
  <si>
    <t>Display high cost items by OA / Order number.</t>
  </si>
  <si>
    <t>high cost items by OA / Order number</t>
  </si>
  <si>
    <t>SELECT 
    OA_NUMBER,
    CHILD_ITEM,
    CHILD_DESCRIPTION,
    BOM_ITEM_COST,
    EXT_ITEM_COST
FROM KPCL_REPORTING.KPC_FULL_KIT_BOM_EXPLODE
WHERE HIGH_COST_FLAG = 1;</t>
  </si>
  <si>
    <t>Show BOM without manufacturing assemblies.</t>
  </si>
  <si>
    <t>BOM without manufacturing assemblies</t>
  </si>
  <si>
    <t>SELECT 
    BOM_TRANSACTION_ID,
    PARENT_ITEM,
    MFG_ASSMB_EXIST
FROM KPCL_REPORTING.KPC_FULL_KIT_BOM_EXPLODE
WHERE NVL(MFG_ASSMB_EXIST, 'None') = 'N';</t>
  </si>
  <si>
    <t>Display parent items having manufacturing subassemblies.</t>
  </si>
  <si>
    <t>Find parent items having manufacturing subassemblies.</t>
  </si>
  <si>
    <t>parent items having manufacturing subassemblies</t>
  </si>
  <si>
    <t>SELECT DISTINCT
    PARENT_ITEM,
    PARENT_DESCRIPTION
FROM KPCL_REPORTING.KPC_FULL_KIT_BOM_EXPLODE
WHERE NVL(MFG_ASSMB_EXIST, 'None') &lt;&gt; 'N';</t>
  </si>
  <si>
    <t>Show manufacturing assembly availability.</t>
  </si>
  <si>
    <t>Display manufacturing assembly availability.</t>
  </si>
  <si>
    <t>manufacturing assembly availability</t>
  </si>
  <si>
    <t>SELECT 
    PARENT_ITEM,
    MFG_ASSMB_EXIST
FROM KPCL_REPORTING.KPC_FULL_KIT_BOM_EXPLODE;</t>
  </si>
  <si>
    <t>Show expected date remarks.</t>
  </si>
  <si>
    <t>expected date remarks</t>
  </si>
  <si>
    <t>SELECT 
    OA_NUMBER,
    CHILD_ITEM,
    CHILD_DESCRIPTION,
    EXPECTED_DATE,
    EXPECTED_DATE_REMARK
FROM KPCL_REPORTING.KPC_FULL_KIT_BOM_EXPLODE
WHERE EXPECTED_DATE_REMARK IS NOT NULL;</t>
  </si>
  <si>
    <t>Show delayed items with remarks.</t>
  </si>
  <si>
    <t>Find delayed items with remarks.</t>
  </si>
  <si>
    <t>delayed items with remarks</t>
  </si>
  <si>
    <t>SELECT 
    OA_NUMBER,
    CHILD_ITEM,
    CHILD_DESCRIPTION,
    EXPECTED_DATE,
    OA_NEED_BY_DATE,
    EXPECTED_DATE_REMARK
FROM KPCL_REPORTING.KPC_FULL_KIT_BOM_EXPLODE
WHERE EXPECTED_DATE &gt; OA_NEED_BY_DATE
  AND EXPECTED_DATE_REMARK IS NOT NULL;</t>
  </si>
  <si>
    <t>View supplier commitment comments.</t>
  </si>
  <si>
    <t>Display supplier commitment comments.</t>
  </si>
  <si>
    <t>supplier commitment comments</t>
  </si>
  <si>
    <t>SELECT 
    SUPPLIER_NAME,
    CHILD_ITEM,
    CHILD_DESCRIPTION,
    EXPECTED_DATE_REMARK
FROM KPCL_REPORTING.KPC_FULL_KIT_BOM_EXPLODE
WHERE EXPECTED_DATE_REMARK IS NOT NULL;</t>
  </si>
  <si>
    <t>Show items with maximum lead time.</t>
  </si>
  <si>
    <t>items with maximum lead time</t>
  </si>
  <si>
    <t>SELECT 
    CHILD_ITEM,
    CHILD_DESCRIPTION,
    FULL_LEAD_TIME,
    FIXED_LEAD_TIME
FROM KPCL_REPORTING.KPC_FULL_KIT_BOM_EXPLODE
WHERE NVL(FULL_LEAD_TIME, 0) = (
    SELECT MAX(NVL(FULL_LEAD_TIME, 0))
    FROM KPCL_REPORTING.KPC_FULL_KIT_BOM_EXPLODE
);</t>
  </si>
  <si>
    <t>Display components exceeding lead time threshold.</t>
  </si>
  <si>
    <t>Find components exceeding lead time threshold.</t>
  </si>
  <si>
    <t>components exceeding lead time threshold</t>
  </si>
  <si>
    <t>SELECT 
    CHILD_ITEM,
    CHILD_DESCRIPTION,
    FULL_LEAD_TIME,
    FIXED_LEAD_TIME
FROM KPCL_REPORTING.KPC_FULL_KIT_BOM_EXPLODE
WHERE NVL(FULL_LEAD_TIME, 0) &gt; NVL(FIXED_LEAD_TIME, 0);</t>
  </si>
  <si>
    <t>Show item wise max lead time item wise.</t>
  </si>
  <si>
    <t>Display item wise max lead time.</t>
  </si>
  <si>
    <t xml:space="preserve">item wise max lead time </t>
  </si>
  <si>
    <t>SELECT 
    CHILD_ITEM,
    CHILD_DESCRIPTION,
    MAX(NVL(FULL_LEAD_TIME, 0)) AS MAX_LEAD_TIME
FROM KPCL_REPORTING.KPC_FULL_KIT_BOM_EXPLODE
GROUP BY 
    CHILD_ITEM,
    CHILD_DESCRIPTION;</t>
  </si>
  <si>
    <t>Display BOM item cost for all components.</t>
  </si>
  <si>
    <t>Show BOM item cost for all components.</t>
  </si>
  <si>
    <t>BOM item cost for all components</t>
  </si>
  <si>
    <t>SELECT 
    CHILD_ITEM,
    CHILD_DESCRIPTION,
    BOM_ITEM_COST
FROM KPCL_REPORTING.KPC_FULL_KIT_BOM_EXPLODE;</t>
  </si>
  <si>
    <t>Display highest BOM cost items.</t>
  </si>
  <si>
    <t>Find highest BOM cost items.</t>
  </si>
  <si>
    <t>highest BOM cost items</t>
  </si>
  <si>
    <t>SELECT 
    CHILD_ITEM,
    CHILD_DESCRIPTION,
    BOM_ITEM_COST
FROM KPCL_REPORTING.KPC_FULL_KIT_BOM_EXPLODE
WHERE BOM_ITEM_COST IS NOT NULL
ORDER BY BOM_ITEM_COST DESC;</t>
  </si>
  <si>
    <t>Display BOM cost by OA / Order number.</t>
  </si>
  <si>
    <t>BOM cost by OA / Order number</t>
  </si>
  <si>
    <t>SELECT 
    OA_NUMBER,
    SUM(NVL(BOM_ITEM_COST, 0)) AS TOTAL_BOM_COST
FROM KPCL_REPORTING.KPC_FULL_KIT_BOM_EXPLODE
GROUP BY OA_NUMBER;</t>
  </si>
  <si>
    <t>Display extended item cost for components.</t>
  </si>
  <si>
    <t>Show extended item cost for components.</t>
  </si>
  <si>
    <t>extended item cost for components</t>
  </si>
  <si>
    <t>SELECT 
    CHILD_ITEM,
    CHILD_DESCRIPTION,
    EXT_ITEM_COST
FROM KPCL_REPORTING.KPC_FULL_KIT_BOM_EXPLODE;</t>
  </si>
  <si>
    <t>Display highest extended cost items.</t>
  </si>
  <si>
    <t>Find highest extended cost items.</t>
  </si>
  <si>
    <t>highest extended cost items</t>
  </si>
  <si>
    <t>SELECT 
    CHILD_ITEM,
    CHILD_DESCRIPTION,
    EXT_ITEM_COST
FROM KPCL_REPORTING.KPC_FULL_KIT_BOM_EXPLODE
WHERE EXT_ITEM_COST IS NOT NULL
ORDER BY EXT_ITEM_COST DESC;</t>
  </si>
  <si>
    <t>Display total BOM extended cost by OA / Order number.</t>
  </si>
  <si>
    <t>total BOM extended cost by OA / Order number</t>
  </si>
  <si>
    <t>SELECT 
    OA_NUMBER,
    SUM(NVL(EXT_ITEM_COST, 0)) AS TOTAL_EXTENDED_BOM_COST
FROM KPCL_REPORTING.KPC_FULL_KIT_BOM_EXPLODE
GROUP BY OA_NUMBER;</t>
  </si>
  <si>
    <t>Display detailed descriptions for shortage items.</t>
  </si>
  <si>
    <t>detailed descriptions for shortage items</t>
  </si>
  <si>
    <t>SELECT 
    OA_NUMBER,
    CHILD_ITEM,
    CHILD_DESCRIPTION,
    ITEM_DESC,
    SHORT_QTY,
    ALLOC_SHORT_REQ_QTY
FROM KPCL_REPORTING.KPC_FULL_KIT_BOM_EXPLODE
WHERE NVL(SHORT_QTY, 0) &gt; 0 
   OR NVL(ALLOC_SHORT_REQ_QTY, 0) &gt; 0;</t>
  </si>
  <si>
    <t>View detailed description by OA / Order number.</t>
  </si>
  <si>
    <t>Display detailed description by OA / Order number.</t>
  </si>
  <si>
    <t>detailed description by OA / Order number</t>
  </si>
  <si>
    <t>SELECT 
    OA_NUMBER,
    CUSTOMER_NAME,
    ORG_NAME,
    ITEM_DESC
FROM KPCL_REPORTING.KPC_FULL_KIT_BOM_EXPLODE;</t>
  </si>
  <si>
    <t>View all pending PO quantities for supplier {supplier}.</t>
  </si>
  <si>
    <t>Show all pending PO quantities for /supplier {supplier}.</t>
  </si>
  <si>
    <t>all pending PO quantities for supplier</t>
  </si>
  <si>
    <t>SELECT 
    SUPPLIER_NAME,
    SUM(NVL(PENDING_PO, 0)) AS TOTAL_PENDING_PO_QTY
FROM KPCL_REPORTING.KPC_FULL_KIT_BOM_EXPLODE
WHERE SUPPLIER_NAME LIKE '%{supplier}%'
GROUP BY SUPPLIER_NAME;</t>
  </si>
  <si>
    <t>View delayed shipments from supplier {supplier}.</t>
  </si>
  <si>
    <t>Find delayed shipments from /supplier {supplier}.</t>
  </si>
  <si>
    <t>delayed shipments from supplier</t>
  </si>
  <si>
    <t>SELECT 
    SUPPLIER_NAME,
    OA_NUMBER,
    OA_SCH_SHIP_DT,
    OA_PROMISE_DATE,
    CHILD_ITEM
FROM KPCL_REPORTING.KPC_FULL_KIT_BOM_EXPLODE
WHERE SUPPLIER_NAME LIKE '%{supplier}%'
  AND OA_SCH_SHIP_DT &lt; SYSDATE;</t>
  </si>
  <si>
    <t>View shortage items supplied by supplier {supplier}.</t>
  </si>
  <si>
    <t>Display shortage items supplied by /supplier {supplier}.</t>
  </si>
  <si>
    <t>shortage items supplied by supplier</t>
  </si>
  <si>
    <t>SELECT 
    SUPPLIER_NAME,
    CHILD_ITEM,
    CHILD_DESCRIPTION,
    SHORT_QTY,
    ALLOC_SHORT_REQ_QTY
FROM KPCL_REPORTING.KPC_FULL_KIT_BOM_EXPLODE
WHERE SUPPLIER_NAME LIKE '%{supplier}%'
  AND (NVL(SHORT_QTY, 0) &gt; 0 OR NVL(ALLOC_SHORT_REQ_QTY, 0) &gt; 0);</t>
  </si>
  <si>
    <t>Show ASN pending quantities for supplier {supplier}.</t>
  </si>
  <si>
    <t>Show ASN pending quantities for /supplier {supplier}.</t>
  </si>
  <si>
    <t>ASN pending quantities for supplier</t>
  </si>
  <si>
    <t>SELECT 
    SUPPLIER_NAME,
    SUM(NVL(PENDING_ASN, 0)) AS TOTAL_PENDING_ASN_QTY
FROM KPCL_REPORTING.KPC_FULL_KIT_BOM_EXPLODE
WHERE SUPPLIER_NAME LIKE '%{supplier}%'
GROUP BY SUPPLIER_NAME;</t>
  </si>
  <si>
    <t>Display rejection stock linked to supplier {supplier}.</t>
  </si>
  <si>
    <t>Find rejection stock linked to /supplier {supplier}.</t>
  </si>
  <si>
    <t>rejection stock linked to supplier</t>
  </si>
  <si>
    <t>SELECT 
    SUPPLIER_NAME,
    CHILD_ITEM,
    CHILD_DESCRIPTION,
    STOCK_REJ_SUB_INV
FROM KPCL_REPORTING.KPC_FULL_KIT_BOM_EXPLODE
WHERE SUPPLIER_NAME LIKE '%{supplier}%'
  AND NVL(STOCK_REJ_SUB_INV, 0) &gt; 0;</t>
  </si>
  <si>
    <t>Display approved vs unapproved PO for supplier {supplier}.</t>
  </si>
  <si>
    <t>Display approved vs unapproved PO for /supplier {supplier}.</t>
  </si>
  <si>
    <t>approved vs unapproved PO for supplier</t>
  </si>
  <si>
    <t>SELECT 
    SUPPLIER_NAME,
    SUM(NVL(APP_PO_QTY, 0)) AS APPROVED_PO_QTY,
    SUM(NVL(UN_APPR_PO_QTY, 0)) AS UNAPPROVED_PO_QTY
FROM KPCL_REPORTING.KPC_FULL_KIT_BOM_EXPLODE
WHERE SUPPLIER_NAME LIKE '%{supplier}%'
GROUP BY SUPPLIER_NAME;</t>
  </si>
  <si>
    <t>Show lead time performance of supplier {supplier}.</t>
  </si>
  <si>
    <t>Show lead time performance of /supplier {supplier}.</t>
  </si>
  <si>
    <t>lead time performance of supplier</t>
  </si>
  <si>
    <t>SELECT 
    SUPPLIER_NAME,
    CHILD_ITEM,
    FULL_LEAD_TIME,
    FIXED_LEAD_TIME,
    DAYS_REM
FROM KPCL_REPORTING.KPC_FULL_KIT_BOM_EXPLODE
WHERE SUPPLIER_NAME LIKE '%{supplier}%';</t>
  </si>
  <si>
    <t>Show items supplied by supplier {supplier} with zero stock.</t>
  </si>
  <si>
    <t>Find items supplied by /supplier {supplier} with zero stock.</t>
  </si>
  <si>
    <t>items supplied by supplier with zero stock</t>
  </si>
  <si>
    <t>SELECT 
    SUPPLIER_NAME,
    CHILD_ITEM,
    CHILD_DESCRIPTION,
    ON_HAND_STOCK,
    WIP_STOCK,
    STOCK_GENERAL_STORE
FROM KPCL_REPORTING.KPC_FULL_KIT_BOM_EXPLODE
WHERE SUPPLIER_NAME LIKE '%{supplier}%'
  AND NVL(ON_HAND_STOCK, 0) = 0
  AND NVL(WIP_STOCK, 0) = 0
  AND NVL(STOCK_GENERAL_STORE, 0) = 0;</t>
  </si>
  <si>
    <t>View supplier wise inventory contribution for supplier {supplier}.</t>
  </si>
  <si>
    <t>Display supplier wise inventory contribution for /supplier {supplier}.</t>
  </si>
  <si>
    <t>supplier wise inventory contribution for supplier</t>
  </si>
  <si>
    <t>SELECT 
    SUPPLIER_NAME,
    SUM(NVL(ON_HAND_STOCK, 0)) AS ON_HAND_STOCK,
    SUM(NVL(WIP_STOCK, 0)) AS WIP_STOCK,
    SUM(NVL(STOCK_GENERAL_STORE, 0)) AS GS_STOCK
FROM KPCL_REPORTING.KPC_FULL_KIT_BOM_EXPLODE
WHERE SUPPLIER_NAME LIKE '%{supplier}%'
GROUP BY SUPPLIER_NAME;</t>
  </si>
  <si>
    <t>Display high risk OA  / Order number linked to supplier {supplier}.</t>
  </si>
  <si>
    <t>Show high risk OA  / Order number linked to /supplier {supplier}.</t>
  </si>
  <si>
    <t>high risk OA  / Order number linked to supplier</t>
  </si>
  <si>
    <t>SELECT 
    OA_NUMBER,
    ORG_NAME,
    CUSTOMER_NAME,
    SUPPLIER_NAME,
    OA_COLOUR,
    OA_PRIORITY_NO
FROM KPCL_REPORTING.KPC_FULL_KIT_BOM_EXPLODE
WHERE SUPPLIER_NAME LIKE '%{supplier}%'
  AND OA_COLOUR IN ('Red', 'Black', 'Yellow');</t>
  </si>
  <si>
    <t>Show items with PO older than days {days}.</t>
  </si>
  <si>
    <t>Find items with PO older than /days {days}.</t>
  </si>
  <si>
    <t>items with PO older than days</t>
  </si>
  <si>
    <t>SELECT 
    CHILD_ITEM,
    CHILD_DESCRIPTION,
    PO_DATE,
    APP_PO_QTY
FROM KPCL_REPORTING.KPC_FULL_KIT_BOM_EXPLODE
WHERE PO_DATE &lt; SYSDATE - {days};</t>
  </si>
  <si>
    <t>Display supplier wise PO trends by date.</t>
  </si>
  <si>
    <t>supplier wise PO trends by date</t>
  </si>
  <si>
    <t>SELECT 
    SUPPLIER_NAME,
    TRUNC(PO_DATE) AS PO_DATE,
    SUM(NVL(APP_PO_QTY, 0)) AS APPROVED_PO_QTY,
    SUM(NVL(PENDING_PO, 0)) AS PENDING_PO_QTY
FROM KPCL_REPORTING.KPC_FULL_KIT_BOM_EXPLODE
WHERE SUPPLIER_NAME IS NOT NULL
GROUP BY 
    SUPPLIER_NAME,
    TRUNC(PO_DATE)
ORDER BY 
    SUPPLIER_NAME,
    PO_DATE;</t>
  </si>
  <si>
    <t>Display overdue purchase orders based on PO date.</t>
  </si>
  <si>
    <t>Show overdue purchase orders based on PO date.</t>
  </si>
  <si>
    <t>overdue purchase orders based on PO date</t>
  </si>
  <si>
    <t>SELECT 
    OA_NUMBER,
    SUPPLIER_NAME,
    CHILD_ITEM,
    APP_PO_QTY,
    PO_DATE
FROM KPCL_REPORTING.KPC_FULL_KIT_BOM_EXPLODE
WHERE PO_DATE &lt; SYSDATE;</t>
  </si>
  <si>
    <t>Show items with no PO in last days {days} .</t>
  </si>
  <si>
    <t>Find items with no PO in last /days {days}.</t>
  </si>
  <si>
    <t>items with no PO in last days</t>
  </si>
  <si>
    <t>SELECT PO_NUMBER,
    CHILD_ITEM,
    CHILD_DESCRIPTION
FROM KPCL_REPORTING.KPC_FULL_KIT_BOM_EXPLODE
WHERE NVL(PO_DATE, SYSDATE - 9999) &lt; SYSDATE - {days}
GROUP BY PO_NUMBER,
    CHILD_ITEM,
    CHILD_DESCRIPTION;</t>
  </si>
  <si>
    <t>Show all items needed by oa need by date for date {date}.</t>
  </si>
  <si>
    <t>Show all items needed by oa need by date for /date {date}.</t>
  </si>
  <si>
    <t>all items needed by oa need by date for date</t>
  </si>
  <si>
    <t>SELECT 
    OA_NUMBER,
    CHILD_ITEM,
    CHILD_DESCRIPTION,
    REQUIRED_QTY,
    OA_NEED_BY_DATE
FROM KPCL_REPORTING.KPC_FULL_KIT_BOM_EXPLODE
WHERE TRUNC(OA_NEED_BY_DATE) = TO_DATE('{date}','DD-MM-YY');</t>
  </si>
  <si>
    <t>View urgent procurement items due within next 7 days.</t>
  </si>
  <si>
    <t>Find urgent procurement items due within next 7 days.</t>
  </si>
  <si>
    <t>urgent procurement items due within next 7 days</t>
  </si>
  <si>
    <t>SELECT 
    CHILD_ITEM,
    CHILD_DESCRIPTION,
    REQUIRED_QTY,
    OA_NEED_BY_DATE
FROM KPCL_REPORTING.KPC_FULL_KIT_BOM_EXPLODE
WHERE OA_NEED_BY_DATE BETWEEN TRUNC(SYSDATE) AND TRUNC(SYSDATE) + 7;</t>
  </si>
  <si>
    <t>Display shortages for need by date orders.</t>
  </si>
  <si>
    <t>shortages for need by date orders</t>
  </si>
  <si>
    <t>SELECT 
    OA_NUMBER,
    CHILD_ITEM,
    CHILD_DESCRIPTION,
    OA_NEED_BY_DATE,
    SHORT_QTY,
    ALLOC_SHORT_REQ_QTY
FROM KPCL_REPORTING.KPC_FULL_KIT_BOM_EXPLODE
WHERE (NVL(SHORT_QTY, 0) &gt; 0 OR NVL(ALLOC_SHORT_REQ_QTY, 0) &gt; 0);</t>
  </si>
  <si>
    <t>Show delayed items which have exceeded the excepted date for date {date}.</t>
  </si>
  <si>
    <t>which delayed items which have exceeded the excepted date for /date {date}?</t>
  </si>
  <si>
    <t>delayed items which have exceeded the excepted date for date</t>
  </si>
  <si>
    <t>SELECT 
    OA_NUMBER,
    CHILD_ITEM,
    CHILD_DESCRIPTION,
    OA_NEED_BY_DATE,
    EXPECTED_DATE
FROM KPCL_REPORTING.KPC_FULL_KIT_BOM_EXPLODE
WHERE EXPECTED_DATE &gt; TO_DATE('{date}', 'DD-MM-YY')
ORDER BY OA_NEED_BY_DATE;</t>
  </si>
  <si>
    <t>View OA  / Order number with delivery date for date {date}.</t>
  </si>
  <si>
    <t>Show OA  / Order number with delivery date for /date {date}.</t>
  </si>
  <si>
    <t>OA  / Order number with delivery date for date</t>
  </si>
  <si>
    <t>SELECT 
    OA_NUMBER,
    ORG_NAME,
    CUSTOMER_NAME,
    OA_PROMISE_DATE,
    OA_NEED_BY_DATE
FROM KPCL_REPORTING.KPC_FULL_KIT_BOM_EXPLODE
WHERE OA_PROMISE_DATE = TO_DATE('{date}','DD-MM-YY');</t>
  </si>
  <si>
    <t>Display delayed deliveries beyond promise date.</t>
  </si>
  <si>
    <t>Find delayed deliveries beyond promise date.</t>
  </si>
  <si>
    <t>delayed deliveries beyond promise date</t>
  </si>
  <si>
    <t>SELECT 
    OA_NUMBER,
    ORG_NAME,
    CUSTOMER_NAME,
    OA_PROMISE_DATE,
    OA_NEED_BY_DATE
FROM KPCL_REPORTING.KPC_FULL_KIT_BOM_EXPLODE
WHERE OA_PROMISE_DATE &lt; SYSDATE;</t>
  </si>
  <si>
    <t>Show items expected to be delivered today.</t>
  </si>
  <si>
    <t>Display items expected to be delivered today.</t>
  </si>
  <si>
    <t>items expected to be delivered today</t>
  </si>
  <si>
    <t>SELECT 
    OA_NUMBER,
    ORG_NAME,
    CUSTOMER_NAME,
    CHILD_ITEM,
    CHILD_DESCRIPTION,
    EXPECTED_DATE
FROM KPCL_REPORTING.KPC_FULL_KIT_BOM_EXPLODE
WHERE TRUNC(EXPECTED_DATE) = TRUNC(SYSDATE);</t>
  </si>
  <si>
    <t>Show items where expected date is missed.</t>
  </si>
  <si>
    <t>items where expected date is missed</t>
  </si>
  <si>
    <t>SELECT 
    OA_NUMBER,
    ORG_NAME,
    CHILD_ITEM,
    CHILD_DESCRIPTION,
    EXPECTED_DATE,
    OA_NEED_BY_DATE
FROM KPCL_REPORTING.KPC_FULL_KIT_BOM_EXPLODE
WHERE EXPECTED_DATE &lt; SYSDATE;</t>
  </si>
  <si>
    <t>View delivery risk OA / Order number.</t>
  </si>
  <si>
    <t>Find delivery risk OA / Order number.</t>
  </si>
  <si>
    <t>delivery risk OA / Order number</t>
  </si>
  <si>
    <t>SELECT 
    OA_NUMBER,
    ORG_NAME,
    CUSTOMER_NAME,
    OA_PROMISE_DATE,
    OA_NEED_BY_DATE,
    OA_COLOUR,
    OA_PRIORITY_NO
FROM KPCL_REPORTING.KPC_FULL_KIT_BOM_EXPLODE
WHERE OA_COLOUR IN ('Red','Black','Yellow')
   OR OA_PROMISE_DATE &lt; SYSDATE;</t>
  </si>
  <si>
    <t>Show scheduled shipment date/ssd orders for date {date}.</t>
  </si>
  <si>
    <t>Show orders scheduled for shipment date/ssd on /date {date}.</t>
  </si>
  <si>
    <t>orders scheduled for shipment date/ssd on date</t>
  </si>
  <si>
    <t>SELECT 
    OA_NUMBER,
    ORG_NAME,
    CUSTOMER_NAME,
    OA_SCH_SHIP_DT
FROM KPCL_REPORTING.KPC_FULL_KIT_BOM_EXPLODE
WHERE TRUNC(OA_SCH_SHIP_DT) = TO_DATE('{date}','DD-MM-YY');</t>
  </si>
  <si>
    <t>View delayed shipments from SSD/schedule ship date.</t>
  </si>
  <si>
    <t>Find delayed shipments from SSD/schedule ship date</t>
  </si>
  <si>
    <t>delayed shipments from SSD/schedule ship date</t>
  </si>
  <si>
    <t>SELECT 
    OA_NUMBER,
    ORG_NAME,
    CUSTOMER_NAME,
    OA_SCH_SHIP_DT
FROM KPCL_REPORTING.KPC_FULL_KIT_BOM_EXPLODE
WHERE OA_SCH_SHIP_DT &lt; SYSDATE;</t>
  </si>
  <si>
    <t>Show OA  / Order number due for shipping this week.</t>
  </si>
  <si>
    <t>Display OA  / Order number due for shipping this week.</t>
  </si>
  <si>
    <t>OA  /Order number due for shipping this week</t>
  </si>
  <si>
    <t>SELECT 
    OA_NUMBER,
    ORG_NAME,
    CUSTOMER_NAME,
    OA_SCH_SHIP_DT
FROM KPCL_REPORTING.KPC_FULL_KIT_BOM_EXPLODE
WHERE OA_SCH_SHIP_DT BETWEEN TRUNC(SYSDATE) AND TRUNC(SYSDATE) + 7;</t>
  </si>
  <si>
    <t>Show shipment plan by SSD/schedule ship date.</t>
  </si>
  <si>
    <t>shipment plan by SSD/ schedule ship date</t>
  </si>
  <si>
    <t>SELECT 
    OA_SCH_SHIP_DT,
    OA_NUMBER,
    ORG_NAME,
    CUSTOMER_NAME
FROM KPCL_REPORTING.KPC_FULL_KIT_BOM_EXPLODE
ORDER BY OA_SCH_SHIP_DT;</t>
  </si>
  <si>
    <t>Display items not shipped on SSD/scheduled ship date.</t>
  </si>
  <si>
    <t>Find items not shipped on SSD/ scheduled ship date.</t>
  </si>
  <si>
    <t>items not shipped on scheduled date</t>
  </si>
  <si>
    <t>Display all components under oa_number {oa_number}.</t>
  </si>
  <si>
    <t>Show all components under /oa_number {oa_number}.</t>
  </si>
  <si>
    <t>all components under oa number</t>
  </si>
  <si>
    <t>SELECT 
    CHILD_ITEM,
    CHILD_DESCRIPTION,
    COMPONENT_QTY,
    REQUIRED_QTY
FROM KPCL_REPORTING.KPC_FULL_KIT_BOM_EXPLODE
WHERE OA_NUMBER LIKE '%{oa_number}%';</t>
  </si>
  <si>
    <t>Display shortage quantity for oa_number {oa_number}.</t>
  </si>
  <si>
    <t>Find shortage quantity for /oa_number {oa_number}.</t>
  </si>
  <si>
    <t>shortage quantity for oa number</t>
  </si>
  <si>
    <t>SELECT 
    OA_NUMBER,
    CHILD_ITEM,
    CHILD_DESCRIPTION,
    SHORT_QTY,
    ALLOC_SHORT_REQ_QTY
FROM KPCL_REPORTING.KPC_FULL_KIT_BOM_EXPLODE
WHERE OA_NUMBER LIKE '%{oa_number}%'
  AND (NVL(SHORT_QTY, 0) &gt; 0 OR NVL(ALLOC_SHORT_REQ_QTY, 0) &gt; 0);</t>
  </si>
  <si>
    <t>Show BOM structure for oa_number {oa_number}.</t>
  </si>
  <si>
    <t>Display BOM structure for oa_number {oa_number}.</t>
  </si>
  <si>
    <t>BOM structure for oa_number</t>
  </si>
  <si>
    <t>SELECT 
    OA_NUMBER,
    PARENT_ITEM,
    PARENT_DESCRIPTION,
    CHILD_ITEM,
    CHILD_DESCRIPTION,
    BOM_LEVEL,
    COMPONENT_QTY
FROM KPCL_REPORTING.KPC_FULL_KIT_BOM_EXPLODE
WHERE OA_NUMBER LIKE '%{oa_number}%'
ORDER BY 
    PARENT_ITEM,
    BOM_LEVEL,
    CHILD_ITEM;</t>
  </si>
  <si>
    <t>Show supplier-wise procurement status for oa_number {oa_number}.</t>
  </si>
  <si>
    <t>Show supplier-wise procurement status for /oa_number {oa_number}.</t>
  </si>
  <si>
    <t>supplier-wise procurement status for oa number</t>
  </si>
  <si>
    <t>SELECT 
    OA_NUMBER,
    SUPPLIER_NAME,
    SUM(NVL(APP_PO_QTY, 0)) AS APPROVED_PO_QTY,
    SUM(NVL(PENDING_PO, 0)) AS PENDING_PO_QTY,
    SUM(NVL(PENDING_ASN, 0)) AS PENDING_ASN_QTY
FROM KPCL_REPORTING.KPC_FULL_KIT_BOM_EXPLODE
WHERE OA_NUMBER LIKE '%{oa_number}%'
  AND SUPPLIER_NAME IS NOT NULL
GROUP BY SUPPLIER_NAME, OA_NUMBER;</t>
  </si>
  <si>
    <t>View pending PO and ASN for oa_number {oa_number}.</t>
  </si>
  <si>
    <t>Find pending PO and ASN for /oa_number {oa_number}.</t>
  </si>
  <si>
    <t>pending PO and ASN for oa number</t>
  </si>
  <si>
    <t>SELECT 
    OA_NUMBER,
    CHILD_ITEM,
    PENDING_PO,
    PENDING_ASN
FROM KPCL_REPORTING.KPC_FULL_KIT_BOM_EXPLODE
WHERE OA_NUMBER LIKE '%{oa_number}%';</t>
  </si>
  <si>
    <t>View inventory availability for oa_number {oa_number}.</t>
  </si>
  <si>
    <t>Display inventory availability for /oa_number {oa_number}.</t>
  </si>
  <si>
    <t>inventory availability for oa number</t>
  </si>
  <si>
    <t>SELECT 
    OA_NUMBER,
    CHILD_ITEM,
    CHILD_DESCRIPTION,
    ON_HAND_STOCK,
    WIP_STOCK,
    STOCK_GENERAL_STORE,
    SUPPLY_QTY,
    REQUIRED_QTY
FROM KPCL_REPORTING.KPC_FULL_KIT_BOM_EXPLODE
WHERE OA_NUMBER  LIKE '%{oa_number}%';</t>
  </si>
  <si>
    <t>Show allocation status for oa_number {oa_number}.</t>
  </si>
  <si>
    <t>Show allocation status for /oa_number {oa_number}.</t>
  </si>
  <si>
    <t>allocation status for oa number</t>
  </si>
  <si>
    <t>SELECT 
    OA_NUMBER,
    CHILD_ITEM,
    REQUIRED_QTY,
    ALLOCATED_FRM_STOCK,
    ALLOCATED_FRM_WIP,
    ALLOCATED_QTY_WOUT_RES,
    ALLOC_NEW_REQ_QTY,
    ALLOC_SHORT_REQ_QTY
FROM KPCL_REPORTING.KPC_FULL_KIT_BOM_EXPLODE
WHERE OA_NUMBER LIKE '%{oa_number}%';</t>
  </si>
  <si>
    <t>Show delayed items in oa_number {oa_number}.</t>
  </si>
  <si>
    <t>Find delayed items in /oa_number {oa_number}.</t>
  </si>
  <si>
    <t>delayed items in oa number</t>
  </si>
  <si>
    <t>SELECT 
    OA_NUMBER,
    CHILD_ITEM,
    CHILD_DESCRIPTION,
    EXPECTED_DATE,
    OA_NEED_BY_DATE,
    DAYS_REM
FROM KPCL_REPORTING.KPC_FULL_KIT_BOM_EXPLODE
WHERE OA_NUMBER  LIKE '%{oa_number}%'
  AND (EXPECTED_DATE &gt; OA_NEED_BY_DATE OR DAYS_REM &lt; 0);</t>
  </si>
  <si>
    <t>View full kit status for order oa_number {oa_number}.</t>
  </si>
  <si>
    <t>Display full kit status for order /oa_number {oa_number}.</t>
  </si>
  <si>
    <t>full kit status for order oa number</t>
  </si>
  <si>
    <t>SELECT 
    OA_NUMBER,
    FULL_KIT_NAME,
    FULL_KIT_MRP_SUGG_DATE,
    FK_NEED_BY_DATE,
    ALLOCATED_FRM_STOCK,
    ALLOCATED_FRM_WIP,
    SUPPLY_QTY,
    TOTAL_DD
FROM KPCL_REPORTING.KPC_FULL_KIT_BOM_EXPLODE
WHERE OA_NUMBER LIKE '%{oa_number}%';</t>
  </si>
  <si>
    <t>Show demand vs supply for order oa_number {oa_number}.</t>
  </si>
  <si>
    <t>Show demand vs supply for order /oa_number {oa_number}.</t>
  </si>
  <si>
    <t>demand vs supply for order oa number</t>
  </si>
  <si>
    <t>SELECT 
    OA_NUMBER,
    CHILD_ITEM,
    REQUIRED_QTY,
    SUPPLY_QTY
FROM KPCL_REPORTING.KPC_FULL_KIT_BOM_EXPLODE
WHERE OA_NUMBER LIKE '%{oa_number}%';</t>
  </si>
  <si>
    <t>BOM structure for parent item</t>
  </si>
  <si>
    <t>SELECT 
    PARENT_ITEM,
    PARENT_DESCRIPTION,
    CHILD_ITEM,
    CHILD_DESCRIPTION,
    BOM_LEVEL,
    COMPONENT_QTY
FROM KPCL_REPORTING.KPC_FULL_KIT_BOM_EXPLODE
WHERE PARENT_ITEM LIKE '%{parent_item}%'
ORDER BY 
    BOM_LEVEL,
    PARENT_ITEM,
    CHILD_ITEM;</t>
  </si>
  <si>
    <t>View all child components under parent_item {parent_item}.</t>
  </si>
  <si>
    <t>Find all child components under /parent_item {parent_item}.</t>
  </si>
  <si>
    <t>all child components under parent item</t>
  </si>
  <si>
    <t>SELECT 
    CHILD_ITEM,
    CHILD_DESCRIPTION
FROM KPCL_REPORTING.KPC_FULL_KIT_BOM_EXPLODE
WHERE PARENT_ITEM LIKE '%{parent_item}%'
GROUP BY 
    CHILD_ITEM,
    CHILD_DESCRIPTION;</t>
  </si>
  <si>
    <t>Display BOM levels for parent_item {parent_item}.</t>
  </si>
  <si>
    <t>Display BOM levels for /parent_item {parent_item}.</t>
  </si>
  <si>
    <t>BOM levels for parent item</t>
  </si>
  <si>
    <t>SELECT 
    PARENT_ITEM,
    CHILD_ITEM,
    BOM_LEVEL
FROM KPCL_REPORTING.KPC_FULL_KIT_BOM_EXPLODE
WHERE PARENT_ITEM LIKE '%{parent_item}%'
ORDER BY BOM_LEVEL, CHILD_ITEM;</t>
  </si>
  <si>
    <t>Display lowest-level components in BOM of parent_item {parent_item}.</t>
  </si>
  <si>
    <t>Show lowest-level components in BOM of /parent_item {parent_item}.</t>
  </si>
  <si>
    <t>lowest-level components in BOM of parent item</t>
  </si>
  <si>
    <t>SELECT 
    PARENT_ITEM,
    CHILD_ITEM,
    BOM_LEVEL
FROM KPCL_REPORTING.KPC_FULL_KIT_BOM_EXPLODE
WHERE PARENT_ITEM LIKE '%{parent_item}%'
  AND BOM_LEVEL = (
      SELECT MAX(BOM_LEVEL)
      FROM KPCL_REPORTING.KPC_FULL_KIT_BOM_EXPLODE
      WHERE PARENT_ITEM LIKE '%{parent_item}%'
  );</t>
  </si>
  <si>
    <t>View shortage components in BOM of parent_item {parent_item}.</t>
  </si>
  <si>
    <t>Find shortage components in BOM of /parent_item {parent_item}.</t>
  </si>
  <si>
    <t>shortage components in BOM of parent item</t>
  </si>
  <si>
    <t>SELECT 
    PARENT_ITEM,
    CHILD_ITEM,
    SHORT_QTY,
    ALLOC_SHORT_REQ_QTY
FROM KPCL_REPORTING.KPC_FULL_KIT_BOM_EXPLODE
WHERE PARENT_ITEM LIKE '%{parent_item}%'
  AND (NVL(SHORT_QTY, 0) &gt; 0 OR NVL(ALLOC_SHORT_REQ_QTY, 0) &gt; 0);</t>
  </si>
  <si>
    <t>Show cost breakdown of BOM parent_item {parent_item}.</t>
  </si>
  <si>
    <t>Display cost breakdown of BOM /parent_item {parent_item}.</t>
  </si>
  <si>
    <t>cost breakdown of BOM parent item</t>
  </si>
  <si>
    <t>SELECT 
    PARENT_ITEM,
    CHILD_ITEM,
    BOM_ITEM_COST,
    EXT_ITEM_COST
FROM KPCL_REPORTING.KPC_FULL_KIT_BOM_EXPLODE
WHERE PARENT_ITEM LIKE '%{parent_item}%';</t>
  </si>
  <si>
    <t>Display lead time impact across BOM parent_item {parent_item}.</t>
  </si>
  <si>
    <t>Show lead time impact across BOM /parent_item {parent_item}.</t>
  </si>
  <si>
    <t>lead time impact across BOM parent item</t>
  </si>
  <si>
    <t>SELECT 
    PARENT_ITEM,
    CHILD_ITEM,
    FULL_LEAD_TIME,
    FIXED_LEAD_TIME,
    DAYS_REM,
    SUM(NVL(REQUIRED_QTY, 0)) AS TOTAL_REQUIRED_QTY
FROM KPCL_REPORTING.KPC_FULL_KIT_BOM_EXPLODE
WHERE PARENT_ITEM LIKE '%{parent_item}%'
GROUP BY 
    PARENT_ITEM,
    CHILD_ITEM,
    FULL_LEAD_TIME,
    FIXED_LEAD_TIME,
    DAYS_REM;</t>
  </si>
  <si>
    <t>View make vs buy split in BOM parent_item {parent_item}.</t>
  </si>
  <si>
    <t>Find make vs buy split in BOM /parent_item {parent_item}.</t>
  </si>
  <si>
    <t>make vs buy split in BOM parent item</t>
  </si>
  <si>
    <t>SELECT 
    PARENT_ITEM,
    CHILD_ITEM,
    PLAN_MAKE_BUY_CODE,
    SUM(NVL(COMPONENT_QTY, 0)) AS TOTAL_COMPONENT_QTY
FROM KPCL_REPORTING.KPC_FULL_KIT_BOM_EXPLODE
WHERE PARENT_ITEM LIKE '%{parent_item}%'
GROUP BY 
    PARENT_ITEM,
    CHILD_ITEM,
    PLAN_MAKE_BUY_CODE;</t>
  </si>
  <si>
    <t>View routing availability in BOM parent_item {parent_item}.</t>
  </si>
  <si>
    <t>Display routing availability in BOM /parent_item {parent_item}.</t>
  </si>
  <si>
    <t>routing availability in BOM parent item</t>
  </si>
  <si>
    <t>SELECT 
    PARENT_ITEM,
    CHILD_ITEM,
    ROUTING_FLAG
FROM KPCL_REPORTING.KPC_FULL_KIT_BOM_EXPLODE
WHERE PARENT_ITEM LIKE '%{parent_item}%';</t>
  </si>
  <si>
    <t>Show full-kit BOM explosion for parent_item {parent_item}.</t>
  </si>
  <si>
    <t>Show full-kit BOM explosion for /parent_item {parent_item}.</t>
  </si>
  <si>
    <t>full-kit BOM explosion for parent item</t>
  </si>
  <si>
    <t>SELECT 
    PARENT_ITEM,
    PARENT_DESCRIPTION,
    CHILD_ITEM,
    CHILD_DESCRIPTION,
    BOM_LEVEL,
    COMPONENT_QTY,
    EXTENDED_QUANTITY
FROM KPCL_REPORTING.KPC_FULL_KIT_BOM_EXPLODE
WHERE PARENT_ITEM LIKE '%{parent_item}%'
ORDER BY 
    BOM_LEVEL,
    CHILD_ITEM;</t>
  </si>
  <si>
    <t>View pending PO quantity for child_item {child_item }.</t>
  </si>
  <si>
    <t>Show pending PO quantity for /child_item {child_item}.</t>
  </si>
  <si>
    <t xml:space="preserve">pending PO quantity for child_item </t>
  </si>
  <si>
    <t>SELECT 
    CHILD_ITEM,
    CHILD_DESCRIPTION,
    SUM(NVL(PENDING_PO, 0)) AS PENDING_PO_QTY
FROM KPCL_REPORTING.KPC_FULL_KIT_BOM_EXPLODE
WHERE CHILD_ITEM LIKE ('%{child_item}%')
GROUP BY 
    CHILD_ITEM,
    CHILD_DESCRIPTION;</t>
  </si>
  <si>
    <t xml:space="preserve">child_item </t>
  </si>
  <si>
    <t>View approved vs unapproved PO for child_item {child_item }.</t>
  </si>
  <si>
    <t>Find approved vs unapproved PO for /child_item {child_item }.</t>
  </si>
  <si>
    <t xml:space="preserve">approved vs unapproved PO for child_item </t>
  </si>
  <si>
    <t>SELECT 
    CHILD_ITEM,
    CHILD_DESCRIPTION,
    SUM(NVL(APP_PO_QTY, 0)) AS APPROVED_PO_QTY,
    SUM(NVL(UN_APPR_PO_QTY, 0)) AS UNAPPROVED_PO_QTY
FROM KPCL_REPORTING.KPC_FULL_KIT_BOM_EXPLODE
WHERE CHILD_ITEM LIKE ('%{child_item}%')
GROUP BY 
    CHILD_ITEM,
    CHILD_DESCRIPTION;</t>
  </si>
  <si>
    <t>View supplier wise PO distribution.</t>
  </si>
  <si>
    <t>Display supplier wise PO distribution.</t>
  </si>
  <si>
    <t>supplier wise PO distribution</t>
  </si>
  <si>
    <t>SELECT 
    SUPPLIER_NAME,
    SUM(NVL(APP_PO_QTY, 0)) AS APPROVED_PO_QTY,
    SUM(NVL(PENDING_PO, 0)) AS PENDING_PO_QTY
FROM KPCL_REPORTING.KPC_FULL_KIT_BOM_EXPLODE
WHERE SUPPLIER_NAME IS NOT NULL
GROUP BY SUPPLIER_NAME
ORDER BY APPROVED_PO_QTY DESC;</t>
  </si>
  <si>
    <t>Display PO status for supplier {supplier}.</t>
  </si>
  <si>
    <t>Display PO status for /supplier {supplier}.</t>
  </si>
  <si>
    <t>PO status for supplier</t>
  </si>
  <si>
    <t>SELECT DISTINCT
    SUPPLIER_NAME,
    SUPPLIER_CONTACT,
    PO_NUMBER,
    PO_DATE,
    CHILD_ITEM_ID,
    CHILD_ITEM,
    CHILD_DESCRIPTION,
    PRD_GRP                                                 AS PRODUCT_GROUP,
    TO_NUMBER(SHORT_QTY DEFAULT 0 ON CONVERSION ERROR)     AS SHORTAGE_QTY,
    CASE 
        WHEN TO_NUMBER(SHORT_QTY DEFAULT 0 ON CONVERSION ERROR) = 0 THEN 'FULFILLED / DELIVERED'
        WHEN TO_NUMBER(SHORT_QTY DEFAULT 0 ON CONVERSION ERROR) &gt; 0 THEN 'PENDING / SHORTAGE'
        ELSE 'UNKNOWN'
    END AS PO_STATUS
FROM 
    KPCL_REPORTING.KPC_FULL_KIT_BOM_EXPLODE
WHERE 
    SUPPLIER_NAME IS NOT NULL
    AND UPPER(SUPPLIER_NAME) LIKE UPPER('%{supplier}%')
ORDER BY 
    PO_NUMBER ASC;</t>
  </si>
  <si>
    <t>Show all OA  / Order number for customer {customer}.</t>
  </si>
  <si>
    <t>all OA  / Order number for customer</t>
  </si>
  <si>
    <t>SELECT DISTINCT
    OA_NUMBER,
    CUSTOMER_NAME,
    OA_CREATION_DATE,
    OA_PROMISE_DATE,
    OA_NEED_BY_DATE
FROM KPCL_REPORTING.KPC_FULL_KIT_BOM_EXPLODE
WHERE CUSTOMER_NAME LIKE '%{customer}%'
ORDER BY OA_CREATION_DATE DESC;</t>
  </si>
  <si>
    <t>Display shortage items for customer {customer}.</t>
  </si>
  <si>
    <t>Find shortage items for /customer {customer}.</t>
  </si>
  <si>
    <t>shortage items for customer</t>
  </si>
  <si>
    <t>SELECT
    CUSTOMER_NAME,
    OA_NUMBER,
    CHILD_ITEM_ID,
    CHILD_ITEM,
    CHILD_DESCRIPTION,
    SUM(NVL(SHORT_QTY, 0)) AS TOTAL_SHORTAGE_QTY
FROM KPCL_REPORTING.KPC_FULL_KIT_BOM_EXPLODE
WHERE CUSTOMER_NAME LIKE '%{customer}%'
  AND NVL(SHORT_QTY, 0) &gt; 0
GROUP BY
    CUSTOMER_NAME,
    OA_NUMBER,
    CHILD_ITEM_ID,
    CHILD_ITEM,
    CHILD_DESCRIPTION
ORDER BY TOTAL_SHORTAGE_QTY DESC;</t>
  </si>
  <si>
    <t>View delivery status for customer {customer}.</t>
  </si>
  <si>
    <t>Display delivery status for /customer {customer}.</t>
  </si>
  <si>
    <t>delivery status for customer</t>
  </si>
  <si>
    <t>SELECT
    CUSTOMER_NAME,
    OA_NUMBER,
    CHILD_ITEM_ID,
    CHILD_ITEM,
    CHILD_DESCRIPTION,
    OA_PROMISE_DATE,
    OA_NEED_BY_DATE,
    EXPECTED_DATE,
    CASE
        WHEN EXPECTED_DATE IS NULL THEN 'NOT SCHEDULED'
        WHEN EXPECTED_DATE &lt;= OA_NEED_BY_DATE THEN 'ON TIME'
        ELSE 'DELAYED'
    END AS DELIVERY_STATUS
FROM KPCL_REPORTING.KPC_FULL_KIT_BOM_EXPLODE
WHERE CUSTOMER_NAME LIKE '%{customer}%'
ORDER BY DELIVERY_STATUS, EXPECTED_DATE;</t>
  </si>
  <si>
    <t>Display delayed orders for customer {customer}.</t>
  </si>
  <si>
    <t>Show delayed orders for /customer {customer}.</t>
  </si>
  <si>
    <t>delayed orders for customer</t>
  </si>
  <si>
    <t>SELECT
    CUSTOMER_NAME,
    OA_NUMBER,
    OA_PROMISE_DATE,
    OA_NEED_BY_DATE,
    EXPECTED_DATE,
    (EXPECTED_DATE - OA_NEED_BY_DATE) AS DELAY_DAYS
FROM KPCL_REPORTING.KPC_FULL_KIT_BOM_EXPLODE
WHERE CUSTOMER_NAME LIKE '%{customer}%'
  AND EXPECTED_DATE &gt; OA_NEED_BY_DATE
ORDER BY DELAY_DAYS DESC;</t>
  </si>
  <si>
    <t>Display inventory value for customer {customer} orders.</t>
  </si>
  <si>
    <t>Find inventory value for /customer {customer} orders.</t>
  </si>
  <si>
    <t>inventory value for customer orders</t>
  </si>
  <si>
    <t>SELECT
    CUSTOMER_NAME,
    OA_NUMBER,
    CHILD_ITEM_ID,
    CHILD_ITEM,
    CHILD_DESCRIPTION,
    SUM(NVL(ON_HAND_STOCK, 0) * NVL(EXT_ITEM_COST, 0)) AS INVENTORY_VALUE
FROM 
    KPCL_REPORTING.KPC_FULL_KIT_BOM_EXPLODE
WHERE 
    CUSTOMER_NAME IS NOT NULL
    AND UPPER(CUSTOMER_NAME) LIKE UPPER('%{customer}%')
GROUP BY 
    CUSTOMER_NAME,
    OA_NUMBER,
    CHILD_ITEM_ID,
    CHILD_ITEM,
    CHILD_DESCRIPTION
ORDER BY 
    SUM(NVL(ON_HAND_STOCK, 0) * NVL(EXT_ITEM_COST, 0)) DESC</t>
  </si>
  <si>
    <t>View OA  / Order number priority for customer {customer}.</t>
  </si>
  <si>
    <t>Display OA  / Order number priority for /customer {customer}.</t>
  </si>
  <si>
    <t>OA  / Order number priority for customer</t>
  </si>
  <si>
    <t>SELECT
    CUSTOMER_NAME,
    OA_NUMBER,
    OA_NEED_BY_DATE,
    OA_PROMISE_DATE,
    SUM(NVL(MRP_DEMAND, 0)) AS TOTAL_DEMAND_QTY,
    SUM(NVL(SHORT_QTY, 0)) AS TOTAL_SHORTAGE_QTY,
    (OA_NEED_BY_DATE - TRUNC(SYSDATE)) AS DAYS_TO_DUE,
    CASE
        WHEN (OA_NEED_BY_DATE - TRUNC(SYSDATE)) &lt;= 3 THEN 'HIGH'
        WHEN (OA_NEED_BY_DATE - TRUNC(SYSDATE)) &lt;= 7 THEN 'MEDIUM'
        ELSE 'LOW'
    END AS OA_PRIORITY
FROM KPCL_REPORTING.KPC_FULL_KIT_BOM_EXPLODE
WHERE CUSTOMER_NAME LIKE '%{customer}%'
GROUP BY
    CUSTOMER_NAME,
    OA_NUMBER,
    OA_NEED_BY_DATE,
    OA_PROMISE_DATE
ORDER BY DAYS_TO_DUE ASC;</t>
  </si>
  <si>
    <t>Display shipment schedule for customer {customer}.</t>
  </si>
  <si>
    <t>Show shipment schedule for /customer {customer}.</t>
  </si>
  <si>
    <t>shipment schedule for customer</t>
  </si>
  <si>
    <t>SELECT
    CUSTOMER_NAME,
    OA_NUMBER,
    CHILD_ITEM_ID,
    CHILD_ITEM,
    CHILD_DESCRIPTION,
    EXPECTED_DATE AS SHIPMENT_DATE,
    OA_NEED_BY_DATE,
    OA_PROMISE_DATE
FROM KPCL_REPORTING.KPC_FULL_KIT_BOM_EXPLODE
WHERE CUSTOMER_NAME LIKE '%{customer}%'
  AND EXPECTED_DATE IS NOT NULL
ORDER BY EXPECTED_DATE;</t>
  </si>
  <si>
    <t>Display BOM related delays for customer {customer}.</t>
  </si>
  <si>
    <t>Find BOM related delays for /customer {customer}.</t>
  </si>
  <si>
    <t>BOM related delays for customer</t>
  </si>
  <si>
    <t>SELECT DISTINCT
    CUSTOMER_NAME,
    OA_NUMBER,
    PARENT_ITEM_ID,
    PARENT_ITEM,
    CHILD_ITEM_ID,
    CHILD_ITEM,
    CHILD_DESCRIPTION,
    EXPECTED_DATE,
    OA_NEED_BY_DATE,
    TRUNC(EXPECTED_DATE - OA_NEED_BY_DATE) AS DELAY_DAYS
FROM 
    KPCL_REPORTING.KPC_FULL_KIT_BOM_EXPLODE
WHERE 
    CUSTOMER_NAME LIKE '%{customer}%'
    AND EXPECTED_DATE &gt; OA_NEED_BY_DATE
ORDER BY 
    DELAY_DAYS DESC,
    CHILD_ITEM ASC;</t>
  </si>
  <si>
    <t>Display full-kit status for customer {customer}.</t>
  </si>
  <si>
    <t>Display full-kit status for /customer {customer}.</t>
  </si>
  <si>
    <t>full-kit status for customer</t>
  </si>
  <si>
    <t>SELECT
    CUSTOMER_NAME,
    OA_NUMBER,
    PARENT_ITEM_ID,
    PARENT_ITEM,
    SUM(NVL(MRP_DEMAND, 0)) AS TOTAL_DEMAND_QTY,
    SUM(NVL(ON_HAND_STOCK, 0)) AS TOTAL_ON_HAND_STOCK,
    SUM(NVL(WIP_STOCK, 0)) AS TOTAL_WIP_QTY,      
    SUM(NVL(OSP_STOCK, 0)) AS TOTAL_OSP_QTY,     
    SUM(NVL(SHORT_QTY, 0)) AS TOTAL_SHORTAGE_QTY
FROM 
    KPCL_REPORTING.KPC_FULL_KIT_BOM_EXPLODE
WHERE 
     CUSTOMER_NAME LIKE '%{customer}%'
GROUP BY
    CUSTOMER_NAME,
    OA_NUMBER,
    PARENT_ITEM_ID,
    PARENT_ITEM
ORDER BY 
    TOTAL_SHORTAGE_QTY DESC;</t>
  </si>
  <si>
    <t>Display demand vs supply for customer {customer}.</t>
  </si>
  <si>
    <t>Show demand vs supply for /customer {customer}.</t>
  </si>
  <si>
    <t>demand vs supply for customer</t>
  </si>
  <si>
    <t>SELECT DISTINCT
    CUSTOMER_NAME,
    OA_NUMBER,
    PARENT_ITEM,
    CHILD_ITEM,
    CHILD_DESCRIPTION,
    UOM,
    NVL(COMPONENT_QTY, 0) AS DEMAND_QTY,
    NVL(STOCK_GENERAL_STORE, 0) AS ON_HAND_STOCK,
    NVL(WIP_STOCK, 0) AS WIP_STOCK,
    NVL(APP_PO_QTY, 0) AS OPEN_PO_QTY,
    NVL(PENDING_ASN, 0) AS IN_TRANSIT_ASN_QTY,
    (NVL(STOCK_GENERAL_STORE, 0) + NVL(WIP_STOCK, 0) + NVL(APP_PO_QTY, 0) + NVL(PENDING_ASN, 0)) AS TOTAL_SUPPLY_QTY,
    NVL(SHORT_QTY, 0) AS SHORTAGE_QTY,
    EXPECTED_DATE AS EXPECTED_DELIVERY_DATE,
    OA_COLOUR AS BUFFER_COLOR
FROM 
    KPCL_REPORTING.KPC_FULL_KIT_BOM_EXPLODE
WHERE 
    CUSTOMER_NAME LIKE '%{customer}%'
ORDER BY 
    OA_NUMBER ASC,
    SHORTAGE_QTY DESC,
    CHILD_ITEM ASC;</t>
  </si>
  <si>
    <t>View shortage components for oa_number {oa_number}.</t>
  </si>
  <si>
    <t>Show shortage components for /oa_number {oa_number}.</t>
  </si>
  <si>
    <t>shortage components for oa number</t>
  </si>
  <si>
    <t>SELECT DISTINCT
    OA_NUMBER,
    CUSTOMER_NAME,
    PARENT_ITEM,
    CHILD_ITEM,
    CHILD_DESCRIPTION,
    UOM,
    COMPONENT_QTY AS REQUIRED_QTY,
    SHORT_QTY AS SHORTAGE_QTY,
    STOCK_GENERAL_STORE AS STORE_ON_HAND,
    BUYER_NAME,
    SUPPLIER_NAME,
    EXPECTED_DATE AS EXPECTED_DELIVERY_DATE,
    OA_COLOUR AS BUFFER_COLOR
FROM 
    KPCL_REPORTING.KPC_FULL_KIT_BOM_EXPLODE
WHERE 
    (OA_NUMBER) LIKE ('%{oa_number}%')
    AND NVL(SHORT_QTY, 0) &gt; 0
ORDER BY 
    SHORT_QTY DESC,
    CHILD_ITEM ASC;</t>
  </si>
  <si>
    <t>Find BOM structure for /oa_number {oa_number}.</t>
  </si>
  <si>
    <t>BOM structure for oa number</t>
  </si>
  <si>
    <t>SELECT DISTINCT
    OA_NUMBER,
    BOM_LEVEL,
    PARENT_ITEM,
    PARENT_DESCRIPTION,
    CHILD_ITEM,
    CHILD_DESCRIPTION,
    COMPONENT_QTY AS REQUIRED_QTY,
    UOM,
    CHILD_ITEM_TYPE,
    INVENTORY_PLANNING_CODE
FROM 
    KPCL_REPORTING.KPC_FULL_KIT_BOM_EXPLODE
WHERE 
    (OA_NUMBER) LIKE ('%{oa_number}%')
ORDER BY 
    BOM_LEVEL ASC,
    PARENT_ITEM ASC,
    CHILD_ITEM ASC;</t>
  </si>
  <si>
    <t>View supplier status for oa_number {oa_number}.</t>
  </si>
  <si>
    <t>Display supplier status for /oa_number {oa_number}.</t>
  </si>
  <si>
    <t>supplier status for oa number</t>
  </si>
  <si>
    <t>SELECT DISTINCT
    OA_NUMBER,
    SUPPLIER_NAME,
    SUPPLIER_CONTACT,
    CHILD_ITEM,
    CHILD_DESCRIPTION,
    PO_NUMBER,
    PO_DATE,
    APP_PO_QTY AS APPROVED_PO_QTY,
    PENDING_ASN AS IN_TRANSIT_QTY,
    EXPECTED_DATE AS EXPECTED_DELIVERY_DATE,
    EXPECTED_DATE_REMARK
FROM 
    KPCL_REPORTING.KPC_FULL_KIT_BOM_EXPLODE
WHERE 
    (OA_NUMBER) LIKE ('%{oa_number}%')
    AND SUPPLIER_NAME IS NOT NULL
ORDER BY 
    EXPECTED_DATE ASC NULLS LAST,
    SUPPLIER_NAME ASC;</t>
  </si>
  <si>
    <t>Show procurement status for oa_number {oa_number}.</t>
  </si>
  <si>
    <t>Show procurement status for /oa_number {oa_number}.</t>
  </si>
  <si>
    <t>procurement status for oa number</t>
  </si>
  <si>
    <t>SELECT 
    OA_NUMBER,
    CUSTOMER_NAME,
    PARENT_ITEM,
    CHILD_ITEM,
    CHILD_DESCRIPTION,
    BUYER_NAME,
    SUPPLIER_NAME,
    NVL(COMPONENT_QTY, 0) AS REQUIRED_QTY,
    NVL(SHORT_QTY, 0) AS SHORTAGE_QTY,
    NVL(PENDING_REQUISITION, 0) AS PENDING_REQ_QTY,     
    NVL(UN_APPR_PO_QTY, 0) AS UNAPPROVED_PO_QTY,        
    NVL(APP_PO_QTY, 0) AS APPROVED_PO_QTY,             
    NVL(PENDING_PO, 0) AS TOTAL_PENDING_PO_QTY,      
    NVL(PENDING_ASN, 0) AS PENDING_ASN_QTY,             
    NVL(STOCK_PENDING_INSP, 0) AS IN_RECEIVING_INSPECTION, 
    NVL(STOCK_PEND_IN_POSTING, 0) AS PENDING_DELIVERY_POSTING, 
    PO_NUMBER,
    PO_DATE,
    EXPECTED_DATE AS SUPPLIER_EXPECTED_DATE,
    EXPECTED_DATE_REMARK,
    SUPPLIER_CONTACT,
    CASE 
        WHEN NVL(SHORT_QTY, 0) = 0 THEN 'FULFILLED / NO SHORTAGE'
        WHEN NVL(STOCK_PENDING_INSP, 0) + NVL(STOCK_PEND_IN_POSTING, 0) &gt; 0 THEN 'AT RECEIVING DOCK / INSPECTION'
        WHEN NVL(PENDING_ASN, 0) &gt; 0 THEN 'IN-TRANSIT (ASN DISPATCHED)'
        WHEN NVL(APP_PO_QTY, 0) &gt; 0 THEN 'PO ISSUED TO SUPPLIER'
        WHEN NVL(UN_APPR_PO_QTY, 0) &gt; 0 THEN 'PO AWAITING APPROVAL'
        WHEN NVL(PENDING_REQUISITION, 0) &gt; 0 THEN 'REQUISITION CREATED (NO PO)'
        ELSE 'ACTION REQUIRED: NO PROCUREMENT STARTED'
    END AS PROCUREMENT_STAGE
FROM 
    KPCL_REPORTING.KPC_FULL_KIT_BOM_EXPLODE
WHERE 
    (OA_NUMBER) LIKE ('%{oa_number}%')
    AND NVL(CHILD_ITEM_TYPE, 'BUY') &lt;&gt; 'MAKE' 
ORDER BY 
    CASE 
        WHEN NVL(SHORT_QTY, 0) &gt; 0 AND NVL(APP_PO_QTY, 0) = 0 AND NVL(PENDING_REQUISITION, 0) = 0 THEN 1
        WHEN NVL(SHORT_QTY, 0) &gt; 0 THEN 2
        ELSE 3
    END,
    SHORTAGE_QTY DESC,
    CHILD_ITEM ASC;</t>
  </si>
  <si>
    <t>Show delivery risk for oa_number {oa_number}.</t>
  </si>
  <si>
    <t>Find delivery risk for /oa_number {oa_number}.</t>
  </si>
  <si>
    <t>delivery risk for oa number</t>
  </si>
  <si>
    <t>SELECT 
    OA_NUMBER,
    CUSTOMER_NAME,
    PARENT_ITEM,
    CHILD_ITEM,
    CHILD_DESCRIPTION,
    BUYER_NAME,
    SUPPLIER_NAME,
    SUPPLIER_CONTACT,
   NVL(COMPONENT_QTY, 0) AS REQUIRED_QTY,
    NVL(SHORT_QTY, 0) AS SHORTAGE_QTY,
    NVL(FULL_LEAD_TIME, 0) AS BUY_LEAD_TIME_DAYS,
    NVL(DAYS_REM, 0) AS DAYS_REMAINING_TO_NEED_BY,
    FULL_KIT_MRP_SUGG_DATE AS NEED_BY_DATE,
    OA_PROMISE_DATE,
    EXPECTED_DATE AS SUPPLIER_EXPECTED_DATE,
    EXPECTED_DATE_REMARK,
    CASE 
        WHEN EXPECTED_DATE &gt; FULL_KIT_MRP_SUGG_DATE 
        THEN ROUND(EXPECTED_DATE - FULL_KIT_MRP_SUGG_DATE)
        ELSE 0 
    END AS SCHEDULE_SLIPPAGE_DAYS,
    CASE 
        WHEN NVL(SHORT_QTY, 0) &gt; 0 AND EXPECTED_DATE IS NULL 
            THEN 'CRITICAL: Shortage With No Delivery Date'
        WHEN EXPECTED_DATE &gt; FULL_KIT_MRP_SUGG_DATE 
            THEN 'HIGH RISK: Delivery Date Past Need-By Date'
        WHEN NVL(DAYS_REM, 0) &lt; NVL(FULL_LEAD_TIME, 0) AND NVL(SHORT_QTY, 0) &gt; 0 
            THEN 'HIGH RISK: Lead Time Exceeds Remaining Days'
        WHEN NVL(SHORT_QTY, 0) &gt; 0 
            THEN 'MODERATE RISK: Open Shortage Under Tracking'
        ELSE 'LOW RISK / ON TRACK'
    END AS DELIVERY_RISK_STATUS,
   OA_COLOUR AS OA_FULLKIT_COLOR,
    EXPECTED_DATE_COLOR AS LINE_DELIVERY_COLOR
FROM 
    KPCL_REPORTING.KPC_FULL_KIT_BOM_EXPLODE
WHERE 
    (OA_NUMBER) LIKE ('%{oa_number}%')
    AND (
        NVL(SHORT_QTY, 0) &gt; 0 
        OR EXPECTED_DATE &gt; FULL_KIT_MRP_SUGG_DATE
        OR (OA_COLOUR) IN ('BLACK', 'RED')
        OR (EXPECTED_DATE_COLOR) = 'RED'
    )
ORDER BY 
    CASE 
        WHEN NVL(SHORT_QTY, 0) &gt; 0 AND EXPECTED_DATE IS NULL THEN 1
        WHEN EXPECTED_DATE &gt; FULL_KIT_MRP_SUGG_DATE THEN 2
        ELSE 3
    END,
    SCHEDULE_SLIPPAGE_DAYS DESC,
    SHORTAGE_QTY DESC;</t>
  </si>
  <si>
    <t>Display allocation status for /oa_number {oa_number}.</t>
  </si>
  <si>
    <t>SELECT 
    OA_NUMBER,
    CUSTOMER_NAME,
    PARENT_ITEM,
    CHILD_ITEM,
    CHILD_DESCRIPTION,
    UOM,
    NVL(COMPONENT_QTY, 0) AS REQUIRED_QTY,
    NVL(ALLOCATED_FRM_STOCK, 0) AS ALLOCATED_FROM_STOCK,
    NVL(ALLOCATED_FRM_WIP, 0) AS ALLOCATED_FROM_WIP,
    (NVL(ALLOCATED_FRM_STOCK, 0) + NVL(ALLOCATED_FRM_WIP, 0)) AS TOTAL_ALLOCATED_QTY,
    NVL(SHORT_QTY, 0) AS SHORTAGE_QTY,
    CASE 
        WHEN (NVL(ALLOCATED_FRM_STOCK, 0) + NVL(ALLOCATED_FRM_WIP, 0)) &gt;= NVL(COMPONENT_QTY, 0) 
             AND NVL(COMPONENT_QTY, 0) &gt; 0 THEN 'FULLY ALLOCATED'
        WHEN (NVL(ALLOCATED_FRM_STOCK, 0) + NVL(ALLOCATED_FRM_WIP, 0)) &gt; 0 THEN 'PARTIALLY ALLOCATED'
        ELSE 'UNALLOCATED / SHORTAGE'
    END AS LINE_ALLOCATION_STATUS,
    ALLOCATION_RUN_FLAG,          
    ALLOCATION_REMARK,            
    ALLOCATION_LOG,               
    OA_COLOUR AS OA_BUFFER_COLOR 
FROM 
    KPCL_REPORTING.KPC_FULL_KIT_BOM_EXPLODE
WHERE 
    (OA_NUMBER) LIKE ('%{oa_number}%')
ORDER BY 
    CASE 
        WHEN (NVL(ALLOCATED_FRM_STOCK, 0) + NVL(ALLOCATED_FRM_WIP, 0)) &lt; NVL(COMPONENT_QTY, 0) THEN 1 
        ELSE 2 
    END,
    SHORTAGE_QTY DESC,
    CHILD_ITEM ASC;</t>
  </si>
  <si>
    <t>Display inventory coverage for oa_number {oa_number}.</t>
  </si>
  <si>
    <t>Show inventory coverage for /oa_number {oa_number}.</t>
  </si>
  <si>
    <t>inventory coverage for oa number</t>
  </si>
  <si>
    <t>SELECT 
    OA_NUMBER,
    CUSTOMER_NAME,
    PARENT_ITEM,
    CHILD_ITEM,
    CHILD_DESCRIPTION,
    UOM,
    NVL(COMPONENT_QTY, 0) AS REQUIRED_QTY,
    NVL(STOCK_GENERAL_STORE, 0) AS STORE_ON_HAND_STOCK,
    NVL(ALLOCATED_FRM_STOCK, 0) AS ALLOCATED_FROM_STOCK,
    NVL(WIP_STOCK, 0) AS WIP_STOCK,
    NVL(ALLOCATED_FRM_WIP, 0) AS ALLOCATED_FROM_WIP,
  LEAST(
        NVL(COMPONENT_QTY, 0), 
        GREATEST(0, NVL(ALLOCATED_FRM_STOCK, 0) + NVL(ALLOCATED_FRM_WIP, 0))
    ) AS COVERED_QTY,
    NVL(SHORT_QTY, 0) AS SHORTAGE_QTY,
    ROUND(
        CASE 
            WHEN NVL(COMPONENT_QTY, 0) &gt; 0 THEN 
                (LEAST(
                    NVL(COMPONENT_QTY, 0), 
                    GREATEST(0, NVL(ALLOCATED_FRM_STOCK, 0) + NVL(ALLOCATED_FRM_WIP, 0))
                ) / NVL(COMPONENT_QTY, 0)) * 100
            ELSE 100 
        END, 2
    ) AS COVERAGE_PCT,
   NVL(APP_PO_QTY, 0) AS APPROVED_PO_QTY,
    NVL(PENDING_ASN, 0) AS PENDING_ASN_QTY,
    OA_COLOUR AS BUFFER_STATUS
FROM 
    KPCL_REPORTING.KPC_FULL_KIT_BOM_EXPLODE
WHERE 
    (OA_NUMBER) LIKE ('%{oa_number}%')
ORDER BY 
    COVERAGE_PCT ASC, 
    SHORTAGE_QTY DESC, 
    CHILD_ITEM ASC;</t>
  </si>
  <si>
    <t>View pending ASN for oa_number {oa_number}.</t>
  </si>
  <si>
    <t>Find pending ASN for /oa_number {oa_number}.</t>
  </si>
  <si>
    <t>pending ASN for oa number</t>
  </si>
  <si>
    <t>SELECT 
    OA_NUMBER,
    CUSTOMER_NAME,
    PARENT_ITEM,
    PARENT_DESCRIPTION,
    CHILD_ITEM,
    CHILD_DESCRIPTION,
    SUPPLIER_NAME,
    BUYER_NAME,
    NVL(APP_PO_QTY, 0) AS APPROVED_PO_QTY,
    NVL(PENDING_PO, 0) AS PENDING_PO_QTY,
    NVL(PENDING_ASN, 0) AS PENDING_ASN_QTY,
    EXPECTED_DATE AS EXPECTED_DELIVERY_DATE,
    EXPECTED_DATE_REMARK,
    EXPECTED_DATE_COLOR
FROM 
    KPCL_REPORTING.KPC_FULL_KIT_BOM_EXPLODE
WHERE 
    (OA_NUMBER) LIKE ('%{oa_number}%')
    AND NVL(PENDING_ASN, 0) &gt; 0
ORDER BY 
    EXPECTED_DELIVERY_DATE ASC NULLS LAST,
    CHILD_ITEM ASC;</t>
  </si>
  <si>
    <t>Show full kit readiness for oa_number {oa_number}.</t>
  </si>
  <si>
    <t>Display full kit readiness for /oa_number {oa_number}.</t>
  </si>
  <si>
    <t>full kit readiness for oa number</t>
  </si>
  <si>
    <t>SELECT 
    OA_NUMBER,
    FULL_KIT_NAME,
    SUM(NVL(MRP_DEMAND, 0)) AS TOTAL_DEMAND,
    SUM(NVL(SUPPLY_QTY, 0)) AS TOTAL_SUPPLY,
    SUM(NVL(SHORT_QTY, 0)) AS TOTAL_SHORTAGE,
    ROUND(
        CASE 
            WHEN SUM(NVL(MRP_DEMAND, 0)) = 0 THEN 100
            ELSE (SUM(NVL(SUPPLY_QTY, 0)) / SUM(NVL(MRP_DEMAND, 0))) * 100
        END, 2
    ) AS READINESS_PERCENT
FROM KPCL_REPORTING.KPC_FULL_KIT_BOM_EXPLODE
WHERE OA_NUMBER LIKE  '%{oa_number}%'
GROUP BY 
    OA_NUMBER,
    FULL_KIT_NAME
ORDER BY READINESS_PERCENT DESC;</t>
  </si>
  <si>
    <t>View lifecycle status for oa_number {oa_number}.</t>
  </si>
  <si>
    <t>Show lifecycle status for /oa_number {oa_number}.</t>
  </si>
  <si>
    <t>lifecycle status for oa number</t>
  </si>
  <si>
    <t>SELECT 
    OA_NUMBER,
    CUSTOMER_NAME,
    OA_PRIORITY_NO,
    OA_CREATION_DATE,
    OA_PROMISE_DATE,
    OA_NEED_BY_DATE,
    SUM(NVL(MRP_DEMAND, 0)) AS TOTAL_DEMAND,
    SUM(NVL(SUPPLY_QTY, 0)) AS TOTAL_SUPPLY,
    SUM(NVL(SHORT_QTY, 0)) AS TOTAL_SHORTAGE,
    CASE 
        WHEN SUM(NVL(SHORT_QTY, 0)) = 0 
             AND SUM(NVL(MRP_DEMAND, 0)) &gt; 0
        THEN 'FULLY COVERED'
        WHEN SUM(NVL(SHORT_QTY, 0)) &gt; 0 
             AND OA_PROMISE_DATE &lt;= OA_NEED_BY_DATE
        THEN 'AT RISK'
        WHEN SUM(NVL(SHORT_QTY, 0)) &gt; 0 
             AND OA_PROMISE_DATE &gt; OA_NEED_BY_DATE
        THEN 'DELAYED'
        ELSE 'UNKNOWN'
    END AS OA_LIFECYCLE_STATUS
FROM KPCL_REPORTING.KPC_FULL_KIT_BOM_EXPLODE
WHERE OA_NUMBER LIKE '%{oa_number}%'
GROUP BY 
    OA_NUMBER,
    CUSTOMER_NAME,
    OA_PRIORITY_NO,
    OA_CREATION_DATE,
    OA_PROMISE_DATE,
    OA_NEED_BY_DATE;</t>
  </si>
  <si>
    <t>Show OA wise shortage quantity for customer {customer} in org_name {org_name}.</t>
  </si>
  <si>
    <t>Show OA wise shortage quantity for /customer {customer} in /org_name {org_name}.</t>
  </si>
  <si>
    <t>OA wise shortage quantity for customer in org name</t>
  </si>
  <si>
    <t>SELECT 
    OA_NUMBER,
    SUM(SHORT_QTY) AS TOTAL_SHORTAGE_QUANTITY
FROM 
    KPCL_REPORTING.KPC_FULL_KIT_BOM_EXPLODE
WHERE 
    CUSTOMER_NAME LIKE '%{customer}%'
    AND ORG_NAME LIKE '%{org_name}%'
GROUP BY 
    OA_NUMBER;</t>
  </si>
  <si>
    <t>customer, org_name</t>
  </si>
  <si>
    <t>View delayed OA  / Order number for customer {customer} in org_name {org_name}.</t>
  </si>
  <si>
    <t>Display delayed OA  / Order number for /customer {customer} in /org_name {org_name}.</t>
  </si>
  <si>
    <t>delayed OA  / Order number for customer in org name</t>
  </si>
  <si>
    <t>SELECT 
    OA_NUMBER,
    CUSTOMER_NAME,
    ORG_NAME,
    OA_SCH_SHIP_DT,
    OA_PROMISE_DATE,
    OA_COLOUR
FROM 
    KPCL_REPORTING.KPC_FULL_KIT_BOM_EXPLODE
WHERE 
    CUSTOMER_NAME LIKE '%{customer}%'
    AND ORG_NAME LIKE '%{org_name}%'
    AND OA_COLOUR = 'BLACK';</t>
  </si>
  <si>
    <t>Show shortage quantity for supplier {supplier} and buyer {buyer}.</t>
  </si>
  <si>
    <t>Show shortage quantity for /supplier {supplier} and /buyer {buyer}.</t>
  </si>
  <si>
    <t>shortage quantity for supplier and buyer</t>
  </si>
  <si>
    <t>SELECT 
    SUM(SHORT_QTY) AS TOTAL_SHORTAGE_QUANTITY
FROM 
    KPCL_REPORTING.KPC_FULL_KIT_BOM_EXPLODE
WHERE 
    SUPPLIER_NAME LIKE '%{supplier}%'
    AND BUYER_NAME LIKE '%{buyer}%';</t>
  </si>
  <si>
    <t>supplier, buyer</t>
  </si>
  <si>
    <t>Display pending PO quantity for supplier {supplier} and org_name {org_name}.</t>
  </si>
  <si>
    <t>Display pending PO quantity for /supplier {supplier} and /org_name {org_name}.</t>
  </si>
  <si>
    <t>pending PO quantity for supplier and org name</t>
  </si>
  <si>
    <t>SELECT 
    SUM(PENDING_PO) AS TOTAL_PENDING_PO
FROM 
    KPCL_REPORTING.KPC_FULL_KIT_BOM_EXPLODE
WHERE 
    SUPPLIER_NAME LIKE '%{supplier}%'
    AND ORG_NAME LIKE '%{org_name}%';</t>
  </si>
  <si>
    <t>supplier, org_name</t>
  </si>
  <si>
    <t>Show inventory value for customer {customer} in org_name {org_name}.</t>
  </si>
  <si>
    <t>Show inventory value for /customer {customer} in /org_name {org_name}.</t>
  </si>
  <si>
    <t>inventory value for customer in org name</t>
  </si>
  <si>
    <t>SELECT 
    SUM(ON_HAND_STOCK * ITEM_STD_RATE) AS TOTAL_INVENTORY_VALUE
FROM 
    KPCL_REPORTING.KPC_FULL_KIT_BOM_EXPLODE
WHERE 
    CUSTOMER_NAME LIKE '%{customer}%'
    AND ORG_NAME LIKE '%{org_name}%';</t>
  </si>
  <si>
    <t>Display demand versus supply for child_item {child_item} in org_name {org_name}.</t>
  </si>
  <si>
    <t>Display demand versus supply for /child_item {child_item} in /org_name {org_name}.</t>
  </si>
  <si>
    <t>demand versus supply for child item in org name</t>
  </si>
  <si>
    <t>SELECT 
    CHILD_ITEM,
    CHILD_DESCRIPTION,
    SUM(TOTAL_DD) AS TOTAL_DEMAND,
    SUM(SUPPLY_QTY) AS TOTAL_SUPPLY
FROM 
    KPCL_REPORTING.KPC_FULL_KIT_BOM_EXPLODE
WHERE 
    CHILD_ITEM LIKE '%{child_item}%'
    AND ORG_NAME LIKE '%{org_name}%'
GROUP BY 
    CHILD_ITEM,
    CHILD_DESCRIPTION;</t>
  </si>
  <si>
    <t>child_item, org_name</t>
  </si>
  <si>
    <t>Show BOM cost for parent_item {parent_item} and customer {customer}.</t>
  </si>
  <si>
    <t>Show BOM cost for /parent_item {parent_item} and /customer {customer}.</t>
  </si>
  <si>
    <t>BOM cost for parent item and customer</t>
  </si>
  <si>
    <t>SELECT 
    PARENT_ITEM,
    PARENT_DESCRIPTION,
    CUSTOMER_NAME,
    SUM(EXT_ITEM_COST) AS TOTAL_BOM_COST
FROM 
    KPCL_REPORTING.KPC_FULL_KIT_BOM_EXPLODE
WHERE 
    PARENT_ITEM LIKE '%{parent_item}%'
    AND CUSTOMER_NAME LIKE '%{customer}%'
GROUP BY 
    PARENT_ITEM,
    PARENT_DESCRIPTION,
    CUSTOMER_NAME;</t>
  </si>
  <si>
    <t>parent_item, customer</t>
  </si>
  <si>
    <t>Display approved and unapproved PO quantities for supplier {supplier} and child_item {child_item}.</t>
  </si>
  <si>
    <t>Display approved and unapproved PO quantities for /supplier {supplier} and /child_item {child_item}.</t>
  </si>
  <si>
    <t>approved and unapproved PO quantities for supplier and child item</t>
  </si>
  <si>
    <t>SELECT 
    SUPPLIER_NAME,
    CHILD_ITEM,
    CHILD_DESCRIPTION,
    SUM(APP_PO_QTY) AS TOTAL_APPROVED_PO_QTY,
    SUM(UN_APPR_PO_QTY) AS TOTAL_UNAPPROVED_PO_QTY
FROM 
    KPCL_REPORTING.KPC_FULL_KIT_BOM_EXPLODE
WHERE 
    SUPPLIER_NAME LIKE '%{supplier}%'
    AND CHILD_ITEM LIKE '%{child_item}%'
GROUP BY 
    SUPPLIER_NAME,
    CHILD_ITEM,
    CHILD_DESCRIPTION;</t>
  </si>
  <si>
    <t>supplier, child_item</t>
  </si>
  <si>
    <t>Show pending ASN quantity for supplier {supplier} and product_model {product_model}.</t>
  </si>
  <si>
    <t>Find pending ASN quantity for supplier {supplier} and product_model {product_model}.</t>
  </si>
  <si>
    <t>pending ASN quantity for supplier and product model</t>
  </si>
  <si>
    <t>SELECT 
    SUPPLIER_NAME,
    PRD_MODEL,
    SUM(PENDING_ASN) AS TOTAL_PENDING_ASN
FROM 
    KPCL_REPORTING.KPC_FULL_KIT_BOM_EXPLODE
WHERE 
    SUPPLIER_NAME LIKE '%{supplier}%'
    AND PRD_MODEL LIKE '%{product_model}%'
GROUP BY 
    SUPPLIER_NAME,
    PRD_MODEL;</t>
  </si>
  <si>
    <t>supplier, product_model</t>
  </si>
  <si>
    <t>Show shortage quantity for buyer {buyer} and category {category}.</t>
  </si>
  <si>
    <t>Show shortage quantity for /buyer {buyer} and /category {category}.</t>
  </si>
  <si>
    <t>shortage quantity for buyer and category00}.</t>
  </si>
  <si>
    <t>SELECT 
    SUM(SHORT_QTY) AS TOTAL_SHORTAGE_QUANTITY
FROM 
    KPCL_REPORTING.KPC_FULL_KIT_BOM_EXPLODE
WHERE 
    BUYER_NAME LIKE '%{buyer}%'
    AND CATEGORY_NAME LIKE '%{category}%';</t>
  </si>
  <si>
    <t>buyer, category</t>
  </si>
  <si>
    <t>Display inventory availability for parent item {parent_item} in organization {org_name}.</t>
  </si>
  <si>
    <t>SELECT 
    PARENT_ITEM,
    PARENT_DESCRIPTION,
    ORG_NAME,
    SUM(PARENT_ONHAND) AS TOTAL_PARENT_ONHAND
FROM 
    KPCL_REPORTING.KPC_FULL_KIT_BOM_EXPLODE
WHERE 
    PARENT_ITEM LIKE '%{parent_item}%'
    AND ORG_NAME LIKE '%{org_name}%'
GROUP BY 
    PARENT_ITEM,
    PARENT_DESCRIPTION,
    ORG_NAME;</t>
  </si>
  <si>
    <t>parent_item, org_name</t>
  </si>
  <si>
    <t>Find delayed OA / Order number for customer {customer} with oa_colour {oa_colour}.</t>
  </si>
  <si>
    <t>Find delayed OA / Order number for /customer {customer} with /oa_colour {oa_colour}.</t>
  </si>
  <si>
    <t>delayed OA / Order number for customer with oa colour</t>
  </si>
  <si>
    <t>SELECT 
    OA_NUMBER,
    CUSTOMER_NAME,
    OA_COLOUR,
    OA_NEED_BY_DATE
FROM 
    KPCL_REPORTING.KPC_FULL_KIT_BOM_EXPLODE
WHERE 
    CUSTOMER_NAME LIKE '%{customer}%'
    AND OA_COLOUR LIKE '%{oa_colour}%'
GROUP BY 
    OA_NUMBER,
    CUSTOMER_NAME,
    OA_COLOUR,
    OA_NEED_BY_DATE;</t>
  </si>
  <si>
    <t>customer, oa_colour</t>
  </si>
  <si>
    <t>Show child items for parent_item {parent_item} supplied by supplier {supplier}.</t>
  </si>
  <si>
    <t>Show child items for /parent_item {parent_item} supplied by /supplier {supplier}.</t>
  </si>
  <si>
    <t>child items for parent item supplied by supplier</t>
  </si>
  <si>
    <t>SELECT 
    CHILD_ITEM,
    CHILD_DESCRIPTION,
    CHILD_ITEM_TYPE,
    SUM(REQUIRED_QTY) AS TOTAL_REQUIRED_QTY
FROM 
    KPCL_REPORTING.KPC_FULL_KIT_BOM_EXPLODE
WHERE 
    PARENT_ITEM LIKE '%{parent_item}%'
    AND SUPPLIER_NAME LIKE '%{supplier}%'
GROUP BY 
    CHILD_ITEM,
    CHILD_DESCRIPTION,
    CHILD_ITEM_TYPE;</t>
  </si>
  <si>
    <t>parent_item, supplier</t>
  </si>
  <si>
    <t>Find components with zero stock for supplier {supplier} in org_name {org_name}.</t>
  </si>
  <si>
    <t>Find components with zero stock for /supplier {supplier} in /org_name {org_name}.</t>
  </si>
  <si>
    <t>components with zero stock for supplier in org name</t>
  </si>
  <si>
    <t>SELECT 
    CHILD_ITEM,
    CHILD_DESCRIPTION,
    SUPPLIER_NAME,
    ORG_NAME,
    SUM(ON_HAND_STOCK) AS TOTAL_ON_HAND_STOCK
FROM 
    KPCL_REPORTING.KPC_FULL_KIT_BOM_EXPLODE
WHERE 
    SUPPLIER_NAME LIKE '%{supplier}%'
    AND ORG_NAME LIKE '%{org_name}%'
GROUP BY 
    CHILD_ITEM,
    CHILD_DESCRIPTION,
    SUPPLIER_NAME,
    ORG_NAME
HAVING 
    SUM(ON_HAND_STOCK) = 0;</t>
  </si>
  <si>
    <t>Show required quantity and shortage for child_item {child_item} in oa_number {oa_number}.</t>
  </si>
  <si>
    <t>Show required quantity and shortage for /child_item {child_item} in /oa_number {oa_number}.</t>
  </si>
  <si>
    <t>required quantity and shortage for child item in oa number</t>
  </si>
  <si>
    <t>SELECT 
    CHILD_ITEM,
    CHILD_DESCRIPTION,
    SUM(REQUIRED_QTY) AS TOTAL_REQUIRED_QUANTITY,
    SUM(SHORT_QTY) AS TOTAL_SHORTAGE_QUANTITY
FROM 
    KPCL_REPORTING.KPC_FULL_KIT_BOM_EXPLODE
WHERE 
    CHILD_ITEM LIKE '%{child_item}%'
    AND OA_NUMBER LIKE '%{oa_number}%'
GROUP BY 
    CHILD_ITEM,
    CHILD_DESCRIPTION;</t>
  </si>
  <si>
    <t>child_item, oa_number</t>
  </si>
  <si>
    <t>Display supplier wise inventory for category {category} in org_name {org_name}.</t>
  </si>
  <si>
    <t>Display supplier wise inventory for /category {category} in /org_name {org_name}.</t>
  </si>
  <si>
    <t>supplier wise inventory for category category in org name</t>
  </si>
  <si>
    <t>SELECT 
    SUPPLIER_NAME,
    SUM(ON_HAND_STOCK) AS TOTAL_ON_HAND_STOCK
FROM 
    KPCL_REPORTING.KPC_FULL_KIT_BOM_EXPLODE
WHERE 
    CATEGORY_NAME LIKE '%{category}%'
    AND ORG_NAME LIKE '%{org_name}%'
GROUP BY 
    SUPPLIER_NAME;</t>
  </si>
  <si>
    <t>category, org_name</t>
  </si>
  <si>
    <t>Show BOM levels for parent_item {parent_item} in oa_number {oa_number}.</t>
  </si>
  <si>
    <t>Show BOM levels for /parent_item {parent_item} in /oa_number {oa_number}.</t>
  </si>
  <si>
    <t>BOM levels for parent item in oa number</t>
  </si>
  <si>
    <t>SELECT 
    BOM_LEVEL,
    CHILD_ITEM,
    CHILD_DESCRIPTION,
    PARENT_ITEM
FROM 
    KPCL_REPORTING.KPC_FULL_KIT_BOM_EXPLODE
WHERE 
    PARENT_ITEM LIKE '%{parent_item}%'
    AND OA_NUMBER LIKE '%{oa_number}%'
GROUP BY 
    BOM_LEVEL,
    CHILD_ITEM,
    CHILD_DESCRIPTION,
    PARENT_ITEM
ORDER BY 
    BOM_LEVEL ASC;</t>
  </si>
  <si>
    <t>parent_item, oa_number</t>
  </si>
  <si>
    <t>Display pending requisition quantity for buyer {buyer} and supplier {supplier}.</t>
  </si>
  <si>
    <t>Display pending requisition quantity for /buyer {buyer} and /supplier {supplier}.</t>
  </si>
  <si>
    <t>pending requisition quantity for buyer and supplier</t>
  </si>
  <si>
    <t>SELECT 
    BUYER_NAME,
    SUPPLIER_NAME,
    SUM(PENDING_REQUISITION) AS TOTAL_PENDING_REQUISITION
FROM 
    KPCL_REPORTING.KPC_FULL_KIT_BOM_EXPLODE
WHERE 
    BUYER_NAME LIKE '%{buyer}%'
    AND SUPPLIER_NAME LIKE '%{supplier}%'
GROUP BY 
    BUYER_NAME,
    SUPPLIER_NAME;</t>
  </si>
  <si>
    <t>buyer, supplier</t>
  </si>
  <si>
    <t>Show expected delivery dates for supplier {supplier} and oa_number {oa_number}.</t>
  </si>
  <si>
    <t>Find expected delivery dates for /supplier {supplier} and /oa_number {oa_number}.</t>
  </si>
  <si>
    <t>expected delivery dates for supplier and oa number</t>
  </si>
  <si>
    <t>SELECT 
    SUPPLIER_NAME,
    OA_NUMBER,
    EXPECTED_DATE,
    EXPECTED_DATE_REMARK,
    EXPECTED_DATE_COLOR
FROM 
    KPCL_REPORTING.KPC_FULL_KIT_BOM_EXPLODE
WHERE 
    SUPPLIER_NAME LIKE '%{supplier}%'
    AND OA_NUMBER LIKE '%{oa_number}%'
GROUP BY 
    SUPPLIER_NAME,
    OA_NUMBER,
    EXPECTED_DATE,
    EXPECTED_DATE_REMARK,
    EXPECTED_DATE_COLOR
ORDER BY 
    EXPECTED_DATE ASC;</t>
  </si>
  <si>
    <t>supplier, oa_number</t>
  </si>
  <si>
    <t>Show allocation quantity for customer {customer} and oa_number {oa_number}.</t>
  </si>
  <si>
    <t>Show allocation quantity for /customer {customer} and /oa_number {oa_number}.</t>
  </si>
  <si>
    <t>allocation quantity for customer and oa number</t>
  </si>
  <si>
    <t>SELECT 
    CUSTOMER_NAME,
    OA_NUMBER,
    SUM(ALLOCATED_FRM_STOCK) AS TOTAL_ALLOCATED_FROM_STOCK,
    SUM(ALLOCATED_FRM_WIP) AS TOTAL_ALLOCATED_FROM_WIP,
    SUM(ALLOCATED_QTY_WOUT_RES) AS TOTAL_ALLOCATED_WOUT_RES,
    SUM(ALLOC_NEW_REQ_QTY) AS TOTAL_ALLOC_NEW_REQ_QTY,
    SUM(ALLOC_SHORT_REQ_QTY) AS TOTAL_ALLOC_SHORT_REQ_QTY
FROM 
    KPCL_REPORTING.KPC_FULL_KIT_BOM_EXPLODE
WHERE 
    CUSTOMER_NAME LIKE '%{customer}%'
    AND OA_NUMBER LIKE '%{oa_number}%'
GROUP BY 
    CUSTOMER_NAME,
    OA_NUMBER;</t>
  </si>
  <si>
    <t>customer, oa_number</t>
  </si>
  <si>
    <t>Display shortage cost for parent_item {parent_item} and supplier {supplier}.</t>
  </si>
  <si>
    <t>Find shortage cost for /parent_item {parent_item} and /supplier {supplier}.</t>
  </si>
  <si>
    <t>shortage cost for parent item and supplier</t>
  </si>
  <si>
    <t>SELECT 
    PARENT_ITEM,
    SUPPLIER_NAME,
    SUM(SHORT_QTY * ITEM_STD_RATE) AS TOTAL_SHORTAGE_COST
FROM 
    KPCL_REPORTING.KPC_FULL_KIT_BOM_EXPLODE
WHERE 
    PARENT_ITEM LIKE '%{parent_item}%'
    AND SUPPLIER_NAME LIKE '%{supplier}%'
GROUP BY 
    PARENT_ITEM,
    SUPPLIER_NAME
HAVING 
    SUM(SHORT_QTY) &gt; 0;</t>
  </si>
  <si>
    <t>Display child items with pending PO for supplier {supplier} and category {category}.</t>
  </si>
  <si>
    <t>Display child items with pending PO for /supplier {supplier} and /category {category}.</t>
  </si>
  <si>
    <t>child items with pending PO for supplier and category</t>
  </si>
  <si>
    <t>SELECT 
    CHILD_ITEM,
    CHILD_DESCRIPTION,
    SUPPLIER_NAME,
    CATEGORY_NAME,
    SUM(PENDING_PO) AS TOTAL_PENDING_PO
FROM 
    KPCL_REPORTING.KPC_FULL_KIT_BOM_EXPLODE
WHERE 
    SUPPLIER_NAME LIKE '%{supplier}%'
    AND CATEGORY_NAME LIKE '%{category}%'
GROUP BY 
    CHILD_ITEM,
    CHILD_DESCRIPTION,
    SUPPLIER_NAME,
    CATEGORY_NAME
HAVING 
    SUM(PENDING_PO) &gt; 0;</t>
  </si>
  <si>
    <t>supplier, category</t>
  </si>
  <si>
    <t>Display components with highest lead time for supplier {supplier} in org_name {org_name}.</t>
  </si>
  <si>
    <t>Find components with highest lead time for /supplier {supplier} in /org_name {org_name}.</t>
  </si>
  <si>
    <t>components with highest lead time for supplier in org name</t>
  </si>
  <si>
    <t>SELECT 
    CHILD_ITEM,
    CHILD_DESCRIPTION,
    SUPPLIER_NAME,
    ORG_NAME,
    MAX(FULL_LEAD_TIME) AS MAX_LEAD_TIME_DAYS
FROM 
    KPCL_REPORTING.KPC_FULL_KIT_BOM_EXPLODE
WHERE 
    SUPPLIER_NAME LIKE '%{supplier}%'
    AND ORG_NAME LIKE '%{org_name}%'
GROUP BY 
    CHILD_ITEM,
    CHILD_DESCRIPTION,
    SUPPLIER_NAME,
    ORG_NAME
ORDER BY 
    MAX_LEAD_TIME_DAYS DESC;</t>
  </si>
  <si>
    <t>Show stock pending inspection for supplier {supplier} and child_item {child_item}.</t>
  </si>
  <si>
    <t>Show stock pending inspection for /supplier {supplier} and /child_item {child_item}.</t>
  </si>
  <si>
    <t>stock pending inspection for supplier and child item</t>
  </si>
  <si>
    <t>SELECT 
    SUPPLIER_NAME,
    CHILD_ITEM,
    CHILD_DESCRIPTION,
    SUM(STOCK_PENDING_INSP) AS TOTAL_PENDING_INSPECTION_STOCK
FROM 
    KPCL_REPORTING.KPC_FULL_KIT_BOM_EXPLODE
WHERE 
    SUPPLIER_NAME LIKE '%{supplier}%'
    AND CHILD_ITEM LIKE '%{child_item}%'
GROUP BY 
    SUPPLIER_NAME,
    CHILD_ITEM,
    CHILD_DESCRIPTION;</t>
  </si>
  <si>
    <t>Display MRP demand for product_model {product_model} and org_name {org_name}.</t>
  </si>
  <si>
    <t>Display MRP demand for /product_model {product_model} and /org_name {org_name}.</t>
  </si>
  <si>
    <t>MRP demand for product model and org name</t>
  </si>
  <si>
    <t>SELECT 
    SUM(MRP_DEMAND) AS TOTAL_MRP_DEMAND
FROM 
    KPCL_REPORTING.KPC_FULL_KIT_BOM_EXPLODE
WHERE 
    PRD_MODEL LIKE '%{product_model}%'
    AND ORG_NAME LIKE '%{org_name}%';</t>
  </si>
  <si>
    <t>product_model, org_name</t>
  </si>
  <si>
    <t>Display shortage quantity for customer {customer} and product_model {product_model}.</t>
  </si>
  <si>
    <t>Find shortage quantity for /customer {customer} and /product_model {product_model}.</t>
  </si>
  <si>
    <t>shortage quantity for customer and product model</t>
  </si>
  <si>
    <t>SELECT 
    SUM(SHORT_QTY) AS TOTAL_SHORTAGE_QUANTITY
FROM 
    KPCL_REPORTING.KPC_FULL_KIT_BOM_EXPLODE
WHERE 
    CUSTOMER_NAME LIKE '%{customer}%'
    AND PRD_MODEL LIKE '%{product_model}%';</t>
  </si>
  <si>
    <t>Display an aggregated summary of total shortages, on-hand stock value, and delayed order acceptance counts grouped across all Full Kits.</t>
  </si>
  <si>
    <t>aggregated summary of total shortages, on-hand stock value, and delayed order acceptance counts grouped across all Full Kits</t>
  </si>
  <si>
    <t>SELECT 
    FULL_KIT_NAME,
    COUNT(DISTINCT OA_NUMBER) AS TOTAL_ORDERS,
    COUNT(DISTINCT CHILD_ITEM) AS TOTAL_COMPONENTS,
    SUM(NVL(SHORT_QTY, 0)) AS TOTAL_SHORTAGE_QTY,
    SUM(NVL(ON_HAND_STOCK, 0) * NVL(EXT_ITEM_COST, 0)) AS TOTAL_ONHAND_VALUE,
    SUM(CASE WHEN UPPER(OA_COLOUR) LIKE '%BLACK%' THEN 1 ELSE 0 END) AS DELAYED_OA_COUNT,
    SUM(CASE WHEN UPPER(OA_COLOUR) LIKE '%RED%' THEN 1 ELSE 0 END) AS AT_RISK_OA_COUNT
FROM 
    KPCL_REPORTING.KPC_FULL_KIT_BOM_EXPLODE
WHERE 
    FULL_KIT_NAME IS NOT NULL
GROUP BY 
    FULL_KIT_NAME
ORDER BY 
    TOTAL_SHORTAGE_QTY DESC,
    FULL_KIT_NAME ASC</t>
  </si>
  <si>
    <t>Show all delayed orders exceeding their expected need by date in month {month}.</t>
  </si>
  <si>
    <t>Which are the all delayed orders exceeding their expected need by date in /month {month}?</t>
  </si>
  <si>
    <t>all delayed orders exceeding their expected need by date in month</t>
  </si>
  <si>
    <t>SELECT
    OA_NUMBER,
    ORG_NAME,
    CUSTOMER_NAME,
    CHILD_DESCRIPTION,
    OA_NEED_BY_DATE,
    EXPECTED_DATE,
    OA_PROMISE_DATE,
    OA_SCH_SHIP_DT,
    OA_COLOUR
FROM KPCL_REPORTING.KPC_FULL_KIT_BOM_EXPLODE
WHERE OA_NEED_BY_DATE IS NOT NULL
  AND EXPECTED_DATE IS NOT NULL
  AND EXPECTED_DATE &gt; OA_NEED_BY_DATE
  AND TO_CHAR(OA_NEED_BY_DATE, 'MON', 'NLS_DATE_LANGUAGE = American') =
      SUBSTR(UPPER('{month}'), 1, 3)
ORDER BY OA_NEED_BY_DATE;</t>
  </si>
  <si>
    <t>Show all delayed items exceeding expected dates for the year {year}.</t>
  </si>
  <si>
    <t>Which all delayed items exceeding expected dates for the /year {year}?</t>
  </si>
  <si>
    <t xml:space="preserve"> all delayed items exceeding expected dates for the year</t>
  </si>
  <si>
    <t>SELECT
    OA_NUMBER,
    ORG_NAME,
    CUSTOMER_NAME,
    CHILD_DESCRIPTION,
    OA_NEED_BY_DATE,
    EXPECTED_DATE,
    OA_PROMISE_DATE,
    OA_SCH_SHIP_DT,
    OA_COLOUR
FROM KPCL_REPORTING.KPC_FULL_KIT_BOM_EXPLODE
WHERE OA_NEED_BY_DATE IS NOT NULL
  AND EXPECTED_DATE IS NOT NULL
  AND EXPECTED_DATE &gt; OA_NEED_BY_DATE
  AND TO_CHAR(OA_NEED_BY_DATE, 'YY') = SUBSTR('{year}', -2)
ORDER BY OA_NEED_BY_DATE;</t>
  </si>
  <si>
    <t>Show list orders and SBM numbers with schedule delays in year {year}.</t>
  </si>
  <si>
    <t>Give the list of  orders and SBM numbers with schedule delays in /year {year}.</t>
  </si>
  <si>
    <t>orders and SBM numbers with schedule delays in year</t>
  </si>
  <si>
    <t>SELECT
    OA_NUMBER,
    ORG_NAME,
    CUSTOMER_NAME,
    CHILD_DESCRIPTION,
    OA_NEED_BY_DATE,
    OA_SCH_SHIP_DT,
    OA_PROMISE_DATE,
    OA_COLOUR
FROM KPCL_REPORTING.KPC_FULL_KIT_BOM_EXPLODE
WHERE OA_NEED_BY_DATE IS NOT NULL
  AND OA_SCH_SHIP_DT IS NOT NULL
  AND OA_SCH_SHIP_DT &gt; OA_NEED_BY_DATE
  AND TO_CHAR(OA_NEED_BY_DATE, 'YY') = SUBSTR('{year}', -2)
ORDER BY OA_NEED_BY_DATE;</t>
  </si>
  <si>
    <t>Show items missed their need by date during year {year}.</t>
  </si>
  <si>
    <t>Which items missed their need by date during  /year {year}?</t>
  </si>
  <si>
    <t>Which items missed their need by date during year</t>
  </si>
  <si>
    <t>SELECT
    OA_NUMBER,
    ORG_NAME,
    CUSTOMER_NAME,
    CHILD_DESCRIPTION,
    OA_NEED_BY_DATE,
    EXPECTED_DATE,
    OA_PROMISE_DATE,
    OA_SCH_SHIP_DT,
    OA_COLOUR
FROM KPCL_REPORTING.KPC_FULL_KIT_BOM_EXPLODE
WHERE OA_NEED_BY_DATE IS NOT NULL
  AND EXPECTED_DATE IS NOT NULL
  AND EXPECTED_DATE &gt; OA_NEED_BY_DATE
  AND TO_CHAR(OA_NEED_BY_DATE, 'YY') = SUBSTR('{year}', -2)
ORDER BY OA_NEED_BY_DATE;</t>
  </si>
  <si>
    <t>Show delayed items exceeding expected dates for month {month} and year {year}.</t>
  </si>
  <si>
    <t>Which items exceeded expected dates for /month {month} and /year {year}?</t>
  </si>
  <si>
    <t>delayed items exceeding expected dates for month and year</t>
  </si>
  <si>
    <t>SELECT
    OA_NUMBER,
    ORG_NAME,
    CUSTOMER_NAME,
    CHILD_DESCRIPTION,
    OA_NEED_BY_DATE,
    EXPECTED_DATE,
    OA_PROMISE_DATE,
    OA_SCH_SHIP_DT,
    OA_COLOUR
FROM KPCL_REPORTING.KPC_FULL_KIT_BOM_EXPLODE
WHERE OA_NEED_BY_DATE IS NOT NULL
  AND EXPECTED_DATE IS NOT NULL
  AND EXPECTED_DATE &gt; OA_NEED_BY_DATE
  AND TO_CHAR(OA_NEED_BY_DATE, 'MON', 'NLS_DATE_LANGUAGE = American') =
      SUBSTR(UPPER('{month}'), 1, 3)
  AND TO_CHAR(OA_NEED_BY_DATE, 'YY') = SUBSTR('{year}', -2)
ORDER BY OA_NEED_BY_DATE;</t>
  </si>
  <si>
    <t>Show items with missed their delivery target in month {month}?</t>
  </si>
  <si>
    <t>Which items missed their delivery target in month {month}?</t>
  </si>
  <si>
    <t>items missed their delivery target in month</t>
  </si>
  <si>
    <t>SELECT
    OA_NUMBER,
    ORG_NAME,
    CUSTOMER_NAME,
    CHILD_DESCRIPTION,
    OA_NEED_BY_DATE,
    OA_SCH_SHIP_DT,
    OA_PROMISE_DATE,
    EXPECTED_DATE,
    OA_COLOUR
FROM KPCL_REPORTING.KPC_FULL_KIT_BOM_EXPLODE
WHERE OA_NEED_BY_DATE IS NOT NULL
  AND OA_SCH_SHIP_DT IS NOT NULL
  AND OA_SCH_SHIP_DT &gt; OA_NEED_BY_DATE
  AND TO_CHAR(OA_NEED_BY_DATE, 'MON', 'NLS_DATE_LANGUAGE = American') =
      SUBSTR(UPPER('{month}'), 1, 3)
ORDER BY OA_NEED_BY_DATE;</t>
  </si>
  <si>
    <t>Show list of all orders with schedule shipment missed in month {month} and year {year}.</t>
  </si>
  <si>
    <t>Show the list of all orders with schedule shipment missed in /month {month} and /year {year}.</t>
  </si>
  <si>
    <t>all orders with schedule shipment missed in month and year</t>
  </si>
  <si>
    <t>SELECT
    OA_NUMBER,
    ORG_NAME,
    CUSTOMER_NAME,
    CHILD_DESCRIPTION,
    OA_NEED_BY_DATE,
    OA_SCH_SHIP_DT,
    OA_PROMISE_DATE,
    OA_COLOUR
FROM KPCL_REPORTING.KPC_FULL_KIT_BOM_EXPLODE
WHERE OA_NEED_BY_DATE IS NOT NULL
  AND OA_SCH_SHIP_DT IS NOT NULL
  AND OA_SCH_SHIP_DT &gt; OA_NEED_BY_DATE
  AND TO_CHAR(OA_NEED_BY_DATE, 'MON', 'NLS_DATE_LANGUAGE = American') =
      SUBSTR(UPPER('{month}'), 1, 3)
  AND TO_CHAR(OA_NEED_BY_DATE, 'YY') = SUBSTR('{year}', -2)
ORDER BY OA_NEED_BY_DATE;</t>
  </si>
  <si>
    <t>Show list of orders where scheduled shipment date passed the required date for month {month}.</t>
  </si>
  <si>
    <t>Show the list of orders where scheduled shipment date passed the required date for /month {month}.</t>
  </si>
  <si>
    <t>orders where scheduled shipment date passed the required date for month</t>
  </si>
  <si>
    <t>SELECT
    OA_NUMBER,
    ORG_NAME,
    CUSTOMER_NAME,
    CHILD_DESCRIPTION,
    OA_NEED_BY_DATE,
    OA_SCH_SHIP_DT,
    OA_PROMISE_DATE,
    OA_COLOUR
FROM KPCL_REPORTING.KPC_FULL_KIT_BOM_EXPLODE
WHERE OA_NEED_BY_DATE IS NOT NULL
  AND OA_SCH_SHIP_DT IS NOT NULL
  AND OA_SCH_SHIP_DT &gt; OA_NEED_BY_DATE
  AND TO_CHAR(OA_NEED_BY_DATE, 'MON', 'NLS_DATE_LANGUAGE = American') =
      SUBSTR(UPPER('{month}'), 1, 3)
ORDER BY OA_NEED_BY_DATE;</t>
  </si>
  <si>
    <t>Show items failed to meet the required delivery date in month {month} for year {year}?</t>
  </si>
  <si>
    <t>Which items failed to meet the required delivery date in /month {month} for /year {year}?</t>
  </si>
  <si>
    <t>items failed to meet the required delivery date in month for year</t>
  </si>
  <si>
    <t>SELECT
    OA_NUMBER,
    ORG_NAME,
    CUSTOMER_NAME,
    CHILD_DESCRIPTION,
    OA_NEED_BY_DATE,
    OA_SCH_SHIP_DT,
    OA_PROMISE_DATE,
    EXPECTED_DATE,
    OA_COLOUR
FROM KPCL_REPORTING.KPC_FULL_KIT_BOM_EXPLODE
WHERE OA_NEED_BY_DATE IS NOT NULL
  AND OA_SCH_SHIP_DT IS NOT NULL
  AND OA_SCH_SHIP_DT &gt; OA_NEED_BY_DATE
  AND TO_CHAR(OA_NEED_BY_DATE, 'MON', 'NLS_DATE_LANGUAGE = American') =
      SUBSTR(UPPER('{month}'), 1, 3)
  AND TO_CHAR(OA_NEED_BY_DATE, 'YY') = SUBSTR('{year}', -2)
ORDER BY OA_NEED_BY_DATE;</t>
  </si>
  <si>
    <t>Show shortage quantity for parent_item {parent_item }</t>
  </si>
  <si>
    <t>What is the shortage quantity for /parent_item {parent_item }</t>
  </si>
  <si>
    <t>shortage quantity for parent item</t>
  </si>
  <si>
    <t>Display PO details for supplier {supplier}.</t>
  </si>
  <si>
    <t xml:space="preserve"> Show PO details for /supplier {supplier}.</t>
  </si>
  <si>
    <t>PO details for supplier</t>
  </si>
  <si>
    <t>SELECT ORG_NAME,
    PO_NUM,
    PO_TYPE,
    PO_STATUS,
    APPROVAL_STATUS,
    PO_CREATION_DATE,
    SUPPLIER,
    VENDOR_CODE,
    BUYER_NAME,
    LINE_NUM,
    ITEM_CODE,
    ITEM_DESCRIPTION,
    QUANTITY,
    UNIT_PRICE,
    LINE_AMOUNT,
    DUE_QTY,
    DUE_AMT,
    CURRENCY
FROM 
    KPCL_REPORTING.DERIVED_PO_BOARD
WHERE 
     (SUPPLIER) LIKE ('%{supplier}%') AND REQ_QTY_MONTH = UPPER(TO_CHAR(SYSDATE, 'MON-YYYY'))
ORDER BY 
    PO_CREATION_DATE DESC, 
    PO_NUM ASC, 
    LINE_NUM ASC;</t>
  </si>
  <si>
    <t>Display PO details for item_code {item_code}.</t>
  </si>
  <si>
    <t>Show PO details for /item_code {item_code}.</t>
  </si>
  <si>
    <t>PO details for item code</t>
  </si>
  <si>
    <t>SELECT ORG_NAME,
    PO_NUM,
    PO_TYPE,
    PO_STATUS,
    APPROVAL_STATUS,
    PO_CREATION_DATE,
    SUPPLIER,
    VENDOR_CODE,
    BUYER_NAME,
    LINE_NUM,
    ITEM_CODE,
    ITEM_DESCRIPTION,
    QUANTITY,
    UNIT_PRICE,
    LINE_AMOUNT,
    DUE_QTY,
    DUE_AMT,
    CURRENCY
FROM 
    KPCL_REPORTING.DERIVED_PO_BOARD
WHERE 
    ITEM_CODE IS NOT NULL
    AND (ITEM_CODE) LIKE ('%{ITEM_CODE}%') AND REQ_QTY_MONTH = UPPER(TO_CHAR(SYSDATE, 'MON-YYYY'))
ORDER BY 
    PO_CREATION_DATE DESC, 
    PO_NUM ASC, 
    LINE_NUM ASC;</t>
  </si>
  <si>
    <t>Display suppliers delayed delivery.</t>
  </si>
  <si>
    <t>Which suppliers delayed delivery?</t>
  </si>
  <si>
    <t>suppliers delayed delivery</t>
  </si>
  <si>
    <t>SELECT ORG_NAME, PO_NUM,
       SUPPLIER,
       EXPECTED_DATE,
      SUPPLIER_EXPECTED_DATE
FROM KPCL_REPORTING.DERIVED_PO_BOARD
WHERE SUPPLIER_EXPECTED_DATE &gt; EXPECTED_DATE AND REQ_QTY_MONTH = UPPER(TO_CHAR(SYSDATE, 'MON-YYYY'));</t>
  </si>
  <si>
    <t>Show POs pending buyer remarks.</t>
  </si>
  <si>
    <t>POs pending buyer remarks</t>
  </si>
  <si>
    <t>SELECT *
FROM KPCL_REPORTING.DERIVED_PO_BOARD
WHERE BUYER_REMARK IS NULL AND REQ_QTY_MONTH = UPPER(TO_CHAR(SYSDATE, 'MON-YYYY'));</t>
  </si>
  <si>
    <t>Show supplier remarks for po_number {po_number}.</t>
  </si>
  <si>
    <t>Show supplier remarks for /po_number {po_number}.</t>
  </si>
  <si>
    <t>supplier remarks for po number</t>
  </si>
  <si>
    <t>SELECT ORG_NAME,
    PO_NUM,
    LINE_NUM,
    ITEM_CODE,
    ITEM_DESCRIPTION,
    SUPPLIER,
    SUPPLIER_REMARK,
    REM_UPD_COUNT AS REMARK_UPDATE_COUNT
FROM 
    KPCL_REPORTING.DERIVED_PO_BOARD
WHERE 
    PO_NUM LIKE '%{po_number}%'
    AND REQ_QTY_MONTH = UPPER(TO_CHAR(SYSDATE, 'MON-YYYY'))
ORDER BY 
    PO_NUM ASC,
    LINE_NUM ASC;</t>
  </si>
  <si>
    <t>po_number</t>
  </si>
  <si>
    <t>Display current month pending quantity.</t>
  </si>
  <si>
    <t>Show current month pending quantity.</t>
  </si>
  <si>
    <t>current month pending quantity</t>
  </si>
  <si>
    <t>SELECT PO_NUM, ORG_NAME,
       ITEM_CODE,
      REQ_QTY AS CURR_MONTH_QTY
FROM KPCL_REPORTING.DERIVED_PO_BOARD
WHERE NVL(REQ_QTY,0) &gt; 0 AND REQ_QTY_MONTH = UPPER(TO_CHAR(SYSDATE, 'MON-YYYY'));</t>
  </si>
  <si>
    <t>View next month PO forecast.</t>
  </si>
  <si>
    <t>Show next month PO forecast.</t>
  </si>
  <si>
    <t>next month PO forecast</t>
  </si>
  <si>
    <t>SELECT PO_NUM, ORG_NAME,
       ITEM_CODE
FROM KPCL_REPORTING.DERIVED_PO_BOARD
WHERE NVL(REQ_QTY, 0) &gt; 0 AND REQ_QTY_MONTH = UPPER(TO_CHAR(SYSDATE, 'MON-YYYY'));</t>
  </si>
  <si>
    <t>View POs above amount {amount}.</t>
  </si>
  <si>
    <t>Show POs above /amount {amount}.</t>
  </si>
  <si>
    <t>POs above amount</t>
  </si>
  <si>
    <t>SELECT ORG_NAME,
    PO_NUM,
    PO_TYPE,
    PO_STATUS,
    APPROVAL_STATUS,
    PO_CREATION_DATE,
    SUPPLIER,
    BUYER_NAME,
    SUM(LINE_AMOUNT) AS TOTAL_PO_AMOUNT,
    CURRENCY
FROM 
    KPCL_REPORTING.DERIVED_PO_BOARD
WHERE REQ_QTY_MONTH = UPPER(TO_CHAR(SYSDATE, 'MON-YYYY'))
GROUP BY ORG_NAME, 
    PO_NUM,
    PO_TYPE,
    PO_STATUS,
    APPROVAL_STATUS,
    PO_CREATION_DATE,
    SUPPLIER,
    BUYER_NAME,
    CURRENCY
HAVING 
    SUM(LINE_AMOUNT) &gt; {amount}
ORDER BY 
    TOTAL_PO_AMOUNT DESC;</t>
  </si>
  <si>
    <t>amount</t>
  </si>
  <si>
    <t>View supplier-wise PO amount summary.</t>
  </si>
  <si>
    <t>Show supplier-wise PO amount summary.</t>
  </si>
  <si>
    <t>supplier-wise PO amount summary</t>
  </si>
  <si>
    <t>SELECT SUPPLIER, ORG_NAME,
       SUM(LINE_AMOUNT) TOTAL_AMOUNT
FROM KPCL_REPORTING.DERIVED_PO_BOARD
WHERE REQ_QTY_MONTH = UPPER(TO_CHAR(SYSDATE, 'MON-YYYY'))
GROUP BY ORG_NAME, SUPPLIER;</t>
  </si>
  <si>
    <t>Show pending orders by buyer.</t>
  </si>
  <si>
    <t>pending orders by buyer</t>
  </si>
  <si>
    <t>SELECT BUYER_NAME, ORG_NAME,
       COUNT(*) TOTAL_POS
FROM KPCL_REPORTING.DERIVED_PO_BOARD
WHERE PO_STATUS &lt;&gt; 'CLOSED' AND REQ_QTY_MONTH = UPPER(TO_CHAR(SYSDATE, 'MON-YYYY'))
GROUP BY ORG_NAME, BUYER_NAME;</t>
  </si>
  <si>
    <t>Display PO aging more than days {days}.</t>
  </si>
  <si>
    <t>Show PO aging more than /days {days}.</t>
  </si>
  <si>
    <t>PO aging more than days</t>
  </si>
  <si>
    <t>SELECT ORG_NAME,
    PO_NUM,
    PO_TYPE,
    PO_STATUS,
    APPROVAL_STATUS,
    PO_CREATION_DATE,
    FLOOR(SYSDATE - PO_CREATION_DATE) AS AGING_DAYS,
    SUPPLIER,
    BUYER_NAME,
    SUM(LINE_AMOUNT) AS TOTAL_PO_AMOUNT,
    SUM(DUE_QTY) AS TOTAL_DUE_QTY,
    SUM(DUE_AMT) AS TOTAL_DUE_AMT,
    CURRENCY
FROM 
    KPCL_REPORTING.DERIVED_PO_BOARD
WHERE 
    PO_CREATION_DATE IS NOT NULL
    AND DUE_AMT &gt; 0 AND REQ_QTY_MONTH = UPPER(TO_CHAR(SYSDATE, 'MON-YYYY'))
GROUP BY ORG_NAME,
    PO_NUM,
    PO_TYPE,
    PO_STATUS,
    APPROVAL_STATUS,
    PO_CREATION_DATE,
    SUPPLIER,
    BUYER_NAME,
    CURRENCY
HAVING 
    FLOOR(SYSDATE - PO_CREATION_DATE) &gt; {days}
ORDER BY 
    AGING_DAYS DESC;</t>
  </si>
  <si>
    <t>Display PO by OA / Order number.</t>
  </si>
  <si>
    <t>Show PO by OA / Order number.</t>
  </si>
  <si>
    <t>PO by OA / Order number</t>
  </si>
  <si>
    <t>SELECT ORG_NAME,
    OA_NUMBER,
    PO_NUM,
    PO_TYPE,
    PO_STATUS,
    APPROVAL_STATUS,
    PO_CREATION_DATE,
    SUPPLIER,
    BUYER_NAME,
    SUM(LINE_AMOUNT) AS TOTAL_PO_AMOUNT,
    CURRENCY
FROM 
    KPCL_REPORTING.DERIVED_PO_BOARD
WHERE 
    OA_NUMBER IS NOT NULL AND REQ_QTY_MONTH = UPPER(TO_CHAR(SYSDATE, 'MON-YYYY'))
GROUP BY ORG_NAME,
    OA_NUMBER,
    PO_NUM,
    PO_TYPE,
    PO_STATUS,
    APPROVAL_STATUS,
    PO_CREATION_DATE,
    SUPPLIER,
    BUYER_NAME,
    CURRENCY
ORDER BY 
    OA_NUMBER ASC,
    PO_CREATION_DATE DESC;</t>
  </si>
  <si>
    <t>Show Model Wise Purchase Orders.</t>
  </si>
  <si>
    <t>product model Wise Purchase Orders</t>
  </si>
  <si>
    <t>SELECT ORG_NAME,
    MODEL AS COMPRESSOR_MODEL,
    PO_NUM,
    PO_TYPE,
    PO_STATUS,
    APPROVAL_STATUS,
    PO_CREATION_DATE,
    SUPPLIER,
    BUYER_NAME,
    SUM(LINE_AMOUNT) AS TOTAL_PO_AMOUNT,
    CURRENCY
FROM 
    KPCL_REPORTING.DERIVED_PO_BOARD
WHERE 
    MODEL IS NOT NULL AND REQ_QTY_MONTH = UPPER(TO_CHAR(SYSDATE, 'MON-YYYY'))
GROUP BY ORG_NAME,
    MODEL,
    PO_NUM,
    PO_TYPE,
    PO_STATUS,
    APPROVAL_STATUS,
    PO_CREATION_DATE,
    SUPPLIER,
    BUYER_NAME,
    CURRENCY
ORDER BY 
    MODEL ASC,
    PO_CREATION_DATE DESC;</t>
  </si>
  <si>
    <t>Show Due Amount Pending.</t>
  </si>
  <si>
    <t>due Amount Pending</t>
  </si>
  <si>
    <t>SELECT PO_NUM, ORG_NAME,
       DUE_AMT AS AMT_DUE
FROM KPCL_REPORTING.DERIVED_PO_BOARD
WHERE NVL(DUE_AMT,0) &gt; 0 AND REQ_QTY_MONTH = UPPER(TO_CHAR(SYSDATE, 'MON-YYYY'));</t>
  </si>
  <si>
    <t>Show supplier lead times.</t>
  </si>
  <si>
    <t>supplier lead times</t>
  </si>
  <si>
    <t>SELECT SUPPLIER, ORG_NAME,
       LEAD_TIME 
FROM KPCL_REPORTING.DERIVED_PO_BOARD
WHERE REQ_QTY_MONTH = UPPER(TO_CHAR(SYSDATE, 'MON-YYYY'));</t>
  </si>
  <si>
    <t>Display Recently Created PO.</t>
  </si>
  <si>
    <t>Show Recently Created PO.</t>
  </si>
  <si>
    <t>recently Created PO</t>
  </si>
  <si>
    <t>SELECT ORG_NAME,
    PO_NUM,
    PO_TYPE,
    PO_STATUS,
    APPROVAL_STATUS,
    PO_CREATION_DATE,
    SUPPLIER,
    BUYER_NAME,
    SUM(LINE_AMOUNT) AS TOTAL_PO_AMOUNT,
    CURRENCY
FROM 
    KPCL_REPORTING.DERIVED_PO_BOARD
WHERE 
    PO_CREATION_DATE IS NOT NULL AND REQ_QTY_MONTH = UPPER(TO_CHAR(SYSDATE, 'MON-YYYY'))
GROUP BY ORG_NAME,
    PO_NUM,
    PO_TYPE,
    PO_STATUS,
    APPROVAL_STATUS,
    PO_CREATION_DATE,
    SUPPLIER,
    BUYER_NAME,
    CURRENCY
ORDER BY 
    PO_CREATION_DATE DESC;</t>
  </si>
  <si>
    <t>View Cancelled Purchase Orders.</t>
  </si>
  <si>
    <t>Show Cancelled Purchase Orders.</t>
  </si>
  <si>
    <t>cancelled Purchase Orders</t>
  </si>
  <si>
    <t>SELECT ORG_NAME,
    PO_NUM,
    PO_TYPE,
    PO_STATUS,
    APPROVAL_STATUS,
    PO_CREATION_DATE,
    SUPPLIER,
    BUYER_NAME,
    SUM(LINE_AMOUNT) AS TOTAL_PO_AMOUNT,
    CURRENCY
FROM 
    KPCL_REPORTING.DERIVED_PO_BOARD
WHERE 
    (PO_STATUS) LIKE '%CANCEL%' AND REQ_QTY_MONTH = UPPER(TO_CHAR(SYSDATE, 'MON-YYYY'))
GROUP BY ORG_NAME,
    PO_NUM,
    PO_TYPE,
    PO_STATUS,
    APPROVAL_STATUS,
    PO_CREATION_DATE,
    SUPPLIER,
    BUYER_NAME,
    CURRENCY
ORDER BY 
    PO_CREATION_DATE DESC;</t>
  </si>
  <si>
    <t>Display total purchase orders.</t>
  </si>
  <si>
    <t>Show total purchase orders.</t>
  </si>
  <si>
    <t>total purchase orders</t>
  </si>
  <si>
    <t>SELECT ORG_NAME, COUNT(DISTINCT PO_NUM) AS TOTAL_PURCHASE_ORDERS
FROM KPCL_REPORTING.DERIVED_PO_BOARD
WHERE REQ_QTY_MONTH = UPPER(TO_CHAR(SYSDATE, 'MON-YYYY'))
GROUP BY ORG_NAME;</t>
  </si>
  <si>
    <t>Display purchase orders for buyer {buyer}.</t>
  </si>
  <si>
    <t>Show purchase orders for /buyer {buyer}.</t>
  </si>
  <si>
    <t>purchase orders for buyer</t>
  </si>
  <si>
    <t>SELECT *
FROM KPCL_REPORTING.DERIVED_PO_BOARD
WHERE BUYER_NAME LIKE '%{buyer}%' AND REQ_QTY_MONTH = UPPER(TO_CHAR(SYSDATE, 'MON-YYYY'));</t>
  </si>
  <si>
    <t>View purchase orders for supplier {supplier}.</t>
  </si>
  <si>
    <t>Show purchase orders for /supplier {supplier}.</t>
  </si>
  <si>
    <t>purchase orders for supplier</t>
  </si>
  <si>
    <t>SELECT *
FROM KPCL_REPORTING.DERIVED_PO_BOARD
WHERE SUPPLIER LIKE '%{supplier}%' AND REQ_QTY_MONTH = UPPER(TO_CHAR(SYSDATE, 'MON-YYYY'));</t>
  </si>
  <si>
    <t>Display purchase orders for item_code {item_code}.</t>
  </si>
  <si>
    <t>Show purchase orders for /item_code {item_code}.</t>
  </si>
  <si>
    <t>purchase orders for item code</t>
  </si>
  <si>
    <t>SELECT *
FROM KPCL_REPORTING.DERIVED_PO_BOARD
WHERE ITEM_CODE LIKE '%{item_code}%' AND REQ_QTY_MONTH = UPPER(TO_CHAR(SYSDATE, 'MON-YYYY'));</t>
  </si>
  <si>
    <t>Show purchase orders created during month {month}.</t>
  </si>
  <si>
    <t>Show purchase orders created during /month {month}.</t>
  </si>
  <si>
    <t>purchase orders created during month</t>
  </si>
  <si>
    <t>SELECT *
FROM KPCL_REPORTING.DERIVED_PO_BOARD
WHERE PO_CREATION_DATE IS NOT NULL
  AND TO_CHAR(PO_CREATION_DATE, 'MON', 'NLS_DATE_LANGUAGE = American') = SUBSTR(UPPER('{month}'), 1, 3) AND REQ_QTY_MONTH = UPPER(TO_CHAR(SYSDATE, 'MON-YYYY'));</t>
  </si>
  <si>
    <t>View purchase orders created during year {year}.</t>
  </si>
  <si>
    <t>Show purchase orders created during /year {year}.</t>
  </si>
  <si>
    <t>purchase orders created during year</t>
  </si>
  <si>
    <t>SELECT *
FROM KPCL_REPORTING.DERIVED_PO_BOARD
WHERE PO_CREATION_DATE IS NOT NULL
  AND TO_CHAR(PO_CREATION_DATE, 'YY') = SUBSTR('{year}', -2) AND REQ_QTY_MONTH = UPPER(TO_CHAR(SYSDATE, 'MON-YYYY'));</t>
  </si>
  <si>
    <t>Show purchase orders between date {date} and date {date}.</t>
  </si>
  <si>
    <t>Show purchase orders between /date {date} and /date {date}.</t>
  </si>
  <si>
    <t>purchase orders between date and date</t>
  </si>
  <si>
    <t>SELECT *
FROM KPCL_REPORTING.DERIVED_PO_BOARD
WHERE PO_CREATION_DATE &gt;= TO_DATE('{date}', 'DD-MM-YY')
  AND PO_CREATION_DATE &lt; TO_DATE('{date}', 'DD-MM-YY') + 1 AND REQ_QTY_MONTH = UPPER(TO_CHAR(SYSDATE, 'MON-YYYY'));</t>
  </si>
  <si>
    <t>Show purchase orders for customer {customer}.</t>
  </si>
  <si>
    <t>Show purchase orders for /customer {customer}.</t>
  </si>
  <si>
    <t>purchase orders for customer</t>
  </si>
  <si>
    <t>SELECT *
FROM KPCL_REPORTING.DERIVED_PO_BOARD
WHERE CUSTOMER LIKE '%{customer}%' AND REQ_QTY_MONTH = UPPER(TO_CHAR(SYSDATE, 'MON-YYYY'));</t>
  </si>
  <si>
    <t>View purchase orders for product_group {product_group}.</t>
  </si>
  <si>
    <t>Show purchase orders for /product_group {product_group}.</t>
  </si>
  <si>
    <t>purchase orders for product group</t>
  </si>
  <si>
    <t>SELECT *
FROM KPCL_REPORTING.DERIVED_PO_BOARD
WHERE PG LIKE '%{product_group}%' AND REQ_QTY_MONTH = UPPER(TO_CHAR(SYSDATE, 'MON-YYYY'));</t>
  </si>
  <si>
    <t>Display purchase orders for product_model {product_model}.</t>
  </si>
  <si>
    <t>Show purchase orders for /product_model {product_model}.</t>
  </si>
  <si>
    <t>purchase orders for product model</t>
  </si>
  <si>
    <t>SELECT *
FROM KPCL_REPORTING.DERIVED_PO_BOARD
WHERE MODEL LIKE '%{product_model}%' AND REQ_QTY_MONTH = UPPER(TO_CHAR(SYSDATE, 'MON-YYYY'));</t>
  </si>
  <si>
    <t>Show total PO value.</t>
  </si>
  <si>
    <t>total PO value</t>
  </si>
  <si>
    <t>SELECT SUM(LINE_AMOUNT) AS TOTAL_PO_VALUE
FROM KPCL_REPORTING.DERIVED_PO_BOARD
WHERE REQ_QTY_MONTH = UPPER(TO_CHAR(SYSDATE, 'MON-YYYY'));</t>
  </si>
  <si>
    <t>View PO value by organization.</t>
  </si>
  <si>
    <t>Show PO value by organization.</t>
  </si>
  <si>
    <t>PO value by organization</t>
  </si>
  <si>
    <t>SELECT ORG_NAME, SUM(LINE_AMOUNT) AS PO_VALUE
FROM KPCL_REPORTING.DERIVED_PO_BOARD
WHERE REQ_QTY_MONTH = UPPER(TO_CHAR(SYSDATE, 'MON-YYYY'))
GROUP BY ORG_NAME;</t>
  </si>
  <si>
    <t>Display PO value by buyer.</t>
  </si>
  <si>
    <t>Show PO value by buyer.</t>
  </si>
  <si>
    <t>PO value by buyer</t>
  </si>
  <si>
    <t>SELECT ORG_NAME, BUYER_NAME, SUM(LINE_AMOUNT) AS PO_VALUE
FROM KPCL_REPORTING.DERIVED_PO_BOARD WHERE REQ_QTY_MONTH = UPPER(TO_CHAR(SYSDATE, 'MON-YYYY'))
GROUP BY BUYER_NAME, ORG_NAME;</t>
  </si>
  <si>
    <t>Display PO value by supplier.</t>
  </si>
  <si>
    <t>Show PO value by supplier.</t>
  </si>
  <si>
    <t>PO value by supplier</t>
  </si>
  <si>
    <t>SELECT ORG_NAME, SUPPLIER, SUM(LINE_AMOUNT) AS PO_VALUE
FROM KPCL_REPORTING.DERIVED_PO_BOARD WHERE REQ_QTY_MONTH = UPPER(TO_CHAR(SYSDATE, 'MON-YYYY'))
GROUP BY SUPPLIER, ORG_NAME;</t>
  </si>
  <si>
    <t>Show PO value by item.</t>
  </si>
  <si>
    <t>PO value by item</t>
  </si>
  <si>
    <t>SELECT ORG_NAME, ITEM_CODE, ITEM_DESCRIPTION, SUM(LINE_AMOUNT) AS PO_VALUE
FROM KPCL_REPORTING.DERIVED_PO_BOARD 
WHERE REQ_QTY_MONTH = UPPER(TO_CHAR(SYSDATE, 'MON-YYYY'))
GROUP BY ITEM_CODE, ITEM_DESCRIPTION,ORG_NAME;</t>
  </si>
  <si>
    <t>View PO value by customer.</t>
  </si>
  <si>
    <t>Show PO value by customer.</t>
  </si>
  <si>
    <t>PO value by customer</t>
  </si>
  <si>
    <t>SELECT ORG_NAME, CUSTOMER, SUM(LINE_AMOUNT) AS PO_VALUE
FROM KPCL_REPORTING.DERIVED_PO_BOARD
WHERE REQ_QTY_MONTH = UPPER(TO_CHAR(SYSDATE, 'MON-YYYY'))
GROUP BY CUSTOMER, ORG_NAME;</t>
  </si>
  <si>
    <t>Show PO value by currency.</t>
  </si>
  <si>
    <t>PO value by currency</t>
  </si>
  <si>
    <t>SELECT ORG_NAME, CURRENCY, SUM(LINE_AMOUNT) AS PO_VALUE
FROM KPCL_REPORTING.DERIVED_PO_BOARD WHERE REQ_QTY_MONTH = UPPER(TO_CHAR(SYSDATE, 'MON-YYYY'))
GROUP BY CURRENCY, ORG_NAME;</t>
  </si>
  <si>
    <t>View PO value for buyer {buyer}.</t>
  </si>
  <si>
    <t>Show PO value for /buyer {buyer}.</t>
  </si>
  <si>
    <t>PO value for buyer</t>
  </si>
  <si>
    <t>SELECT ORG_NAME, BUYER_NAME, SUM(LINE_AMOUNT) AS PO_VALUE
FROM KPCL_REPORTING.DERIVED_PO_BOARD
WHERE BUYER_NAME LIKE '%{buyer}%' AND REQ_QTY_MONTH = UPPER(TO_CHAR(SYSDATE, 'MON-YYYY'))
GROUP BY BUYER_NAME, ORG_NAME;</t>
  </si>
  <si>
    <t>Show PO value for supplier {supplier}.</t>
  </si>
  <si>
    <t>Show PO value for /supplier {supplier}.</t>
  </si>
  <si>
    <t>PO value for supplier</t>
  </si>
  <si>
    <t>SELECT ORG_NAME, SUPPLIER, SUM(LINE_AMOUNT) AS PO_VALUE
FROM KPCL_REPORTING.DERIVED_PO_BOARD
WHERE SUPPLIER LIKE '%{supplier}%' AND REQ_QTY_MONTH = UPPER(TO_CHAR(SYSDATE, 'MON-YYYY'))
GROUP BY SUPPLIER, ORG_NAME;</t>
  </si>
  <si>
    <t>View PO value for item_code {item_code}.</t>
  </si>
  <si>
    <t>Show PO value for /item_code {item_code}.</t>
  </si>
  <si>
    <t>PO value for item code</t>
  </si>
  <si>
    <t>SELECT ORG_NAME, ITEM_CODE, SUM(LINE_AMOUNT) AS PO_VALUE
FROM KPCL_REPORTING.DERIVED_PO_BOARD
WHERE ITEM_CODE LIKE '%{item_code}%' AND REQ_QTY_MONTH = UPPER(TO_CHAR(SYSDATE, 'MON-YYYY'))
GROUP BY ITEM_CODE, ORG_NAME;</t>
  </si>
  <si>
    <t>Show PO value during month {month}.</t>
  </si>
  <si>
    <t>Show PO value during /month {month}.</t>
  </si>
  <si>
    <t>PO value during month</t>
  </si>
  <si>
    <t>SELECT *
FROM KPCL_REPORTING.DERIVED_PO_BOARD
WHERE PO_CREATION_DATE IS NOT NULL
  AND TO_CHAR(
        TO_DATE(PO_CREATION_DATE DEFAULT NULL ON CONVERSION ERROR, 'DD-MM-YY'), 
        'MON', 
        'NLS_DATE_LANGUAGE = American'
      ) = SUBSTR(UPPER('{month}'), 1, 3)
  AND REQ_QTY_MONTH = UPPER(TO_CHAR(SYSDATE, 'MON-YYYY'));</t>
  </si>
  <si>
    <t>View PO value during year {year}.</t>
  </si>
  <si>
    <t>Show PO value during /year {year}.</t>
  </si>
  <si>
    <t>PO value during year</t>
  </si>
  <si>
    <t>SELECT ORG_NAME, SUM(LINE_AMOUNT) AS PO_VALUE
FROM KPCL_REPORTING.DERIVED_PO_BOARD
WHERE PO_CREATION_DATE IS NOT NULL AND REQ_QTY_MONTH = UPPER(TO_CHAR(SYSDATE, 'MON-YYYY'))
  AND TO_CHAR(PO_CREATION_DATE, 'YY') = SUBSTR('{year}', -2)
GROUP BY ORG_NAME;</t>
  </si>
  <si>
    <t>Display comparison of PO value between suppliers {supplier} and {supplier}.</t>
  </si>
  <si>
    <t>Compare PO value between /supplier {supplier} and /supplier {supplier}.</t>
  </si>
  <si>
    <t>PO value between suppliers and supplier</t>
  </si>
  <si>
    <t>SELECT ORG_NAME,
    SUPPLIER,
    SUM(LINE_AMOUNT) AS TOTAL_PO_VALUE,
    CURRENCY
FROM 
    KPCL_REPORTING.DERIVED_PO_BOARD
WHERE 
    SUPPLIER LIKE '%{supplier}%'  AND REQ_QTY_MONTH = UPPER(TO_CHAR(SYSDATE, 'MON-YYYY'))
GROUP BY 
    SUPPLIER,
    CURRENCY,
    ORG_NAME
ORDER BY 
    SUPPLIER;</t>
  </si>
  <si>
    <t>View total purchase quantity.</t>
  </si>
  <si>
    <t>Show total purchase quantity.</t>
  </si>
  <si>
    <t>total purchase quantity</t>
  </si>
  <si>
    <t>SELECT ORG_NAME, SUM(QUANTITY) AS TOTAL_PURCHASE_QUANTITY
FROM KPCL_REPORTING.DERIVED_PO_BOARD 
WHERE REQ_QTY_MONTH = UPPER(TO_CHAR(SYSDATE, 'MON-YYYY'))
GROUP BY ORG_NAME;</t>
  </si>
  <si>
    <t>Display purchase quantity by organization.</t>
  </si>
  <si>
    <t>Show purchase quantity by organization.</t>
  </si>
  <si>
    <t>purchase quantity by organization</t>
  </si>
  <si>
    <t>SELECT ORG_NAME, SUM(QUANTITY) AS TOTAL_QUANTITY
FROM KPCL_REPORTING.DERIVED_PO_BOARD WHERE REQ_QTY_MONTH = UPPER(TO_CHAR(SYSDATE, 'MON-YYYY'))
GROUP BY ORG_NAME;</t>
  </si>
  <si>
    <t>Show downtime for idle_reason {idle_reason}.</t>
  </si>
  <si>
    <t>Show downtime for /idle_reason {idle_reason}.</t>
  </si>
  <si>
    <t>downtime for idle reason</t>
  </si>
  <si>
    <t>SELECT 
    RESOURCE_CODE,
    RESOURCE_DESC,
    SUM(IDLE_TIME) AS TOTAL_IDLE_TIME,
    SUM(MAINTAINCE_DOCKET_TIME) AS TOTAL_MAINTENANCE_TIME,
    SUM(IDLE_TIME + MAINTAINCE_DOCKET_TIME) AS TOTAL_OVERALL_DOWNTIME
FROM 
    KPCL_REPORTING.KPC_FK_DOCKET_IDLE_REPORT
WHERE 
     (IDLE_REASON) LIKE ('%{idle_reason}%')
     AND IDLE_TIME &gt; 0
GROUP BY 
    RESOURCE_CODE,
    RESOURCE_DESC
ORDER BY 
    TOTAL_OVERALL_DOWNTIME DESC;</t>
  </si>
  <si>
    <t>idle_reason</t>
  </si>
  <si>
    <t>View purchase quantity by supplier.</t>
  </si>
  <si>
    <t>Show purchase quantity by supplier.</t>
  </si>
  <si>
    <t>purchase quantity by supplier</t>
  </si>
  <si>
    <t>SELECT ORG_NAME, SUPPLIER, SUM(QUANTITY) AS TOTAL_QUANTITY
FROM KPCL_REPORTING.DERIVED_PO_BOARD WHERE REQ_QTY_MONTH = UPPER(TO_CHAR(SYSDATE, 'MON-YYYY'))
GROUP BY ORG_NAME, SUPPLIER;</t>
  </si>
  <si>
    <t>Show machines had the highest effective utilization in a period.</t>
  </si>
  <si>
    <t>Show purchase quantity by buyer.</t>
  </si>
  <si>
    <t>Which machines had the highest effective utilization in a period?</t>
  </si>
  <si>
    <t>machines had the highest effective utilization in a period</t>
  </si>
  <si>
    <t>purchase quantity by buyer</t>
  </si>
  <si>
    <t>SELECT ORG_NAME, BUYER_NAME, SUM(QUANTITY) AS TOTAL_QUANTITY
FROM KPCL_REPORTING.DERIVED_PO_BOARD
WHERE REQ_QTY_MONTH = UPPER(TO_CHAR(SYSDATE, 'MON-YYYY'))
GROUP BY ORG_NAME, BUYER_NAME;</t>
  </si>
  <si>
    <t>SELECT * FROM (
    SELECT 
        RESOURCE_CODE,
        SUM(NVL(AVAILABLE_TIME, 0)) AS TOTAL_AVAILABLE_HOURS,
        SUM(NVL(OPERATION_TIME, 0)) AS TOTAL_PRODUCTION_HOURS,
        CASE 
            WHEN SUM(NVL(AVAILABLE_TIME, 0)) &gt; 0 
            THEN ROUND((SUM(NVL(OPERATION_TIME, 0)) / SUM(NVL(AVAILABLE_TIME, 0))) * 100, 2)
            ELSE 0 
        END AS UTILIZATION_PERCENTAGE
    FROM 
        KPCL_REPORTING.KPC_FK_DOCKET_IDLE_REPORT
   WHERE IDLE_REASON LIKE 'Operator Absent'
    GROUP BY 
        RESOURCE_CODE
    ORDER BY 
        UTILIZATION_PERCENTAGE DESC
)
WHERE ROWNUM &lt;= 10;</t>
  </si>
  <si>
    <t>View purchase quantity by customer.</t>
  </si>
  <si>
    <t>Show purchase quantity by customer.</t>
  </si>
  <si>
    <t>purchase quantity by customer</t>
  </si>
  <si>
    <t>View machines with low performance index below performance_index {performance_index}.</t>
  </si>
  <si>
    <t>SELECT ORG_NAME, CUSTOMER, SUM(QUANTITY) AS TOTAL_QUANTITY
FROM KPCL_REPORTING.DERIVED_PO_BOARD WHERE REQ_QTY_MONTH = UPPER(TO_CHAR(SYSDATE, 'MON-YYYY'))
GROUP BY ORG_NAME, CUSTOMER;</t>
  </si>
  <si>
    <t>Show machines with low performance index below /performance_index {performance_index}.</t>
  </si>
  <si>
    <t>machines with low performance index below performance index</t>
  </si>
  <si>
    <t>SELECT 
    RESOURCE_CODE,
    SUM(NVL(OPERATION_TIME, 0)) AS TOTAL_PRODUCTION_HOURS,
    SUM(NVL(AVAILABLE_TIME, 0)) AS TOTAL_AVAILABLE_HOURS,
    CASE 
        WHEN SUM(NVL(AVAILABLE_TIME, 0)) &gt; 0 
        THEN ROUND((SUM(NVL(OPERATION_TIME, 0)) / SUM(NVL(AVAILABLE_TIME, 0))) * 100, 2)
        ELSE 0 
    END AS PERFORMANCE_INDEX_PERCENT
FROM 
    KPCL_REPORTING.KPC_FK_DOCKET_IDLE_REPORT
WHERE IDLE_REASON LIKE 'Operator Absent'
GROUP BY 
    RESOURCE_CODE
HAVING 
    CASE 
        WHEN SUM(NVL(AVAILABLE_TIME, 0)) &gt; 0 
        THEN (SUM(NVL(OPERATION_TIME, 0)) / SUM(NVL(AVAILABLE_TIME, 0))) * 100
        ELSE 0 
    END &lt; {performance_index}
ORDER BY 
    PERFORMANCE_INDEX_PERCENT ASC;</t>
  </si>
  <si>
    <t>performance_index</t>
  </si>
  <si>
    <t>Display purchase quantity for item_code {item_code}.</t>
  </si>
  <si>
    <t>Show purchase quantity for /item_code {item_code}.</t>
  </si>
  <si>
    <t>purchase quantity for item code</t>
  </si>
  <si>
    <t>SELECT ORG_NAME, ITEM_CODE, SUM(QUANTITY) AS TOTAL_QUANTITY
FROM KPCL_REPORTING.DERIVED_PO_BOARD
WHERE ITEM_CODE LIKE '%{item_code}%' AND REQ_QTY_MONTH = UPPER(TO_CHAR(SYSDATE, 'MON-YYYY'))
GROUP BY ORG_NAME, ITEM_CODE;</t>
  </si>
  <si>
    <t>Show machine worked the maximum hours.</t>
  </si>
  <si>
    <t>Which machine worked the maximum hours?</t>
  </si>
  <si>
    <t>machine worked the maximum hours</t>
  </si>
  <si>
    <t>SELECT * FROM (
    SELECT 
        RESOURCE_CODE,
        SUM(NVL(OPERATION_TIME, 0)) AS TOTAL_OPERATION_HOURS
    FROM 
        KPCL_REPORTING.KPC_FK_DOCKET_IDLE_REPORT
   WHERE IDLE_REASON LIKE 'Operator Absent'
    GROUP BY 
        RESOURCE_CODE
    ORDER BY 
        TOTAL_OPERATION_HOURS DESC
)
WHERE ROWNUM = 1;</t>
  </si>
  <si>
    <t>Show machines had the highest total idle time.</t>
  </si>
  <si>
    <t>Which machines had the highest total idle time?</t>
  </si>
  <si>
    <t>machines had the highest total idle time</t>
  </si>
  <si>
    <t>SELECT * FROM (
    SELECT 
        RESOURCE_CODE,
        SUM(
            NVL(SETTING_TIME, 0) + 
            NVL(MAINTAINCE_DOCKET_TIME, 0) + 
            NVL(REWORK_DOCKET_TIME, 0) + 
            NVL(MEASURED, 0) + 
            NVL(MISCELLANEOUS_DOCKET_TIME, 0)
        ) AS TOTAL_IDLE_HOURS
    FROM 
        KPCL_REPORTING.KPC_FK_DOCKET_IDLE_REPORT
   WHERE IDLE_REASON LIKE 'Operator Absent'
    GROUP BY 
        RESOURCE_CODE
    ORDER BY 
        TOTAL_IDLE_HOURS DESC
)
WHERE ROWNUM &lt;= 10;</t>
  </si>
  <si>
    <t>Show idle reason contributed the most.</t>
  </si>
  <si>
    <t>Which idle reason contributed the most?</t>
  </si>
  <si>
    <t>idle reason contributed the most</t>
  </si>
  <si>
    <t>SELECT 
    IDLE_REASON,
    COUNT(*) AS TOTAL_INCIDENTS,
    SUM(NVL(TOTAL_IDLE, 0)) AS TOTAL_IDLE_TIME_MINS,
    ROUND(SUM(NVL(TOTAL_IDLE, 0)) / 60.0, 2) AS TOTAL_IDLE_TIME_HOURS
FROM 
    KPCL_REPORTING.KPC_FK_DOCKET_IDLE_REPORT
WHERE 
    IDLE_REASON IS NOT NULL
    AND NVL(TOTAL_IDLE, 0) &gt; 0 AND IDLE_REASON LIKE 'Operator Absent'
GROUP BY 
    IDLE_REASON
ORDER BY 
    TOTAL_IDLE_TIME_MINS DESC
FETCH FIRST 5 ROWS ONLY;</t>
  </si>
  <si>
    <t>Show machines where idle time is greater than operation time.</t>
  </si>
  <si>
    <t>machines where idle time is greater than operation time</t>
  </si>
  <si>
    <t>SELECT 
    RESOURCE_CODE,
    SUM(
        NVL(SETTING_TIME, 0) + 
        NVL(MAINTAINCE_DOCKET_TIME, 0) + 
        NVL(REWORK_DOCKET_TIME, 0) + 
        NVL(MEASURED, 0) + 
        NVL(MISCELLANEOUS_DOCKET_TIME, 0)
    ) AS TOTAL_IDLE_HOURS,
    SUM(NVL(OPERATION_TIME, 0)) AS TOTAL_OPERATION_HOURS
FROM 
    KPCL_REPORTING.KPC_FK_DOCKET_IDLE_REPORT
WHERE IDLE_REASON LIKE 'Operator Absent'
GROUP BY 
    RESOURCE_CODE
HAVING 
    SUM(
        NVL(SETTING_TIME, 0) + 
        NVL(MAINTAINCE_DOCKET_TIME, 0) + 
        NVL(REWORK_DOCKET_TIME, 0) + 
        NVL(MEASURED, 0) + 
        NVL(MISCELLANEOUS_DOCKET_TIME, 0)
    ) &gt; SUM(NVL(OPERATION_TIME, 0))
ORDER BY 
    TOTAL_IDLE_HOURS DESC;</t>
  </si>
  <si>
    <t>Show machine produced the highest quantity.</t>
  </si>
  <si>
    <t>Which machine produced the highest quantity?</t>
  </si>
  <si>
    <t>machine produced the highest quantity</t>
  </si>
  <si>
    <t>SELECT * FROM (
    SELECT 
        RESOURCE_CODE,
        RESOURCE_DESC,
        SUM(NVL(PRODUCED, 0)) AS TOTAL_ACTUAL_PRODUCED,
        SUM(NVL(TOTAL_QUANTITY, 0)) AS TOTAL_QUANTITY_SUM,
        COUNT(*) AS TOTAL_DOCKET_RECORDS
    FROM 
        KPCL_REPORTING.KPC_FK_DOCKET_IDLE_REPORT
     WHERE IDLE_REASON LIKE 'Operator Absent'
    GROUP BY 
        RESOURCE_CODE,
        RESOURCE_DESC
    ORDER BY 
        TOTAL_ACTUAL_PRODUCED DESC
)
WHERE ROWNUM = 1;</t>
  </si>
  <si>
    <t>Display purchase quantity for supplier {supplier}.</t>
  </si>
  <si>
    <t>Display machines with highest rejection quantity.</t>
  </si>
  <si>
    <t>Show purchase quantity for /supplier {supplier}.</t>
  </si>
  <si>
    <t>Show machines with highest rejection quantity.</t>
  </si>
  <si>
    <t>purchase quantity for supplier</t>
  </si>
  <si>
    <t>SELECT ORG_NAME, SUPPLIER, SUM(QUANTITY) AS TOTAL_QUANTITY
FROM KPCL_REPORTING.DERIVED_PO_BOARD
WHERE SUPPLIER LIKE '%{supplier}%' AND REQ_QTY_MONTH = UPPER(TO_CHAR(SYSDATE, 'MON-YYYY'))
GROUP BY ORG_NAME, SUPPLIER;</t>
  </si>
  <si>
    <t>machines with highest rejection quantity</t>
  </si>
  <si>
    <t>SELECT * FROM (
    SELECT 
        RESOURCE_CODE,
        SUM(NVL(QUANTITY_REJ_MACHINE, 0)) AS TOTAL_REJECTED_QUANTITY
    FROM 
        KPCL_REPORTING.KPC_FK_DOCKET_IDLE_REPORT
   WHERE IDLE_REASON LIKE 'Operator Absent'
    GROUP BY 
        RESOURCE_CODE
    ORDER BY 
        TOTAL_REJECTED_QUANTITY DESC
)
WHERE ROWNUM &lt;= 10;</t>
  </si>
  <si>
    <t>Display comparison of standard production vs actual production.</t>
  </si>
  <si>
    <t>Compare standard production vs actual production.</t>
  </si>
  <si>
    <t>Show purchase quantity for buyer {buyer}.</t>
  </si>
  <si>
    <t>standard production vs actual production</t>
  </si>
  <si>
    <t>Show purchase quantity for /buyer {buyer}.</t>
  </si>
  <si>
    <t>SELECT 
    RESOURCE_CODE,
    RESOURCE_DESC,
    SUM(NVL(STD_PRODUCTION, 0)) AS TOTAL_STANDARD_PRODUCTION,
    SUM(NVL(PRODUCED, 0)) AS TOTAL_ACTUAL_PRODUCED,
    SUM(NVL(PRODUCED, 0)) - SUM(NVL(STD_PRODUCTION, 0)) AS PRODUCTION_VARIANCE,
    ROUND(
        SUM(NVL(PRODUCED, 0)) * 100 / NULLIF(SUM(NVL(STD_PRODUCTION, 0)), 0), 2
    ) AS EFFICIENCY_PERCENTAGE
FROM 
    KPCL_REPORTING.KPC_FK_DOCKET_IDLE_REPORT
WHERE IDLE_REASON LIKE 'Operator Absent'
GROUP BY 
    RESOURCE_CODE,
    RESOURCE_DESC
ORDER BY 
    PRODUCTION_VARIANCE DESC;</t>
  </si>
  <si>
    <t>purchase quantity for buyer</t>
  </si>
  <si>
    <t>SELECT ORG_NAME, BUYER_NAME, SUM(QUANTITY) AS TOTAL_QUANTITY
FROM KPCL_REPORTING.DERIVED_PO_BOARD
WHERE BUYER_NAME LIKE '%{buyer}%' AND REQ_QTY_MONTH = UPPER(TO_CHAR(SYSDATE, 'MON-YYYY'))
GROUP BY ORG_NAME, BUYER_NAME;</t>
  </si>
  <si>
    <t>Display organization has the best utilization.</t>
  </si>
  <si>
    <t xml:space="preserve"> Which organization has the best utilization?</t>
  </si>
  <si>
    <t>organization has the best utilization</t>
  </si>
  <si>
    <t>SELECT * FROM (
    SELECT 
        ORG_NAME,
        SUM(NVL(AVAILABLE_TIME, 0)) AS TOTAL_AVAILABLE_HOURS,
        SUM(NVL(OPERATION_TIME, 0)) AS TOTAL_PRODUCTION_HOURS,
        CASE 
            WHEN SUM(NVL(AVAILABLE_TIME, 0)) &gt; 0 
            THEN ROUND((SUM(NVL(OPERATION_TIME, 0)) / SUM(NVL(AVAILABLE_TIME, 0))) * 100, 2)
            ELSE 0 
        END AS UTILIZATION_PERCENTAGE
    FROM 
        KPCL_REPORTING.KPC_FK_DOCKET_IDLE_REPORT
    WHERE IDLE_REASON LIKE 'Operator Absent'
    GROUP BY 
        ORG_NAME
    ORDER BY 
        UTILIZATION_PERCENTAGE DESC
)
WHERE ROWNUM = 1;</t>
  </si>
  <si>
    <t>Show items purchased above quantity {quantity}.</t>
  </si>
  <si>
    <t>Show division wise production summary.</t>
  </si>
  <si>
    <t>Show items purchased above /quantity {quantity}.</t>
  </si>
  <si>
    <t>items purchased above quantity</t>
  </si>
  <si>
    <t>SELECT ORG_NAME, ITEM_CODE, ITEM_DESCRIPTION, SUM(QUANTITY) AS TOTAL_QUANTITY
FROM KPCL_REPORTING.DERIVED_PO_BOARD
WHERE REQ_QTY_MONTH = UPPER(TO_CHAR(SYSDATE, 'MON-YYYY'))
GROUP BY ORG_NAME, ITEM_CODE, ITEM_DESCRIPTION
HAVING SUM(QUANTITY) &gt; {quantity}
ORDER BY TOTAL_QUANTITY DESC;</t>
  </si>
  <si>
    <t>division wise production summary</t>
  </si>
  <si>
    <t>SELECT 
    DIV_CODE,
    RES_DIV,
    SUM(NVL(TOTAL_QUANTITY, 0)) AS RAW_TOTAL_QUANTITY,
    SUM(NVL(PRODUCED, 0)) AS TOTAL_ACTUAL_PRODUCED,
    SUM(NVL(STD_PRODUCTION, 0)) AS TOTAL_STANDARD_PRODUCTION,
    -- Volume Gap
    SUM(NVL(PRODUCED, 0)) - SUM(NVL(STD_PRODUCTION, 0)) AS PRODUCTION_VARIANCE,
    -- Target Achievement Rate
    ROUND(
        SUM(NVL(PRODUCED, 0)) * 100 / NULLIF(SUM(NVL(STD_PRODUCTION, 0)), 0), 2
    ) AS ACHIEVEMENT_PERCENTAGE
FROM 
    KPCL_REPORTING.KPC_FK_DOCKET_IDLE_REPORT
WHERE IDLE_REASON LIKE 'Operator Absent'
GROUP BY 
    DIV_CODE,
    RES_DIV
ORDER BY 
    TOTAL_ACTUAL_PRODUCED DESC;</t>
  </si>
  <si>
    <t>View machines spent the most time in maintenance.</t>
  </si>
  <si>
    <t>Which machines spent the most time in maintenance?</t>
  </si>
  <si>
    <t>machines spent the most time in maintenance</t>
  </si>
  <si>
    <t>SELECT * FROM (
    SELECT 
        RESOURCE_CODE,
        SUM(NVL(MAINTAINCE_DOCKET_TIME, 0)) AS TOTAL_MAINTENANCE_HOURS
    FROM 
        KPCL_REPORTING.KPC_FK_DOCKET_IDLE_REPORT
   WHERE IDLE_REASON LIKE 'Operator Absent'
    GROUP BY 
        RESOURCE_CODE
    ORDER BY 
        TOTAL_MAINTENANCE_HOURS DESC
)
WHERE ROWNUM &lt;= 10;</t>
  </si>
  <si>
    <t>Show items purchased below quantity {quantity}.</t>
  </si>
  <si>
    <t>Show items purchased below /quantity {quantity}.</t>
  </si>
  <si>
    <t>items purchased below quantity</t>
  </si>
  <si>
    <t>SELECT ITEM_CODE, ITEM_DESCRIPTION, SUM(QUANTITY) AS TOTAL_QUANTITY
FROM KPCL_REPORTING.DERIVED_PO_BOARD
WHERE REQ_QTY_MONTH = UPPER(TO_CHAR(SYSDATE, 'MON-YYYY'))
GROUP BY ITEM_CODE, ITEM_DESCRIPTION
HAVING SUM(QUANTITY) &lt; {quantity}
ORDER BY TOTAL_QUANTITY ASC;</t>
  </si>
  <si>
    <t>Display machines with high rework time.</t>
  </si>
  <si>
    <t>Show machines with high rework time.</t>
  </si>
  <si>
    <t>machines with high rework time</t>
  </si>
  <si>
    <t>SELECT * FROM (
    SELECT 
        RESOURCE_CODE,
        SUM(NVL(REWORK_DOCKET_TIME, 0)) AS TOTAL_REWORK_HOURS
    FROM 
        KPCL_REPORTING.KPC_FK_DOCKET_IDLE_REPORT
   WHERE IDLE_REASON LIKE 'Operator Absent'
    GROUP BY 
        RESOURCE_CODE
    ORDER BY 
        TOTAL_REWORK_HOURS DESC
)
WHERE ROWNUM &lt;= 10;</t>
  </si>
  <si>
    <t>Display machines have poor availability utilization.</t>
  </si>
  <si>
    <t>Which machines have poor availability utilization?</t>
  </si>
  <si>
    <t>machines have poor availability utilization</t>
  </si>
  <si>
    <t>Display all buyers.</t>
  </si>
  <si>
    <t>Show all buyers.</t>
  </si>
  <si>
    <t>SELECT * FROM (
    SELECT 
        RESOURCE_CODE,
        SUM(NVL(AVAILABLE_TIME, 0)) AS TOTAL_AVAILABLE_HOURS,
        SUM(NVL(OPERATION_TIME, 0)) AS TOTAL_PRODUCTION_HOURS,
        CASE 
            WHEN SUM(NVL(AVAILABLE_TIME, 0)) &gt; 0 
            THEN ROUND((SUM(NVL(OPERATION_TIME, 0)) / SUM(NVL(AVAILABLE_TIME, 0))) * 100, 2)
            ELSE 0 
        END AS UTILIZATION_PERCENTAGE
    FROM 
        KPCL_REPORTING.KPC_FK_DOCKET_IDLE_REPORT
   WHERE IDLE_REASON LIKE 'Operator Absent'
    GROUP BY 
        RESOURCE_CODE
    ORDER BY 
        UTILIZATION_PERCENTAGE ASC
)
WHERE ROWNUM &lt;= 10;</t>
  </si>
  <si>
    <t>all buyers</t>
  </si>
  <si>
    <t>SELECT DISTINCT BUYER_NAME
FROM KPCL_REPORTING.DERIVED_PO_BOARD
WHERE BUYER_NAME IS NOT NULL AND REQ_QTY_MONTH = UPPER(TO_CHAR(SYSDATE, 'MON-YYYY'))
ORDER BY BUYER_NAME;</t>
  </si>
  <si>
    <t>View machine setting time analysis.</t>
  </si>
  <si>
    <t>Show machine setting time analysis.</t>
  </si>
  <si>
    <t>machine setting time analysis</t>
  </si>
  <si>
    <t>SELECT 
    RESOURCE_CODE,
    SUM(NVL(SETTING_TIME, 0)) AS TOTAL_SETTING_HOURS,
    SUM(
        NVL(SETTING_TIME, 0) + 
        NVL(MAINTAINCE_DOCKET_TIME, 0) + 
        NVL(REWORK_DOCKET_TIME, 0) + 
        NVL(MEASURED, 0) + 
        NVL(MISCELLANEOUS_DOCKET_TIME, 0)
    ) AS TOTAL_IDLE_HOURS,
    CASE 
        WHEN SUM(
            NVL(SETTING_TIME, 0) + 
            NVL(MAINTAINCE_DOCKET_TIME, 0) + 
            NVL(REWORK_DOCKET_TIME, 0) + 
            NVL(MEASURED, 0) + 
            NVL(MISCELLANEOUS_DOCKET_TIME, 0)
        ) &gt; 0 
        THEN ROUND((SUM(NVL(SETTING_TIME, 0)) / SUM(
            NVL(SETTING_TIME, 0) + 
            NVL(MAINTAINCE_DOCKET_TIME, 0) + 
            NVL(REWORK_DOCKET_TIME, 0) + 
            NVL(MEASURED, 0) + 
            NVL(MISCELLANEOUS_DOCKET_TIME, 0)
        )) * 100, 2)
        ELSE 0 
    END AS SETTING_TO_IDLE_PERCENTAGE
FROM 
    KPCL_REPORTING.KPC_FK_DOCKET_IDLE_REPORT
WHERE IDLE_REASON LIKE 'Operator Absent'
GROUP BY 
    RESOURCE_CODE
ORDER BY 
    TOTAL_SETTING_HOURS DESC;</t>
  </si>
  <si>
    <t>Display purchase orders created by buyer {buyer}.</t>
  </si>
  <si>
    <t>Show purchase orders created by /buyer {buyer}.</t>
  </si>
  <si>
    <t>purchase orders created by buyer</t>
  </si>
  <si>
    <t>SELECT 
    PO_NUM,
    LINE_NUM,
    BUYER_NAME,
    ORG_NAME,
    SUPPLIER,
    PO_CREATION_DATE,
    ITEM_CODE,
    QUANTITY,
    DUE_QTY,
    LINE_AMOUNT,
    CURRENCY
FROM 
    KPCL_REPORTING.DERIVED_PO_BOARD
WHERE 
    BUYER_NAME LIKE '%{buyer}%' AND REQ_QTY_MONTH = UPPER(TO_CHAR(SYSDATE, 'MON-YYYY'))
ORDER BY 
    PO_CREATION_DATE DESC,
    PO_NUM,
    LINE_NUM;</t>
  </si>
  <si>
    <t>Show Best performing machines.</t>
  </si>
  <si>
    <t>Show Best performing machines</t>
  </si>
  <si>
    <t>best performing machines</t>
  </si>
  <si>
    <t>SELECT 
    RESOURCE_CODE,
    RESOURCE_DESC,
    ROUND(AVG(NVL(PERFORMANCE_INDEX, 0)), 2) AS AVG_PERFORMANCE_INDEX,
    ROUND(AVG(NVL(EFFECTIVE_UTILIZATION, 0)), 2) AS AVG_EFFECTIVE_UTILIZATION,
    SUM(NVL(PRODUCED, 0)) AS TOTAL_ACTUAL_PRODUCED,
    SUM(NVL(STD_PRODUCTION, 0)) AS TOTAL_STANDARD_PRODUCTION
FROM 
    KPCL_REPORTING.KPC_FK_DOCKET_IDLE_REPORT
WHERE IDLE_REASON LIKE 'Operator Absent'
GROUP BY 
    RESOURCE_CODE,
    RESOURCE_DESC
ORDER BY 
    AVG_PERFORMANCE_INDEX DESC, 
    AVG_EFFECTIVE_UTILIZATION DESC;</t>
  </si>
  <si>
    <t>Show worst performing machines.</t>
  </si>
  <si>
    <t>Worst performing machines?</t>
  </si>
  <si>
    <t>worst performing machines</t>
  </si>
  <si>
    <t>SELECT * FROM (
    SELECT 
        RESOURCE_CODE,
        SUM(NVL(OPERATION_TIME, 0)) AS TOTAL_PRODUCTION_HOURS,
        CASE 
            WHEN SUM(NVL(AVAILABLE_TIME, 0)) &gt; 0 
            THEN ROUND((SUM(NVL(OPERATION_TIME, 0)) / SUM(NVL(AVAILABLE_TIME, 0))) * 100, 2)
            ELSE 0 
        END AS UTILIZATION_PERCENTAGE
    FROM 
        KPCL_REPORTING.KPC_FK_DOCKET_IDLE_REPORT
    WHERE IDLE_REASON LIKE 'Operator Absent'
    GROUP BY 
        RESOURCE_CODE
    ORDER BY 
        UTILIZATION_PERCENTAGE ASC, 
        TOTAL_PRODUCTION_HOURS ASC
)
WHERE ROWNUM &lt;= 10;</t>
  </si>
  <si>
    <t>View what was the total scheduled available time for machine resource_code {resource_code} during shift.</t>
  </si>
  <si>
    <t>What was the total scheduled available time for machine /resource_code {resource_code} during shift?</t>
  </si>
  <si>
    <t>was the total scheduled available time for machine resource code during shift</t>
  </si>
  <si>
    <t>SELECT 
    RESOURCE_CODE,
    RESOURCE_DESC,
    SUM(NVL(AVAILABLE_TIME, 0)) AS TOTAL_SCHEDULED_AVAILABLE_TIME
FROM 
    KPCL_REPORTING.KPC_FK_DOCKET_IDLE_REPORT
WHERE 
    RESOURCE_CODE LIKE '%{resource_code}%' AND IDLE_REASON LIKE 'Operator Absent'
GROUP BY 
    RESOURCE_CODE,
    RESOURCE_DESC;</t>
  </si>
  <si>
    <t>resource_code</t>
  </si>
  <si>
    <t>Display the effective utilization for machine resource_code {resource_code}.</t>
  </si>
  <si>
    <t>Show me the effective utilization for machine /resource_code {resource_code}.</t>
  </si>
  <si>
    <t>the effective utilization for machine resource code</t>
  </si>
  <si>
    <t>SELECT 
    RESOURCE_CODE,
    RESOURCE_DESC,
    ROUND(SUM(NVL(EFFECTIVE_UTILIZATION, 0)), 2) AS EFFECTIVE_UTILIZATION_PERCENT
FROM 
    KPCL_REPORTING.KPC_FK_DOCKET_IDLE_REPORT 
WHERE 
    RESOURCE_CODE LIKE '%{resource_code}%' AND IDLE_REASON LIKE 'Operator Absent'
GROUP BY 
    RESOURCE_CODE, 
    RESOURCE_DESC;</t>
  </si>
  <si>
    <t>Display overall machine utilization.</t>
  </si>
  <si>
    <t>Show overall machine utilization.</t>
  </si>
  <si>
    <t>overall machine utilization</t>
  </si>
  <si>
    <t>SELECT 
    RESOURCE_CODE,
    ROUND(AVG(EFFECTIVE_UTILIZATION), 3) AS AVG_EFFECTIVE_UTILIZATION
FROM 
    KPCL_REPORTING.KPC_FK_DOCKET_IDLE_REPORT
WHERE IDLE_REASON LIKE 'Operator Absent'
GROUP BY 
    RESOURCE_CODE;</t>
  </si>
  <si>
    <t>View yearly machine utilization.</t>
  </si>
  <si>
    <t>Show yearly machine utilization.</t>
  </si>
  <si>
    <t>yearly machine utilization</t>
  </si>
  <si>
    <t>SELECT 
    RESOURCE_CODE,
    ROUND(AVG(EFFECTIVE_UTILIZATION), 3) AS AVG_EFFECTIVE_UTILIZATION
FROM 
    KPCL_REPORTING.KPC_FK_DOCKET_IDLE_REPORT
WHERE 
    UTILIZATION_DATE &gt;= TRUNC(SYSDATE, 'YYYY')
    AND UTILIZATION_DATE &lt; ADD_MONTHS(TRUNC(SYSDATE, 'YYYY'), 12) AND IDLE_REASON LIKE 'Operator Absent'
GROUP BY 
    RESOURCE_CODE;</t>
  </si>
  <si>
    <t>View utilization by organization.</t>
  </si>
  <si>
    <t>Display PO value handled by buyer {buyer}.</t>
  </si>
  <si>
    <t>utilization by organization</t>
  </si>
  <si>
    <t>Show PO value handled by /buyer {buyer}.</t>
  </si>
  <si>
    <t>SELECT 
    ORG_ID,
    ORG_NAME,
    ROUND(AVG(EFFECTIVE_UTILIZATION), 3) AS AVG_EFFECTIVE_UTILIZATION
FROM 
    KPCL_REPORTING.KPC_FK_DOCKET_IDLE_REPORT
WHERE IDLE_REASON LIKE 'Operator Absent'
GROUP BY 
    ORG_ID,
    ORG_NAME;</t>
  </si>
  <si>
    <t>PO value handled by buyer</t>
  </si>
  <si>
    <t>SELECT BUYER_NAME, SUM(LINE_AMOUNT) AS TOTAL_PO_VALUE
FROM KPCL_REPORTING.DERIVED_PO_BOARD
WHERE BUYER_NAME LIKE '%{buyer}%' AND REQ_QTY_MONTH = UPPER(TO_CHAR(SYSDATE, 'MON-YYYY'))
GROUP BY BUYER_NAME;</t>
  </si>
  <si>
    <t>View utilization by division.</t>
  </si>
  <si>
    <t>Show utilization by division.</t>
  </si>
  <si>
    <t>utilization by division</t>
  </si>
  <si>
    <t>SELECT 
    DIV_CODE,
    ROUND(AVG(EFFECTIVE_UTILIZATION), 3) AS AVG_EFFECTIVE_UTILIZATION
FROM 
    KPCL_REPORTING.KPC_FK_DOCKET_IDLE_REPORT
WHERE IDLE_REASON LIKE 'Operator Absent'
GROUP BY 
    DIV_CODE;</t>
  </si>
  <si>
    <t>Show purchase quantity handled by buyer {buyer}.</t>
  </si>
  <si>
    <t>Show purchase quantity handled by /buyer {buyer}.</t>
  </si>
  <si>
    <t>View utilization by resource division.</t>
  </si>
  <si>
    <t>purchase quantity handled by buyer</t>
  </si>
  <si>
    <t>utilization by resource division</t>
  </si>
  <si>
    <t>SELECT 
    RES_DIV,
    ROUND(AVG(EFFECTIVE_UTILIZATION), 3) AS AVG_EFFECTIVE_UTILIZATION
FROM 
    KPCL_REPORTING.KPC_FK_DOCKET_IDLE_REPORT
WHERE IDLE_REASON LIKE 'Operator Absent'
GROUP BY 
    RES_DIV;</t>
  </si>
  <si>
    <t>SELECT BUYER_NAME, SUM(QUANTITY) AS TOTAL_QUANTITY
FROM KPCL_REPORTING.DERIVED_PO_BOARD
WHERE BUYER_NAME LIKE '%{buyer}%' AND REQ_QTY_MONTH = UPPER(TO_CHAR(SYSDATE, 'MON-YYYY'))
GROUP BY BUYER_NAME;</t>
  </si>
  <si>
    <t>Show utilization trend over time.</t>
  </si>
  <si>
    <t>utilization trend over time</t>
  </si>
  <si>
    <t>SELECT 
    UTILIZATION_DATE,
    ROUND(AVG(EFFECTIVE_UTILIZATION), 3) AS AVG_EFFECTIVE_UTILIZATION
FROM 
    KPCL_REPORTING.KPC_FK_DOCKET_IDLE_REPORT
WHERE IDLE_REASON LIKE 'Operator Absent'
GROUP BY 
    UTILIZATION_DATE
ORDER BY 
    UTILIZATION_DATE ASC;</t>
  </si>
  <si>
    <t>Display suppliers managed by buyer {buyer}.</t>
  </si>
  <si>
    <t>Show suppliers managed by /buyer {buyer}.</t>
  </si>
  <si>
    <t>suppliers managed by buyer</t>
  </si>
  <si>
    <t>SELECT DISTINCT SUPPLIER
FROM KPCL_REPORTING.DERIVED_PO_BOARD
WHERE BUYER_NAME LIKE '%{buyer}%' AND REQ_QTY_MONTH = UPPER(TO_CHAR(SYSDATE, 'MON-YYYY'))
  AND SUPPLIER IS NOT NULL
ORDER BY SUPPLIER;</t>
  </si>
  <si>
    <t>View utilization for fin_year {fin_year}.</t>
  </si>
  <si>
    <t>View utilization for /fin_year {fin_year}.</t>
  </si>
  <si>
    <t>utilization for fin year</t>
  </si>
  <si>
    <t>SELECT 
    RESOURCE_CODE,
    ROUND(AVG(EFFECTIVE_UTILIZATION), 3) AS AVG_EFFECTIVE_UTILIZATION
FROM 
    KPCL_REPORTING.KPC_FK_DOCKET_IDLE_REPORT
WHERE 
    FIN_YEAR LIKE '%{fin_year}%' AND IDLE_REASON LIKE 'Operator Absent'
GROUP BY 
    RESOURCE_CODE;</t>
  </si>
  <si>
    <t>fin_year</t>
  </si>
  <si>
    <t>Show items purchased by buyer {buyer}.</t>
  </si>
  <si>
    <t>Show items purchased by /buyer {buyer}.</t>
  </si>
  <si>
    <t>Display utilization summary.</t>
  </si>
  <si>
    <t>items purchased by buyer</t>
  </si>
  <si>
    <t>Show utilization summary.</t>
  </si>
  <si>
    <t>utilization summary</t>
  </si>
  <si>
    <t>SELECT DISTINCT ITEM_CODE, ITEM_DESCRIPTION
FROM KPCL_REPORTING.DERIVED_PO_BOARD
WHERE BUYER_NAME LIKE '%{buyer}%' AND REQ_QTY_MONTH = UPPER(TO_CHAR(SYSDATE, 'MON-YYYY'))
  AND ITEM_CODE IS NOT NULL
ORDER BY ITEM_CODE;</t>
  </si>
  <si>
    <t>SELECT 
    RESOURCE_CODE,
    RESOURCE_DESC,
    ROUND(AVG(EFFECTIVE_UTILIZATION), 3) AS AVG_EFFECTIVE_UTILIZATION,
    ROUND(AVG(PERFORMANCE_INDEX), 3) AS AVG_PERFORMANCE_INDEX,
    SUM(AVAILABLE_TIME) AS TOTAL_AVAILABLE_TIME,
    SUM(WORKED) AS TOTAL_WORKED_TIME,
    SUM(TOTAL_IDLE) AS TOTAL_IDLE_TIME,
    SUM(TOTAL_QUANTITY) AS TOTAL_PRODUCED_QTY
FROM 
    KPCL_REPORTING.KPC_FK_DOCKET_IDLE_REPORT
WHERE IDLE_REASON LIKE 'Operator Absent'
GROUP BY 
    RESOURCE_CODE,
    RESOURCE_DESC;</t>
  </si>
  <si>
    <t>Show utilization during month_period {month_period}.</t>
  </si>
  <si>
    <t>Show utilization during /month_period {month_period}.</t>
  </si>
  <si>
    <t>utilization during month period</t>
  </si>
  <si>
    <t>SELECT 
    RESOURCE_CODE,
    ROUND(AVG(EFFECTIVE_UTILIZATION), 3) AS AVG_EFFECTIVE_UTILIZATION
FROM 
    KPCL_REPORTING.KPC_FK_DOCKET_IDLE_REPORT
WHERE 
    MONTH_PERIOD LIKE '%{month_period}%' AND IDLE_REASON LIKE 'Operator Absent'
GROUP BY 
    RESOURCE_CODE;</t>
  </si>
  <si>
    <t>Show buyers with highest due amount.</t>
  </si>
  <si>
    <t>month_period</t>
  </si>
  <si>
    <t>buyers with highest due amount</t>
  </si>
  <si>
    <t>SELECT *
FROM (
    SELECT BUYER_NAME, SUM(DUE_AMT) AS TOTAL_DUE_AMOUNT
    FROM KPCL_REPORTING.DERIVED_PO_BOARD
   WHERE REQ_QTY_MONTH = UPPER(TO_CHAR(SYSDATE, 'MON-YYYY'))
    GROUP BY BUYER_NAME
    ORDER BY TOTAL_DUE_AMOUNT DESC
)
WHERE ROWNUM &lt;= 10;</t>
  </si>
  <si>
    <t>Show utilization during week_period {week_period}.</t>
  </si>
  <si>
    <t>Show utilization during /week_period {week_period}.</t>
  </si>
  <si>
    <t>utilization during week period</t>
  </si>
  <si>
    <t>SELECT 
    RESOURCE_CODE,
    ROUND(AVG(EFFECTIVE_UTILIZATION), 3) AS AVG_EFFECTIVE_UTILIZATION
FROM 
    KPCL_REPORTING.KPC_FK_DOCKET_IDLE_REPORT
WHERE 
    WEEK_PERIOD LIKE '%{week_period}%' AND IDLE_REASON LIKE 'Operator Absent'
GROUP BY 
    RESOURCE_CODE;</t>
  </si>
  <si>
    <t>week_period</t>
  </si>
  <si>
    <t>Display buyers with highest pending quantity.</t>
  </si>
  <si>
    <t>Show utilization during year_period {year_period}.</t>
  </si>
  <si>
    <t>Show buyers with highest pending quantity.</t>
  </si>
  <si>
    <t>Show utilization during /year_period {year_period}</t>
  </si>
  <si>
    <t>utilization during year period</t>
  </si>
  <si>
    <t>buyers with highest pending quantity</t>
  </si>
  <si>
    <t>SELECT 
    RESOURCE_CODE,
    ROUND(AVG(EFFECTIVE_UTILIZATION), 3) AS AVG_EFFECTIVE_UTILIZATION
FROM 
    KPCL_REPORTING.KPC_FK_DOCKET_IDLE_REPORT
WHERE 
    YEAR_PERIOD LIKE '%{year_period}%' AND IDLE_REASON LIKE 'Operator Absent'
GROUP BY 
    RESOURCE_CODE;</t>
  </si>
  <si>
    <t>year_period</t>
  </si>
  <si>
    <t>SELECT BUYER_NAME, SUM(PENDING_PO) AS TOTAL_PENDING_QUANTITY
FROM KPCL_REPORTING.DERIVED_PO_BOARD WHERE REQ_QTY_MONTH = UPPER(TO_CHAR(SYSDATE, 'MON-YYYY'))
GROUP BY BUYER_NAME
HAVING SUM(PENDING_PO) &gt; 0
ORDER BY TOTAL_PENDING_QUANTITY DESC;</t>
  </si>
  <si>
    <t>Display utilization for fin_year {fin_year}.</t>
  </si>
  <si>
    <t>Show utilization  for /fin_year {fin_year}.</t>
  </si>
  <si>
    <t>Display comparison of buyers buyer {buyer} and buyer {buyer}.</t>
  </si>
  <si>
    <t>Compare buyers /buyer {buyer} and /buyer {buyer}.</t>
  </si>
  <si>
    <t>buyers buyer and buyer</t>
  </si>
  <si>
    <t>Show utilization for div_code {div_code}.</t>
  </si>
  <si>
    <t>SELECT 
    BUYER_NAME,
    COUNT(DISTINCT PO_NUM) AS TOTAL_POS_HANDLED,
    SUM(LINE_AMOUNT) AS TOTAL_PO_VALUE,
    SUM(DUE_AMT) AS TOTAL_DUE_AMOUNT,
    SUM(DUE_QTY) AS TOTAL_DUE_QUANTITY,
    CURRENCY
FROM 
    KPCL_REPORTING.DERIVED_PO_BOARD
WHERE 
    BUYER_NAME LIKE '%{buyer}%'  AND REQ_QTY_MONTH = UPPER(TO_CHAR(SYSDATE, 'MON-YYYY'))
GROUP BY 
    BUYER_NAME,
    CURRENCY
ORDER BY 
    BUYER_NAME;</t>
  </si>
  <si>
    <t>Show utilization for /div_code {div_code}.</t>
  </si>
  <si>
    <t>utilization for div code</t>
  </si>
  <si>
    <t>SELECT 
    RESOURCE_CODE,
    ROUND(AVG(EFFECTIVE_UTILIZATION), 3) AS AVG_EFFECTIVE_UTILIZATION
FROM 
    KPCL_REPORTING.KPC_FK_DOCKET_IDLE_REPORT
WHERE 
    DIV_CODE LIKE '%{div_code}%' AND IDLE_REASON LIKE 'Operator Absent'
GROUP BY 
    RESOURCE_CODE;</t>
  </si>
  <si>
    <t>div_code</t>
  </si>
  <si>
    <t>View utilization for res_div {res_div}.</t>
  </si>
  <si>
    <t>View utilization for /res_div {res_div}.</t>
  </si>
  <si>
    <t>utilization for res div</t>
  </si>
  <si>
    <t>SELECT 
    RESOURCE_CODE,
    RESOURCE_DESC,
    ROUND(AVG(EFFECTIVE_UTILIZATION), 3) AS AVG_EFFECTIVE_UTILIZATION
FROM 
    KPCL_REPORTING.KPC_FK_DOCKET_IDLE_REPORT
WHERE 
    RES_DIV LIKE '%{res_div}%' AND IDLE_REASON LIKE 'Operator Absent'
GROUP BY  
    RESOURCE_CODE,
    RESOURCE_DESC;</t>
  </si>
  <si>
    <t>res_div</t>
  </si>
  <si>
    <t>Show all suppliers.</t>
  </si>
  <si>
    <t>all suppliers</t>
  </si>
  <si>
    <t>SELECT DISTINCT SUPPLIER
FROM KPCL_REPORTING.DERIVED_PO_BOARD
WHERE SUPPLIER IS NOT NULL AND REQ_QTY_MONTH = UPPER(TO_CHAR(SYSDATE, 'MON-YYYY'))
ORDER BY SUPPLIER;</t>
  </si>
  <si>
    <t>Display utilization trend for div_code {div_code}.</t>
  </si>
  <si>
    <t>Show utilization trend for /div_code {div_code}.</t>
  </si>
  <si>
    <t>utilization trend for div code</t>
  </si>
  <si>
    <t>SELECT 
    UTILIZATION_DATE,
    ROUND(AVG(EFFECTIVE_UTILIZATION), 3) AS AVG_EFFECTIVE_UTILIZATION
FROM 
    KPCL_REPORTING.KPC_FK_DOCKET_IDLE_REPORT
WHERE 
    DIV_CODE LIKE '%{div_code}%' AND IDLE_REASON LIKE 'Operator Absent'
GROUP BY 
    UTILIZATION_DATE
ORDER BY 
    UTILIZATION_DATE ASC;</t>
  </si>
  <si>
    <t>View supplier-wise PO value.</t>
  </si>
  <si>
    <t>Show supplier-wise PO value.</t>
  </si>
  <si>
    <t>supplier-wise PO value</t>
  </si>
  <si>
    <t>Display comparison of utilization between divisions {div_code} and {div_code}.</t>
  </si>
  <si>
    <t>Compare utilization between /div_code {div_code} and /div_code {div_code}.</t>
  </si>
  <si>
    <t>SELECT SUPPLIER, SUM(LINE_AMOUNT) AS TOTAL_PO_VALUE
FROM KPCL_REPORTING.DERIVED_PO_BOARD 
WHERE REQ_QTY_MONTH = UPPER(TO_CHAR(SYSDATE, 'MON-YYYY'))
GROUP BY SUPPLIER
ORDER BY TOTAL_PO_VALUE DESC;</t>
  </si>
  <si>
    <t xml:space="preserve">utilization between div code and div code </t>
  </si>
  <si>
    <t>SELECT 
    DIV_CODE,
    ROUND(AVG(EFFECTIVE_UTILIZATION), 3) AS AVG_EFFECTIVE_UTILIZATION
FROM 
    KPCL_REPORTING.KPC_FK_DOCKET_IDLE_REPORT
WHERE 
    DIV_CODE LIKE '%{div_code}%'
    AND IDLE_REASON LIKE 'Operator Absent'
GROUP BY 
    DIV_CODE;</t>
  </si>
  <si>
    <t>Show utilization for res_div {res_div} during month_period {month_period}.</t>
  </si>
  <si>
    <t>Show utilization for /res_div {res_div} during /month_period {month_period}.</t>
  </si>
  <si>
    <t>utilization for res_div during month period</t>
  </si>
  <si>
    <t>Display supplier-wise quantity.</t>
  </si>
  <si>
    <t>SELECT 
    RESOURCE_CODE,
    ROUND(AVG(EFFECTIVE_UTILIZATION), 3) AS AVG_EFFECTIVE_UTILIZATION
FROM 
    KPCL_REPORTING.KPC_FK_DOCKET_IDLE_REPORT
WHERE 
    RES_DIV LIKE '%{res_div}%'
    AND MONTH_PERIOD LIKE '%{month_period}%' AND IDLE_REASON LIKE 'Operator Absent'
GROUP BY 
    RESOURCE_CODE;</t>
  </si>
  <si>
    <t>Show supplier-wise quantity.</t>
  </si>
  <si>
    <t>res_div, month_period</t>
  </si>
  <si>
    <t>supplier-wise quantity</t>
  </si>
  <si>
    <t>SELECT SUPPLIER, SUM(QUANTITY) AS TOTAL_QUANTITY
FROM KPCL_REPORTING.DERIVED_PO_BOARD
WHERE REQ_QTY_MONTH = UPPER(TO_CHAR(SYSDATE, 'MON-YYYY'))
GROUP BY SUPPLIER
ORDER BY TOTAL_QUANTITY DESC;</t>
  </si>
  <si>
    <t>Show utilization for res_div {res_div} during week_period {week_period}.</t>
  </si>
  <si>
    <t>Show utilization for /res_div {res_div} during /week_period {week_period}.</t>
  </si>
  <si>
    <t>utilization for res_div during week period</t>
  </si>
  <si>
    <t>SELECT 
    RESOURCE_CODE,
    ROUND(AVG(EFFECTIVE_UTILIZATION), 3) AS AVG_EFFECTIVE_UTILIZATION
FROM 
    KPCL_REPORTING.KPC_FK_DOCKET_IDLE_REPORT
WHERE 
    RES_DIV LIKE '%{res_div}%'
    AND WEEK_PERIOD LIKE '%{week_period}%'
    AND IDLE_REASON LIKE 'Operator Absent'
GROUP BY 
    RESOURCE_CODE;</t>
  </si>
  <si>
    <t>Display supplier-wise due quantity.</t>
  </si>
  <si>
    <t>res_div, week_period</t>
  </si>
  <si>
    <t>Show supplier-wise due quantity.</t>
  </si>
  <si>
    <t>supplier-wise due quantity</t>
  </si>
  <si>
    <t>SELECT 
    SUPPLIER,
    SUM(DUE_QTY) AS TOTAL_DUE_QUANTITY
FROM 
    KPCL_REPORTING.DERIVED_PO_BOARD
WHERE 
    DUE_QTY &gt; 0 AND REQ_QTY_MONTH = UPPER(TO_CHAR(SYSDATE, 'MON-YYYY'))
GROUP BY 
    SUPPLIER
ORDER BY 
    TOTAL_DUE_QUANTITY DESC;</t>
  </si>
  <si>
    <t>Show utilization for res_div {res_div} during year_period {year_period}.</t>
  </si>
  <si>
    <t>Show utilization for /res_div {res_div} during /year_period {year_period}.</t>
  </si>
  <si>
    <t>utilization for res_div during year period</t>
  </si>
  <si>
    <t>SELECT 
    RESOURCE_CODE,
    ROUND(AVG(EFFECTIVE_UTILIZATION), 3) AS AVG_EFFECTIVE_UTILIZATION
FROM 
    KPCL_REPORTING.KPC_FK_DOCKET_IDLE_REPORT
WHERE 
    RES_DIV LIKE '%{res_div}%'
    AND YEAR_PERIOD LIKE '%{year_period}%' AND IDLE_REASON LIKE 'Operator Absent'
GROUP BY 
    RESOURCE_CODE;</t>
  </si>
  <si>
    <t>Display supplier-wise due amount.</t>
  </si>
  <si>
    <t>res_div, year_period</t>
  </si>
  <si>
    <t>Show supplier-wise due amount.</t>
  </si>
  <si>
    <t>supplier-wise due amount</t>
  </si>
  <si>
    <t>SELECT SUPPLIER, SUM(DUE_AMT) AS TOTAL_DUE_AMOUNT
FROM KPCL_REPORTING.DERIVED_PO_BOARD
WHERE REQ_QTY_MONTH = UPPER(TO_CHAR(SYSDATE, 'MON-YYYY'))
GROUP BY SUPPLIER
ORDER BY TOTAL_DUE_AMOUNT DESC;</t>
  </si>
  <si>
    <t>View utilization for machine resource_code {resource_code}.</t>
  </si>
  <si>
    <t>Show utilization for machine /resource_code {resource_code}.</t>
  </si>
  <si>
    <t>utilization for machine resource code</t>
  </si>
  <si>
    <t>Display supplier-wise lead time.</t>
  </si>
  <si>
    <t>Show supplier-wise lead time.</t>
  </si>
  <si>
    <t>SELECT 
    RESOURCE_CODE,
    RESOURCE_DESC,
    ROUND(AVG(EFFECTIVE_UTILIZATION), 3) AS AVG_EFFECTIVE_UTILIZATION
FROM 
    KPCL_REPORTING.KPC_FK_DOCKET_IDLE_REPORT
WHERE 
    RESOURCE_CODE LIKE '%{resource_code}%' AND IDLE_REASON LIKE 'Operator Absent'
GROUP BY 
    RESOURCE_CODE,
    RESOURCE_DESC;</t>
  </si>
  <si>
    <t>supplier-wise lead time</t>
  </si>
  <si>
    <t>SELECT SUPPLIER, AVG(LEAD_TIME) AS AVERAGE_LEAD_TIME
FROM KPCL_REPORTING.DERIVED_PO_BOARD
WHERE REQ_QTY_MONTH = UPPER(TO_CHAR(SYSDATE, 'MON-YYYY'))
GROUP BY SUPPLIER
ORDER BY AVERAGE_LEAD_TIME DESC;</t>
  </si>
  <si>
    <t>View utilization for machine resource_description {resource_description}.</t>
  </si>
  <si>
    <t>Show utilization for machine /resource_description {resource_description}.</t>
  </si>
  <si>
    <t>Show supplier-wise pending ASN.</t>
  </si>
  <si>
    <t>utilization for machine resource description</t>
  </si>
  <si>
    <t>supplier-wise pending ASN</t>
  </si>
  <si>
    <t>SELECT 
    RESOURCE_CODE,
    RESOURCE_DESC,
    ROUND(AVG(EFFECTIVE_UTILIZATION), 3) AS AVG_EFFECTIVE_UTILIZATION
FROM 
    KPCL_REPORTING.KPC_FK_DOCKET_IDLE_REPORT
WHERE 
    RESOURCE_DESC LIKE '%{resource_description}%' AND IDLE_REASON LIKE 'Operator Absent'
GROUP BY 
    RESOURCE_CODE,
    RESOURCE_DESC;</t>
  </si>
  <si>
    <t>SELECT 
    SUPPLIER, 
    SUM(PENDING_ASN) AS TOTAL_PENDING_ASN
FROM 
    KPCL_REPORTING.DERIVED_PO_BOARD
WHERE REQ_QTY_MONTH = UPPER(TO_CHAR(SYSDATE, 'MON-YYYY'))
GROUP BY 
    SUPPLIER;</t>
  </si>
  <si>
    <t>resource_description</t>
  </si>
  <si>
    <t>Display utilization trend of machine resource_code {resource_code}.</t>
  </si>
  <si>
    <t>Display supplier-wise stock pending inspection.</t>
  </si>
  <si>
    <t>View utilization trend of machine /resource_code {resource_code}.</t>
  </si>
  <si>
    <t>Show supplier-wise stock pending inspection.</t>
  </si>
  <si>
    <t>utilization trend of machine resource code</t>
  </si>
  <si>
    <t>supplier-wise stock pending inspection</t>
  </si>
  <si>
    <t>SELECT 
    UTILIZATION_DATE,
    ROUND(AVG(EFFECTIVE_UTILIZATION), 3) AS AVG_EFFECTIVE_UTILIZATION
FROM 
    KPCL_REPORTING.KPC_FK_DOCKET_IDLE_REPORT
WHERE 
   RESOURCE_CODE LIKE '%{resource_code}%' AND IDLE_REASON LIKE 'Operator Absent'
GROUP BY 
    UTILIZATION_DATE
ORDER BY 
    UTILIZATION_DATE ASC;</t>
  </si>
  <si>
    <t>SELECT SUPPLIER, SUM(STOCK_PENDING_INSP) AS TOTAL_PENDING_INSPECTION
FROM KPCL_REPORTING.DERIVED_PO_BOARD
WHERE REQ_QTY_MONTH = UPPER(TO_CHAR(SYSDATE, 'MON-YYYY'))
GROUP BY SUPPLIER
ORDER BY TOTAL_PENDING_INSPECTION DESC;</t>
  </si>
  <si>
    <t>Show utilization of machine resource_code {resource_code} during month_period {month_period}.</t>
  </si>
  <si>
    <t>Display supplier-wise PO count.</t>
  </si>
  <si>
    <t>Show utilization of machine /resource_code {resource_code} during /month_period {month_period}.</t>
  </si>
  <si>
    <t>Show supplier-wise PO count.</t>
  </si>
  <si>
    <t>utilization of machine resource_code during month period</t>
  </si>
  <si>
    <t>supplier-wise PO count</t>
  </si>
  <si>
    <t>SELECT SUPPLIER, COUNT(DISTINCT PO_NUM) AS PO_COUNT
FROM KPCL_REPORTING.DERIVED_PO_BOARD
WHERE REQ_QTY_MONTH = UPPER(TO_CHAR(SYSDATE, 'MON-YYYY'))
GROUP BY SUPPLIER
ORDER BY PO_COUNT DESC;</t>
  </si>
  <si>
    <t>SELECT 
    RESOURCE_CODE,
    RESOURCE_DESC,
    ROUND(AVG(EFFECTIVE_UTILIZATION), 3) AS AVG_EFFECTIVE_UTILIZATION
FROM 
    KPCL_REPORTING.KPC_FK_DOCKET_IDLE_REPORT
WHERE 
   RESOURCE_CODE LIKE '%{resource_code}%'
    AND MONTH_PERIOD LIKE '%{month_period}%' AND IDLE_REASON LIKE 'Operator Absent'
GROUP BY 
    RESOURCE_CODE,
    RESOURCE_DESC;</t>
  </si>
  <si>
    <t>resource_code, month_period</t>
  </si>
  <si>
    <t>Show supplier {supplier} purchase history.</t>
  </si>
  <si>
    <t>Show utilization of machine resource_code {resource_code} during week_period {week_period}.</t>
  </si>
  <si>
    <t>Show /supplier {supplier} purchase history.</t>
  </si>
  <si>
    <t>Show utilization of machine /resource_code {resource_code} during /week_period {week_period}.</t>
  </si>
  <si>
    <t>supplier purchase history</t>
  </si>
  <si>
    <t>utilization of machine resource_code during week period</t>
  </si>
  <si>
    <t>SELECT 
    RESOURCE_CODE,
    RESOURCE_DESC,
    ROUND(AVG(EFFECTIVE_UTILIZATION), 3) AS AVG_EFFECTIVE_UTILIZATION
FROM 
    KPCL_REPORTING.KPC_FK_DOCKET_IDLE_REPORT
WHERE 
   RESOURCE_CODE LIKE '%{resource_code}%'
    AND WEEK_PERIOD LIKE '%{week_period}%'
   AND IDLE_REASON LIKE 'Operator Absent'
GROUP BY 
    RESOURCE_CODE,
    RESOURCE_DESC;</t>
  </si>
  <si>
    <t>resource_code, week_period</t>
  </si>
  <si>
    <t>SELECT ORG_NAME,
    PO_NUM,
    PO_TYPE,
    PO_STATUS,
    APPROVAL_STATUS,
    TO_DATE(PO_CREATION_DATE, 'DD-MM-YY') AS PO_DATE,
    LINE_NUM,
    ITEM_CODE,
    ITEM_DESCRIPTION,
    QUANTITY,
    UNIT_PRICE,
    LINE_AMOUNT,
    CURRENCY,
    BUYER_NAME
FROM 
    KPCL_REPORTING.DERIVED_PO_BOARD
WHERE 
    SUPPLIER IS NOT NULL
    AND (SUPPLIER) LIKE ('%{supplier}%') AND REQ_QTY_MONTH = UPPER(TO_CHAR(SYSDATE, 'MON-YYYY'))
ORDER BY 
    TO_DATE(PO_CREATION_DATE, 'DD-MM-YY') DESC, 
    PO_NUM DESC, 
    LINE_NUM ASC;</t>
  </si>
  <si>
    <t>Show utilization of machine resource_code {resource_code} during year_period {year_period}.</t>
  </si>
  <si>
    <t>Show utilization of machine /resource_code {resource_code} during /year_period {year_period}.</t>
  </si>
  <si>
    <t>utilization of machine resource_code during year period</t>
  </si>
  <si>
    <t>SELECT 
    RESOURCE_CODE,
    RESOURCE_DESC,
    ROUND(AVG(EFFECTIVE_UTILIZATION), 3) AS AVG_EFFECTIVE_UTILIZATION
FROM 
    KPCL_REPORTING.KPC_FK_DOCKET_IDLE_REPORT
WHERE 
   RESOURCE_CODE LIKE '%{resource_code}%'
    AND YEAR_PERIOD LIKE '%{year_period}%'
    AND IDLE_REASON LIKE 'Operator Absent'
GROUP BY 
    RESOURCE_CODE,
    RESOURCE_DESC;</t>
  </si>
  <si>
    <t>resource_code, year_period</t>
  </si>
  <si>
    <t>Display utilization of machine resource_code {resource_code} in fin_year {fin_year}.</t>
  </si>
  <si>
    <t>Show utilization of machine /resource_code {resource_code} in /fin_year {fin_year}.</t>
  </si>
  <si>
    <t>utilization of machine resource code in fin year</t>
  </si>
  <si>
    <t>SELECT 
    RESOURCE_CODE,
    RESOURCE_DESC,
    ROUND(AVG(EFFECTIVE_UTILIZATION), 3) AS AVG_EFFECTIVE_UTILIZATION
FROM 
    KPCL_REPORTING.KPC_FK_DOCKET_IDLE_REPORT
WHERE 
   RESOURCE_CODE LIKE '%{resource_code}%'
    AND FIN_YEAR LIKE '%{fin_year}%' AND IDLE_REASON LIKE 'Operator Absent'
GROUP BY 
    RESOURCE_CODE,
    RESOURCE_DESC;</t>
  </si>
  <si>
    <t>resource_code, fin_year</t>
  </si>
  <si>
    <t>Display comparison of utilization between machine resource_code {resource_code} and resource_code {resource_code}.</t>
  </si>
  <si>
    <t>Compare utilization between machine /resource_code {resource_code} and /resource_code {resource_code}.</t>
  </si>
  <si>
    <t>utilization between machine resource code and resource code</t>
  </si>
  <si>
    <t>SELECT 
    RESOURCE_CODE,
    RESOURCE_DESC,
    ROUND(AVG(EFFECTIVE_UTILIZATION), 3) AS AVG_EFFECTIVE_UTILIZATION
FROM 
    KPCL_REPORTING.KPC_FK_DOCKET_IDLE_REPORT
WHERE 
    RESOURCE_CODE LIKE '%{resource_code}%'
AND IDLE_REASON LIKE 'Operator Absent'
GROUP BY 
    RESOURCE_CODE,
    RESOURCE_DESC;</t>
  </si>
  <si>
    <t>Show overall effective utilization.</t>
  </si>
  <si>
    <t>overall effective utilization</t>
  </si>
  <si>
    <t>SELECT 
    ROUND(AVG(EFFECTIVE_UTILIZATION), 3) AS OVERALL_EFFECTIVE_UTILIZATION
FROM 
    KPCL_REPORTING.KPC_FK_DOCKET_IDLE_REPORT
WHERE IDLE_REASON LIKE 'Operator Absent';</t>
  </si>
  <si>
    <t>View effective utilization by machine.</t>
  </si>
  <si>
    <t>effective utilization by machine</t>
  </si>
  <si>
    <t>SELECT 
    RESOURCE_CODE,
    RESOURCE_DESC,
    ROUND(AVG(EFFECTIVE_UTILIZATION), 3) AS AVG_EFFECTIVE_UTILIZATION
FROM 
    KPCL_REPORTING.KPC_FK_DOCKET_IDLE_REPORT
WHERE IDLE_REASON LIKE 'Operator Absent'
GROUP BY 
    RESOURCE_CODE,
    RESOURCE_DESC;</t>
  </si>
  <si>
    <t>Display effective utilization by organization.</t>
  </si>
  <si>
    <t>Show effective utilization by organization.</t>
  </si>
  <si>
    <t>effective utilization by organization</t>
  </si>
  <si>
    <t>Show effective utilization by division.</t>
  </si>
  <si>
    <t>View effective utilization by division.</t>
  </si>
  <si>
    <t>effective utilization by division</t>
  </si>
  <si>
    <t>Show PO value for supplier {supplier}, buyer {buyer}.</t>
  </si>
  <si>
    <t>View machines with effective utilization above percent percentage {percentage}.</t>
  </si>
  <si>
    <t>Show machines with effective utilization above percent /percentage {percentage}.</t>
  </si>
  <si>
    <t>Show PO value for /supplier {supplier}, /buyer {buyer}.</t>
  </si>
  <si>
    <t>machines with effective utilization above percent</t>
  </si>
  <si>
    <t>PO value for supplier , buyer</t>
  </si>
  <si>
    <t>SELECT 
    RESOURCE_CODE,
    RESOURCE_DESC,
    ROUND(SUM(NVL(EFFECTIVE_UTILIZATION, 0)), 2) AS TOTAL_EFFECTIVE_UTILIZATION
FROM 
    KPCL_REPORTING.KPC_FK_DOCKET_IDLE_REPORT
WHERE IDLE_REASON LIKE 'Operator Absent'
GROUP BY 
    RESOURCE_CODE,
    RESOURCE_DESC
HAVING 
    SUM(NVL(EFFECTIVE_UTILIZATION, 0)) &gt; %{percentage}%
ORDER BY 
    TOTAL_EFFECTIVE_UTILIZATION DESC;</t>
  </si>
  <si>
    <t>percentage</t>
  </si>
  <si>
    <t>SELECT 
    SUPPLIER,
    BUYER_NAME,
    ORG_NAME,
    SUM(LINE_AMOUNT) AS TOTAL_PO_VALUE,
    CURRENCY
FROM 
    KPCL_REPORTING.DERIVED_PO_BOARD
WHERE 
    SUPPLIER LIKE '%{supplier}%'
    AND BUYER_NAME LIKE '%{buyer}%' AND REQ_QTY_MONTH = UPPER(TO_CHAR(SYSDATE, 'MON-YYYY'))
GROUP BY 
    SUPPLIER,
    BUYER_NAME,
    ORG_NAME,
    CURRENCY;</t>
  </si>
  <si>
    <t>Display machines with effective utilization below percent percentage {percentage}.</t>
  </si>
  <si>
    <t>Show machines with effective utilization below percent /percentage {percentage}.</t>
  </si>
  <si>
    <t xml:space="preserve">machines with effective utilization below percent </t>
  </si>
  <si>
    <t>SELECT 
    RESOURCE_CODE,
    RESOURCE_DESC,
    SUM(NVL(SETTING_TIME, 0) + NVL(OPERATION_TIME, 0)) AS CALC_EFFECTIVE_UTIL_MINS,
    SUM(NVL(AVAILABLE_TIME, 0)) AS TOTAL_AVAILABLE_MINS,
    CASE 
        WHEN SUM(NVL(AVAILABLE_TIME, 0)) &gt; 0 
        THEN ROUND((SUM(NVL(SETTING_TIME, 0) + NVL(OPERATION_TIME, 0)) / SUM(NVL(AVAILABLE_TIME, 0))) * 100, 2)
        ELSE 0 
    END AS EFFECTIVE_UTILIZATION_PERCENT
FROM 
    KPCL_REPORTING.KPC_FK_DOCKET_IDLE_REPORT
WHERE IDLE_REASON LIKE 'Operator Absent'
GROUP BY 
    RESOURCE_CODE,
    RESOURCE_DESC
HAVING 
    CASE 
        WHEN SUM(NVL(AVAILABLE_TIME, 0)) &gt; 0 
        THEN (SUM(NVL(SETTING_TIME, 0) + NVL(OPERATION_TIME, 0)) / SUM(NVL(AVAILABLE_TIME, 0))) * 100
        ELSE 0 
    END &lt; %{percentage}%
ORDER BY 
    EFFECTIVE_UTILIZATION_PERCENT ASC;</t>
  </si>
  <si>
    <t>View list machines having effective utilization between { percentage} and { percentage}.</t>
  </si>
  <si>
    <t>Show supplier {supplier} item list.</t>
  </si>
  <si>
    <t>List machines having effective utilization between / percentage { percentage} and / percentage { percentage}.</t>
  </si>
  <si>
    <t xml:space="preserve">machines having effective utilization between percentage and percentage </t>
  </si>
  <si>
    <t>Show /supplier {supplier} item list.</t>
  </si>
  <si>
    <t>supplier item list</t>
  </si>
  <si>
    <t>SELECT
    RESOURCE_CODE,
    RESOURCE_DESC,
    SUM(NVL(SETTING_TIME, 0) + NVL(OPERATION_TIME, 0)) AS CALC_EFFECTIVE_UTIL_MINS,
    SUM(NVL(AVAILABLE_TIME, 0)) AS TOTAL_AVAILABLE_MINS,
    CASE
        WHEN SUM(NVL(AVAILABLE_TIME, 0)) &gt; 0
        THEN ROUND((SUM(NVL(SETTING_TIME, 0) + NVL(OPERATION_TIME, 0)) / SUM(NVL(AVAILABLE_TIME, 0))) * 100, 2)
        ELSE 0
    END AS EFFECTIVE_UTILIZATION_PERCENT
FROM
    KPCL_REPORTING.KPC_FK_DOCKET_IDLE_REPORT
WHERE IDLE_REASON LIKE 'Operator Absent'
GROUP BY
    RESOURCE_CODE,
    RESOURCE_DESC
HAVING
    CASE
        WHEN SUM(NVL(AVAILABLE_TIME, 0)) &gt; 0
        THEN (SUM(NVL(SETTING_TIME, 0) + NVL(OPERATION_TIME, 0)) / SUM(NVL(AVAILABLE_TIME, 0))) * 100
        ELSE 0
    END BETWEEN %{percentage}% AND %{percentage}%
ORDER BY
    EFFECTIVE_UTILIZATION_PERCENT DESC;</t>
  </si>
  <si>
    <t>SELECT DISTINCT
    SUPPLIER,
    ITEM_CODE,
    ITEM_DESCRIPTION,
    MODEL,
    PG
FROM 
    KPCL_REPORTING.DERIVED_PO_BOARD
WHERE 
    SUPPLIER LIKE '%{supplier}%' AND REQ_QTY_MONTH = UPPER(TO_CHAR(SYSDATE, 'MON-YYYY'))
ORDER BY 
    ITEM_CODE;</t>
  </si>
  <si>
    <t>Show effective utilization trend.</t>
  </si>
  <si>
    <t>effective utilization trend</t>
  </si>
  <si>
    <t>Show effective utilization for machine resource_code {resource_code}.</t>
  </si>
  <si>
    <t>Show effective utilization for machine /resource_code {resource_code}.</t>
  </si>
  <si>
    <t>effective utilization for machine resource code</t>
  </si>
  <si>
    <t>SELECT 
    RESOURCE_CODE,
    RESOURCE_DESC,
    ROUND(AVG(EFFECTIVE_UTILIZATION), 3) AS AVG_EFFECTIVE_UTILIZATION
FROM 
    KPCL_REPORTING.KPC_FK_DOCKET_IDLE_REPORT
WHERE 
   RESOURCE_CODE LIKE '%{resource_code}%' AND IDLE_REASON LIKE 'Operator Absent'
GROUP BY 
    RESOURCE_CODE,
    RESOURCE_DESC;</t>
  </si>
  <si>
    <t>Show effective utilization for div_code {div_code}.</t>
  </si>
  <si>
    <t>Show effective utilization for /div_code {div_code}.</t>
  </si>
  <si>
    <t>effective utilization for div code</t>
  </si>
  <si>
    <t>SELECT 
    DIV_CODE,
    ROUND(AVG(EFFECTIVE_UTILIZATION), 3) AS AVG_EFFECTIVE_UTILIZATION
FROM 
    KPCL_REPORTING.KPC_FK_DOCKET_IDLE_REPORT
WHERE 
    DIV_CODE LIKE '%{div_code}%' AND IDLE_REASON LIKE 'Operator Absent'
GROUP BY 
    DIV_CODE;</t>
  </si>
  <si>
    <t>Display effective utilization during month_period {month_period}.</t>
  </si>
  <si>
    <t>Display effective utilization during /month_period {month_period}.</t>
  </si>
  <si>
    <t>effective utilization during month period</t>
  </si>
  <si>
    <t>SELECT 
    RESOURCE_CODE,
    RESOURCE_DESC,
    ROUND(AVG(EFFECTIVE_UTILIZATION), 3) AS AVG_EFFECTIVE_UTILIZATION
FROM 
    KPCL_REPORTING.KPC_FK_DOCKET_IDLE_REPORT
WHERE 
    MONTH_PERIOD LIKE '%{month_period}%' AND IDLE_REASON LIKE 'Operator Absent'
GROUP BY 
    RESOURCE_CODE,
    RESOURCE_DESC;</t>
  </si>
  <si>
    <t>Display effective utilization during /week_period {week_period}.</t>
  </si>
  <si>
    <t>effective utilization during week period</t>
  </si>
  <si>
    <t>SELECT 
    RESOURCE_CODE,
    RESOURCE_DESC,
    ROUND(AVG(EFFECTIVE_UTILIZATION), 3) AS AVG_EFFECTIVE_UTILIZATION
FROM 
    KPCL_REPORTING.KPC_FK_DOCKET_IDLE_REPORT
WHERE 
    WEEK_PERIOD LIKE '%{week_period}%' AND IDLE_REASON LIKE 'Operator Absent'
GROUP BY 
    RESOURCE_CODE,
    RESOURCE_DESC;</t>
  </si>
  <si>
    <t>View supplier {supplier} total PO value.</t>
  </si>
  <si>
    <t>Display effective utilization during /year_period {year_period}.</t>
  </si>
  <si>
    <t>Show /supplier {supplier} total PO value.</t>
  </si>
  <si>
    <t>Display effective utilization during /year_period {year_period}</t>
  </si>
  <si>
    <t>supplier total PO value</t>
  </si>
  <si>
    <t>effective utilization during year period</t>
  </si>
  <si>
    <t>SELECT 
    SUPPLIER,
    SUM(LINE_AMOUNT) AS TOTAL_PO_VALUE,
    CURRENCY
FROM 
    KPCL_REPORTING.DERIVED_PO_BOARD
WHERE 
    SUPPLIER LIKE '%{supplier}%' AND REQ_QTY_MONTH = UPPER(TO_CHAR(SYSDATE, 'MON-YYYY'))
GROUP BY 
    SUPPLIER,
    CURRENCY
ORDER BY 
    TOTAL_PO_VALUE DESC;</t>
  </si>
  <si>
    <t>SELECT 
    RESOURCE_CODE,
    RESOURCE_DESC,
    ROUND(AVG(EFFECTIVE_UTILIZATION), 3) AS AVG_EFFECTIVE_UTILIZATION
FROM 
    KPCL_REPORTING.KPC_FK_DOCKET_IDLE_REPORT
WHERE 
    YEAR_PERIOD LIKE '%{year_period}%' AND IDLE_REASON LIKE 'Operator Absent'
GROUP BY 
    RESOURCE_CODE,
    RESOURCE_DESC;</t>
  </si>
  <si>
    <t>View overall performance index.</t>
  </si>
  <si>
    <t>Show overall performance index.</t>
  </si>
  <si>
    <t>overall performance index</t>
  </si>
  <si>
    <t>SELECT 
    ROUND(AVG(AVG(PERFORMANCE_INDEX)) OVER(), 3) AS OVERALL_PERFORMANCE_INDEX
FROM 
    KPCL_REPORTING.KPC_FK_DOCKET_IDLE_REPORT
WHERE IDLE_REASON LIKE 'Operator Absent';</t>
  </si>
  <si>
    <t>Show supplier {supplier} total due quantity.</t>
  </si>
  <si>
    <t>Show /supplier {supplier} total due quantity.</t>
  </si>
  <si>
    <t>supplier total due quantity</t>
  </si>
  <si>
    <t>SELECT 
    SUPPLIER,
    SUM(DUE_QTY) AS TOTAL_DUE_QUANTITY
FROM 
    KPCL_REPORTING.DERIVED_PO_BOARD
WHERE 
    SUPPLIER LIKE '%{supplier}%' AND REQ_QTY_MONTH = UPPER(TO_CHAR(SYSDATE, 'MON-YYYY'))
GROUP BY 
    SUPPLIER
ORDER BY 
    TOTAL_DUE_QUANTITY DESC;</t>
  </si>
  <si>
    <t>Display average performance index.</t>
  </si>
  <si>
    <t>View average performance index.</t>
  </si>
  <si>
    <t>average performance index</t>
  </si>
  <si>
    <t>SELECT 
    ROUND(AVG(PERFORMANCE_INDEX), 3) AS AVG_PERFORMANCE_INDEX
FROM 
    KPCL_REPORTING.KPC_FK_DOCKET_IDLE_REPORT
WHERE IDLE_REASON LIKE 'Operator Absent';</t>
  </si>
  <si>
    <t>View performance index trend.</t>
  </si>
  <si>
    <t>Show performance index trend.</t>
  </si>
  <si>
    <t>performance index trend</t>
  </si>
  <si>
    <t>SELECT 
    UTILIZATION_DATE,
    ROUND(AVG(PERFORMANCE_INDEX), 3) AS AVG_PERFORMANCE_INDEX
FROM 
    KPCL_REPORTING.KPC_FK_DOCKET_IDLE_REPORT
WHERE IDLE_REASON LIKE 'Operator Absent'
GROUP BY 
    UTILIZATION_DATE
ORDER BY 
    UTILIZATION_DATE ASC;</t>
  </si>
  <si>
    <t>Show suppliers with due amount above amount {amount}.</t>
  </si>
  <si>
    <t>Show suppliers with due amount above /amount {amount}.</t>
  </si>
  <si>
    <t>suppliers with due amount above amount</t>
  </si>
  <si>
    <t>SELECT SUPPLIER, SUM(DUE_AMT) AS TOTAL_DUE_AMOUNT
FROM KPCL_REPORTING.DERIVED_PO_BOARD
WHERE REQ_QTY_MONTH = UPPER(TO_CHAR(SYSDATE, 'MON-YYYY'))
GROUP BY SUPPLIER
HAVING SUM(DUE_AMT) &gt;{amount}
ORDER BY TOTAL_DUE_AMOUNT DESC;</t>
  </si>
  <si>
    <t>Show performance index by organization.</t>
  </si>
  <si>
    <t>performance index by organization</t>
  </si>
  <si>
    <t>SELECT 
    ORG_ID,
    ORG_NAME,
    ROUND(AVG(PERFORMANCE_INDEX), 3) AS AVG_PERFORMANCE_INDEX
FROM 
    KPCL_REPORTING.KPC_FK_DOCKET_IDLE_REPORT
WHERE IDLE_REASON LIKE 'Operator Absent'
GROUP BY 
    ORG_ID,
    ORG_NAME;</t>
  </si>
  <si>
    <t>View suppliers with lead time above days {days}.</t>
  </si>
  <si>
    <t>Show suppliers with lead time above /days {days}.</t>
  </si>
  <si>
    <t>suppliers with lead time above days</t>
  </si>
  <si>
    <t>SELECT SUPPLIER, AVG(LEAD_TIME) AS AVERAGE_LEAD_TIME
FROM KPCL_REPORTING.DERIVED_PO_BOARD
WHERE REQ_QTY_MONTH = UPPER(TO_CHAR(SYSDATE, 'MON-YYYY'))
GROUP BY SUPPLIER
HAVING AVG(LEAD_TIME) &gt; {days}
ORDER BY AVERAGE_LEAD_TIME DESC;</t>
  </si>
  <si>
    <t>Display performance index by division.</t>
  </si>
  <si>
    <t>Show performance index by division.</t>
  </si>
  <si>
    <t>performance index by division</t>
  </si>
  <si>
    <t>SELECT 
    DIV_CODE,
    ROUND(AVG(PERFORMANCE_INDEX), 3) AS AVG_PERFORMANCE_INDEX
FROM 
    KPCL_REPORTING.KPC_FK_DOCKET_IDLE_REPORT
WHERE IDLE_REASON LIKE 'Operator Absent'
GROUP BY 
    DIV_CODE;</t>
  </si>
  <si>
    <t>View performance index by machine.</t>
  </si>
  <si>
    <t>Show performance index by machine.</t>
  </si>
  <si>
    <t>performance index by machine</t>
  </si>
  <si>
    <t>SELECT 
    RESOURCE_CODE,
    RESOURCE_DESC,
    ROUND(AVG(PERFORMANCE_INDEX), 3) AS AVG_PERFORMANCE_INDEX
FROM 
    KPCL_REPORTING.KPC_FK_DOCKET_IDLE_REPORT
WHERE IDLE_REASON LIKE 'Operator Absent'
GROUP BY 
    RESOURCE_CODE,
    RESOURCE_DESC;</t>
  </si>
  <si>
    <t>Display all items.</t>
  </si>
  <si>
    <t>Show all items.</t>
  </si>
  <si>
    <t>all items</t>
  </si>
  <si>
    <t>SELECT DISTINCT ITEM_CODE, ITEM_DESCRIPTION
FROM KPCL_REPORTING.DERIVED_PO_BOARD
WHERE ITEM_CODE IS NOT NULL AND REQ_QTY_MONTH = UPPER(TO_CHAR(SYSDATE, 'MON-YYYY'))
ORDER BY ITEM_CODE;</t>
  </si>
  <si>
    <t>Display performance index for machine resource_code {resource_code}.</t>
  </si>
  <si>
    <t>Show performance index for machine /resource_code {resource_code}.</t>
  </si>
  <si>
    <t>performance index for machine resource code</t>
  </si>
  <si>
    <t>SELECT 
    RESOURCE_CODE,
    RESOURCE_DESC,
    ROUND(AVG(PERFORMANCE_INDEX), 3) AS AVG_PERFORMANCE_INDEX
FROM 
    KPCL_REPORTING.KPC_FK_DOCKET_IDLE_REPORT
WHERE 
   RESOURCE_CODE LIKE '%{resource_code}%' AND IDLE_REASON LIKE 'Operator Absent'
GROUP BY 
    RESOURCE_CODE,
    RESOURCE_DESC;</t>
  </si>
  <si>
    <t>View item-wise PO value.</t>
  </si>
  <si>
    <t>Show item-wise PO value.</t>
  </si>
  <si>
    <t>item-wise PO value</t>
  </si>
  <si>
    <t>Display performance index for div_code {div_code}.</t>
  </si>
  <si>
    <t>SELECT ITEM_CODE, ITEM_DESCRIPTION, SUM(LINE_AMOUNT) AS TOTAL_PO_VALUE
FROM KPCL_REPORTING.DERIVED_PO_BOARD
WHERE REQ_QTY_MONTH = UPPER(TO_CHAR(SYSDATE, 'MON-YYYY'))
GROUP BY ITEM_CODE, ITEM_DESCRIPTION
ORDER BY TOTAL_PO_VALUE DESC;</t>
  </si>
  <si>
    <t>Show performance index for /div_code {div_code}.</t>
  </si>
  <si>
    <t>performance index for div code</t>
  </si>
  <si>
    <t>SELECT 
    DIV_CODE,
    ROUND(AVG(PERFORMANCE_INDEX), 3) AS AVG_PERFORMANCE_INDEX
FROM 
    KPCL_REPORTING.KPC_FK_DOCKET_IDLE_REPORT
WHERE 
    DIV_CODE LIKE '%{div_code}%' AND IDLE_REASON LIKE 'Operator Absent'
GROUP BY 
    DIV_CODE;</t>
  </si>
  <si>
    <t>Show performance index during week_period{week_period}.</t>
  </si>
  <si>
    <t>Show performance index during /week_period{week_period}.</t>
  </si>
  <si>
    <t>performance index during week period</t>
  </si>
  <si>
    <t>SELECT 
    RESOURCE_CODE,
    RESOURCE_DESC,
    ROUND(AVG(PERFORMANCE_INDEX), 3) AS AVG_PERFORMANCE_INDEX
FROM 
    KPCL_REPORTING.KPC_FK_DOCKET_IDLE_REPORT
WHERE 
    WEEK_PERIOD LIKE '%{week_period}%' AND IDLE_REASON LIKE 'Operator Absent'
GROUP BY 
    RESOURCE_CODE,
    RESOURCE_DESC;</t>
  </si>
  <si>
    <t>View item-wise quantity.</t>
  </si>
  <si>
    <t>Show item-wise quantity.</t>
  </si>
  <si>
    <t>item-wise quantity</t>
  </si>
  <si>
    <t>SELECT ITEM_CODE, ITEM_DESCRIPTION, SUM(QUANTITY) AS TOTAL_QUANTITY
FROM KPCL_REPORTING.DERIVED_PO_BOARD
WHERE REQ_QTY_MONTH = UPPER(TO_CHAR(SYSDATE, 'MON-YYYY'))
GROUP BY ITEM_CODE, ITEM_DESCRIPTION
ORDER BY TOTAL_QUANTITY DESC;</t>
  </si>
  <si>
    <t>Show performance index during month_period {month_period}.</t>
  </si>
  <si>
    <t>Show performance index during /month_period {month_period}.</t>
  </si>
  <si>
    <t>performance index during month period</t>
  </si>
  <si>
    <t>SELECT 
    RESOURCE_CODE,
    RESOURCE_DESC,
    ROUND(AVG(PERFORMANCE_INDEX), 3) AS AVG_PERFORMANCE_INDEX
FROM 
    KPCL_REPORTING.KPC_FK_DOCKET_IDLE_REPORT
WHERE 
    MONTH_PERIOD LIKE '%{month_period}%' AND IDLE_REASON LIKE 'Operator Absent'
GROUP BY 
    RESOURCE_CODE,
    RESOURCE_DESC;</t>
  </si>
  <si>
    <t>Show item-wise due quantity.</t>
  </si>
  <si>
    <t>item-wise due quantity</t>
  </si>
  <si>
    <t xml:space="preserve">
SELECT ITEM_CODE, ITEM_DESCRIPTION, SUM(PENDING_PO) AS TOTAL_DUE_QUANTITY
FROM KPCL_REPORTING.DERIVED_PO_BOARD
WHERE REQ_QTY_MONTH = UPPER(TO_CHAR(SYSDATE, 'MON-YYYY'))
GROUP BY ITEM_CODE, ITEM_DESCRIPTION
ORDER BY TOTAL_DUE_QUANTITY DESC;</t>
  </si>
  <si>
    <t>Show performance index during year_period{year_period}.</t>
  </si>
  <si>
    <t>Show performance index during /year_period{year_period}.</t>
  </si>
  <si>
    <t>performance index during year period</t>
  </si>
  <si>
    <t>SELECT 
    RESOURCE_CODE,
    RESOURCE_DESC,
    ROUND(AVG(PERFORMANCE_INDEX), 3) AS AVG_PERFORMANCE_INDEX
FROM 
    KPCL_REPORTING.KPC_FK_DOCKET_IDLE_REPORT
WHERE 
    YEAR_PERIOD LIKE '%{year_period}%' AND IDLE_REASON LIKE 'Operator Absent'
GROUP BY 
    RESOURCE_CODE,
    RESOURCE_DESC;</t>
  </si>
  <si>
    <t>View item-wise due amount.</t>
  </si>
  <si>
    <t>Show machines with performance index above performance_index {performance_index}.</t>
  </si>
  <si>
    <t>Show item-wise due amount.</t>
  </si>
  <si>
    <t>Show machines with performance index above /performance_index {performance_index}.</t>
  </si>
  <si>
    <t>item-wise due amount</t>
  </si>
  <si>
    <t>machines with performance index above performance index</t>
  </si>
  <si>
    <t>SELECT ITEM_CODE, ITEM_DESCRIPTION, SUM(DUE_AMT) AS TOTAL_DUE_AMOUNT
FROM KPCL_REPORTING.DERIVED_PO_BOARD
WHERE REQ_QTY_MONTH = UPPER(TO_CHAR(SYSDATE, 'MON-YYYY'))
GROUP BY ITEM_CODE, ITEM_DESCRIPTION
ORDER BY TOTAL_DUE_AMOUNT DESC;</t>
  </si>
  <si>
    <t>SELECT 
    RESOURCE_CODE,
    RESOURCE_DESC,
    ROUND(AVG(PERFORMANCE_INDEX), 3) AS AVG_PERFORMANCE_INDEX
FROM 
    KPCL_REPORTING.KPC_FK_DOCKET_IDLE_REPORT
WHERE IDLE_REASON LIKE 'Operator Absent'
GROUP BY 
    RESOURCE_CODE,
    RESOURCE_DESC
HAVING 
    AVG(PERFORMANCE_INDEX) &gt; {performance_index};</t>
  </si>
  <si>
    <t>View machines with performance index below performance_index {performance_index}.</t>
  </si>
  <si>
    <t>View item-wise lead time.</t>
  </si>
  <si>
    <t>Show machines with performance index below /performance_index {performance_index}.</t>
  </si>
  <si>
    <t>machines with performance index below performance index</t>
  </si>
  <si>
    <t>Show item-wise lead time.</t>
  </si>
  <si>
    <t>SELECT 
    RESOURCE_CODE,
    RESOURCE_DESC,
    ROUND(AVG(PERFORMANCE_INDEX), 3) AS AVG_PERFORMANCE_INDEX
FROM 
    KPCL_REPORTING.KPC_FK_DOCKET_IDLE_REPORT
WHERE IDLE_REASON LIKE 'Operator Absent'
GROUP BY 
    RESOURCE_CODE,
    RESOURCE_DESC
HAVING 
    AVG(PERFORMANCE_INDEX) &lt; {performance_index};</t>
  </si>
  <si>
    <t>item-wise lead time</t>
  </si>
  <si>
    <t>SELECT ITEM_CODE, ITEM_DESCRIPTION, AVG(LEAD_TIME) AS AVERAGE_LEAD_TIME
FROM KPCL_REPORTING.DERIVED_PO_BOARD
WHERE REQ_QTY_MONTH = UPPER(TO_CHAR(SYSDATE, 'MON-YYYY'))
GROUP BY ITEM_CODE, ITEM_DESCRIPTION
ORDER BY AVERAGE_LEAD_TIME DESC;</t>
  </si>
  <si>
    <t>Display list machines with performance index between performance_index {performance_index} and performance_index {performance_index}.</t>
  </si>
  <si>
    <t>List machines with performance index between /performance_index {performance_index} and /performance_index {performance_index}.</t>
  </si>
  <si>
    <t>Display item-wise demand.</t>
  </si>
  <si>
    <t>machines with performance index between performance index and performance index</t>
  </si>
  <si>
    <t>Show item-wise demand.</t>
  </si>
  <si>
    <t>item-wise demand</t>
  </si>
  <si>
    <t>SELECT 
    RESOURCE_CODE,
    RESOURCE_DESC,
    ROUND(AVG(PERFORMANCE_INDEX), 3) AS AVG_PERFORMANCE_INDEX
FROM 
    KPCL_REPORTING.KPC_FK_DOCKET_IDLE_REPORT
WHERE IDLE_REASON LIKE 'Operator Absent'
GROUP BY 
    RESOURCE_CODE,
    RESOURCE_DESC
HAVING 
    AVG(PERFORMANCE_INDEX) BETWEEN {performance_index} AND {performance_index};</t>
  </si>
  <si>
    <t>SELECT ITEM_CODE, ITEM_DESCRIPTION, SUM(QUANTITY) AS TOTAL_DEMAND_QUANTITY
FROM KPCL_REPORTING.DERIVED_PO_BOARD
WHERE REQ_QTY_MONTH = UPPER(TO_CHAR(SYSDATE, 'MON-YYYY'))
GROUP BY ITEM_CODE, ITEM_DESCRIPTION
ORDER BY TOTAL_DEMAND_QUANTITY DESC;</t>
  </si>
  <si>
    <t>Show comparison of performance index across organizations.</t>
  </si>
  <si>
    <t>Compare performance index across organizations.</t>
  </si>
  <si>
    <t>View item-wise stock.</t>
  </si>
  <si>
    <t>performance index across organizations</t>
  </si>
  <si>
    <t>Show item-wise stock.</t>
  </si>
  <si>
    <t>SELECT 
    ORG_ID,
    ORG_NAME,
    ROUND(AVG(PERFORMANCE_INDEX), 3) AS AVG_PERFORMANCE_INDEX
FROM 
    KPCL_REPORTING.KPC_FK_DOCKET_IDLE_REPORT
WHERE IDLE_REASON LIKE 'Operator Absent'
GROUP BY 
    ORG_ID,
    ORG_NAME
ORDER BY 
    AVG_PERFORMANCE_INDEX DESC;</t>
  </si>
  <si>
    <t>item-wise stock</t>
  </si>
  <si>
    <t>SELECT ITEM_CODE, ITEM_DESCRIPTION, SUM(STOCK_GENERAL_STORE) AS TOTAL_STOCK
FROM KPCL_REPORTING.DERIVED_PO_BOARD
WHERE REQ_QTY_MONTH = UPPER(TO_CHAR(SYSDATE, 'MON-YYYY'))
GROUP BY ITEM_CODE, ITEM_DESCRIPTION
ORDER BY TOTAL_STOCK DESC;</t>
  </si>
  <si>
    <t>View total production quantity.</t>
  </si>
  <si>
    <t>Show total production quantity.</t>
  </si>
  <si>
    <t>total production quantity</t>
  </si>
  <si>
    <t>View item-wise WIP quantity.</t>
  </si>
  <si>
    <t>SELECT 
    SUM(NVL(TOTAL_QUANTITY, 0)) AS OVERALL_PRODUCTION_QUANTITY
FROM 
    KPCL_REPORTING.KPC_FK_DOCKET_IDLE_REPORT
WHERE IDLE_REASON LIKE 'Operator Absent';</t>
  </si>
  <si>
    <t>Show item-wise WIP quantity.</t>
  </si>
  <si>
    <t>item-wise WIP quantity</t>
  </si>
  <si>
    <t xml:space="preserve">
SELECT ITEM_CODE, ITEM_DESCRIPTION, SUM(WIP_QTY) AS TOTAL_WIP_QUANTITY
FROM KPCL_REPORTING.DERIVED_PO_BOARD
WHERE REQ_QTY_MONTH = UPPER(TO_CHAR(SYSDATE, 'MON-YYYY'))
GROUP BY ITEM_CODE, ITEM_DESCRIPTION
ORDER BY TOTAL_WIP_QUANTITY DESC;</t>
  </si>
  <si>
    <t>View today's production quantity.</t>
  </si>
  <si>
    <t>today's production quantity</t>
  </si>
  <si>
    <t>SELECT 
    SUM(NVL(TOTAL_QUANTITY, 0)) AS TODAY_TOTAL_PRODUCTION_QUANTITY
FROM 
    KPCL_REPORTING.KPC_FK_DOCKET_IDLE_REPORT
WHERE 
    TRUNC(UTILIZATION_DATE) = TRUNC(SYSDATE)
AND IDLE_REASON LIKE 'Operator Absent';</t>
  </si>
  <si>
    <t>View item-wise OSP quantity.</t>
  </si>
  <si>
    <t>Show item-wise OSP quantity.</t>
  </si>
  <si>
    <t>item-wise OSP quantity</t>
  </si>
  <si>
    <t>SELECT 
    ITEM_CODE, 
    SUM(OSP_QTY) AS TOTAL_OSP_QTY
FROM 
    KPCL_REPORTING.DERIVED_PO_BOARD
WHERE REQ_QTY_MONTH = UPPER(TO_CHAR(SYSDATE, 'MON-YYYY'))
GROUP BY 
    ITEM_CODE;</t>
  </si>
  <si>
    <t>Show monthly production quantity.</t>
  </si>
  <si>
    <t>monthly production quantity</t>
  </si>
  <si>
    <t>SELECT 
    PERIOD_NAME,
    SUM(NVL(TOTAL_QUANTITY, 0)) AS TOTAL_MONTHLY_PRODUCTION
FROM 
    KPCL_REPORTING.KPC_FK_DOCKET_IDLE_REPORT
WHERE IDLE_REASON LIKE 'Operator Absent'
GROUP BY 
    PERIOD_NAME
ORDER BY 
    MIN(UTILIZATION_DATE) DESC;</t>
  </si>
  <si>
    <t>View item-wise pending PO.</t>
  </si>
  <si>
    <t>Show item-wise pending PO.</t>
  </si>
  <si>
    <t>item-wise pending PO</t>
  </si>
  <si>
    <t>Display yearly production quantity.</t>
  </si>
  <si>
    <t>SELECT 
    ITEM_CODE, 
    SUM(PENDING_PO) AS TOTAL_PENDING_PO
FROM 
    KPCL_REPORTING.DERIVED_PO_BOARD
WHERE REQ_QTY_MONTH = UPPER(TO_CHAR(SYSDATE, 'MON-YYYY'))
GROUP BY 
    ITEM_CODE;</t>
  </si>
  <si>
    <t>Show yearly production quantity.</t>
  </si>
  <si>
    <t>yearly production quantity</t>
  </si>
  <si>
    <t>SELECT 
    TO_CHAR(UTILIZATION_DATE, 'YYYY') AS PRODUCTION_YEAR,
    SUM(NVL(TOTAL_QUANTITY, 0)) AS TOTAL_YEARLY_PRODUCTION
FROM 
    KPCL_REPORTING.KPC_FK_DOCKET_IDLE_REPORT
WHERE IDLE_REASON LIKE 'Operator Absent'
GROUP BY 
    TO_CHAR(UTILIZATION_DATE, 'YYYY')
ORDER BY 
    PRODUCTION_YEAR DESC;</t>
  </si>
  <si>
    <t>Show item-wise pending requisition.</t>
  </si>
  <si>
    <t>View production by organization.</t>
  </si>
  <si>
    <t>item-wise pending requisition</t>
  </si>
  <si>
    <t>SELECT 
    ITEM_CODE, 
    SUM(PENDING_REQUISITION) AS TOTAL_PENDING_REQUISITION
FROM 
    KPCL_REPORTING.DERIVED_PO_BOARD
WHERE REQ_QTY_MONTH = UPPER(TO_CHAR(SYSDATE, 'MON-YYYY'))
GROUP BY 
    ITEM_CODE;</t>
  </si>
  <si>
    <t>production by organization</t>
  </si>
  <si>
    <t>SELECT 
    ORG_NAME,
    SUM(NVL(TOTAL_QUANTITY, 0)) AS TOTAL_PRODUCTION_QUANTITY
FROM 
    KPCL_REPORTING.KPC_FK_DOCKET_IDLE_REPORT
WHERE IDLE_REASON LIKE 'Operator Absent'
GROUP BY 
    ORG_NAME
ORDER BY 
    TOTAL_PRODUCTION_QUANTITY DESC;</t>
  </si>
  <si>
    <t>View item-wise pending ASN.</t>
  </si>
  <si>
    <t>Show item-wise pending ASN.</t>
  </si>
  <si>
    <t>item-wise pending ASN</t>
  </si>
  <si>
    <t>View production by division.</t>
  </si>
  <si>
    <t>SELECT 
    ITEM_CODE, 
    SUM(PENDING_ASN) AS TOTAL_PENDING_ASN
FROM 
    KPCL_REPORTING.DERIVED_PO_BOARD
WHERE REQ_QTY_MONTH = UPPER(TO_CHAR(SYSDATE, 'MON-YYYY'))
GROUP BY 
    ITEM_CODE;</t>
  </si>
  <si>
    <t>Show production by division.</t>
  </si>
  <si>
    <t>production by division</t>
  </si>
  <si>
    <t>SELECT 
    DIV_CODE AS DIVISION,
    SUM(NVL(TOTAL_QUANTITY, 0)) AS TOTAL_PRODUCTION_QUANTITY
FROM 
    KPCL_REPORTING.KPC_FK_DOCKET_IDLE_REPORT
WHERE IDLE_REASON LIKE 'Operator Absent'
GROUP BY 
    DIV_CODE
ORDER BY 
    TOTAL_PRODUCTION_QUANTITY DESC;</t>
  </si>
  <si>
    <t>Show production by machine.</t>
  </si>
  <si>
    <t>View production by machine.</t>
  </si>
  <si>
    <t>View item_code {item_code} purchase history.</t>
  </si>
  <si>
    <t>production by machine</t>
  </si>
  <si>
    <t>Show /item_code {item_code} purchase history.</t>
  </si>
  <si>
    <t>SELECT 
    RESOURCE_CODE,
    RESOURCE_DESC,
    SUM(NVL(TOTAL_QUANTITY, 0)) AS TOTAL_PRODUCTION_QUANTITY
FROM 
    KPCL_REPORTING.KPC_FK_DOCKET_IDLE_REPORT
WHERE IDLE_REASON LIKE 'Operator Absent'
GROUP BY 
    RESOURCE_CODE,
    RESOURCE_DESC
ORDER BY 
    TOTAL_PRODUCTION_QUANTITY DESC;</t>
  </si>
  <si>
    <t>item code purchase history</t>
  </si>
  <si>
    <t xml:space="preserve">SELECT 
    NEED_BY_DATE,
    APPROVAL_STATUS,
    REVISION_CODE,
    ATTRIBUTE_4,
    BASE_UNIT_PRICE,
    BUYER_EXPECTED_DATE,
    BUYER_NAME,
    BUYER_REMARK,
    PO_COMMENTS,
    CONCATENATED_SEGMENTS,
    PO_CREATION_DATE,
    CURRENCY,
    CUSTOMER,
    EXPECTED_DATE,
    FK_NAME,
    ITEM_CATEGORY,
    ITEM_CODE,
    ITEM_DESCRIPTION,
    KPC_PO_REP_ID,
    LINE_AMOUNT,
    LINE_NUM,
    PO_LINE_TYPES,
    MODEL,
    MRP_DEMAND,
    DUE_AMT,
    NUMBER_ATTRIBUTE_10,
    LEAD_TIME,
    DUE_QTY,
    REM_UPD_COUNT,
    REQ_QTY,
    REQ_QTY_MONTH,
    OA_CDD,
    OA_FK_COLOR,
    OA_FK_DATE,
    OA_NUMBER,
    OA_SSD,
    ORG_NAME,
    ORG_ID,
    OSP_QTY,
    PENDING_ASN,
    PENDING_PO,
    PENDING_REQUISITION,
    PG,
    PO_NUM,
    PO_STATUS,
    PO_TYPE,
    QUANTITY,
    REQUISITION_REQUESTOR,
    REQ_METHOD,
    REQ_NUM,
    SAFETY_STOCK,
    SHIPMENT_ORG_CODE,
    SHIPMENT_ORG_NAME,
    STOCK_GENERAL_STORE,
    STOCK_PENDING_INSP,
    STOCK_PEND_IN_POSTING,
    STOCK_REJ_SUB_INV,
    STOCK_SUP_SUB_INV,
    SUPPLIER,
    SUPPLIER_EXPECTED_DATE,
    SUPPLIER_REMARK,
    SUPPLIER_SALES_INVOICE_NUM,
    TOTAL_DEMAND,
    UNIT_PRICE,
    UOM,
    VENDOR_CODE,
    WIP_QTY
FROM 
    KPCL_REPORTING.DERIVED_PO_BOARD
WHERE 
    ITEM_CODE LIKE '%{item_code}%'
AND REQ_QTY_MONTH = UPPER(TO_CHAR(SYSDATE, 'MON-YYYY'));
</t>
  </si>
  <si>
    <t>Show production quantity for machine resource_code {resource_code}.</t>
  </si>
  <si>
    <t>Show production quantity for machine /resource_code {resource_code}.</t>
  </si>
  <si>
    <t>production quantity for machine resource code</t>
  </si>
  <si>
    <t>SELECT 
    RESOURCE_CODE,
    RESOURCE_DESC,
    SUM(NVL(TOTAL_QUANTITY, 0)) AS TOTAL_PRODUCTION_QUANTITY
FROM 
    KPCL_REPORTING.KPC_FK_DOCKET_IDLE_REPORT
WHERE 
    RESOURCE_CODE LIKE '%{resource_code}%' AND IDLE_REASON LIKE 'Operator Absent'
GROUP BY 
    RESOURCE_CODE,
    RESOURCE_DESC;</t>
  </si>
  <si>
    <t>Show production quantity for machine resource_description {resource_description}.</t>
  </si>
  <si>
    <t>Show production quantity for machine /resource_description {resource_description}.</t>
  </si>
  <si>
    <t>production quantity for machine resource description</t>
  </si>
  <si>
    <t>SELECT 
    RESOURCE_CODE,
    RESOURCE_DESC,
    SUM(NVL(TOTAL_QUANTITY, 0)) AS TOTAL_PRODUCTION_QUANTITY
FROM 
    KPCL_REPORTING.KPC_FK_DOCKET_IDLE_REPORT
WHERE 
    (RESOURCE_DESC) LIKE ('%{resource_description}%') AND IDLE_REASON LIKE 'Operator Absent'
GROUP BY 
    RESOURCE_CODE,
    RESOURCE_DESC;</t>
  </si>
  <si>
    <t>View production quantity for div_code {div_code}.</t>
  </si>
  <si>
    <t>Show production quantity for /div_code {div_code}.</t>
  </si>
  <si>
    <t>production quantity for div code</t>
  </si>
  <si>
    <t>SELECT 
    DIV_CODE AS DIVISION,
    RESOURCE_CODE,
    RESOURCE_DESC,
    SUM(NVL(TOTAL_QUANTITY, 0)) AS TOTAL_PRODUCTION
FROM 
    KPCL_REPORTING.KPC_FK_DOCKET_IDLE_REPORT
WHERE 
    (DIV_CODE) LIKE ('%{div_code}%') AND IDLE_REASON LIKE 'Operator Absent'
GROUP BY 
    DIV_CODE,
    RESOURCE_CODE,
    RESOURCE_DESC
ORDER BY 
    TOTAL_PRODUCTION DESC;</t>
  </si>
  <si>
    <t xml:space="preserve">performance index during month period </t>
  </si>
  <si>
    <t xml:space="preserve"> SELECT 
    TO_CHAR(UTILIZATION_DATE, 'Month') AS PRODUCTION_MONTH,
    SUM(NVL(TOTAL_QUANTITY, 0)) AS TOTAL_PRODUCTION_QUANTITY,
    SUM(NVL(WORKED, 0)) AS TOTAL_WORKED_MINUTES,
    ROUND(SUM(NVL(WORKED, 0)) / 60, 2) AS TOTAL_WORKED_HOURS
FROM 
    KPCL_REPORTING.KPC_FK_DOCKET_IDLE_REPORT
WHERE 
   (MONTH_PERIOD) LIKE ('%{month_period}%') AND IDLE_REASON LIKE 'Operator Absent'
GROUP BY 
    TO_CHAR(UTILIZATION_DATE, 'Month');</t>
  </si>
  <si>
    <t>Show performance index during week_period {week_period}.</t>
  </si>
  <si>
    <t>Show performance index during /week_period {week_period}.</t>
  </si>
  <si>
    <t xml:space="preserve">performance index during week period </t>
  </si>
  <si>
    <t xml:space="preserve"> SELECT 
    TO_CHAR(UTILIZATION_DATE, 'Month') AS PRODUCTION_MONTH,
    SUM(NVL(TOTAL_QUANTITY, 0)) AS TOTAL_PRODUCTION_QUANTITY,
    SUM(NVL(WORKED, 0)) AS TOTAL_WORKED_MINUTES,
    ROUND(SUM(NVL(WORKED, 0)) / 60, 2) AS TOTAL_WORKED_HOURS
FROM 
    KPCL_REPORTING.KPC_FK_DOCKET_IDLE_REPORT
WHERE 
   (WEEK_PERIOD) LIKE ('%{week_period}%') AND IDLE_REASON LIKE 'Operator Absent'
GROUP BY 
    TO_CHAR(UTILIZATION_DATE, 'Month');</t>
  </si>
  <si>
    <t>Show performance index during year_period {year_period}.</t>
  </si>
  <si>
    <t>Show performance index during /year_period {year_period}.</t>
  </si>
  <si>
    <t xml:space="preserve">performance index during year period </t>
  </si>
  <si>
    <t xml:space="preserve"> SELECT 
    TO_CHAR(UTILIZATION_DATE, 'Month') AS PRODUCTION_MONTH,
    SUM(NVL(TOTAL_QUANTITY, 0)) AS TOTAL_PRODUCTION_QUANTITY,
    SUM(NVL(WORKED, 0)) AS TOTAL_WORKED_MINUTES,
    ROUND(SUM(NVL(WORKED, 0)) / 60, 2) AS TOTAL_WORKED_HOURS
FROM 
    KPCL_REPORTING.KPC_FK_DOCKET_IDLE_REPORT
WHERE 
   (YEAR_PERIOD) LIKE ('%{year_period}%') AND IDLE_REASON LIKE 'Operator Absent'
GROUP BY 
    TO_CHAR(UTILIZATION_DATE, 'Month');</t>
  </si>
  <si>
    <t>Show production quantity during month_period {month_period}.</t>
  </si>
  <si>
    <t>Show production quantity during /month_period {month_period}.</t>
  </si>
  <si>
    <t>View current stock of item_code {item_code} .</t>
  </si>
  <si>
    <t xml:space="preserve">production quantity during month period </t>
  </si>
  <si>
    <t>Show current stock of /item_code {item_code} .</t>
  </si>
  <si>
    <t xml:space="preserve">current stock item code </t>
  </si>
  <si>
    <t>SELECT 
    RESOURCE_CODE,
    RESOURCE_DESC,
    SUM(NVL(TOTAL_QUANTITY, 0)) AS TOTAL_PRODUCTION_QUANTITY,
    SUM(NVL(PRODUCED, 0)) AS ACTUAL_PRODUCED_QUANTITY,
    SUM(NVL(STD_PRODUCTION, 0)) AS STANDARD_PRODUCTION_OUTPUT
FROM 
    KPCL_REPORTING.KPC_FK_DOCKET_IDLE_REPORT
WHERE 
    (
        MONTH_PERIOD LIKE '%{month_period}%' AND IDLE_REASON LIKE 'Operator Absent'
   )
GROUP BY 
    RESOURCE_CODE,
    RESOURCE_DESC
ORDER BY 
    TOTAL_PRODUCTION_QUANTITY DESC;</t>
  </si>
  <si>
    <t>SELECT 
    ITEM_CODE,
    ITEM_DESCRIPTION,
    STOCK_GENERAL_STORE,
    STOCK_PENDING_INSP,
    STOCK_PEND_IN_POSTING,
    STOCK_SUP_SUB_INV,
    (STOCK_GENERAL_STORE + STOCK_PENDING_INSP + STOCK_PEND_IN_POSTING + STOCK_SUP_SUB_INV) AS TOTAL_CURRENT_STOCK,
    UOM
FROM 
    KPCL_REPORTING.DERIVED_PO_BOARD
WHERE 
    ITEM_CODE LIKE '%{item_code}%'
AND REQ_QTY_MONTH = UPPER(TO_CHAR(SYSDATE, 'MON-YYYY'))
GROUP BY 
    ITEM_CODE,
    ITEM_DESCRIPTION,
    STOCK_GENERAL_STORE,
    STOCK_PENDING_INSP,
    STOCK_PEND_IN_POSTING,
    STOCK_SUP_SUB_INV,
    UOM;</t>
  </si>
  <si>
    <t>Show production quantity during week_period {week_period}.</t>
  </si>
  <si>
    <t>Show production quantity during /week_period {week_period}.</t>
  </si>
  <si>
    <t xml:space="preserve">production quantity during week period </t>
  </si>
  <si>
    <t>SELECT 
    RESOURCE_CODE,
    RESOURCE_DESC,
    SUM(NVL(TOTAL_QUANTITY, 0)) AS TOTAL_PRODUCTION_QUANTITY,
    SUM(NVL(PRODUCED, 0)) AS ACTUAL_PRODUCED_QUANTITY,
    SUM(NVL(STD_PRODUCTION, 0)) AS STANDARD_PRODUCTION_OUTPUT
FROM 
    KPCL_REPORTING.KPC_FK_DOCKET_IDLE_REPORT
WHERE 
    (
        WEEK_PERIOD LIKE '%{week_period}%' AND IDLE_REASON LIKE 'Operator Absent'
   )
GROUP BY 
    RESOURCE_CODE,
    RESOURCE_DESC
ORDER BY 
    TOTAL_PRODUCTION_QUANTITY DESC;</t>
  </si>
  <si>
    <t>Show total demand of item_code {item_code} .</t>
  </si>
  <si>
    <t>Show total demand of /item_code {item_code} .</t>
  </si>
  <si>
    <t xml:space="preserve">total demand item code </t>
  </si>
  <si>
    <t>SELECT 
    ITEM_CODE,
    ITEM_DESCRIPTION,
    SUM(MRP_DEMAND) AS TOTAL_MRP_DEMAND,
    SUM(TOTAL_DEMAND) AS OVERALL_DEMAND
FROM 
    KPCL_REPORTING.DERIVED_PO_BOARD
WHERE 
    ITEM_CODE LIKE '%{item_code}%'
AND REQ_QTY_MONTH = UPPER(TO_CHAR(SYSDATE, 'MON-YYYY'))
GROUP BY 
    ITEM_CODE,
    ITEM_DESCRIPTION;</t>
  </si>
  <si>
    <t>Show production quantity during year_period {year_period}.</t>
  </si>
  <si>
    <t>Show production quantity during /year_period {year_period}.</t>
  </si>
  <si>
    <t>production quantity during year period</t>
  </si>
  <si>
    <t>SELECT 
    RESOURCE_CODE,
    RESOURCE_DESC,
    SUM(NVL(TOTAL_QUANTITY, 0)) AS TOTAL_PRODUCTION_QUANTITY,
    SUM(NVL(PRODUCED, 0)) AS ACTUAL_PRODUCED_QUANTITY,
    SUM(NVL(STD_PRODUCTION, 0)) AS STANDARD_PRODUCTION_OUTPUT
FROM 
    KPCL_REPORTING.KPC_FK_DOCKET_IDLE_REPORT
WHERE 
    (
        YEAR_PERIOD LIKE '%{year_period}%'
   ) AND IDLE_REASON LIKE 'Operator Absent'
GROUP BY 
    RESOURCE_CODE,
    RESOURCE_DESC
ORDER BY 
    TOTAL_PRODUCTION_QUANTITY DESC;</t>
  </si>
  <si>
    <t>View pending quantity of item_code {item_code}  .</t>
  </si>
  <si>
    <t>Show comparison of production between machine resource_code {resource_code} and resource_code {resource_code}.</t>
  </si>
  <si>
    <t>Compare production between machine /resource_code {resource_code} and /resource_code {resource_code}.</t>
  </si>
  <si>
    <t>Show pending quantity of  /item_code {item_code} .</t>
  </si>
  <si>
    <t>production between machine resource code and resource code</t>
  </si>
  <si>
    <t>pending quantity of item code</t>
  </si>
  <si>
    <t>SELECT 
    RESOURCE_CODE,
    RESOURCE_DESC,
    SUM(NVL(TOTAL_QUANTITY, 0)) AS TOTAL_PRODUCTION,
    SUM(NVL(WORKED, 0)) AS TOTAL_WORKED_MINUTES,
    ROUND(SUM(NVL(WORKED, 0)) / 60, 2) AS TOTAL_WORKED_HOURS,
    ROUND(CASE 
        WHEN SUM(NVL(WORKED, 0)) &gt; 0 
        THEN (SUM(NVL(TOTAL_QUANTITY, 0)) / SUM(NVL(WORKED, 0))) * 60 
        ELSE 0 
    END, 2) AS UNITS_PER_WORKED_HOUR
FROM 
    KPCL_REPORTING.KPC_FK_DOCKET_IDLE_REPORT
WHERE 
    RESOURCE_CODE LIKE '%{resource_code}%' 
    AND IDLE_REASON LIKE 'Operator Absent'
GROUP BY 
    RESOURCE_CODE,
    RESOURCE_DESC
ORDER BY 
    TOTAL_PRODUCTION DESC;</t>
  </si>
  <si>
    <t>SELECT 
    ITEM_CODE,
    ITEM_DESCRIPTION,
    SUM(PENDING_PO) AS TOTAL_PENDING_PO_QTY,
    SUM(DUE_QTY) AS TOTAL_DUE_QUANTITY
FROM 
    KPCL_REPORTING.DERIVED_PO_BOARD
WHERE 
    ITEM_CODE LIKE '%{item_code}%'
AND REQ_QTY_MONTH = UPPER(TO_CHAR(SYSDATE, 'MON-YYYY'))
GROUP BY 
    ITEM_CODE,
    ITEM_DESCRIPTION;</t>
  </si>
  <si>
    <t>Display all employees incentive details for selected week_period {week_period } and employee_org {employee_org}.</t>
  </si>
  <si>
    <t>Show machines producing more than quantity {quantity}.</t>
  </si>
  <si>
    <t>Show machines producing more than /quantity {quantity}.</t>
  </si>
  <si>
    <t>machines producing more than quantity</t>
  </si>
  <si>
    <t>Display item_code {item_code} safety stock.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</si>
  <si>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UNITS_PER_WORKED_HOUR    
FROM 
    KPCL_REPORTING.KPC_FK_DOCKET_IDLE_REPORT
WHERE IDLE_REASON LIKE 'Operator Absent'
GROUP BY 
    RESOURCE_CODE,
    RESOURCE_DESC
HAVING 
    SUM(NVL(TOTAL_QUANTITY, 0)) &gt; '{quantity}'
ORDER BY 
    TOTAL_PRODUCTION DESC;</t>
  </si>
  <si>
    <t>Show /item_code {item_code} safety stock.</t>
  </si>
  <si>
    <t>item code safety stock</t>
  </si>
  <si>
    <t>SELECT 
    ITEM_CODE,
    ITEM_DESCRIPTION,
    MODEL,
    PG,
    SUM(SAFETY_STOCK) AS TOTAL_SAFETY_STOCK
FROM 
    KPCL_REPORTING.DERIVED_PO_BOARD
WHERE 
    ITEM_CODE LIKE '%{item_code}%' 
AND REQ_QTY_MONTH = UPPER(TO_CHAR(SYSDATE, 'MON-YYYY'))
GROUP BY 
    ITEM_CODE,
    ITEM_DESCRIPTION,
    MODEL,
    PG;</t>
  </si>
  <si>
    <t>Show all employees incentive details for selected /week_period {week_period } and /employee_org {employee_org}.</t>
  </si>
  <si>
    <t>all employees incentive details for selected week period  and employee org</t>
  </si>
  <si>
    <t>SELECT 
    WEEK_PERIOD,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WEEK_PERIOD LIKE '%{week_period }%'
    AND EMP_ORG_NAME LIKE '%{employee_org}%'
GROUP BY 
    EMP_ORG_NAME,
    TNO,
    ENAME,
    EMP_DEPT,
    SUPV_NAME,
    WEEK_PERIOD
ORDER BY 
    TOTAL_INCENTIVE DESC;</t>
  </si>
  <si>
    <t>week_period , employee_org</t>
  </si>
  <si>
    <t>Display machines producing less than quantity {quantity}.</t>
  </si>
  <si>
    <t>Show machines producing less than /quantity {quantity}.</t>
  </si>
  <si>
    <t>machines producing less than quantity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</si>
  <si>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UNITS_PER_WORKED_HOUR    
FROM 
    KPCL_REPORTING.KPC_FK_DOCKET_IDLE_REPORT
WHERE IDLE_REASON LIKE 'Operator Absent'
GROUP BY 
    RESOURCE_CODE,
    RESOURCE_DESC
HAVING 
    SUM(NVL(TOTAL_QUANTITY, 0)) &lt; '{quantity}'
ORDER BY 
    TOTAL_PRODUCTION ASC;</t>
  </si>
  <si>
    <t>Display items with highest due quantity.</t>
  </si>
  <si>
    <t>Display all employees incentive details for selected month_period {month_period } and employee_org {employee_org}.</t>
  </si>
  <si>
    <t>Display machines with zero production.</t>
  </si>
  <si>
    <t>Show all employees incentive details for selected /month_period {month_period } and /employee_org {employee_org}.</t>
  </si>
  <si>
    <t>Show machines with zero production.</t>
  </si>
  <si>
    <t>Show items with highest due quantity.</t>
  </si>
  <si>
    <t>all employees incentive details for selected month period  and employee org</t>
  </si>
  <si>
    <t>machines with zero production</t>
  </si>
  <si>
    <t>items with highest due quantity</t>
  </si>
  <si>
    <t>SELECT 
    RESOURCE_CODE,
    RESOURCE_DESC,
    SUM(NVL(TOTAL_QUANTITY, 0)) AS TOTAL_PRODUCTION,
    SUM(NVL(WORKED, 0)) AS TOTAL_WORKED_MINUTES,
    SUM(NVL(AVAILABLE_TIME, 0)) AS TOTAL_AVAILABLE_MINUTES
FROM 
    KPCL_REPORTING.KPC_FK_DOCKET_IDLE_REPORT
WHERE IDLE_REASON LIKE 'Operator Absent'
GROUP BY 
    RESOURCE_CODE,
    RESOURCE_DESC
HAVING 
    SUM(NVL(TOTAL_QUANTITY, 0)) = 0
ORDER BY 
    TOTAL_AVAILABLE_MINUTES DESC;</t>
  </si>
  <si>
    <t>SELECT 
    ITEM_CODE,
    SUM(DUE_QTY) AS TOTAL_DUE_QUANTITY
FROM 
    KPCL_REPORTING.DERIVED_PO_BOARD
WHERE REQ_QTY_MONTH = UPPER(TO_CHAR(SYSDATE, 'MON-YYYY'))
GROUP BY 
    ITEM_CODE
ORDER BY 
    TOTAL_DUE_QUANTITY DESC;</t>
  </si>
  <si>
    <t>SELECT 
    MONTH_PERIOD,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MONTH_PERIOD LIKE '%{month_period }%'
    AND EMP_ORG_NAME LIKE '%{employee_org}%'
GROUP BY 
    MONTH_PERIOD,
    EMP_ORG_NAME,
    TNO,
    ENAME,
    EMP_DEPT
ORDER BY 
    TOTAL_INCENTIVE DESC;</t>
  </si>
  <si>
    <t>month_period, employee_org</t>
  </si>
  <si>
    <t>Show actual production versus standard production.</t>
  </si>
  <si>
    <t>actual production versus standard production</t>
  </si>
  <si>
    <t>Display all employees incentive details for selected year_period {year_period } and employee_org {employee_org}.</t>
  </si>
  <si>
    <t>Display items with highest pending requisition.</t>
  </si>
  <si>
    <t>SELECT 
    RESOURCE_CODE,
    RESOURCE_DESC,
    SUM(NVL(TOTAL_QUANTITY, 0)) AS ACTUAL_PRODUCTION,
   SUM(NVL(WORKED, 0)) * 1 AS STANDARD_PRODUCTION_MINIMUM,
    SUM(NVL(TOTAL_QUANTITY, 0)) - (SUM(NVL(WORKED, 0)) * 1) AS VARIANCE,
    CASE 
        WHEN (SUM(NVL(WORKED, 0)) * 1) &gt; 0 
        THEN ROUND((SUM(NVL(TOTAL_QUANTITY, 0)) / (SUM(NVL(WORKED, 0)) * 1)) * 100, 2)
        ELSE 0 
    END AS STANDARD_ACHIEVEMENT_PCT
FROM 
    KPCL_REPORTING.KPC_FK_DOCKET_IDLE_REPORT
WHERE IDLE_REASON LIKE 'Operator Absent'
GROUP BY 
    RESOURCE_CODE,
    RESOURCE_DESC
ORDER BY 
    ACTUAL_PRODUCTION DESC;</t>
  </si>
  <si>
    <t>Show all employees incentive details for selected /year_period {year_period } and /employee_org {employee_org}.</t>
  </si>
  <si>
    <t>Show items with highest pending requisition.</t>
  </si>
  <si>
    <t>all employees incentive details for selected year period and employee org</t>
  </si>
  <si>
    <t>items with highest pending requisition</t>
  </si>
  <si>
    <t>SELECT 
    PERIOD_NAME,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YEAR_PERIOD LIKE '%{year_period }%'
    AND EMP_ORG_NAME LIKE '%{employee_org}%'
GROUP BY 
    PERIOD_NAME,
    EMP_ORG_NAME,
    TNO,
    ENAME,
    EMP_DEPT,
    SUPV_NAME
ORDER BY 
    TOTAL_INCENTIVE DESC;</t>
  </si>
  <si>
    <t>SELECT 
    ITEM_CODE,
    SUM(PENDING_REQUISITION) AS TOTAL_PENDING_REQUISITION
FROM 
    KPCL_REPORTING.DERIVED_PO_BOARD
WHERE REQ_QTY_MONTH = UPPER(TO_CHAR(SYSDATE, 'MON-YYYY'))
GROUP BY 
    ITEM_CODE
ORDER BY 
    TOTAL_PENDING_REQUISITION DESC;</t>
  </si>
  <si>
    <t>year_period, employee_org</t>
  </si>
  <si>
    <t>Display production achievement percentage.</t>
  </si>
  <si>
    <t>View production achievement percentage.</t>
  </si>
  <si>
    <t>production achievement percentage</t>
  </si>
  <si>
    <t>SELECT 
    RESOURCE_CODE,
    RESOURCE_DESC,
    SUM(NVL(TOTAL_QUANTITY, 0)) AS TOTAL_PRODUCTION_UNITS,
    SUM(NVL(WORKED, 0)) AS TOTAL_WORKED_MINUTES,
    ROUND(CASE 
        WHEN SUM(NVL(WORKED, 0)) &gt; 0 
        THEN (SUM(NVL(TOTAL_QUANTITY, 0)) / SUM(NVL(WORKED, 0)))
        ELSE 0 
    END, 4) AS UNITS_PER_WORKED_MINUTE,
    CASE 
        WHEN SUM(NVL(AVAILABLE_TIME, 0)) &gt; 0 
        THEN ROUND((SUM(NVL(WORKED, 0)) / SUM(NVL(AVAILABLE_TIME, 0))) * 100, 2)
        ELSE 0 
    END AS CAPACITY_ACHIEVEMENT_PCT
FROM 
    KPCL_REPORTING.KPC_FK_DOCKET_IDLE_REPORT
WHERE IDLE_REASON LIKE 'Operator Absent'
GROUP BY 
    RESOURCE_CODE,
    RESOURCE_DESC
ORDER BY 
    TOTAL_PRODUCTION_UNITS DESC;</t>
  </si>
  <si>
    <t>all employees incentive details for selected week period and employee org</t>
  </si>
  <si>
    <t>Show current stock.</t>
  </si>
  <si>
    <t>SELECT 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WEEK_PERIOD LIKE '%{week_period }%'
    AND EMP_ORG_NAME LIKE '%{employee_org}%'
GROUP BY 
    EMP_ORG_NAME,
    TNO,
    ENAME,
    EMP_DEPT
ORDER BY 
    TOTAL_INCENTIVE DESC;</t>
  </si>
  <si>
    <t>current stock</t>
  </si>
  <si>
    <t>SELECT 
    ITEM_CODE,
    SUM(STOCK_GENERAL_STORE) AS TOTAL_STOCK_GENERAL_STORE,
    SUM(STOCK_PENDING_INSP) AS TOTAL_STOCK_PENDING_INSP,
    SUM(STOCK_PEND_IN_POSTING) AS TOTAL_STOCK_PEND_IN_POSTING,
    SUM(STOCK_REJ_SUB_INV) AS TOTAL_STOCK_REJ_SUB_INV,
    SUM(STOCK_SUP_SUB_INV) AS TOTAL_STOCK_SUP_SUB_INV
FROM 
    KPCL_REPORTING.DERIVED_PO_BOARD
WHERE REQ_QTY_MONTH = UPPER(TO_CHAR(SYSDATE, 'MON-YYYY'))
GROUP BY 
    ITEM_CODE;</t>
  </si>
  <si>
    <t>View production versus target by machine.</t>
  </si>
  <si>
    <t>Show production versus target by machine.</t>
  </si>
  <si>
    <t>production versus target by machine</t>
  </si>
  <si>
    <t>SELECT 
    RESOURCE_CODE,
    RESOURCE_DESC,
    SUM(NVL(TOTAL_QUANTITY, 0)) AS TOTAL_ACTUAL_PRODUCTION,
    SUM(NVL(AVAILABLE_TIME, 0)) AS TOTAL_AVAILABLE_MINUTES,
    ROUND(SUM(NVL(AVAILABLE_TIME, 0)) / 60, 2) AS TOTAL_AVAILABLE_HOURS,
    ROUND(CASE 
        WHEN SUM(NVL(AVAILABLE_TIME, 0)) &gt; 0 
        THEN (SUM(NVL(TOTAL_QUANTITY, 0)) / (SUM(NVL(AVAILABLE_TIME, 0)) / 60)) 
        ELSE 0 
    END, 2) AS UNITS_PER_AVAILABLE_HOUR
FROM 
    KPCL_REPORTING.KPC_FK_DOCKET_IDLE_REPORT
WHERE IDLE_REASON LIKE 'Operator Absent'
GROUP BY 
    RESOURCE_CODE,
    RESOURCE_DESC
ORDER BY 
    TOTAL_ACTUAL_PRODUCTION DESC;</t>
  </si>
  <si>
    <t>Display all employees incentive details for selected month_period {month_period} and employee_org {employee_org}.</t>
  </si>
  <si>
    <t>all employees incentive details for selected month period and employee org</t>
  </si>
  <si>
    <t>Show stock by organization.</t>
  </si>
  <si>
    <t>SELECT 
    PERIOD_NAME,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MONTH_PERIOD LIKE '%{month_period }%'
    AND EMP_ORG_NAME LIKE '%{employee_org}%'
GROUP BY 
    PERIOD_NAME,
    EMP_ORG_NAME,
    TNO,
    ENAME,
    EMP_DEPT,
    SUPV_NAME
ORDER BY 
    TOTAL_INCENTIVE DESC;</t>
  </si>
  <si>
    <t>stock by organization</t>
  </si>
  <si>
    <t>SELECT 
    ORG_NAME,
    ORG_ID,
    SUM(STOCK_GENERAL_STORE) AS TOTAL_STOCK_GENERAL_STORE,
    SUM(STOCK_PENDING_INSP) AS TOTAL_STOCK_PENDING_INSP,
    SUM(STOCK_PEND_IN_POSTING) AS TOTAL_STOCK_PEND_IN_POSTING,
    SUM(STOCK_REJ_SUB_INV) AS TOTAL_STOCK_REJ_SUB_INV,
    SUM(STOCK_SUP_SUB_INV) AS TOTAL_STOCK_SUP_SUB_INV
FROM 
    KPCL_REPORTING.DERIVED_PO_BOARD
WHERE REQ_QTY_MONTH = UPPER(TO_CHAR(SYSDATE, 'MON-YYYY'))
GROUP BY 
    ORG_NAME, 
    ORG_ID;</t>
  </si>
  <si>
    <t>Display production versus target by organization.</t>
  </si>
  <si>
    <t>Show production versus target by organization.</t>
  </si>
  <si>
    <t>production versus target by organization</t>
  </si>
  <si>
    <t>SELECT 
    ORG_NAME,
    SUM(NVL(TOTAL_QUANTITY, 0)) AS TOTAL_ACTUAL_PRODUCTION,
    SUM(NVL(AVAILABLE_TIME, 0)) AS TOTAL_AVAILABLE_MINUTES,
    ROUND(SUM(NVL(AVAILABLE_TIME, 0)) / 60, 2) AS TOTAL_AVAILABLE_HOURS,
    ROUND(CASE 
        WHEN SUM(NVL(AVAILABLE_TIME, 0)) &gt; 0 
        THEN (SUM(NVL(TOTAL_QUANTITY, 0)) / (SUM(NVL(AVAILABLE_TIME, 0)) / 60)) 
        ELSE 0 
    END, 2) AS UNITS_PER_AVAILABLE_HOUR
FROM 
    KPCL_REPORTING.KPC_FK_DOCKET_IDLE_REPORT
WHERE IDLE_REASON LIKE 'Operator Absent'
GROUP BY 
    ORG_NAME
ORDER BY 
    TOTAL_ACTUAL_PRODUCTION DESC;</t>
  </si>
  <si>
    <t>all employees incentive details for selected year period  and employee org</t>
  </si>
  <si>
    <t>Show stock by item.</t>
  </si>
  <si>
    <t>stock by item</t>
  </si>
  <si>
    <t>SELECT 
    ITEM_CODE,
    SUM(STOCK_GENERAL_STORE) AS TOTAL_STOCK_GENERAL_STORE,
    SUM(STOCK_PENDING_INSP) AS TOTAL_STOCK_PENDING_INSP,
    SUM(STOCK_PEND_IN_POSTING) AS TOTAL_STOCK_PEND_IN_POSTING,
    SUM(STOCK_REJ_SUB_INV) AS TOTAL_STOCK_REJ_SUB_INV,
    SUM(STOCK_SUP_SUB_INV) AS TOTAL_STOCK_SUP_SUB_INV
FROM 
    KPCL_REPORTING.DERIVED_PO_BOARD
WHERE 
     REQ_QTY_MONTH = UPPER(TO_CHAR(SYSDATE, 'MON-YYYY'))
GROUP BY 
    ITEM_CODE;</t>
  </si>
  <si>
    <t>Display production versus target by division.</t>
  </si>
  <si>
    <t>Show production versus target by division.</t>
  </si>
  <si>
    <t>production versus target by division</t>
  </si>
  <si>
    <t>SELECT 
    DIV_CODE AS DIVISION,
    SUM(NVL(TOTAL_QUANTITY, 0)) AS TOTAL_ACTUAL_PRODUCTION,
    SUM(NVL(AVAILABLE_TIME, 0)) AS TOTAL_AVAILABLE_MINUTES,
    ROUND(SUM(NVL(AVAILABLE_TIME, 0)) / 60, 2) AS TOTAL_AVAILABLE_HOURS,
    ROUND(CASE 
        WHEN SUM(NVL(AVAILABLE_TIME, 0)) &gt; 0 
        THEN (SUM(NVL(TOTAL_QUANTITY, 0)) / (SUM(NVL(AVAILABLE_TIME, 0)) / 60)) 
        ELSE 0 
    END, 2) AS UNITS_PER_AVAILABLE_HOUR
FROM 
    KPCL_REPORTING.KPC_FK_DOCKET_IDLE_REPORT
WHERE IDLE_REASON LIKE 'Operator Absent'
GROUP BY 
    DIV_CODE
ORDER BY 
    TOTAL_ACTUAL_PRODUCTION DESC;</t>
  </si>
  <si>
    <t>SELECT 
    PERIOD_NAME,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WEEK_PERIOD LIKE '%{week_period }%'
    AND EMP_ORG_NAME LIKE '%{employee_org}%'
GROUP BY 
    PERIOD_NAME,
    EMP_ORG_NAME,
    TNO,
    ENAME,
    EMP_DEPT
ORDER BY 
    TOTAL_INCENTIVE DESC;</t>
  </si>
  <si>
    <t>Display stock by supplier.</t>
  </si>
  <si>
    <t>Show stock by supplier.</t>
  </si>
  <si>
    <t>stock by supplier</t>
  </si>
  <si>
    <t>SELECT 
    SUPPLIER,
    SUM(STOCK_GENERAL_STORE) AS TOTAL_STOCK_GENERAL_STORE,
    SUM(STOCK_PENDING_INSP) AS TOTAL_STOCK_PENDING_INSP,
    SUM(STOCK_PEND_IN_POSTING) AS TOTAL_STOCK_PEND_IN_POSTING,
    SUM(STOCK_REJ_SUB_INV) AS TOTAL_STOCK_REJ_SUB_INV,
    SUM(STOCK_SUP_SUB_INV) AS TOTAL_STOCK_SUP_SUB_INV
FROM 
    KPCL_REPORTING.DERIVED_PO_BOARD
WHERE REQ_QTY_MONTH = UPPER(TO_CHAR(SYSDATE, 'MON-YYYY'))
GROUP BY 
    SUPPLIER;</t>
  </si>
  <si>
    <t>Show machines exceeding target production.</t>
  </si>
  <si>
    <t>machines exceeding target production</t>
  </si>
  <si>
    <t>all employees incentive details for selected month_period  and employee org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</si>
  <si>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PRODUCTION_PER_HOUR
FROM 
    KPCL_REPORTING.KPC_FK_DOCKET_IDLE_REPORT
WHERE IDLE_REASON LIKE 'Operator Absent'
GROUP BY 
    RESOURCE_CODE,
    RESOURCE_DESC
HAVING 
    SUM(NVL(TOTAL_QUANTITY, 0)) &gt; (
        SELECT AVG(SUM(NVL(TOTAL_QUANTITY, 0))) 
        FROM KPCL_REPORTING.KPC_FK_DOCKET_IDLE_REPORT 
        GROUP BY RESOURCE_CODE
    )
ORDER BY 
    TOTAL_PRODUCTION DESC;</t>
  </si>
  <si>
    <t>SELECT 
    MONTH_PERIOD,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MONTH_PERIOD LIKE '%{month_period }%'
    AND EMP_ORG_NAME LIKE '%{employee_org}%'
GROUP BY 
    MONTH_PERIOD,
    EMP_ORG_NAME,
    TNO,
    ENAME,
    EMP_DEPT,
    SUPV_NAME
ORDER BY 
    TOTAL_INCENTIVE DESC;</t>
  </si>
  <si>
    <t>Show stock by item category.</t>
  </si>
  <si>
    <t>stock by item category</t>
  </si>
  <si>
    <t>SELECT 
    ITEM_CATEGORY,
    SUM(STOCK_GENERAL_STORE) AS TOTAL_STOCK_GENERAL_STORE,
    SUM(STOCK_PENDING_INSP) AS TOTAL_STOCK_PENDING_INSP,
    SUM(STOCK_PEND_IN_POSTING) AS TOTAL_STOCK_PEND_IN_POSTING,
    SUM(STOCK_REJ_SUB_INV) AS TOTAL_STOCK_REJ_SUB_INV,
    SUM(STOCK_SUP_SUB_INV) AS TOTAL_STOCK_SUP_SUB_INV
FROM 
    KPCL_REPORTING.DERIVED_PO_BOARD
WHERE REQ_QTY_MONTH = UPPER(TO_CHAR(SYSDATE, 'MON-YYYY'))
GROUP BY 
    ITEM_CATEGORY;</t>
  </si>
  <si>
    <t>Show machines below target production.</t>
  </si>
  <si>
    <t>SELECT 
    YEAR_PERIOD,
    EMP_ORG_NAME AS BUSINESS_UNIT,
    TNO,
    ENAME,
    EMP_DEPT,
    SUM(TOTINCN) AS TOTAL_INCENTIVE,
    SUM(PRODBON) AS PRODUCTION_BONUS,
    SUM(EXGRT) AS EXTERNAL_GRATIA,
    SUM(MEASURED) AS TOTAL_MEASURED_minutes,
    AVG(PERFORMANCE_INDEX) AS AVG_PERFORMANCE_INDEX
FROM 
    KPCL_REPORTING.KPC_FULL_KIT_DOCKET_EMP
WHERE 
    YEAR_PERIOD LIKE '%{year_period }%'
    AND EMP_ORG_NAME LIKE '%{employee_org}%'
GROUP BY 
    YEAR_PERIOD,
    EMP_ORG_NAME,
    TNO,
    ENAME,
    EMP_DEPT
ORDER BY 
    TOTAL_INCENTIVE DESC;</t>
  </si>
  <si>
    <t>machines below target production</t>
  </si>
  <si>
    <t>SELECT 
    RESOURCE_CODE,
    RESOURCE_DESC,
    SUM(NVL(WORKED, 0)) AS TOTAL_WORKED_MINUTES,
    SUM(NVL(TOTAL_QUANTITY, 0)) AS TOTAL_ACTUAL_PRODUCTION
FROM 
    KPCL_REPORTING.KPC_FK_DOCKET_IDLE_REPORT
WHERE IDLE_REASON LIKE 'Operator Absent'
GROUP BY 
    RESOURCE_CODE,
    RESOURCE_DESC
ORDER BY 
    TOTAL_ACTUAL_PRODUCTION ASC;</t>
  </si>
  <si>
    <t>Show stock in general store.</t>
  </si>
  <si>
    <t>stock in general store</t>
  </si>
  <si>
    <t>SELECT 
    ITEM_CODE,
    SUM(STOCK_GENERAL_STORE) AS TOTAL_STOCK_GENERAL_STORE
FROM 
    KPCL_REPORTING.DERIVED_PO_BOARD
WHERE REQ_QTY_MONTH = UPPER(TO_CHAR(SYSDATE, 'MON-YYYY'))
GROUP BY 
    ITEM_CODE;</t>
  </si>
  <si>
    <t>Display all employees incentive details for selected week_period {week_period} and employee_org {employee_org}.</t>
  </si>
  <si>
    <t>Show all employees incentive details for selected /week_period {week_period} and /employee_org {employee_org}.</t>
  </si>
  <si>
    <t>View production gap analysis.</t>
  </si>
  <si>
    <t>production gap analysis</t>
  </si>
  <si>
    <t>SELECT 
    WEEK_PERIOD,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WEEK_PERIOD LIKE '%{week_period }%'
    AND EMP_ORG_NAME LIKE '%{employee_org}%'
GROUP BY 
    WEEK_PERIOD,
    EMP_ORG_NAME,
    TNO,
    ENAME,
    EMP_DEPT,
    SUPV_NAME
ORDER BY 
    TOTAL_INCENTIVE DESC;</t>
  </si>
  <si>
    <t>SELECT 
    RESOURCE_CODE,
    RESOURCE_DESC,
    SUM(STD_PRODUCTION) AS TOTAL_STANDARD_PRODUCTION,
    SUM(TOTAL_QUANTITY) AS TOTAL_ACTUAL_PRODUCTION,
    (SUM(TOTAL_QUANTITY) - SUM(STD_PRODUCTION)) AS PRODUCTION_GAP,
    CASE 
        WHEN SUM(STD_PRODUCTION) &gt; 0 
        THEN ROUND(((SUM(TOTAL_QUANTITY) - SUM(STD_PRODUCTION)) / SUM(STD_PRODUCTION)) * 100, 2)
        ELSE 0 
    END AS GAP_PERCENTAGE
FROM 
    KPCL_REPORTING.KPC_FK_DOCKET_IDLE_REPORT
WHERE IDLE_REASON LIKE 'Operator Absent'
GROUP BY 
    RESOURCE_CODE,
    RESOURCE_DESC
ORDER BY 
    PRODUCTION_GAP ASC;</t>
  </si>
  <si>
    <t>Show stock pending inspection.</t>
  </si>
  <si>
    <t>stock pending inspection</t>
  </si>
  <si>
    <t>SELECT 
    ITEM_CODE,
    SUM(STOCK_PENDING_INSP) AS TOTAL_STOCK_PENDING_INSP
FROM 
    KPCL_REPORTING.DERIVED_PO_BOARD
WHERE REQ_QTY_MONTH = UPPER(TO_CHAR(SYSDATE, 'MON-YYYY'))
GROUP BY 
    ITEM_CODE;</t>
  </si>
  <si>
    <t>Show all employees incentive details for selected /month_period {month_period} and /employee_org {employee_org}.</t>
  </si>
  <si>
    <t>Show production shortfall by machine.</t>
  </si>
  <si>
    <t>SELECT 
    MONTH_PERIOD,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MONTH_PERIOD LIKE '%{month_period}%'
    AND EMP_ORG_NAME LIKE '%{employee_org}%'
GROUP BY 
    MONTH_PERIOD,
    EMP_ORG_NAME,
    TNO,
    ENAME,
    EMP_DEPT,
    SUPV_NAME
ORDER BY 
    TOTAL_INCENTIVE DESC;</t>
  </si>
  <si>
    <t>production shortfall by machine</t>
  </si>
  <si>
    <t>SELECT 
    RESOURCE_CODE,
    RESOURCE_DESC,
    SUM(STD_PRODUCTION) AS TOTAL_STANDARD_PRODUCTION,
    SUM(TOTAL_QUANTITY) AS TOTAL_ACTUAL_PRODUCTION,
    (SUM(STD_PRODUCTION) - SUM(TOTAL_QUANTITY)) AS SHORTFALL_PRODUCTION
FROM 
    KPCL_REPORTING.KPC_FK_DOCKET_IDLE_REPORT
WHERE IDLE_REASON LIKE 'Operator Absent'
GROUP BY 
    RESOURCE_CODE,
    RESOURCE_DESC
HAVING 
    SUM(TOTAL_QUANTITY) &lt; SUM(STD_PRODUCTION)
ORDER BY 
    SHORTFALL_PRODUCTION DESC;</t>
  </si>
  <si>
    <t>View stock pending posting.</t>
  </si>
  <si>
    <t>Show stock pending posting.</t>
  </si>
  <si>
    <t>stock pending posting</t>
  </si>
  <si>
    <t>Display all employees incentive details for selected year_period {year_period} and employee_org {employee_org}.</t>
  </si>
  <si>
    <t>View production achievement trend.</t>
  </si>
  <si>
    <t>SELECT 
    ITEM_CODE,
    SUM(STOCK_PEND_IN_POSTING) AS TOTAL_STOCK_PEND_IN_POSTING
FROM 
    KPCL_REPORTING.DERIVED_PO_BOARD
WHERE REQ_QTY_MONTH = UPPER(TO_CHAR(SYSDATE, 'MON-YYYY'))
GROUP BY 
    ITEM_CODE;</t>
  </si>
  <si>
    <t>Show all employees incentive details for selected /year_period {year_period} and /employee_org {employee_org}.</t>
  </si>
  <si>
    <t>Show production achievement trend.</t>
  </si>
  <si>
    <t>production achievement trend</t>
  </si>
  <si>
    <t>SELECT 
    PERIOD_NAME,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WHERE IDLE_REASON LIKE 'Operator Absent'
GROUP BY 
    PERIOD_NAME
ORDER BY 
    PERIOD_NAME;</t>
  </si>
  <si>
    <t>SELECT 
    YEAR_PERIOD,
    EMP_ORG_NAME AS BUSINESS_UNIT,
    TNO,
    ENAME,
    EMP_DEPT,
    SUPV_NAME,
    SUM(TOTINCN) AS TOTAL_INCENTIVE,
    SUM(PRODBON) AS PRODUCTION_BONUS,
    SUM(EXGRT) AS EXTERNAL_GRATIA,
    SUM(MEASURED) AS TOTAL_MEASURED_minutes,
    AVG(PERFORMANCE_INDEX) AS AVG_PERFORMANCE_INDEX
FROM 
    KPCL_REPORTING.KPC_FULL_KIT_DOCKET_EMP
WHERE 
    YEAR_PERIOD LIKE '%{year_period }%'
    AND EMP_ORG_NAME LIKE '%{employee_org}%'
GROUP BY 
    YEAR_PERIOD,
    EMP_ORG_NAME,
    TNO,
    ENAME,
    EMP_DEPT,
    SUPV_NAME
ORDER BY 
    TOTAL_INCENTIVE DESC;</t>
  </si>
  <si>
    <t>View rejected stock.</t>
  </si>
  <si>
    <t>Show rejected stock.</t>
  </si>
  <si>
    <t>rejected stock</t>
  </si>
  <si>
    <t>SELECT 
    ITEM_CODE,
    SUM(STOCK_REJ_SUB_INV) AS TOTAL_STOCK_REJ_SUB_INV
FROM 
    KPCL_REPORTING.DERIVED_PO_BOARD
WHERE REQ_QTY_MONTH = UPPER(TO_CHAR(SYSDATE, 'MON-YYYY'))
GROUP BY 
    ITEM_CODE;</t>
  </si>
  <si>
    <t>View production achievement for machine resource_code {resource_code}.</t>
  </si>
  <si>
    <t>Show production achievement for machine /resource_code {resource_code}.</t>
  </si>
  <si>
    <t>Show employees working under each supervisor.</t>
  </si>
  <si>
    <t>production achievement for machine resource code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</si>
  <si>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WHERE IDLE_REASON LIKE 'Operator Absent'
AND 
   RESOURCE_CODE LIKE '%{resource_code}%'
GROUP BY 
    RESOURCE_CODE,
    RESOURCE_DESC;</t>
  </si>
  <si>
    <t xml:space="preserve">
Show employees working under each supervisor.
</t>
  </si>
  <si>
    <t xml:space="preserve">
employees working under each supervisor</t>
  </si>
  <si>
    <t>SELECT 
    SUPV_NAME,
    PERIOD_NAME,
    COUNT(DISTINCT TNO) AS TOTAL_EMPLOYEES_UNDER_SUPERVISION
FROM 
    KPCL_REPORTING.KPC_FULL_KIT_DOCKET_EMP
GROUP BY 
    SUPV_NAME,
    PERIOD_NAME
ORDER BY 
    PERIOD_NAME DESC, 
    TOTAL_EMPLOYEES_UNDER_SUPERVISION DESC;</t>
  </si>
  <si>
    <t>Display WIP quantity.</t>
  </si>
  <si>
    <t>Show WIP quantity.</t>
  </si>
  <si>
    <t>wIP quantity</t>
  </si>
  <si>
    <t>SELECT 
    ITEM_CODE,
    SUM(WIP_QTY) AS TOTAL_WIP_QTY
FROM 
    KPCL_REPORTING.DERIVED_PO_BOARD
WHERE REQ_QTY_MONTH = UPPER(TO_CHAR(SYSDATE, 'MON-YYYY'))
GROUP BY 
    ITEM_CODE;</t>
  </si>
  <si>
    <t>Show production achievement during month_period {month_period}.</t>
  </si>
  <si>
    <t>Show production achievement during /month_period {month_period}</t>
  </si>
  <si>
    <t xml:space="preserve">production achievement during month period 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</si>
  <si>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 
        ELSE 0 
    END AS ACHIEVEMENT_PERCENTAGE
FROM 
    KPCL_REPORTING.KPC_FK_DOCKET_IDLE_REPORT
WHERE 
    (MONTH_PERIOD) LIKE ('%{month_period}%') AND IDLE_REASON LIKE 'Operator Absent'
GROUP BY 
    RESOURCE_CODE,
    RESOURCE_DESC
ORDER BY 
    ACHIEVEMENT_PERCENTAGE DESC;</t>
  </si>
  <si>
    <t>Display average incentive by department.</t>
  </si>
  <si>
    <t>Show average incentive by department.</t>
  </si>
  <si>
    <t>average incentive by employee department</t>
  </si>
  <si>
    <t>SELECT 
    EMP_DEPT,
    PERIOD_NAME,
    AVG(TOTINCN) AS AVG_INCENTIVE_PAYOUT,
    SUM(TOTINCN) AS TOTAL_INCENTIVE_PAYOUT,
    COUNT(DISTINCT TNO) AS TOTAL_EMPLOYEES
FROM 
    KPCL_REPORTING.KPC_FULL_KIT_DOCKET_EMP
GROUP BY 
    EMP_DEPT,
    PERIOD_NAME
ORDER BY 
    PERIOD_NAME DESC, 
    AVG_INCENTIVE_PAYOUT DESC;</t>
  </si>
  <si>
    <t>Show OSP quantity.</t>
  </si>
  <si>
    <t>oSP quantity</t>
  </si>
  <si>
    <t>SELECT 
    ITEM_CODE,
    SUM(OSP_QTY) AS TOTAL_OSP_QTY
FROM 
    KPCL_REPORTING.DERIVED_PO_BOARD
WHERE REQ_QTY_MONTH = UPPER(TO_CHAR(SYSDATE, 'MON-YYYY'))
GROUP BY 
    ITEM_CODE;</t>
  </si>
  <si>
    <t>Show production achievement during week_period {week_period}.</t>
  </si>
  <si>
    <t>Show production achievement during /week_period {week_period}.</t>
  </si>
  <si>
    <t xml:space="preserve">production achievement during week period </t>
  </si>
  <si>
    <t>Display employees with highest produced quantity.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</si>
  <si>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 
        ELSE 0 
    END AS ACHIEVEMENT_PERCENTAGE
FROM 
    KPCL_REPORTING.KPC_FK_DOCKET_IDLE_REPORT
WHERE 
    (WEEK_PERIOD) LIKE ('%{week_period}%') AND IDLE_REASON LIKE 'Operator Absent'
GROUP BY 
    RESOURCE_CODE,
    RESOURCE_DESC
ORDER BY 
    ACHIEVEMENT_PERCENTAGE DESC;</t>
  </si>
  <si>
    <t>Show employees with highest produced quantity.</t>
  </si>
  <si>
    <t>employees with highest produced quantity</t>
  </si>
  <si>
    <t>SELECT 
    TNO,
    ENAME,
    EMP_ORG_NAME,
    EMP_DEPT,
    PERIOD_NAME,
    SUM(PRODUCED) AS TOTAL_ACTUAL_PRODUCTION
FROM 
    KPCL_REPORTING.KPC_FULL_KIT_DOCKET_EMP
GROUP BY 
    TNO,
    ENAME,
    EMP_ORG_NAME,
    EMP_DEPT,
    PERIOD_NAME
ORDER BY 
    TOTAL_ACTUAL_PRODUCTION DESC;</t>
  </si>
  <si>
    <t>Display stock for item_code {item_code}.</t>
  </si>
  <si>
    <t>Show stock for /item_code {item_code}.</t>
  </si>
  <si>
    <t>stock for item code</t>
  </si>
  <si>
    <t>SELECT 
    ITEM_CODE,
    ITEM_DESCRIPTION,
    STOCK_GENERAL_STORE,
    STOCK_PENDING_INSP,
    STOCK_PEND_IN_POSTING,
    STOCK_REJ_SUB_INV,
    STOCK_SUP_SUB_INV,
    (STOCK_GENERAL_STORE + STOCK_PENDING_INSP + STOCK_PEND_IN_POSTING + STOCK_SUP_SUB_INV) AS TOTAL_AVAILABLE_STOCK
FROM 
    KPCL_REPORTING.DERIVED_PO_BOARD
WHERE 
    ITEM_CODE LIKE '%{item_code}%' AND REQ_QTY_MONTH = UPPER(TO_CHAR(SYSDATE, 'MON-YYYY'))
GROUP BY 
    ITEM_CODE,
    ITEM_DESCRIPTION,
    STOCK_GENERAL_STORE,
    STOCK_PENDING_INSP,
    STOCK_PEND_IN_POSTING,
    STOCK_REJ_SUB_INV,
    STOCK_SUP_SUB_INV;</t>
  </si>
  <si>
    <t>Show production achievement during year_period {year_period}.</t>
  </si>
  <si>
    <t>Show production achievement during /year_period {year_period}.</t>
  </si>
  <si>
    <t>Show employees with highest present minutes.</t>
  </si>
  <si>
    <t xml:space="preserve">production achievement during year period 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</si>
  <si>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 
        ELSE 0 
    END AS ACHIEVEMENT_PERCENTAGE
FROM 
    KPCL_REPORTING.KPC_FK_DOCKET_IDLE_REPORT
WHERE 
    (YEAR_PERIOD) LIKE ('%{year_period}%') AND IDLE_REASON LIKE 'Operator Absent'
GROUP BY 
    RESOURCE_CODE,
    RESOURCE_DESC
ORDER BY 
    ACHIEVEMENT_PERCENTAGE DESC;</t>
  </si>
  <si>
    <t>Show machines achieving more than percentage {percentage} of target.</t>
  </si>
  <si>
    <t>Show machines achieving more than /percentage {percentage} of target.</t>
  </si>
  <si>
    <t>employees with highest present minutes</t>
  </si>
  <si>
    <t>machines achieving more than percentage of target</t>
  </si>
  <si>
    <t>SELECT 
    TNO,
    ENAME,
    EMP_ORG_NAME,
    EMP_DEPT,
    PERIOD_NAME,
    SUPV_NAME,
    SUM(PRESENT) AS TOTAL_PRESENT_minutes
FROM 
    KPCL_REPORTING.KPC_FULL_KIT_DOCKET_EMP
GROUP BY 
    TNO,
    ENAME,
    EMP_ORG_NAME,
    EMP_DEPT,
    PERIOD_NAME,
    SUPV_NAME
ORDER BY 
    TOTAL_PRESENT_minutes DESC;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</si>
  <si>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WHERE IDLE_REASON LIKE 'Operator Absent'
GROUP BY 
    RESOURCE_CODE,
    RESOURCE_DESC
HAVING 
    (CASE 
        WHEN SUM(STD_PRODUCTION) &gt; 0 
        THEN (SUM(TOTAL_QUANTITY) / SUM(STD_PRODUCTION)) * 100
        ELSE 0 
     END) &gt; {percentage}
ORDER BY 
    ACHIEVEMENT_PERCENTAGE DESC;</t>
  </si>
  <si>
    <t>Display employee wise comparison of present minutes and worked minutes.</t>
  </si>
  <si>
    <t>Compare employee wise present minutes and worked minutes.</t>
  </si>
  <si>
    <t>employee wise present minutes and worked minutes</t>
  </si>
  <si>
    <t>Show machines achieving less than percentage {percentage} of target.</t>
  </si>
  <si>
    <t>SELECT 
    TNO,
    ENAME,
    EMP_ORG_NAME,
    EMP_DEPT,
    PERIOD_NAME,
    SUPV_NAME,
    SUM(PRESENT) AS TOTAL_PRESENT_minutes,
    SUM(WORKED) AS TOTAL_WORKED_minutes,
    (SUM(PRESENT) - SUM(WORKED)) AS VARIANCE_minutes
FROM 
    KPCL_REPORTING.KPC_FULL_KIT_DOCKET_EMP
GROUP BY 
    TNO,
    ENAME,
    EMP_ORG_NAME,
    EMP_DEPT,
    PERIOD_NAME,
    SUPV_NAME
ORDER BY 
    VARIANCE_minutes DESC, 
    PERIOD_NAME DESC;</t>
  </si>
  <si>
    <t>Show machines achieving less than /percentage {percentage} of target.</t>
  </si>
  <si>
    <t>machines achieving less than percentage of target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</si>
  <si>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WHERE IDLE_REASON LIKE 'Operator Absent'
GROUP BY 
    RESOURCE_CODE,
    RESOURCE_DESC
HAVING 
    (CASE 
        WHEN SUM(STD_PRODUCTION) &gt; 0 
        THEN (SUM(TOTAL_QUANTITY) / SUM(STD_PRODUCTION)) * 100
        ELSE 0 
     END) &lt; {percentage}
ORDER BY 
    ACHIEVEMENT_PERCENTAGE ASC;</t>
  </si>
  <si>
    <t>Display standard production.</t>
  </si>
  <si>
    <t>Show standard production.</t>
  </si>
  <si>
    <t>standard production</t>
  </si>
  <si>
    <t>SELECT 
    RESOURCE_CODE,
    RESOURCE_DESC,
    SUM(STD_PRODUCTION) AS TOTAL_STANDARD_PRODUCTION
FROM 
    KPCL_REPORTING.KPC_FK_DOCKET_IDLE_REPORT
WHERE IDLE_REASON LIKE 'Operator Absent'
GROUP BY 
    RESOURCE_CODE,
    RESOURCE_DESC
ORDER BY 
    TOTAL_STANDARD_PRODUCTION DESC;</t>
  </si>
  <si>
    <t>Display period wise incentive trend.</t>
  </si>
  <si>
    <t>Show period wise incentive trend.</t>
  </si>
  <si>
    <t>period wise incentive trend</t>
  </si>
  <si>
    <t>SELECT 
    PERIOD_NAME,
    SUM(TOTINCN) AS TOTAL_INCENTIVE,
    AVG(TOTINCN) AS AVG_INCENTIVE_PER_EMP,
    COUNT(DISTINCT TNO) AS TOTAL_EMPLOYEES
FROM 
    KPCL_REPORTING.KPC_FULL_KIT_DOCKET_EMP
GROUP BY 
    PERIOD_NAME
ORDER BY 
    PERIOD_NAME ASC;</t>
  </si>
  <si>
    <t>Display standard production by machine.</t>
  </si>
  <si>
    <t>View standard production by machine.</t>
  </si>
  <si>
    <t>standard production by machine</t>
  </si>
  <si>
    <t>View department having the best average performance.</t>
  </si>
  <si>
    <t>Show department having the best average performance.</t>
  </si>
  <si>
    <t>employee department having the best average performance</t>
  </si>
  <si>
    <t>SELECT 
    EMP_DEPT,
    AVG(PERFORMANCE_INDEX) AS AVG_PERFORMANCE_INDEX,
    SUM(PRODUCED) AS TOTAL_ACTUAL_PRODUCTION,
    SUM(STD_PRODN) AS TOTAL_STANDARD_PRODUCTION,
    COUNT(DISTINCT TNO) AS TOTAL_EMPLOYEES
FROM 
    KPCL_REPORTING.KPC_FULL_KIT_DOCKET_EMP
GROUP BY 
    EMP_DEPT
ORDER BY 
    AVG_PERFORMANCE_INDEX DESC
FETCH FIRST 1 ROWS ONLY;</t>
  </si>
  <si>
    <t>Display stock for item_category {item_category}.</t>
  </si>
  <si>
    <t>Show stock for /item_category {item_category}.</t>
  </si>
  <si>
    <t>stock for item category</t>
  </si>
  <si>
    <t>SELECT 
    ITEM_CATEGORY,
    SUM(STOCK_GENERAL_STORE) AS TOTAL_GENERAL_STORE_STOCK,
    SUM(STOCK_PENDING_INSP) AS TOTAL_PENDING_INSP_STOCK,
    SUM(STOCK_PEND_IN_POSTING) AS TOTAL_PEND_IN_POSTING_STOCK,
    SUM(STOCK_REJ_SUB_INV) AS TOTAL_REJECTED_SUB_INV_STOCK,
    SUM(STOCK_SUP_SUB_INV) AS TOTAL_SUP_SUB_INV_STOCK,
    SUM(STOCK_GENERAL_STORE + STOCK_PENDING_INSP + STOCK_PEND_IN_POSTING + STOCK_SUP_SUB_INV) AS TOTAL_AVAILABLE_STOCK
FROM 
    KPCL_REPORTING.DERIVED_PO_BOARD
WHERE 
    ITEM_CATEGORY LIKE '%{item_category}%' AND REQ_QTY_MONTH = UPPER(TO_CHAR(SYSDATE, 'MON-YYYY'))
GROUP BY 
    ITEM_CATEGORY;</t>
  </si>
  <si>
    <t>Display employees eligible for production bonus.</t>
  </si>
  <si>
    <t>Show employees eligible for production bonus.</t>
  </si>
  <si>
    <t>Show standard production by organization.</t>
  </si>
  <si>
    <t>employees eligible for production bonus</t>
  </si>
  <si>
    <t>standard production by organization</t>
  </si>
  <si>
    <t>SELECT 
    TNO,
    ENAME,
    EMP_ORG_NAME,
    EMP_DEPT,
    PERIOD_NAME,
    SUPV_NAME,
    SUM(PRODBON) AS TOTAL_PRODUCTION_BONUS
FROM 
    KPCL_REPORTING.KPC_FULL_KIT_DOCKET_EMP
WHERE 
    PRODBON &gt; 0
GROUP BY 
    TNO,
    ENAME,
    EMP_ORG_NAME,
    EMP_DEPT,
    PERIOD_NAME,
    SUPV_NAME
ORDER BY 
    TOTAL_PRODUCTION_BONUS DESC,
    PERIOD_NAME DESC;</t>
  </si>
  <si>
    <t>SELECT 
    ORG_NAME,
    SUM(STD_PRODUCTION) AS TOTAL_STANDARD_PRODUCTION
FROM 
    KPCL_REPORTING.KPC_FK_DOCKET_IDLE_REPORT
WHERE IDLE_REASON LIKE 'Operator Absent'
GROUP BY 
    ORG_NAME
ORDER BY 
    TOTAL_STANDARD_PRODUCTION DESC;</t>
  </si>
  <si>
    <t>Show stock pending inspection for item_code {item_code}.</t>
  </si>
  <si>
    <t>Show stock pending inspection for /item_code {item_code}.</t>
  </si>
  <si>
    <t>Show employees who received external gratia.</t>
  </si>
  <si>
    <t>Display standard production by division.</t>
  </si>
  <si>
    <t>stock pending inspection for item code</t>
  </si>
  <si>
    <t>View standard production by division.</t>
  </si>
  <si>
    <t>employees who received external gratia</t>
  </si>
  <si>
    <t>standard production by division</t>
  </si>
  <si>
    <t>SELECT 
    ITEM_CODE,
    ITEM_DESCRIPTION,
    SUM(STOCK_PENDING_INSP) AS TOTAL_PENDING_INSPECTION_STOCK
FROM 
    KPCL_REPORTING.DERIVED_PO_BOARD
WHERE 
    ITEM_CODE LIKE '%{item_code}%' AND REQ_QTY_MONTH = UPPER(TO_CHAR(SYSDATE, 'MON-YYYY'))
GROUP BY 
    ITEM_CODE,
    ITEM_DESCRIPTION;</t>
  </si>
  <si>
    <t>SELECT 
    TNO,
    ENAME,
    EMP_ORG_NAME,
    EMP_DEPT,
    PERIOD_NAME,
    SUM(EXGRT) AS TOTAL_EXTERNAL_GRATIA
FROM 
    KPCL_REPORTING.KPC_FULL_KIT_DOCKET_EMP
WHERE 
   EXGRT &gt; 0
GROUP BY 
    TNO,
    ENAME,
    EMP_ORG_NAME,
    EMP_DEPT,
    PERIOD_NAME,
    SUPV_NAME
ORDER BY 
    TOTAL_EXTERNAL_GRATIA DESC,
    PERIOD_NAME DESC;</t>
  </si>
  <si>
    <t>SELECT 
    DIV_CODE,
    RES_DIV,
    SUM(NVL(STD_PRODUCTION, 0)) AS TOTAL_STANDARD_PRODUCTION,
    SUM(NVL(PRODUCED, 0)) AS TOTAL_ACTUAL_PRODUCED,
    ROUND(
        SUM(NVL(PRODUCED, 0)) * 100 / NULLIF(SUM(NVL(STD_PRODUCTION, 0)), 0), 2
    ) AS PRODUCTION_EFFICIENCY_PCT
FROM 
    KPCL_REPORTING.KPC_FK_DOCKET_IDLE_REPORT
WHERE IDLE_REASON LIKE 'Operator Absent'
GROUP BY 
    DIV_CODE,
    RES_DIV
ORDER BY 
    TOTAL_STANDARD_PRODUCTION DESC;</t>
  </si>
  <si>
    <t>Display incentive details for employee having token_number {token_number}.</t>
  </si>
  <si>
    <t>Show incentive details for employee having /token_number {token_number}.</t>
  </si>
  <si>
    <t>incentive details for employee having token number</t>
  </si>
  <si>
    <t>Display standard production for machine resource_code {resource_code}.</t>
  </si>
  <si>
    <t>Show rejected stock for item_code {item_code}.</t>
  </si>
  <si>
    <t>Show standard production for machine /resource_code {resource_code}.</t>
  </si>
  <si>
    <t>SELECT 
    TNO,
    ENAME,
    EMP_ORG_NAME,
    EMP_DEPT,
    PERIOD_NAME,
    SUPV_NAME,
    SUM(TOTINCN) AS TOTAL_INCENTIVE,
    AVG(TOTINCN) AS AVG_INCENTIVE,
    SUM(MEASURED) AS TOTAL_MEASURED_minutes,
    AVG(PERFORMANCE_INDEX) AS AVG_PERFORMANCE_INDEX
FROM 
    KPCL_REPORTING.KPC_FULL_KIT_DOCKET_EMP
WHERE 
    TNO LIKE '%{token_number}%'
GROUP BY 
    TNO,
    ENAME,
    EMP_ORG_NAME,
    EMP_DEPT,
    PERIOD_NAME,
    SUPV_NAME
ORDER BY 
    PERIOD_NAME DESC;</t>
  </si>
  <si>
    <t>Show rejected stock for /item_code {item_code}.</t>
  </si>
  <si>
    <t>standard production for machine resource code</t>
  </si>
  <si>
    <t>token_number</t>
  </si>
  <si>
    <t>rejected stock for item code</t>
  </si>
  <si>
    <t>SELECT 
    RESOURCE_CODE,
    RESOURCE_DESC,
    SUM(STD_PRODUCTION) AS TOTAL_STANDARD_PRODUCTION
FROM 
    KPCL_REPORTING.KPC_FK_DOCKET_IDLE_REPORT
WHERE 
   RESOURCE_CODE LIKE '%{resource_code}%' AND IDLE_REASON LIKE 'Operator Absent'
GROUP BY 
    RESOURCE_CODE,
    RESOURCE_DESC;</t>
  </si>
  <si>
    <t>SELECT 
    ITEM_CODE,
    ITEM_DESCRIPTION,
    SUM(STOCK_REJ_SUB_INV) AS TOTAL_REJECTED_STOCK
FROM 
    KPCL_REPORTING.DERIVED_PO_BOARD
WHERE 
    ITEM_CODE LIKE '%{item_code}%' AND REQ_QTY_MONTH = UPPER(TO_CHAR(SYSDATE, 'MON-YYYY'))
GROUP BY 
    ITEM_CODE,
    ITEM_DESCRIPTION;</t>
  </si>
  <si>
    <t>View comparison of actual production and standard production.</t>
  </si>
  <si>
    <t>Compare actual production and standard production.</t>
  </si>
  <si>
    <t>actual production and standard production</t>
  </si>
  <si>
    <t>SELECT 
    PRODUCED, 
    STD_PRODN 
FROM 
    KPCL_REPORTING.KPC_FULL_KIT_DOCKET_EMP;</t>
  </si>
  <si>
    <t>View standard production during month_period {month_period}.</t>
  </si>
  <si>
    <t>View standard production during /month_period {month_period}.</t>
  </si>
  <si>
    <t>standard production during month period</t>
  </si>
  <si>
    <t>SELECT 
    RESOURCE_CODE,
    RESOURCE_DESC,
    SUM(STD_PRODUCTION) AS TOTAL_STANDARD_PRODUCTION
FROM 
    KPCL_REPORTING.KPC_FK_DOCKET_IDLE_REPORT
WHERE 
    (MONTH_PERIOD) LIKE ('%{month_period}%') AND IDLE_REASON LIKE 'Operator Absent'
GROUP BY 
    RESOURCE_CODE,
    RESOURCE_DESC
ORDER BY 
    TOTAL_STANDARD_PRODUCTION DESC;</t>
  </si>
  <si>
    <t>View items with stock below safety stock.</t>
  </si>
  <si>
    <t>Show items with stock below safety stock.</t>
  </si>
  <si>
    <t>items with stock below safety stock</t>
  </si>
  <si>
    <t>SELECT 
    ITEM_CODE,
    SUM(STOCK_GENERAL_STORE + STOCK_PENDING_INSP + STOCK_PEND_IN_POSTING + STOCK_REJ_SUB_INV + STOCK_SUP_SUB_INV) AS TOTAL_STOCK,
    SAFETY_STOCK
FROM 
    KPCL_REPORTING.DERIVED_PO_BOARD
WHERE REQ_QTY_MONTH = UPPER(TO_CHAR(SYSDATE, 'MON-YYYY'))
GROUP BY 
    ITEM_CODE, 
    SAFETY_STOCK
HAVING 
    SUM(STOCK_GENERAL_STORE + STOCK_PENDING_INSP + STOCK_PEND_IN_POSTING + STOCK_REJ_SUB_INV + STOCK_SUP_SUB_INV) &lt; SAFETY_STOCK;</t>
  </si>
  <si>
    <t>Display comparison of departments by incentive.</t>
  </si>
  <si>
    <t>Compare departments by incentive.</t>
  </si>
  <si>
    <t>employee departments by incentive</t>
  </si>
  <si>
    <t>SELECT 
    EMP_DEPT, 
    SUM(INCENTIVE) AS TOTAL_INCENTIVE, 
    AVG(INCENTIVE) AS AVERAGE_INCENTIVE 
FROM 
    KPCL_REPORTING.KPC_FULL_KIT_DOCKET_EMP 
GROUP BY 
    EMP_DEPT;</t>
  </si>
  <si>
    <t>View standard production during week_period {week_period}.</t>
  </si>
  <si>
    <t>View standard production during /week_period {week_period}.</t>
  </si>
  <si>
    <t>standard production during week period</t>
  </si>
  <si>
    <t>SELECT 
    RESOURCE_CODE,
    RESOURCE_DESC,
    SUM(STD_PRODUCTION) AS TOTAL_STANDARD_PRODUCTION
FROM 
    KPCL_REPORTING.KPC_FK_DOCKET_IDLE_REPORT
WHERE 
    (WEEK_PERIOD) LIKE ('%{week_period}%') AND IDLE_REASON LIKE 'Operator Absent'
GROUP BY 
    RESOURCE_CODE,
    RESOURCE_DESC
ORDER BY 
    TOTAL_STANDARD_PRODUCTION DESC;</t>
  </si>
  <si>
    <t>Show items with stock above safety stock.</t>
  </si>
  <si>
    <t>items with stock above safety stock</t>
  </si>
  <si>
    <t>Show comparison of departments by performance.</t>
  </si>
  <si>
    <t>Compare departments by performance.</t>
  </si>
  <si>
    <t>SELECT 
    ITEM_CODE,
    SUM(STOCK_GENERAL_STORE + STOCK_PENDING_INSP + STOCK_PEND_IN_POSTING + STOCK_REJ_SUB_INV + STOCK_SUP_SUB_INV) AS TOTAL_STOCK,
    SAFETY_STOCK
FROM 
    KPCL_REPORTING.DERIVED_PO_BOARD
WHERE REQ_QTY_MONTH = UPPER(TO_CHAR(SYSDATE, 'MON-YYYY'))
GROUP BY 
    ITEM_CODE, 
    SAFETY_STOCK
HAVING 
    SUM(STOCK_GENERAL_STORE + STOCK_PENDING_INSP + STOCK_PEND_IN_POSTING + STOCK_REJ_SUB_INV + STOCK_SUP_SUB_INV) &gt; SAFETY_STOCK;</t>
  </si>
  <si>
    <t>employee departments by performance</t>
  </si>
  <si>
    <t>SELECT 
    EMP_DEPT, 
    AVG(PERFORMANCE_INDEX) 
FROM 
    KPCL_REPORTING.KPC_FULL_KIT_DOCKET_EMP 
GROUP BY 
    EMP_DEPT;</t>
  </si>
  <si>
    <t>View standard production during year_period {year_period}.</t>
  </si>
  <si>
    <t>View standard production during /year_period {year_period}.</t>
  </si>
  <si>
    <t xml:space="preserve">standard production during year period </t>
  </si>
  <si>
    <t>SELECT 
    RESOURCE_CODE,
    RESOURCE_DESC,
    SUM(STD_PRODUCTION) AS TOTAL_STANDARD_PRODUCTION
FROM 
    KPCL_REPORTING.KPC_FK_DOCKET_IDLE_REPORT
WHERE 
    (YEAR_PERIOD) LIKE ('%{year_period}%') AND IDLE_REASON LIKE 'Operator Absent'
GROUP BY 
    RESOURCE_CODE,
    RESOURCE_DESC
ORDER BY 
    TOTAL_STANDARD_PRODUCTION DESC;</t>
  </si>
  <si>
    <t>Display comparison of stock and safety stock by item.</t>
  </si>
  <si>
    <t>View comparison of departments by production.</t>
  </si>
  <si>
    <t>Compare departments by production.</t>
  </si>
  <si>
    <t>Compare stock and safety stock by item.</t>
  </si>
  <si>
    <t>employee departments by production</t>
  </si>
  <si>
    <t>stock and safety stock by item</t>
  </si>
  <si>
    <t>SELECT 
    EMP_DEPT, 
    SUM(PRODUCED) 
FROM 
    KPCL_REPORTING.KPC_FULL_KIT_DOCKET_EMP 
GROUP BY 
    EMP_DEPT;</t>
  </si>
  <si>
    <t>SELECT 
    ITEM_CODE,
    SUM(STOCK_GENERAL_STORE + STOCK_PENDING_INSP + STOCK_PEND_IN_POSTING + STOCK_REJ_SUB_INV + STOCK_SUP_SUB_INV) AS TOTAL_STOCK,
    SAFETY_STOCK,
    (SUM(STOCK_GENERAL_STORE + STOCK_PENDING_INSP + STOCK_PEND_IN_POSTING + STOCK_REJ_SUB_INV + STOCK_SUP_SUB_INV) - SAFETY_STOCK) AS VARIANCE
FROM 
    KPCL_REPORTING.DERIVED_PO_BOARD
WHERE REQ_QTY_MONTH = UPPER(TO_CHAR(SYSDATE, 'MON-YYYY'))
GROUP BY 
    ITEM_CODE, 
    SAFETY_STOCK;</t>
  </si>
  <si>
    <t>Show comparison of actual and standard production for machine resource_code {resource_code}.</t>
  </si>
  <si>
    <t>Compare actual and standard production for machine /resource_code {resource_code}.</t>
  </si>
  <si>
    <t>actual and standard production for machine resource code</t>
  </si>
  <si>
    <t>SELECT 
    RESOURCE_CODE,
    RESOURCE_DESC,
    SUM(STD_PRODUCTION) AS TOTAL_STANDARD_PRODUCTION,
    SUM(TOTAL_QUANTITY) AS TOTAL_ACTUAL_PRODUCTION,
    (SUM(TOTAL_QUANTITY) - SUM(STD_PRODUCTION)) AS PRODUCTION_VARIANCE,
    CASE 
        WHEN SUM(STD_PRODUCTION) &gt; 0 
        THEN ROUND((SUM(TOTAL_QUANTITY) / SUM(STD_PRODUCTION)) * 100, 2)
        ELSE 0 
    END AS ACHIEVEMENT_PERCENTAGE
FROM 
    KPCL_REPORTING.KPC_FK_DOCKET_IDLE_REPORT
WHERE 
   RESOURCE_CODE LIKE '%{resource_code}%' AND IDLE_REASON LIKE 'Operator Absent'
GROUP BY 
    RESOURCE_CODE,
    RESOURCE_DESC;</t>
  </si>
  <si>
    <t>Display comparison of employees by incentive.</t>
  </si>
  <si>
    <t>Compare employees by incentive.</t>
  </si>
  <si>
    <t>employees by incentive</t>
  </si>
  <si>
    <t>SELECT 
    TNO, 
    ENAME, 
    SUM(INCENTIVE) 
FROM 
    KPCL_REPORTING.KPC_FULL_KIT_DOCKET_EMP 
GROUP BY 
    TNO, 
    ENAME;</t>
  </si>
  <si>
    <t>Display comparison of stock and demand by item.</t>
  </si>
  <si>
    <t>Compare stock and demand by item.</t>
  </si>
  <si>
    <t>stock and demand by item</t>
  </si>
  <si>
    <t>SELECT 
    ITEM_CODE,
    SUM(STOCK_GENERAL_STORE + STOCK_PENDING_INSP + STOCK_PEND_IN_POSTING + STOCK_REJ_SUB_INV + STOCK_SUP_SUB_INV) AS TOTAL_STOCK,
    SUM(TOTAL_DEMAND) AS TOTAL_DEMAND,
    (SUM(STOCK_GENERAL_STORE + STOCK_PENDING_INSP + STOCK_PEND_IN_POSTING + STOCK_REJ_SUB_INV + STOCK_SUP_SUB_INV) - SUM(TOTAL_DEMAND)) AS STOCK_DEMAND_VARIANCE
FROM 
    KPCL_REPORTING.DERIVED_PO_BOARD
WHERE REQ_QTY_MONTH = UPPER(TO_CHAR(SYSDATE, 'MON-YYYY'))
GROUP BY 
    ITEM_CODE;</t>
  </si>
  <si>
    <t>Show machines below standard production by percentage {percentage}.</t>
  </si>
  <si>
    <t>Show machines below standard production by /percentage {percentage}.</t>
  </si>
  <si>
    <t>machines below standard production by percentage</t>
  </si>
  <si>
    <t>View comparison of employees by performance.</t>
  </si>
  <si>
    <t>SELECT 
    RESOURCE_CODE,
    RESOURCE_DESC,
    SUM(STD_PRODUCTION) AS TOTAL_STANDARD_PRODUCTION,
    SUM(TOTAL_QUANTITY) AS TOTAL_ACTUAL_PRODUCTION,
    CASE 
        WHEN SUM(STD_PRODUCTION) &gt; 0 
        THEN ROUND((SUM(TOTAL_QUANTITY) / SUM(STD_PRODUCTION)) * 100, 2)
        ELSE 0 
    END AS ACHIEVEMENT_PERCENTAGE
FROM 
    KPCL_REPORTING.KPC_FK_DOCKET_IDLE_REPORT
WHERE IDLE_REASON LIKE 'Operator Absent'
GROUP BY 
    RESOURCE_CODE,
    RESOURCE_DESC
HAVING 
    (CASE 
        WHEN SUM(STD_PRODUCTION) &gt; 0 
        THEN (SUM(TOTAL_QUANTITY) / SUM(STD_PRODUCTION)) * 100
        ELSE 0 
     END) &lt; (100 - {percentage})
ORDER BY 
    ACHIEVEMENT_PERCENTAGE ASC;</t>
  </si>
  <si>
    <t>Compare employees by performance.</t>
  </si>
  <si>
    <t>employees by performance</t>
  </si>
  <si>
    <t>SELECT 
    TNO, 
    ENAME, 
    AVG(PERFORMANCE_INDEX) 
FROM 
    KPCL_REPORTING.KPC_FULL_KIT_DOCKET_EMP 
GROUP BY 
    TNO, 
    ENAME;</t>
  </si>
  <si>
    <t>View total demand.</t>
  </si>
  <si>
    <t>Show total demand.</t>
  </si>
  <si>
    <t>total demand</t>
  </si>
  <si>
    <t>SELECT 
    ITEM_CODE,
    SUM(TOTAL_DEMAND) AS AGGREGATE_DEMAND
FROM 
    KPCL_REPORTING.DERIVED_PO_BOARD
WHERE REQ_QTY_MONTH = UPPER(TO_CHAR(SYSDATE, 'MON-YYYY'))
GROUP BY 
    ITEM_CODE;</t>
  </si>
  <si>
    <t>View total operation time.</t>
  </si>
  <si>
    <t>Show total operation time.</t>
  </si>
  <si>
    <t>View comparison of employees by production.</t>
  </si>
  <si>
    <t>total operation time</t>
  </si>
  <si>
    <t>Compare employees by production.</t>
  </si>
  <si>
    <t>employees by production</t>
  </si>
  <si>
    <t>SELECT 
    RESOURCE_CODE,
    RESOURCE_DESC,
    SUM(NVL(OPERATION_TIME, 0)) AS TOTAL_OPERATION_TIME,
    ROUND(AVG(NVL(OPERATION_TIME, 0)), 2) AS AVG_OPERATION_TIME
FROM 
    KPCL_REPORTING.KPC_FK_DOCKET_IDLE_REPORT
WHERE IDLE_REASON LIKE 'Operator Absent'
GROUP BY 
    RESOURCE_CODE,
    RESOURCE_DESC
ORDER BY 
    TOTAL_OPERATION_TIME DESC;</t>
  </si>
  <si>
    <t>SELECT 
    TNO, 
    ENAME, 
    SUM(PRODUCED) 
FROM 
    KPCL_REPORTING.KPC_FULL_KIT_DOCKET_EMP 
GROUP BY 
    TNO, 
    ENAME;</t>
  </si>
  <si>
    <t>Show MRP demand.</t>
  </si>
  <si>
    <t>mRP demand</t>
  </si>
  <si>
    <t>Show comparison of employees by total incentive.</t>
  </si>
  <si>
    <t>Display operation time by machine.</t>
  </si>
  <si>
    <t>SELECT 
    ITEM_CODE,
    SUM(MRP_DEMAND) AS TOTAL_MRP_DEMAND
FROM 
    KPCL_REPORTING.DERIVED_PO_BOARD
WHERE REQ_QTY_MONTH = UPPER(TO_CHAR(SYSDATE, 'MON-YYYY'))
GROUP BY 
    ITEM_CODE;</t>
  </si>
  <si>
    <t>Compare employees by total incentive.</t>
  </si>
  <si>
    <t>View operation time by machine.</t>
  </si>
  <si>
    <t>employees by total incentive</t>
  </si>
  <si>
    <t>operation time by machine</t>
  </si>
  <si>
    <t>SELECT 
    TNO, 
    ENAME, 
    SUM(TOTINCN) 
FROM 
    KPCL_REPORTING.KPC_FULL_KIT_DOCKET_EMP 
GROUP BY 
    TNO, 
    ENAME;</t>
  </si>
  <si>
    <t>SELECT 
    RESOURCE_CODE,
    RESOURCE_DESC,
    SUM(NVL(OPERATION_TIME, 0)) AS TOTAL_OPERATION_MINUTES,
    ROUND(SUM(NVL(OPERATION_TIME, 0)) / 60, 2) AS TOTAL_OPERATION_HOURS
FROM 
    KPCL_REPORTING.KPC_FK_DOCKET_IDLE_REPORT
WHERE IDLE_REASON LIKE 'Operator Absent'
GROUP BY 
    RESOURCE_CODE,
    RESOURCE_DESC
ORDER BY 
    TOTAL_OPERATION_MINUTES DESC;</t>
  </si>
  <si>
    <t>Show comparison of incentive schemes.</t>
  </si>
  <si>
    <t>Compare incentive schemes.</t>
  </si>
  <si>
    <t>incentive schemes</t>
  </si>
  <si>
    <t>Display operation time by organization.</t>
  </si>
  <si>
    <t>SELECT 
    INCNSCHM, 
    AVG(INCENTIVE) 
FROM 
    KPCL_REPORTING.KPC_FULL_KIT_DOCKET_EMP 
GROUP BY 
    INCNSCHM;</t>
  </si>
  <si>
    <t>Show operation time by organization.</t>
  </si>
  <si>
    <t>Display total demand by organization.</t>
  </si>
  <si>
    <t>operation time by organization</t>
  </si>
  <si>
    <t>Show total demand by organization.</t>
  </si>
  <si>
    <t>SELECT 
    ORG_NAME,
    SUM(NVL(OPERATION_TIME, 0)) AS TOTAL_OPERATION_MINUTES,
    ROUND(SUM(NVL(OPERATION_TIME, 0)) / 60, 2) AS TOTAL_OPERATION_HOURS
FROM 
    KPCL_REPORTING.KPC_FK_DOCKET_IDLE_REPORT
WHERE IDLE_REASON LIKE 'Operator Absent'
GROUP BY 
    ORG_NAME
ORDER BY 
    TOTAL_OPERATION_MINUTES DESC;</t>
  </si>
  <si>
    <t>total demand by organization</t>
  </si>
  <si>
    <t>SELECT 
    ORG_NAME,
    SUM(TOTAL_DEMAND) AS TOTAL_DEMAND_BY_ORG
FROM 
    KPCL_REPORTING.DERIVED_PO_BOARD
WHERE REQ_QTY_MONTH = UPPER(TO_CHAR(SYSDATE, 'MON-YYYY'))
GROUP BY 
    ORG_NAME;</t>
  </si>
  <si>
    <t>Show comparison of incentives across organizations.</t>
  </si>
  <si>
    <t>Compare incentives across organizations.</t>
  </si>
  <si>
    <t>incentives across organizations</t>
  </si>
  <si>
    <t>SELECT 
    ORG_NAME, 
    SUM(INCENTIVE) 
FROM 
    KPCL_REPORTING.KPC_FULL_KIT_DOCKET_EMP 
GROUP BY 
    ORG_NAME;</t>
  </si>
  <si>
    <t>Display operation time by division.</t>
  </si>
  <si>
    <t>View operation time by division.</t>
  </si>
  <si>
    <t>operation time by division</t>
  </si>
  <si>
    <t>SELECT 
    DIV_CODE AS DIVISION,
    SUM(NVL(OPERATION_TIME, 0)) AS TOTAL_OPERATION_MINUTES,
    ROUND(SUM(NVL(OPERATION_TIME, 0)) / 60, 2) AS TOTAL_OPERATION_HOURS
FROM 
    KPCL_REPORTING.KPC_FK_DOCKET_IDLE_REPORT
WHERE IDLE_REASON LIKE 'Operator Absent'
GROUP BY 
    DIV_CODE
ORDER BY 
    TOTAL_OPERATION_MINUTES DESC;</t>
  </si>
  <si>
    <t>Show total demand by item.</t>
  </si>
  <si>
    <t>total demand by item</t>
  </si>
  <si>
    <t>Display comparison of LPI across departments.</t>
  </si>
  <si>
    <t>SELECT 
    ITEM_CODE,
    SUM(TOTAL_DEMAND) AS TOTAL_DEMAND_BY_ITEM
FROM 
    KPCL_REPORTING.DERIVED_PO_BOARD
WHERE REQ_QTY_MONTH = UPPER(TO_CHAR(SYSDATE, 'MON-YYYY'))
GROUP BY 
    ITEM_CODE;</t>
  </si>
  <si>
    <t>Compare LPI across departments.</t>
  </si>
  <si>
    <t>LPI across employee departments</t>
  </si>
  <si>
    <t>SELECT 
    EMP_DEPT, 
    AVG(LPI) 
FROM 
    KPCL_REPORTING.KPC_FULL_KIT_DOCKET_EMP 
GROUP BY 
    EMP_DEPT;</t>
  </si>
  <si>
    <t>View operation time trend.</t>
  </si>
  <si>
    <t>Show operation time trend.</t>
  </si>
  <si>
    <t>operation time trend</t>
  </si>
  <si>
    <t>SELECT 
    TO_CHAR(UTILIZATION_DATE, 'YYYY-MM') AS TREND_MONTH,
    SUM(NVL(OPERATION_TIME, 0)) AS TOTAL_OPERATION_MINUTES,
    ROUND(SUM(NVL(OPERATION_TIME, 0)) / 60, 2) AS TOTAL_OPERATION_HOURS
FROM 
    KPCL_REPORTING.KPC_FK_DOCKET_IDLE_REPORT
WHERE IDLE_REASON LIKE 'Operator Absent'
GROUP BY 
    TO_CHAR(UTILIZATION_DATE, 'YYYY-MM')
ORDER BY 
    TREND_MONTH ASC;</t>
  </si>
  <si>
    <t>Show comparison of measured and produced values.</t>
  </si>
  <si>
    <t>Compare measured and produced values.</t>
  </si>
  <si>
    <t>measured and produced values</t>
  </si>
  <si>
    <t>SELECT 
    TNO,
    ENAME
    MEASURED, 
    PRODUCED 
FROM 
    KPCL_REPORTING.KPC_FULL_KIT_DOCKET_EMP
    ORDER BY TNO;</t>
  </si>
  <si>
    <t>Show MRP demand by item.</t>
  </si>
  <si>
    <t>mRP demand by item</t>
  </si>
  <si>
    <t>SELECT 
    ITEM_CODE,
    SUM(MRP_DEMAND) AS MRP_DEMAND
FROM 
    KPCL_REPORTING.DERIVED_PO_BOARD
WHERE REQ_QTY_MONTH = UPPER(TO_CHAR(SYSDATE, 'MON-YYYY'))
GROUP BY 
    ITEM_CODE;</t>
  </si>
  <si>
    <t>Show operation time for machine resource_code {resource_code}.</t>
  </si>
  <si>
    <t>Show operation time for machine /resource_code {resource_code}.</t>
  </si>
  <si>
    <t>View comparison of measured and worked minutes.</t>
  </si>
  <si>
    <t>operation time for machine resource code</t>
  </si>
  <si>
    <t>Compare measured and worked minutes.</t>
  </si>
  <si>
    <t>measured and worked minutes</t>
  </si>
  <si>
    <t>SELECT 
    RESOURCE_CODE,
    RESOURCE_DESC,
    SUM(NVL(OPERATION_TIME, 0)) AS TOTAL_OPERATION_MINUTES,
    ROUND(SUM(NVL(OPERATION_TIME, 0)) / 60, 2) AS TOTAL_OPERATION_HOURS
FROM 
    KPCL_REPORTING.KPC_FK_DOCKET_IDLE_REPORT
WHERE 
    RESOURCE_CODE LIKE '%{resource_code}%' AND IDLE_REASON LIKE 'Operator Absent'
GROUP BY 
    RESOURCE_CODE,
    RESOURCE_DESC;</t>
  </si>
  <si>
    <t>SELECT 
    TNO, 
    ENAME, 
    MEASURED, 
    WORKED 
FROM 
    KPCL_REPORTING.KPC_FULL_KIT_DOCKET_EMP
    ORDER BY TNO;</t>
  </si>
  <si>
    <t>Display demand for item_code {item_code}.</t>
  </si>
  <si>
    <t>Show demand for /item_code {item_code}.</t>
  </si>
  <si>
    <t>demand for item code</t>
  </si>
  <si>
    <t>SELECT 
    ITEM_CODE,
    ITEM_DESCRIPTION,
    SUM(MRP_DEMAND) AS TOTAL_MRP_DEMAND,
    SUM(TOTAL_DEMAND) AS OVERALL_DEMAND
FROM 
    KPCL_REPORTING.DERIVED_PO_BOARD
WHERE 
    ITEM_CODE LIKE '%{item_code}%'
GROUP BY 
    ITEM_CODE,
    ITEM_DESCRIPTION;</t>
  </si>
  <si>
    <t>Display comparison of organizations by incentive.</t>
  </si>
  <si>
    <t>Display operation time for div_code {div_code}.</t>
  </si>
  <si>
    <t>Compare organizations by incentive.</t>
  </si>
  <si>
    <t>Show operation time for /div_code {div_code}.</t>
  </si>
  <si>
    <t>organizations by incentive</t>
  </si>
  <si>
    <t>operation time for div code</t>
  </si>
  <si>
    <t>SELECT 
    ORG_ID, 
    ORG_NAME, 
    SUM(INCENTIVE) 
FROM 
    KPCL_REPORTING.KPC_FULL_KIT_DOCKET_EMP 
GROUP BY 
    ORG_ID, 
    ORG_NAME 
ORDER BY 
    ORG_ID;</t>
  </si>
  <si>
    <t>SELECT 
    DIV_CODE AS DIVISION,
    RESOURCE_CODE,
    RESOURCE_DESC,
    SUM(NVL(OPERATION_TIME, 0)) AS TOTAL_OPERATION_MINUTES,
    ROUND(SUM(NVL(OPERATION_TIME, 0)) / 60, 2) AS TOTAL_OPERATION_HOURS
FROM 
    KPCL_REPORTING.KPC_FK_DOCKET_IDLE_REPORT
WHERE 
    (DIV_CODE) LIKE ('%{div_code}%') AND IDLE_REASON LIKE 'Operator Absent'
GROUP BY 
    DIV_CODE,
    RESOURCE_CODE,
    RESOURCE_DESC
ORDER BY 
    TOTAL_OPERATION_MINUTES DESC;</t>
  </si>
  <si>
    <t>Display comparison of organizations by performance.</t>
  </si>
  <si>
    <t>Compare organizations by performance.</t>
  </si>
  <si>
    <t>organizations by performance</t>
  </si>
  <si>
    <t>SELECT 
    ORG_ID, 
    ORG_NAME, 
    ROUND(AVG(PERFORMANCE_INDEX), 4) 
FROM 
    KPCL_REPORTING.KPC_FULL_KIT_DOCKET_EMP 
GROUP BY 
    ORG_ID, 
    ORG_NAME 
ORDER BY 
    ORG_ID;</t>
  </si>
  <si>
    <t>Display operation time during month_period {month_period}.</t>
  </si>
  <si>
    <t>Display operation time during /month_period {month_period}.</t>
  </si>
  <si>
    <t>operation time during month period</t>
  </si>
  <si>
    <t>SELECT 
    RESOURCE_CODE,
    RESOURCE_DESC,
    SUM(NVL(OPERATION_TIME, 0)) AS TOTAL_OPERATION_TIME
FROM 
    KPCL_REPORTING.KPC_FK_DOCKET_IDLE_REPORT
WHERE 
    (
        MONTH_PERIOD LIKE '%{month_period}%' AND IDLE_REASON LIKE 'Operator Absent'
    )
GROUP BY 
    RESOURCE_CODE,
    RESOURCE_DESC
ORDER BY 
    TOTAL_OPERATION_TIME DESC;</t>
  </si>
  <si>
    <t>Show comparison of organizations by production.</t>
  </si>
  <si>
    <t>Compare organizations by production.</t>
  </si>
  <si>
    <t>organizations by production</t>
  </si>
  <si>
    <t>SELECT 
    ORG_ID, 
    ORG_NAME, 
    SUM(PRODUCED) 
FROM 
    KPCL_REPORTING.KPC_FULL_KIT_DOCKET_EMP 
GROUP BY 
    ORG_ID, 
    ORG_NAME 
ORDER BY 
    ORG_ID;</t>
  </si>
  <si>
    <t>Display operation time during week_period {week_period}.</t>
  </si>
  <si>
    <t>Display operation time during /week_period {week_period}.</t>
  </si>
  <si>
    <t xml:space="preserve">operation time during week period </t>
  </si>
  <si>
    <t>SELECT 
    RESOURCE_CODE,
    RESOURCE_DESC,
    SUM(NVL(OPERATION_TIME, 0)) AS TOTAL_OPERATION_TIME,
    ROUND(AVG(NVL(OPERATION_TIME, 0)), 2) AS AVG_OPERATION_TIME
FROM 
    KPCL_REPORTING.KPC_FK_DOCKET_IDLE_REPORT
WHERE 
    (
        WEEK_PERIOD LIKE '%{week_period}%' AND IDLE_REASON LIKE 'Operator Absent'
    )
GROUP BY 
    RESOURCE_CODE,
    RESOURCE_DESC
ORDER BY 
    TOTAL_OPERATION_TIME DESC;</t>
  </si>
  <si>
    <t>Display operation time during year_period {year_period}.</t>
  </si>
  <si>
    <t>Display operation time during /year_period {year_period}.</t>
  </si>
  <si>
    <t>operation time during year_period</t>
  </si>
  <si>
    <t>Show comparison of present minutes across departments.</t>
  </si>
  <si>
    <t>Compare present minutes across departments.</t>
  </si>
  <si>
    <t>present minutes across employee departments</t>
  </si>
  <si>
    <t>SELECT 
    RESOURCE_CODE,
    RESOURCE_DESC,
    SUM(NVL(OPERATION_TIME, 0)) AS TOTAL_OPERATION_TIME,
    ROUND(AVG(NVL(OPERATION_TIME, 0)), 2) AS AVG_OPERATION_TIME
FROM 
    KPCL_REPORTING.KPC_FK_DOCKET_IDLE_REPORT
WHERE 
    (
        YEAR_PERIOD LIKE '%{year_period}%' AND IDLE_REASON LIKE 'Operator Absent'
    )
GROUP BY 
    RESOURCE_CODE,
    RESOURCE_DESC
ORDER BY 
    TOTAL_OPERATION_TIME DESC;</t>
  </si>
  <si>
    <t>SELECT 
    EMP_DEPT, 
    SUM(PRESENT) 
FROM 
    KPCL_REPORTING.KPC_FULL_KIT_DOCKET_EMP 
GROUP BY 
    EMP_DEPT 
ORDER BY 
    EMP_DEPT;</t>
  </si>
  <si>
    <t>Display comparison of production between employees.</t>
  </si>
  <si>
    <t>Compare production between employees.</t>
  </si>
  <si>
    <t>production between employees</t>
  </si>
  <si>
    <t>View machines with operation time above minutes {minutes}.</t>
  </si>
  <si>
    <t>SELECT
    TNO,
    ENAME,
    SUM(PRODUCED) AS TOTAL_PRODUCED,
    SUM(STD_PRODN) AS TOTAL_STANDARD_PRODUCTION
FROM KPCL_REPORTING.KPC_FULL_KIT_DOCKET_EMP
GROUP BY TNO, ENAME
ORDER BY TOTAL_PRODUCED DESC;</t>
  </si>
  <si>
    <t>Show machines with operation time above /minutes {minutes}.</t>
  </si>
  <si>
    <t>machines with operation time above minutes</t>
  </si>
  <si>
    <t>SELECT 
    RESOURCE_CODE,
    RESOURCE_DESC,
    SUM(NVL(OPERATION_TIME, 0)) AS TOTAL_OPERATION_MINUTES,
    ROUND(SUM(NVL(OPERATION_TIME, 0)) / 60, 2) AS TOTAL_OPERATION_HOURS
FROM 
    KPCL_REPORTING.KPC_FK_DOCKET_IDLE_REPORT
WHERE IDLE_REASON LIKE 'Operator Absent'
GROUP BY 
    RESOURCE_CODE,
    RESOURCE_DESC
HAVING 
    SUM(NVL(OPERATION_TIME, 0)) &gt; %{minutes}%
ORDER BY 
    TOTAL_OPERATION_MINUTES DESC;</t>
  </si>
  <si>
    <t>minutes</t>
  </si>
  <si>
    <t>Show comparison of SBUs by performance.</t>
  </si>
  <si>
    <t>Compare SBUs by performance.</t>
  </si>
  <si>
    <t>SBUs by performance</t>
  </si>
  <si>
    <t>SELECT 
    ORG_NAME, 
    ROUND(AVG(PERFORMANCE_INDEX), 4) AS AVG_PERFORMANCE
FROM 
    KPCL_REPORTING.KPC_FULL_KIT_DOCKET_EMP 
GROUP BY 
    ORG_NAME
ORDER BY 
    ORG_NAME;</t>
  </si>
  <si>
    <t>View machines with operation time below minutes {minutes}.</t>
  </si>
  <si>
    <t>Show machines with operation time below /minutes {minutes}.</t>
  </si>
  <si>
    <t>machines with operation time below minutes</t>
  </si>
  <si>
    <t>SELECT 
    RESOURCE_CODE,
    RESOURCE_DESC,
    SUM(NVL(OPERATION_TIME, 0)) AS TOTAL_OPERATION_MINUTES,
    ROUND(SUM(NVL(OPERATION_TIME, 0)) / 60, 2) AS TOTAL_OPERATION_HOURS
FROM 
    KPCL_REPORTING.KPC_FK_DOCKET_IDLE_REPORT
WHERE IDLE_REASON LIKE 'Operator Absent'
GROUP BY 
    RESOURCE_CODE,
    RESOURCE_DESC
HAVING 
    SUM(NVL(OPERATION_TIME, 0)) &lt; %{minutes}%
ORDER BY 
    TOTAL_OPERATION_MINUTES ASC;</t>
  </si>
  <si>
    <t>Display demand for Supplier {Supplier}.</t>
  </si>
  <si>
    <t>Display comparison of SBUs by production.</t>
  </si>
  <si>
    <t>Compare SBUs by production.</t>
  </si>
  <si>
    <t>Show demand for /Supplier {Supplier}.</t>
  </si>
  <si>
    <t>SBUs by production</t>
  </si>
  <si>
    <t>demand for Supplier</t>
  </si>
  <si>
    <t>SELECT 
    ORG_ID, 
    ORG_NAME, 
    SUM(PRODUCED) AS TOTAL_PRODUCTION
FROM 
    KPCL_REPORTING.KPC_FULL_KIT_DOCKET_EMP 
GROUP BY 
    ORG_ID, 
    ORG_NAME 
ORDER BY 
    ORG_ID;</t>
  </si>
  <si>
    <t>SELECT 
    SUPPLIER,
    SUM(MRP_DEMAND) AS TOTAL_MRP_DEMAND,
    SUM(TOTAL_DEMAND) AS OVERALL_DEMAND
FROM 
    KPCL_REPORTING.DERIVED_PO_BOARD
WHERE 
    SUPPLIER LIKE '%{supplier}%' AND REQ_QTY_MONTH = UPPER(TO_CHAR(SYSDATE, 'MON-YYYY'))
GROUP BY 
    SUPPLIER
ORDER BY 
    OVERALL_DEMAND DESC;</t>
  </si>
  <si>
    <t>View comparison of operation time between machine resource_code {resource_code} and resource_code {resource_code}.</t>
  </si>
  <si>
    <t>Compare operation time between machine /resource_code {resource_code} and /resource_code {resource_code}.</t>
  </si>
  <si>
    <t>operation time between machine resource code and resource code</t>
  </si>
  <si>
    <t>SELECT 
    RESOURCE_CODE,
    RESOURCE_DESC,
    SUM(NVL(OPERATION_TIME, 0)) AS TOTAL_OPERATION_MINUTES,
    ROUND(SUM(NVL(OPERATION_TIME, 0)) / 60, 2) AS TOTAL_OPERATION_HOURS
FROM 
    KPCL_REPORTING.KPC_FK_DOCKET_IDLE_REPORT
WHERE 
    RESOURCE_CODE LIKE '%{resource_code}%' 
   AND IDLE_REASON LIKE 'Operator Absent'
GROUP BY 
    RESOURCE_CODE,
    RESOURCE_DESC;</t>
  </si>
  <si>
    <t>Display comparison of supervisors by performance.</t>
  </si>
  <si>
    <t>Compare supervisors by performance.</t>
  </si>
  <si>
    <t>supervisors by performance</t>
  </si>
  <si>
    <t>SELECT 
    SUPV_ID, 
    SUPV_NAME, 
    ROUND(AVG(PERFORMANCE_INDEX), 4) AS AVG_PERFORMANCE
FROM 
    KPCL_REPORTING.KPC_FULL_KIT_DOCKET_EMP 
GROUP BY 
    SUPV_ID, 
    SUPV_NAME
ORDER BY 
    SUPV_ID;</t>
  </si>
  <si>
    <t>Display total setting time.</t>
  </si>
  <si>
    <t>Show total setting time.</t>
  </si>
  <si>
    <t>total setting time</t>
  </si>
  <si>
    <t>Show comparison of supervisors by production.</t>
  </si>
  <si>
    <t>SELECT 
    RESOURCE_CODE,
    RESOURCE_DESC,
    SUM(SETTING_TIME) AS TOTAL_SETTING_TIME
FROM 
    KPCL_REPORTING.KPC_FK_DOCKET_IDLE_REPORT
WHERE IDLE_REASON LIKE 'Operator Absent'
GROUP BY 
    RESOURCE_CODE,
    RESOURCE_DESC
ORDER BY 
    TOTAL_SETTING_TIME DESC;</t>
  </si>
  <si>
    <t>Show items with demand above quantity {quantity}.</t>
  </si>
  <si>
    <t>Compare supervisors by production.</t>
  </si>
  <si>
    <t>supervisors by production</t>
  </si>
  <si>
    <t>Show items with demand above /quantity {quantity}.</t>
  </si>
  <si>
    <t>SELECT 
    SUPV_NAME, 
    SUM(PRODUCED) AS TOTAL_PRODUCTION
FROM 
    KPCL_REPORTING.KPC_FULL_KIT_DOCKET_EMP 
GROUP BY 
    SUPV_NAME;</t>
  </si>
  <si>
    <t>items with demand above quantity</t>
  </si>
  <si>
    <t>SELECT 
    ITEM_CODE,
    SUM(TOTAL_DEMAND) AS TOTAL_DEMAND
FROM 
    KPCL_REPORTING.DERIVED_PO_BOARD
WHERE REQ_QTY_MONTH = UPPER(TO_CHAR(SYSDATE, 'MON-YYYY'))
GROUP BY 
    ITEM_CODE
HAVING 
    SUM(TOTAL_DEMAND) &gt; {quantity};</t>
  </si>
  <si>
    <t>Show comparison of worked minutes between departments.</t>
  </si>
  <si>
    <t>Show setting time by machine.</t>
  </si>
  <si>
    <t>Compare worked minutes between departments.</t>
  </si>
  <si>
    <t>View setting time by machine.</t>
  </si>
  <si>
    <t>worked minutes between employee departments</t>
  </si>
  <si>
    <t>setting time by machine</t>
  </si>
  <si>
    <t>SELECT 
    EMP_DEPT, 
    SUM(WORKED) AS TOTAL_WORKED_minutes
FROM 
    KPCL_REPORTING.KPC_FULL_KIT_DOCKET_EMP 
GROUP BY 
    EMP_DEPT 
ORDER BY 
    EMP_DEPT;</t>
  </si>
  <si>
    <t>View items where demand exceeds stock.</t>
  </si>
  <si>
    <t>Show items where demand exceeds stock.</t>
  </si>
  <si>
    <t>Show setting time by organization.</t>
  </si>
  <si>
    <t>items where demand exceeds stock</t>
  </si>
  <si>
    <t>Show comparison of worked minutes between employees.</t>
  </si>
  <si>
    <t>setting time by organization</t>
  </si>
  <si>
    <t>SELECT 
    ORG_NAME,
    SUM(SETTING_TIME) AS TOTAL_SETTING_TIME
FROM 
    KPCL_REPORTING.KPC_FK_DOCKET_IDLE_REPORT
WHERE IDLE_REASON LIKE 'Operator Absent'
GROUP BY 
    ORG_NAME
ORDER BY 
    TOTAL_SETTING_TIME DESC;</t>
  </si>
  <si>
    <t>SELECT 
    ITEM_CODE,
    SUM(TOTAL_DEMAND) AS TOTAL_DEMAND,
    SUM(STOCK_GENERAL_STORE + STOCK_PENDING_INSP + STOCK_PEND_IN_POSTING + STOCK_REJ_SUB_INV + STOCK_SUP_SUB_INV) AS TOTAL_STOCK
FROM 
    KPCL_REPORTING.DERIVED_PO_BOARD
WHERE REQ_QTY_MONTH = UPPER(TO_CHAR(SYSDATE, 'MON-YYYY'))
GROUP BY 
    ITEM_CODE
HAVING 
    SUM(TOTAL_DEMAND) &gt; SUM(STOCK_GENERAL_STORE + STOCK_PENDING_INSP + STOCK_PEND_IN_POSTING + STOCK_REJ_SUB_INV + STOCK_SUP_SUB_INV);</t>
  </si>
  <si>
    <t>Compare worked minutes between employees.</t>
  </si>
  <si>
    <t>worked minutes between employees</t>
  </si>
  <si>
    <t>Show setting time by division.</t>
  </si>
  <si>
    <t>View setting time by division.</t>
  </si>
  <si>
    <t>setting time by division</t>
  </si>
  <si>
    <t>SELECT 
    TNO, 
    ENAME, 
    SUM(WORKED) AS TOTAL_WORKED_minutes
FROM 
    KPCL_REPORTING.KPC_FULL_KIT_DOCKET_EMP 
GROUP BY 
    TNO, 
    ENAME 
ORDER BY 
    TNO;</t>
  </si>
  <si>
    <t>SELECT 
    DIV_CODE,
    RES_DIV,
    SUM(NVL(SETTING_TIME, 0)) AS TOTAL_SETTING_TIME,
    ROUND(AVG(NVL(SETTING_TIME, 0)), 2) AS AVG_SETTING_TIME
FROM 
    KPCL_REPORTING.KPC_FK_DOCKET_IDLE_REPORT
WHERE IDLE_REASON LIKE 'Operator Absent'
GROUP BY 
    DIV_CODE,
    RES_DIV
ORDER BY 
    TOTAL_SETTING_TIME DESC;</t>
  </si>
  <si>
    <t>View items where demand exceeds safety stock.</t>
  </si>
  <si>
    <t>Show items where demand exceeds safety stock.</t>
  </si>
  <si>
    <t>items where demand exceeds safety stock</t>
  </si>
  <si>
    <t>SELECT 
    ITEM_CODE,
    SUM(TOTAL_DEMAND) AS TOTAL_DEMAND,
    SAFETY_STOCK
FROM 
    KPCL_REPORTING.DERIVED_PO_BOARD
WHERE REQ_QTY_MONTH = UPPER(TO_CHAR(SYSDATE, 'MON-YYYY'))
GROUP BY 
    ITEM_CODE,
    SAFETY_STOCK
HAVING 
    SUM(TOTAL_DEMAND) &gt; SAFETY_STOCK;</t>
  </si>
  <si>
    <t>View setting time trend.</t>
  </si>
  <si>
    <t>Show setting time trend.</t>
  </si>
  <si>
    <t>setting time trend</t>
  </si>
  <si>
    <t>SELECT 
    PERIOD_NAME,
    MIN(UTILIZATION_DATE) AS PERIOD_START_DATE,
    SUM(NVL(SETTING_TIME, 0)) AS TOTAL_SETTING_TIME,
    ROUND(AVG(NVL(SETTING_TIME, 0)), 2) AS AVG_SETTING_TIME
FROM 
    KPCL_REPORTING.KPC_FK_DOCKET_IDLE_REPORT
WHERE IDLE_REASON LIKE 'Operator Absent'
GROUP BY 
    PERIOD_NAME
ORDER BY 
    PERIOD_START_DATE ASC;</t>
  </si>
  <si>
    <t>Show all employees.</t>
  </si>
  <si>
    <t>all employee</t>
  </si>
  <si>
    <t>SELECT 
    TNO, 
    ENAME, 
    EMP_DEPT 
FROM 
    KPCL_REPORTING.KPC_FULL_KIT_DOCKET_EMP 
ORDER BY 
    TNO;</t>
  </si>
  <si>
    <t>View current month requirement.</t>
  </si>
  <si>
    <t>View setup time for machine resource_code {resource_code}.</t>
  </si>
  <si>
    <t>Show setup time for machine /resource_code {resource_code}.</t>
  </si>
  <si>
    <t>Show current month requirement.</t>
  </si>
  <si>
    <t>setup time for machine resource code</t>
  </si>
  <si>
    <t>current month requirement</t>
  </si>
  <si>
    <t>SELECT 
    RESOURCE_CODE,
    RESOURCE_DESC,
    SUM(SETTING_TIME) AS TOTAL_SETTING_TIME
FROM 
    KPCL_REPORTING.KPC_FK_DOCKET_IDLE_REPORT
WHERE 
   RESOURCE_CODE LIKE '%{resource_code}%' AND IDLE_REASON LIKE 'Operator Absent'
GROUP BY 
    RESOURCE_CODE,
    RESOURCE_DESC;</t>
  </si>
  <si>
    <t>Show average incentive.</t>
  </si>
  <si>
    <t>SELECT 
    ITEM_CODE,
    SUM(TOTAL_DEMAND) AS CURRENT_MONTH_DEMAND
FROM 
    KPCL_REPORTING.DERIVED_PO_BOARD
WHERE 
    NEED_BY_DATE &gt;= TRUNC(SYSDATE, 'MM')
    AND NEED_BY_DATE &lt; ADD_MONTHS(TRUNC(SYSDATE, 'MM'), 1)
AND REQ_QTY_MONTH = UPPER(TO_CHAR(SYSDATE, 'MON-YYYY'))
GROUP BY 
    ITEM_CODE;</t>
  </si>
  <si>
    <t>average incentive</t>
  </si>
  <si>
    <t>SELECT 
    ROUND(AVG(INCENTIVE), 4) AS AVG_INCENTIVE 
FROM 
    KPCL_REPORTING.KPC_FULL_KIT_DOCKET_EMP;</t>
  </si>
  <si>
    <t>Display setup time during month_period {month_period}.</t>
  </si>
  <si>
    <t>Display setup time during /month_period {month_period}.</t>
  </si>
  <si>
    <t xml:space="preserve">setup time during month period </t>
  </si>
  <si>
    <t>Show average LPI.</t>
  </si>
  <si>
    <t>average LPI</t>
  </si>
  <si>
    <t>SELECT 
    ROUND(AVG(LPI), 4) AS AVG_LPI 
FROM 
    KPCL_REPORTING.KPC_FULL_KIT_DOCKET_EMP;</t>
  </si>
  <si>
    <t>SELECT 
    RESOURCE_CODE,
    RESOURCE_DESC,
    SUM(SETTING_TIME) AS TOTAL_SETTING_TIME
FROM 
    KPCL_REPORTING.KPC_FK_DOCKET_IDLE_REPORT
WHERE 
    (MONTH_PERIOD) LIKE ('%{month_period}%') AND IDLE_REASON LIKE 'Operator Absent'
GROUP BY 
    RESOURCE_CODE,
    RESOURCE_DESC
ORDER BY 
    TOTAL_SETTING_TIME DESC;</t>
  </si>
  <si>
    <t>Display requirement for month {month}.</t>
  </si>
  <si>
    <t>Display requirement for /month {month}.</t>
  </si>
  <si>
    <t xml:space="preserve">requirement for month </t>
  </si>
  <si>
    <t>SELECT 
    ITEM_CODE,
    REQ_QTY, REQ_QTY_MONTH
FROM 
    KPCL_REPORTING.DERIVED_PO_BOARD
WHERE
    REQ_QTY_MONTH LIKE '%{month}%'
GROUP BY 
    ITEM_CODE,REQ_QTY, REQ_QTY_MONTH;</t>
  </si>
  <si>
    <t>View average measured minutes.</t>
  </si>
  <si>
    <t>Display setup time during week_period {week_period}.</t>
  </si>
  <si>
    <t>Show average measured minutes.</t>
  </si>
  <si>
    <t>Display setup time during /week_period {week_period}.</t>
  </si>
  <si>
    <t>average measured minutes</t>
  </si>
  <si>
    <t xml:space="preserve">setup time during week period </t>
  </si>
  <si>
    <t>SELECT 
    ROUND(AVG(MEASURED), 4) AS AVG_MEASURED_MINUTES
FROM 
    KPCL_REPORTING.KPC_FULL_KIT_DOCKET_EMP;</t>
  </si>
  <si>
    <t>SELECT 
    RESOURCE_CODE,
    RESOURCE_DESC,
    SUM(SETTING_TIME) AS TOTAL_SETTING_TIME
FROM 
    KPCL_REPORTING.KPC_FK_DOCKET_IDLE_REPORT
WHERE 
    (WEEK_PERIOD) LIKE ('%{week_period}%') AND IDLE_REASON LIKE 'Operator Absent'
GROUP BY 
    RESOURCE_CODE,
    RESOURCE_DESC
ORDER BY 
    TOTAL_SETTING_TIME DESC;</t>
  </si>
  <si>
    <t>Display average MSI.</t>
  </si>
  <si>
    <t>Show average MSI.</t>
  </si>
  <si>
    <t>average MSI</t>
  </si>
  <si>
    <t>SELECT 
    ROUND(AVG(MSI), 4) AS AVG_MSI 
FROM 
    KPCL_REPORTING.KPC_FULL_KIT_DOCKET_EMP;</t>
  </si>
  <si>
    <t>Display setup time during year_period {year_period}.</t>
  </si>
  <si>
    <t>View current month requirement by organization.</t>
  </si>
  <si>
    <t>Display setup time during /year_period {year_period}.</t>
  </si>
  <si>
    <t>Show current month requirement by organization.</t>
  </si>
  <si>
    <t xml:space="preserve">setup time during year period </t>
  </si>
  <si>
    <t>current month requirement by organization</t>
  </si>
  <si>
    <t>SELECT 
    RESOURCE_CODE,
    RESOURCE_DESC,
    SUM(SETTING_TIME) AS TOTAL_SETTING_TIME
FROM 
    KPCL_REPORTING.KPC_FK_DOCKET_IDLE_REPORT
WHERE 
    (YEAR_PERIOD) LIKE ('%{year_period}%') AND IDLE_REASON LIKE 'Operator Absent'
GROUP BY 
    RESOURCE_CODE,
    RESOURCE_DESC
ORDER BY 
    TOTAL_SETTING_TIME DESC;</t>
  </si>
  <si>
    <t>SELECT 
    ORG_NAME,
    REQ_QTY, REQ_QTY_MONTH
FROM 
    KPCL_REPORTING.DERIVED_PO_BOARD
WHERE 
    REQ_QTY_MONTH = UPPER(TO_CHAR(SYSDATE, 'MON-YYYY'))
GROUP BY 
    ORG_NAME, REQ_QTY, REQ_QTY_MONTH;</t>
  </si>
  <si>
    <t>Show employee wise average performance index.</t>
  </si>
  <si>
    <t>employee wise average performance index</t>
  </si>
  <si>
    <t>SELECT 
    TNO, 
    ENAME, 
    ROUND(AVG(PERFORMANCE_INDEX), 4) AS AVG_PERFORMANCE_INDEX 
FROM 
    KPCL_REPORTING.KPC_FULL_KIT_DOCKET_EMP 
GROUP BY 
    TNO, 
    ENAME 
ORDER BY 
    TNO;</t>
  </si>
  <si>
    <t>View machines with setup time above minutes {minutes}.</t>
  </si>
  <si>
    <t>Show machines with setup time above /minutes {minutes}.</t>
  </si>
  <si>
    <t>machines with setup time above minutes</t>
  </si>
  <si>
    <t>SELECT 
    RESOURCE_CODE,
    RESOURCE_DESC,
    SUM(SETTING_TIME) AS TOTAL_SETTING_TIME
FROM 
    KPCL_REPORTING.KPC_FK_DOCKET_IDLE_REPORT
WHERE IDLE_REASON LIKE 'Operator Absent'
GROUP BY 
    RESOURCE_CODE,
    RESOURCE_DESC
HAVING 
    SUM(SETTING_TIME) &gt; %{minutes}%
ORDER BY 
    TOTAL_SETTING_TIME DESC;</t>
  </si>
  <si>
    <t>View employee wise average present minutes.</t>
  </si>
  <si>
    <t>View current month requirement by buyer.</t>
  </si>
  <si>
    <t>Show employee wise average present minutes.</t>
  </si>
  <si>
    <t>employee wise average present minutes</t>
  </si>
  <si>
    <t>Show current month requirement by buyer.</t>
  </si>
  <si>
    <t>SELECT 
    TNO, 
    ENAME, 
    ROUND(AVG(PRESENT), 4) AS AVG_PRESENT_minutes 
FROM 
    KPCL_REPORTING.KPC_FULL_KIT_DOCKET_EMP 
GROUP BY 
    TNO, 
    ENAME 
ORDER BY 
    TNO;</t>
  </si>
  <si>
    <t>current month requirement by buyer</t>
  </si>
  <si>
    <t>SELECT 
    BUYER_NAME,
   REQ_QTY, REQ_QTY_MONTH
FROM 
    KPCL_REPORTING.DERIVED_PO_BOARD
WHERE REQ_QTY_MONTH = UPPER(TO_CHAR(SYSDATE, 'MON-YYYY'))
GROUP BY 
    BUYER_NAME,REQ_QTY, REQ_QTY_MONTH;</t>
  </si>
  <si>
    <t>Show machines with setup time below minutes {minutes}.</t>
  </si>
  <si>
    <t>Show machines with setup time below /minutes {minutes}.</t>
  </si>
  <si>
    <t>machines with setup time below minutes</t>
  </si>
  <si>
    <t>SELECT 
    RESOURCE_CODE,
    RESOURCE_DESC,
    SUM(SETTING_TIME) AS TOTAL_SETTING_TIME
FROM 
    KPCL_REPORTING.KPC_FK_DOCKET_IDLE_REPORT
WHERE IDLE_REASON LIKE 'Operator Absent'
GROUP BY 
    RESOURCE_CODE,
    RESOURCE_DESC
HAVING 
    SUM(SETTING_TIME) &lt; %{minutes}%
ORDER BY 
    TOTAL_SETTING_TIME ASC;</t>
  </si>
  <si>
    <t>Show employee wise average production.</t>
  </si>
  <si>
    <t>employee wise average production</t>
  </si>
  <si>
    <t>SELECT 
    TNO, 
    ENAME, 
    ROUND(AVG(PRODUCED), 4) AS AVG_PRODUCTION 
FROM 
    KPCL_REPORTING.KPC_FULL_KIT_DOCKET_EMP 
GROUP BY 
    TNO, 
    ENAME 
ORDER BY 
    TNO;</t>
  </si>
  <si>
    <t>View current month requirement by item.</t>
  </si>
  <si>
    <t>Show comparison of setup time between machine resource_code {resource_code} and resource_code {resource_code}.</t>
  </si>
  <si>
    <t>Show current month requirement by item.</t>
  </si>
  <si>
    <t>Compare setup time between machine /resource_code {resource_code} and /resource_code {resource_code}.</t>
  </si>
  <si>
    <t>setup time between machine resource code and resource code</t>
  </si>
  <si>
    <t>current month requirement by item</t>
  </si>
  <si>
    <t>SELECT 
    RESOURCE_CODE,
    RESOURCE_DESC,
    SUM(SETTING_TIME) AS TOTAL_SETTING_TIME
FROM 
    KPCL_REPORTING.KPC_FK_DOCKET_IDLE_REPORT
WHERE 
     RESOURCE_CODE LIKE '%{resource_code}%' 
    AND IDLE_REASON LIKE 'Operator Absent'
GROUP BY 
    RESOURCE_CODE,
    RESOURCE_DESC;</t>
  </si>
  <si>
    <t>SELECT 
    ITEM_CODE, REQ_QTY, REQ_QTY_MONTH
FROM 
    KPCL_REPORTING.DERIVED_PO_BOARD
WHERE 
    REQ_QTY_MONTH = UPPER(TO_CHAR(SYSDATE, 'MON-YYYY'))
GROUP BY 
    ITEM_CODE,REQ_QTY, REQ_QTY_MONTH;</t>
  </si>
  <si>
    <t xml:space="preserve"> resource_code</t>
  </si>
  <si>
    <t>Display employee wise average worked minutes.</t>
  </si>
  <si>
    <t>Show employee wise average worked minutes.</t>
  </si>
  <si>
    <t>employee wise average worked minutes</t>
  </si>
  <si>
    <t>SELECT 
    TNO, 
    ENAME, 
    ROUND(AVG(WORKED), 4) AS AVG_WORKED_minutes 
FROM 
    KPCL_REPORTING.KPC_FULL_KIT_DOCKET_EMP 
GROUP BY 
    TNO, 
    ENAME 
ORDER BY 
    TNO;</t>
  </si>
  <si>
    <t>Show total worked time.</t>
  </si>
  <si>
    <t>total worked time</t>
  </si>
  <si>
    <t>SELECT 
    SUM(NVL(WORKED, 0)) AS OVERALL_WORKED_MINUTES,
    ROUND(SUM(NVL(WORKED, 0)) / 60, 2) AS OVERALL_WORKED_HOURS,
    SUM(NVL(AVAILABLE_TIME, 0)) AS OVERALL_AVAILABLE_MINUTES,
    CASE 
        WHEN SUM(NVL(AVAILABLE_TIME, 0)) &gt; 0 
        THEN ROUND((SUM(NVL(WORKED, 0)) / SUM(NVL(AVAILABLE_TIME, 0))) * 100, 2)
        ELSE 0 
    END AS GLOBAL_UTILIZATION_PCT
FROM 
    KPCL_REPORTING.KPC_FK_DOCKET_IDLE_REPORT
WHERE IDLE_REASON LIKE 'Operator Absent';</t>
  </si>
  <si>
    <t>View department performance summary.</t>
  </si>
  <si>
    <t>Show department performance summary.</t>
  </si>
  <si>
    <t>employee department performance summary</t>
  </si>
  <si>
    <t>SELECT 
    EMP_DEPT, 
    COUNT(DISTINCT TNO) AS TOTAL_EMPLOYEES,
    SUM(PRODUCED) AS TOTAL_PRODUCTION,
    SUM(WORKED) AS TOTAL_WORKED_minutes,
    ROUND(AVG(PERFORMANCE_INDEX), 4) AS AVG_PERFORMANCE_INDEX
FROM 
    KPCL_REPORTING.KPC_FULL_KIT_DOCKET_EMP 
GROUP BY 
    EMP_DEPT 
ORDER BY 
    AVG_PERFORMANCE_INDEX DESC;</t>
  </si>
  <si>
    <t>View requirement for current month for item_code {item_code}.</t>
  </si>
  <si>
    <t>Show requirement for current month for  /item_code {item_code}.</t>
  </si>
  <si>
    <t>requirement for current month item code</t>
  </si>
  <si>
    <t>SELECT 
    ITEM_CODE,
   REQ_QTY, REQ_QTY_MONTH
FROM 
    KPCL_REPORTING.DERIVED_PO_BOARD
WHERE 
    ITEM_CODE LIKE '%{item_code}%' AND REQ_QTY_MONTH = UPPER(TO_CHAR(SYSDATE, 'MON-YYYY'))
GROUP BY 
    ITEM_CODE,REQ_QTY, REQ_QTY_MONTH;</t>
  </si>
  <si>
    <t>Show worked time by machine.</t>
  </si>
  <si>
    <t>View worked time by machine.</t>
  </si>
  <si>
    <t>Display department performance trend.</t>
  </si>
  <si>
    <t>worked time by machine</t>
  </si>
  <si>
    <t>Show department performance trend.</t>
  </si>
  <si>
    <t>employee department performance trend</t>
  </si>
  <si>
    <t>SELECT 
    EMP_DEPT, 
    ROUND(AVG(PERFORMANCE_INDEX), 4) AS AVG_PERFORMANCE_INDEX
FROM 
    KPCL_REPORTING.KPC_FULL_KIT_DOCKET_EMP 
GROUP BY 
    EMP_DEPT, 
    TRUNC(PI_DATE, 'MM') 
ORDER BY 
    EMP_DEPT;</t>
  </si>
  <si>
    <t>SELECT 
    RESOURCE_CODE,
    RESOURCE_DESC,
    SUM(NVL(WORKED, 0)) AS TOTAL_WORKED_MINUTES,
    ROUND(SUM(NVL(WORKED, 0)) / 60, 2) AS TOTAL_WORKED_HOURS,
    SUM(NVL(AVAILABLE_TIME, 0)) AS TOTAL_AVAILABLE_MINUTES,
    CASE 
        WHEN SUM(NVL(AVAILABLE_TIME, 0)) &gt; 0 
        THEN ROUND((SUM(NVL(WORKED, 0)) / SUM(NVL(AVAILABLE_TIME, 0))) * 100, 2)
        ELSE 0 
    END AS MACHINE_UTILIZATION_PCT
FROM 
    KPCL_REPORTING.KPC_FK_DOCKET_IDLE_REPORT
WHERE IDLE_REASON LIKE 'Operator Absent'
GROUP BY 
    RESOURCE_CODE,
    RESOURCE_DESC
ORDER BY 
    TOTAL_WORKED_MINUTES DESC;</t>
  </si>
  <si>
    <t>View department wise incentive.</t>
  </si>
  <si>
    <t>Show department wise incentive.</t>
  </si>
  <si>
    <t>employee department wise incentive</t>
  </si>
  <si>
    <t>SELECT 
    EMP_DEPT AS DEPARTMENT, 
    SUM(TOTINCN) AS TOTAL_INCENTIVE
FROM 
    KPCL_REPORTING.KPC_FULL_KIT_DOCKET_EMP
GROUP BY 
    EMP_DEPT
ORDER BY 
    TOTAL_INCENTIVE DESC;</t>
  </si>
  <si>
    <t>View worked time by organization.</t>
  </si>
  <si>
    <t>Show worked time by organization.</t>
  </si>
  <si>
    <t>worked time by organization</t>
  </si>
  <si>
    <t>SELECT 
    ORG_NAME,
    SUM(NVL(WORKED, 0)) AS TOTAL_WORKED_MINUTES,
    ROUND(SUM(NVL(WORKED, 0)) / 60, 2) AS TOTAL_WORKED_HOURS,
    SUM(NVL(AVAILABLE_TIME, 0)) AS TOTAL_AVAILABLE_MINUTES,
    CASE 
        WHEN SUM(NVL(AVAILABLE_TIME, 0)) &gt; 0 
        THEN ROUND((SUM(NVL(WORKED, 0)) / SUM(NVL(AVAILABLE_TIME, 0))) * 100, 2)
        ELSE 0 
    END AS ORG_UTILIZATION_PCT
FROM 
    KPCL_REPORTING.KPC_FK_DOCKET_IDLE_REPORT
WHERE IDLE_REASON LIKE 'Operator Absent'
GROUP BY 
    ORG_NAME
ORDER BY 
    TOTAL_WORKED_MINUTES DESC;</t>
  </si>
  <si>
    <t>Show department wise measured minutes.</t>
  </si>
  <si>
    <t>employee department wise measured minutes</t>
  </si>
  <si>
    <t>SELECT 
    EMP_DEPT AS DEPARTMENT, 
    SUM(MEASURED) AS TOTAL_MEASURED_minutes
FROM 
    KPCL_REPORTING.KPC_FULL_KIT_DOCKET_EMP
GROUP BY 
    EMP_DEPT
ORDER BY 
    TOTAL_MEASURED_minutes DESC;</t>
  </si>
  <si>
    <t>View worked time by division.</t>
  </si>
  <si>
    <t>worked time by division</t>
  </si>
  <si>
    <t>SELECT 
    DIV_CODE AS DIVISION,
    SUM(NVL(WORKED, 0)) AS TOTAL_WORKED_MINUTES,
    ROUND(SUM(NVL(WORKED, 0)) / 60, 2) AS TOTAL_WORKED_HOURS,
    SUM(NVL(AVAILABLE_TIME, 0)) AS TOTAL_AVAILABLE_MINUTES,
    CASE 
        WHEN SUM(NVL(AVAILABLE_TIME, 0)) &gt; 0 
        THEN ROUND((SUM(NVL(WORKED, 0)) / SUM(NVL(AVAILABLE_TIME, 0))) * 100, 2)
        ELSE 0 
    END AS DIVISION_UTILIZATION_PCT
FROM 
    KPCL_REPORTING.KPC_FK_DOCKET_IDLE_REPORT
WHERE IDLE_REASON LIKE 'Operator Absent'
GROUP BY 
    DIV_CODE
ORDER BY 
    TOTAL_WORKED_MINUTES DESC;</t>
  </si>
  <si>
    <t>Show department wise present minutes.</t>
  </si>
  <si>
    <t>employee department wise present minutes</t>
  </si>
  <si>
    <t>SELECT 
    EMP_DEPT, 
    SUM(PRESENT) AS TOTAL_PRESENT_minutes
FROM 
    KPCL_REPORTING.KPC_FULL_KIT_DOCKET_EMP
GROUP BY 
    EMP_DEPT
ORDER BY 
    TOTAL_PRESENT_minutes DESC;</t>
  </si>
  <si>
    <t>Show department wise standard production.</t>
  </si>
  <si>
    <t>employee department wise standard production</t>
  </si>
  <si>
    <t xml:space="preserve"> SELECT 
    EMP_DEPT, 
    SUM(STD_PRODN) AS TOTAL_STANDARD_PRODUCTION
FROM 
    KPCL_REPORTING.KPC_FULL_KIT_DOCKET_EMP
GROUP BY 
    EMP_DEPT
ORDER BY 
    TOTAL_STANDARD_PRODUCTION DESC;</t>
  </si>
  <si>
    <t>Show comparison of worked time and available time.</t>
  </si>
  <si>
    <t>View department wise total incentive.</t>
  </si>
  <si>
    <t>Compare worked time and available time.</t>
  </si>
  <si>
    <t>Show department wise total incentive.</t>
  </si>
  <si>
    <t>worked time and available time</t>
  </si>
  <si>
    <t>employee department wise total incentive</t>
  </si>
  <si>
    <t>SELECT 
    EMP_DEPT, 
    SUM(TOTINCN) AS TOTAL_INCENTIVE
FROM 
    KPCL_REPORTING.KPC_FULL_KIT_DOCKET_EMP
GROUP BY 
    EMP_DEPT
ORDER BY 
    TOTAL_INCENTIVE DESC;</t>
  </si>
  <si>
    <t>SELECT 
    SUM(NVL(AVAILABLE_TIME, 0)) AS TOTAL_AVAILABLE_MINS,
    SUM(NVL(WORKED, 0)) AS TOTAL_WORKED_MINS,
    SUM(NVL(AVAILABLE_TIME, 0) - NVL(WORKED, 0)) AS UNUTILIZED_MINS,
    CASE 
        WHEN SUM(NVL(AVAILABLE_TIME, 0)) &gt; 0 
        THEN ROUND((SUM(NVL(WORKED, 0)) / SUM(NVL(AVAILABLE_TIME, 0))) * 100, 2)
        ELSE 0 
    END AS WORKED_TIME_UTILIZATION_PCT
FROM 
    KPCL_REPORTING.KPC_FK_DOCKET_IDLE_REPORT
WHERE IDLE_REASON LIKE 'Operator Absent';</t>
  </si>
  <si>
    <t>View department wise worked minutes.</t>
  </si>
  <si>
    <t>Show department wise worked minutes.</t>
  </si>
  <si>
    <t>employee department wise worked minutes</t>
  </si>
  <si>
    <t>Show worked time trend.</t>
  </si>
  <si>
    <t>SELECT 
    EMP_DEPT, 
    SUM(WORKED) AS TOTAL_WORKED_minutes
FROM 
    KPCL_REPORTING.KPC_FULL_KIT_DOCKET_EMP
GROUP BY 
    EMP_DEPT
ORDER BY 
    TOTAL_WORKED_minutes DESC;</t>
  </si>
  <si>
    <t>worked time trend</t>
  </si>
  <si>
    <t>SELECT 
    TREND_MONTH,
    MONTHLY_WORKED_MINUTES,
    ROUND(MONTHLY_WORKED_MINUTES / 60, 2) AS MONTHLY_WORKED_HOURS,
    ROUND(SUM(MONTHLY_WORKED_MINUTES) OVER (ORDER BY TREND_MONTH) / 60, 2) AS CUMULATIVE_WORKED_HOURS
FROM (
    SELECT 
        TO_CHAR(UTILIZATION_DATE, 'YYYY-MM') AS TREND_MONTH,
        SUM(NVL(WORKED, 0)) AS MONTHLY_WORKED_MINUTES
    FROM 
        KPCL_REPORTING.KPC_FK_DOCKET_IDLE_REPORT
    WHERE IDLE_REASON LIKE 'Operator Absent'
    GROUP BY 
        TO_CHAR(UTILIZATION_DATE, 'YYYY-MM')
)
ORDER BY 
    TREND_MONTH ASC;</t>
  </si>
  <si>
    <t>View employee details for employee {employee}.</t>
  </si>
  <si>
    <t>View requirement of current month for buyer {buyer}.</t>
  </si>
  <si>
    <t>Show employee details for /employee {employee}.</t>
  </si>
  <si>
    <t>employee details for employee</t>
  </si>
  <si>
    <t>Show requirement of current month for /buyer {buyer}.</t>
  </si>
  <si>
    <t>requirement of current month for buyer</t>
  </si>
  <si>
    <t>SELECT 
    TNO,
    ENAME,
    EMP_DEPT,
    ORG_NAME,
    PERIOD_NAME,
    PRESENT,
    WORKED,
    MEASURED,
    PRODUCED,
    STD_PRODN,
    PERFORMANCE_INDEX,
    LPI,
    INCNSCHM,
    INCENTIVE,
    EXGRT,
    PRODBON,
    TOTINCN,
    MSI,
    REMARK_1,
    REMARK_2
FROM 
    KPCL_REPORTING.KPC_FULL_KIT_DOCKET_EMP
WHERE 
    ENAME LIKE '%{employee}%';</t>
  </si>
  <si>
    <t>employee</t>
  </si>
  <si>
    <t>SELECT 
    BUYER_NAME,
    REQ_QTY, REQ_QTY_MONTH
FROM 
    KPCL_REPORTING.DERIVED_PO_BOARD
WHERE 
    BUYER_NAME LIKE '%{buyer}%' AND 
REQ_QTY_MONTH = UPPER(TO_CHAR(SYSDATE, 'MON-YYYY'))
GROUP BY 
    BUYER_NAME,REQ_QTY, REQ_QTY_MONTH;</t>
  </si>
  <si>
    <t>Show total available time.</t>
  </si>
  <si>
    <t>total available time</t>
  </si>
  <si>
    <t>SELECT 
    RESOURCE_CODE,
    RESOURCE_DESC,
    SUM(AVAILABLE_TIME) AS TOTAL_AVAILABLE_TIME
FROM 
    KPCL_REPORTING.KPC_FK_DOCKET_IDLE_REPORT
WHERE IDLE_REASON LIKE 'Operator Absent'
GROUP BY 
    RESOURCE_CODE,
    RESOURCE_DESC
ORDER BY 
    TOTAL_AVAILABLE_TIME DESC;</t>
  </si>
  <si>
    <t>View employee details for token_number {token_number}.</t>
  </si>
  <si>
    <t>Show employee details for /token_number {token_number}.</t>
  </si>
  <si>
    <t>employee details for token number</t>
  </si>
  <si>
    <t>SELECT 
    TNO,
    ENAME,
    EMP_DEPT,
    ORG_NAME,
    PERIOD_NAME,
    PRESENT,
    WORKED,
    MEASURED,
    PRODUCED,
    STD_PRODN,
    PERFORMANCE_INDEX,
    LPI,
    INCNSCHM,
    INCENTIVE,
    EXGRT,
    PRODBON,
    TOTINCN,
    MSI,
    REMARK_1,
    REMARK_2
FROM 
    KPCL_REPORTING.KPC_FULL_KIT_DOCKET_EMP
WHERE 
    TNO = {token_number};</t>
  </si>
  <si>
    <t>Display available time by machine.</t>
  </si>
  <si>
    <t>View available time by machine.</t>
  </si>
  <si>
    <t>View requirement of buyer {buyer} for month {month}.</t>
  </si>
  <si>
    <t>available time by machine</t>
  </si>
  <si>
    <t>View requirement of /buyer {buyer} for /month {month}.</t>
  </si>
  <si>
    <t xml:space="preserve">requirement of buyer for month </t>
  </si>
  <si>
    <t>SELECT 
    BUYER_NAME,
    REQ_QTY, REQ_QTY_MONTH
FROM 
    KPCL_REPORTING.DERIVED_PO_BOARD
WHERE 
    BUYER_NAME LIKE '%{buyer}%' AND 
REQ_QTY_MONTH LIKE '%{month}%'
GROUP BY 
    BUYER_NAME,REQ_QTY, REQ_QTY_MONTH;</t>
  </si>
  <si>
    <t>Show employee KPI summary.</t>
  </si>
  <si>
    <t>employee KPI summary</t>
  </si>
  <si>
    <t>SELECT 
    TNO,
    ENAME,
    EMP_DEPT,
    SUM(PRESENT) AS TOTAL_PRESENT_minutes,
    SUM(WORKED) AS TOTAL_WORKED_minutes,
    SUM(MEASURED) AS TOTAL_MEASURED_minutes,
    SUM(PRODUCED) AS TOTAL_PRODUCED_minutes,
    SUM(STD_PRODN) AS TOTAL_STANDARD_PRODUCTION,
    ROUND(AVG(PERFORMANCE_INDEX), 4) AS AVG_PERFORMANCE_INDEX,
    ROUND(AVG(LPI), 4) AS AVG_LPI,
    SUM(TOTINCN) AS TOTAL_INCENTIVE
FROM 
    KPCL_REPORTING.KPC_FULL_KIT_DOCKET_EMP
GROUP BY 
    TNO,
    ENAME,
    EMP_DEPT
ORDER BY 
    TOTAL_INCENTIVE DESC;</t>
  </si>
  <si>
    <t>Show available time by organization.</t>
  </si>
  <si>
    <t>available time by organization</t>
  </si>
  <si>
    <t>SELECT 
    ORG_NAME,
    SUM(AVAILABLE_TIME) AS TOTAL_AVAILABLE_TIME
FROM 
    KPCL_REPORTING.KPC_FK_DOCKET_IDLE_REPORT
WHERE IDLE_REASON LIKE 'Operator Absent'
GROUP BY 
    ORG_NAME
ORDER BY 
    TOTAL_AVAILABLE_TIME DESC;</t>
  </si>
  <si>
    <t>Show total due quantity.</t>
  </si>
  <si>
    <t>Show employee performance summary.</t>
  </si>
  <si>
    <t>employee performance summary</t>
  </si>
  <si>
    <t>total due quantity</t>
  </si>
  <si>
    <t>SELECT 
    TNO,
    ENAME,
    EMP_DEPT,
    ROUND(AVG(PERFORMANCE_INDEX), 4) AS AVG_PERFORMANCE_INDEX,
    ROUND(AVG(LPI), 4) AS AVG_LPI,
    SUM(MEASURED) AS TOTAL_MEASURED_minutes,
    SUM(PRODUCED) AS TOTAL_PRODUCED_minutes,
    SUM(STD_PRODN) AS TOTAL_STANDARD_PRODUCTION
FROM 
    KPCL_REPORTING.KPC_FULL_KIT_DOCKET_EMP
GROUP BY 
    TNO,
    ENAME,
    EMP_DEPT
ORDER BY 
    AVG_PERFORMANCE_INDEX DESC;</t>
  </si>
  <si>
    <t>SELECT 
    SUM(TO_NUMBER(DUE_QTY)) AS TOTAL_DUE_QUANTITY
FROM 
    KPCL_REPORTING.DERIVED_PO_BOARD
WHERE 
    REGEXP_LIKE(DUE_QTY, '^[0-9]+(\.[0-9]+)?$')
AND REQ_QTY_MONTH = UPPER(TO_CHAR(SYSDATE, 'MON-YYYY'));</t>
  </si>
  <si>
    <t>View available time by division.</t>
  </si>
  <si>
    <t>available time by division</t>
  </si>
  <si>
    <t>SELECT 
    RES_DIV AS DIVISION_NAME,
    SUM(AVAILABLE_TIME) AS TOTAL_AVAILABLE_TIME
FROM 
    KPCL_REPORTING.KPC_FK_DOCKET_IDLE_REPORT
WHERE IDLE_REASON LIKE 'Operator Absent'
GROUP BY 
    RES_DIV
ORDER BY 
    TOTAL_AVAILABLE_TIME DESC;</t>
  </si>
  <si>
    <t>View employee summary for employee {employee} during fin_year {fin_year}.</t>
  </si>
  <si>
    <t>Show employee summary for /employee {employee} during /fin_year {fin_year}.</t>
  </si>
  <si>
    <t>employee summary for employee during fin year</t>
  </si>
  <si>
    <t>SELECT 
    TNO,
    ENAME,
    EMP_DEPT,
    SUM(PRESENT) AS TOTAL_PRESENT_minutes,
    SUM(WORKED) AS TOTAL_WORKED_minutes,
    SUM(MEASURED) AS TOTAL_MEASURED_minutes,
    SUM(PRODUCED) AS TOTAL_PRODUCED_minutes,
    SUM(STD_PRODN) AS TOTAL_STANDARD_PRODUCTION,
    ROUND(AVG(PERFORMANCE_INDEX), 4) AS AVG_PERFORMANCE_INDEX,
    ROUND(AVG(LPI), 4) AS AVG_LPI,
    SUM(TOTINCN) AS TOTAL_INCENTIVE
FROM 
    KPCL_REPORTING.KPC_FULL_KIT_DOCKET_EMP
WHERE 
    ENAME LIKE '%{employee}%'
    AND FIN_YR LIKE '%{fin_year}%'
GROUP BY 
    TNO,
    ENAME,
    EMP_DEPT;</t>
  </si>
  <si>
    <t>employee, fin_year</t>
  </si>
  <si>
    <t>View due quantity by supplier.</t>
  </si>
  <si>
    <t>Display comparison of available time and worked time.</t>
  </si>
  <si>
    <t>Compare available time and worked time.</t>
  </si>
  <si>
    <t>Show due quantity by supplier.</t>
  </si>
  <si>
    <t>available time and worked time</t>
  </si>
  <si>
    <t>due quantity by supplier</t>
  </si>
  <si>
    <t>SELECT 
    RESOURCE_CODE,
    RESOURCE_DESC,
    SUM(AVAILABLE_TIME) AS TOTAL_AVAILABLE_TIME,
    SUM(WORKED) AS TOTAL_WORKED_TIME,
    SUM(AVAILABLE_TIME - WORKED) AS TOTAL_UNUTILIZED_TIME
FROM 
    KPCL_REPORTING.KPC_FK_DOCKET_IDLE_REPORT
WHERE IDLE_REASON LIKE 'Operator Absent'
GROUP BY 
    RESOURCE_CODE,
    RESOURCE_DESC
ORDER BY 
    TOTAL_AVAILABLE_TIME DESC;</t>
  </si>
  <si>
    <t>SELECT 
    SUPPLIER,
    SUM(TO_NUMBER(TOTAL_DEMAND)) AS TOTAL_DUE_QUANTITY
FROM 
    KPCL_REPORTING.DERIVED_PO_BOARD
WHERE 
    REGEXP_LIKE(TOTAL_DEMAND, '^[0-9]+(\.[0-9]+)?$') AND REQ_QTY_MONTH = UPPER(TO_CHAR(SYSDATE, 'MON-YYYY'))
GROUP BY 
    SUPPLIER;</t>
  </si>
  <si>
    <t>View employees below standard production.</t>
  </si>
  <si>
    <t>Show employees below standard production.</t>
  </si>
  <si>
    <t>employees below standard production</t>
  </si>
  <si>
    <t>SELECT 
    TNO,
    ENAME,
    EMP_DEPT,
    SUM(PRODUCED) AS TOTAL_PRODUCED,
    SUM(STD_PRODN) AS TOTAL_STD_PRODN
FROM 
    KPCL_REPORTING.KPC_FULL_KIT_DOCKET_EMP
GROUP BY 
    TNO,
    ENAME,
    EMP_DEPT
HAVING 
    SUM(PRODUCED) &lt; SUM(STD_PRODN)
ORDER BY 
    TOTAL_PRODUCED ASC;</t>
  </si>
  <si>
    <t>View unused available time.</t>
  </si>
  <si>
    <t>Show unused available time.</t>
  </si>
  <si>
    <t>View due quantity by buyer.</t>
  </si>
  <si>
    <t>unused available time</t>
  </si>
  <si>
    <t>Show due quantity by buyer.</t>
  </si>
  <si>
    <t>due quantity by buyer</t>
  </si>
  <si>
    <t>Show employees exceeding standard production.</t>
  </si>
  <si>
    <t>SELECT 
    RESOURCE_CODE,
    RESOURCE_DESC,
    SUM(AVAILABLE_TIME) AS TOTAL_AVAILABLE_TIME,
    SUM(WORKED) AS TOTAL_WORKED_TIME,
    SUM(AVAILABLE_TIME - WORKED) AS TOTAL_UNUSED_TIME
FROM 
    KPCL_REPORTING.KPC_FK_DOCKET_IDLE_REPORT
WHERE IDLE_REASON LIKE 'Operator Absent'
GROUP BY 
    RESOURCE_CODE,
    RESOURCE_DESC
ORDER BY 
    TOTAL_UNUSED_TIME DESC;</t>
  </si>
  <si>
    <t>SELECT 
    BUYER_NAME,
    SUM(TO_NUMBER(TOTAL_DEMAND)) AS TOTAL_DUE_QUANTITY
FROM 
    KPCL_REPORTING.DERIVED_PO_BOARD
WHERE 
    REGEXP_LIKE(TOTAL_DEMAND, '^[0-9]+(\.[0-9]+)?$') AND REQ_QTY_MONTH = UPPER(TO_CHAR(SYSDATE, 'MON-YYYY'))
GROUP BY 
    BUYER_NAME;</t>
  </si>
  <si>
    <t>employees exceeding standard production</t>
  </si>
  <si>
    <t>SELECT 
    TNO,
    ENAME,
    EMP_DEPT,
    SUM(PRODUCED) AS TOTAL_PRODUCED,
    SUM(STD_PRODN) AS TOTAL_STD_PRODN
FROM 
    KPCL_REPORTING.KPC_FULL_KIT_DOCKET_EMP
GROUP BY 
    TNO,
    ENAME,
    EMP_DEPT
HAVING 
    SUM(PRODUCED) &gt; SUM(STD_PRODN)
ORDER BY 
    TOTAL_PRODUCED DESC;</t>
  </si>
  <si>
    <t>View machines with highest available time.</t>
  </si>
  <si>
    <t>Show machines with highest available time.</t>
  </si>
  <si>
    <t>Display employees for fin_year {fin_year}.</t>
  </si>
  <si>
    <t>machines with highest available time</t>
  </si>
  <si>
    <t>Show employees for /fin_year {fin_year}.</t>
  </si>
  <si>
    <t>employees for fin year</t>
  </si>
  <si>
    <t>View due quantity by organization.</t>
  </si>
  <si>
    <t>SELECT
    TNO,
    ENAME,
    EMP_DEPT,
    FIN_YR
FROM KPCL_REPORTING.KPC_FULL_KIT_DOCKET_EMP
WHERE FIN_YR LIKE '%{fin_year}%' 
ORDER BY TNO;</t>
  </si>
  <si>
    <t>Show due quantity by organization.</t>
  </si>
  <si>
    <t>due quantity by organization</t>
  </si>
  <si>
    <t>SELECT 
    ORG_NAME,
    SUM(TO_NUMBER(TOTAL_DEMAND)) AS TOTAL_DUE_QUANTITY
FROM 
    KPCL_REPORTING.DERIVED_PO_BOARD
WHERE 
    REGEXP_LIKE(TOTAL_DEMAND, '^[0-9]+(\.[0-9]+)?$') AND REQ_QTY_MONTH = UPPER(TO_CHAR(SYSDATE, 'MON-YYYY'))
GROUP BY 
    ORG_NAME;</t>
  </si>
  <si>
    <t>View available time for machine resource_code {resource_code}.</t>
  </si>
  <si>
    <t>Show employees having performance index between performance_index {performance_index} and performance_index {performance_index}.</t>
  </si>
  <si>
    <t>Show available time for machine /resource_code {resource_code}.</t>
  </si>
  <si>
    <t>Show employees having performance index between /performance_index {performance_index} and /performance_index {performance_index}.</t>
  </si>
  <si>
    <t>available time for machine resource code</t>
  </si>
  <si>
    <t>employees having performance index between performance index and performance index</t>
  </si>
  <si>
    <t>SELECT 
    RESOURCE_CODE,
    RESOURCE_DESC,
    SUM(AVAILABLE_TIME) AS TOTAL_AVAILABLE_TIME
FROM 
    KPCL_REPORTING.KPC_FK_DOCKET_IDLE_REPORT
WHERE 
   RESOURCE_CODE LIKE '%{resource_code}%'
    AND IDLE_REASON LIKE 'Operator Absent'
GROUP BY 
    RESOURCE_CODE,
    RESOURCE_DESC;</t>
  </si>
  <si>
    <t>SELECT 
    TNO,
    ENAME,
    EMP_DEPT,
    EMP_ORG_NAME,
    PERIOD_NAME,
    PERFORMANCE_INDEX
FROM 
    KPCL_REPORTING.KPC_FULL_KIT_DOCKET_EMP
WHERE 
    PERFORMANCE_INDEX BETWEEN {performance_index} AND {performance_index}
ORDER BY 
    PERFORMANCE_INDEX DESC;</t>
  </si>
  <si>
    <t>View due quantity by item.</t>
  </si>
  <si>
    <t>Show due quantity by item.</t>
  </si>
  <si>
    <t>due quantity by item</t>
  </si>
  <si>
    <t>SELECT 
    ITEM_CODE,
    SUM(TO_NUMBER(TOTAL_DEMAND)) AS TOTAL_DUE_QUANTITY
FROM 
    KPCL_REPORTING.DERIVED_PO_BOARD
WHERE 
    REGEXP_LIKE(TOTAL_DEMAND, '^[0-9]+(\.[0-9]+)?$')
AND REQ_QTY_MONTH = UPPER(TO_CHAR(SYSDATE, 'MON-YYYY'))
GROUP BY 
    ITEM_CODE;</t>
  </si>
  <si>
    <t>Display employees producing above quantity {quantity}.</t>
  </si>
  <si>
    <t>Show employees producing above /quantity {quantity}.</t>
  </si>
  <si>
    <t>employees producing above quantity</t>
  </si>
  <si>
    <t>Display available time during month_period {month_period}.</t>
  </si>
  <si>
    <t>Display available time during /month_period {month_period}.</t>
  </si>
  <si>
    <t>SELECT 
    TNO,
    ENAME,
    EMP_DEPT,
    EMP_ORG_NAME,
    PERIOD_NAME,
    SUM(STD_PRODN) AS TOTAL_STANDARD_PRODUCTION,
    SUM(PRODUCED) AS TOTAL_PRODUCED
FROM 
    KPCL_REPORTING.KPC_FULL_KIT_DOCKET_EMP
GROUP BY 
    TNO,
    ENAME,
    EMP_DEPT,
    EMP_ORG_NAME,
    PERIOD_NAME
HAVING 
    SUM(PRODUCED) &gt; {quantity}
ORDER BY 
    TOTAL_PRODUCED DESC;</t>
  </si>
  <si>
    <t>Show due quantity for supplier {supplier}.</t>
  </si>
  <si>
    <t>available time during month period</t>
  </si>
  <si>
    <t>Show due quantity for /supplier {supplier}.</t>
  </si>
  <si>
    <t>due quantity for supplier</t>
  </si>
  <si>
    <t>SELECT 
    RESOURCE_CODE,
    RESOURCE_DESC,
    SUM(AVAILABLE_TIME) AS TOTAL_AVAILABLE_TIME
FROM 
    KPCL_REPORTING.KPC_FK_DOCKET_IDLE_REPORT
WHERE 
    (MONTH_PERIOD) LIKE ('%{month_period}%')
    AND IDLE_REASON LIKE 'Operator Absent'
GROUP BY 
    RESOURCE_CODE,
    RESOURCE_DESC
ORDER BY 
    TOTAL_AVAILABLE_TIME DESC;</t>
  </si>
  <si>
    <t>SELECT 
    SUPPLIER,
    SUM(TO_NUMBER(TOTAL_DEMAND)) AS TOTAL_DUE_QUANTITY
FROM 
    KPCL_REPORTING.DERIVED_PO_BOARD
WHERE 
    SUPPLIER LIKE '%{supplier}%'
    AND REGEXP_LIKE(TOTAL_DEMAND, '^[0-9]+(\.[0-9]+)?$')
AND REQ_QTY_MONTH = UPPER(TO_CHAR(SYSDATE, 'MON-YYYY'))
GROUP BY 
    SUPPLIER;</t>
  </si>
  <si>
    <t>Show employees producing below quantity {quantity}.</t>
  </si>
  <si>
    <t>Display available time during week_period {week_period}.</t>
  </si>
  <si>
    <t>Show employees producing below /quantity {quantity}.</t>
  </si>
  <si>
    <t>Display available time during /week_period {week_period}.</t>
  </si>
  <si>
    <t>employees producing below quantity</t>
  </si>
  <si>
    <t>available time during week period</t>
  </si>
  <si>
    <t>SELECT 
    TNO,
    ENAME,
    EMP_DEPT,
    EMP_ORG_NAME,
    PERIOD_NAME,
    SUM(PRODUCED) AS TOTAL_PRODUCED
FROM 
    KPCL_REPORTING.KPC_FULL_KIT_DOCKET_EMP
GROUP BY 
    TNO,
    ENAME,
    EMP_DEPT,
    EMP_ORG_NAME,
    PERIOD_NAME
HAVING 
    SUM(PRODUCED) &lt; {quantity}
ORDER BY 
    TOTAL_PRODUCED DESC;</t>
  </si>
  <si>
    <t>SELECT 
    RESOURCE_CODE,
    RESOURCE_DESC,
    SUM(AVAILABLE_TIME) AS TOTAL_AVAILABLE_TIME
FROM 
    KPCL_REPORTING.KPC_FK_DOCKET_IDLE_REPORT
WHERE 
    (WEEK_PERIOD) LIKE ('%{week_period}%')
    AND IDLE_REASON LIKE 'Operator Absent'
GROUP BY 
    RESOURCE_CODE,
    RESOURCE_DESC
ORDER BY 
    TOTAL_AVAILABLE_TIME DESC;</t>
  </si>
  <si>
    <t>Show employees receiving external gratia.</t>
  </si>
  <si>
    <t>employees receiving external gratia</t>
  </si>
  <si>
    <t>Display available time during /year_period {year_period}.</t>
  </si>
  <si>
    <t>SELECT 
    TNO,
    ENAME,
    EMP_DEPT,
    EMP_ORG_NAME,
    PERIOD_NAME,
    SUM(EXGRT) AS TOTAL_EXGRT
FROM 
    KPCL_REPORTING.KPC_FULL_KIT_DOCKET_EMP
GROUP BY 
    TNO,
    ENAME,
    EMP_DEPT,
    EMP_ORG_NAME,
    PERIOD_NAME
HAVING 
    SUM(EXGRT) &gt; 0
ORDER BY 
    TOTAL_EXGRT DESC;</t>
  </si>
  <si>
    <t xml:space="preserve">available time during year period </t>
  </si>
  <si>
    <t>SELECT 
    RESOURCE_CODE,
    RESOURCE_DESC,
    SUM(AVAILABLE_TIME) AS TOTAL_AVAILABLE_TIME
FROM 
    KPCL_REPORTING.KPC_FK_DOCKET_IDLE_REPORT
WHERE 
    (YEAR_PERIOD) LIKE ('%{year_period}%')
    AND IDLE_REASON LIKE 'Operator Absent'
GROUP BY 
    RESOURCE_CODE,
    RESOURCE_DESC
ORDER BY 
    TOTAL_AVAILABLE_TIME DESC;</t>
  </si>
  <si>
    <t>View employees receiving total incentive above amount {amount}.</t>
  </si>
  <si>
    <t>Show employees receiving total incentive above /amount {amount}.</t>
  </si>
  <si>
    <t>employees receiving total incentive above amount</t>
  </si>
  <si>
    <t>SELECT 
    TNO,
    ENAME,
    EMP_DEPT,
    EMP_ORG_NAME,
    PERIOD_NAME,
    SUM(TOTINCN) AS TOTAL_INCENTIVE
FROM 
    KPCL_REPORTING.KPC_FULL_KIT_DOCKET_EMP
GROUP BY 
    TNO,
    ENAME,
    EMP_DEPT,
    EMP_ORG_NAME,
    PERIOD_NAME
HAVING 
    SUM(TOTINCN) &gt; {amount}
ORDER BY 
    TOTAL_INCENTIVE DESC;</t>
  </si>
  <si>
    <t>View machines with available time above minutes {minutes}.</t>
  </si>
  <si>
    <t>Show machines with available time above /minutes {minutes}.</t>
  </si>
  <si>
    <t>machines with available time above minutes</t>
  </si>
  <si>
    <t>SELECT 
    RESOURCE_CODE,
    RESOURCE_DESC,
    SUM(AVAILABLE_TIME) AS TOTAL_AVAILABLE_TIME
FROM 
    KPCL_REPORTING.KPC_FK_DOCKET_IDLE_REPORT
WHERE IDLE_REASON LIKE 'Operator Absent'
GROUP BY 
    RESOURCE_CODE,
    RESOURCE_DESC
HAVING 
    SUM(AVAILABLE_TIME) &gt; %{minutes}%
ORDER BY 
    TOTAL_AVAILABLE_TIME DESC;</t>
  </si>
  <si>
    <t>View employees under employee_department {employee_department}.</t>
  </si>
  <si>
    <t>Show employees under /employee_department {employee_department}.</t>
  </si>
  <si>
    <t>employees under employee department</t>
  </si>
  <si>
    <t>SELECT DISTINCT
    TNO,
    ENAME,
    EMP_ORG_NAME,
    SUPV_NAME
FROM 
    KPCL_REPORTING.KPC_FULL_KIT_DOCKET_EMP
WHERE 
    EMP_DEPT LIKE '%{employee_department}%'
ORDER BY 
    ENAME ASC;</t>
  </si>
  <si>
    <t>employee_department</t>
  </si>
  <si>
    <t>View total present time.</t>
  </si>
  <si>
    <t>Show total present time.</t>
  </si>
  <si>
    <t>total present time</t>
  </si>
  <si>
    <t>SELECT 
    RESOURCE_CODE,
    RESOURCE_DESC,
    SUM(PRESENT) AS TOTAL_PRESENT_TIME
FROM 
    KPCL_REPORTING.KPC_FK_DOCKET_IDLE_REPORT
WHERE IDLE_REASON LIKE 'Operator Absent'
GROUP BY 
    RESOURCE_CODE,
    RESOURCE_DESC
ORDER BY 
    TOTAL_PRESENT_TIME DESC;</t>
  </si>
  <si>
    <t>Display due quantity for item_code {item_code}.</t>
  </si>
  <si>
    <t>View employees under incentive_scheme {incentive_scheme}.</t>
  </si>
  <si>
    <t>Show due quantity for /item_code {item_code}.</t>
  </si>
  <si>
    <t>due quantity for item code</t>
  </si>
  <si>
    <t>SELECT 
    ITEM_CODE,
    SUM(TO_NUMBER(TOTAL_DEMAND)) AS TOTAL_DUE_QUANTITY
FROM 
    KPCL_REPORTING.DERIVED_PO_BOARD
WHERE 
    ITEM_CODE LIKE '%{item_code}%'
    AND REGEXP_LIKE(TOTAL_DEMAND, '^[0-9]+(\.[0-9]+)?$') AND REQ_QTY_MONTH = UPPER(TO_CHAR(SYSDATE, 'MON-YYYY'))
GROUP BY 
    ITEM_CODE;</t>
  </si>
  <si>
    <t>Show employees under /incentive_scheme {incentive_scheme}.</t>
  </si>
  <si>
    <t>employees under incentive scheme</t>
  </si>
  <si>
    <t>SELECT DISTINCT
    TNO,
    ENAME,
    EMP_DEPT,
    EMP_ORG_NAME,
    INCNSCHM
FROM 
    KPCL_REPORTING.KPC_FULL_KIT_DOCKET_EMP
WHERE 
    INCNSCHM LIKE '%{incentive_scheme}%'
ORDER BY 
    ENAME ASC;</t>
  </si>
  <si>
    <t>incentive_scheme</t>
  </si>
  <si>
    <t>Display present time by machine.</t>
  </si>
  <si>
    <t>View present time by machine.</t>
  </si>
  <si>
    <t>present time by machine</t>
  </si>
  <si>
    <t>Show employees under supervisor {supervisor}.</t>
  </si>
  <si>
    <t>Show employees under /supervisor {supervisor}.</t>
  </si>
  <si>
    <t>Show due quantity for buyer {buyer}.</t>
  </si>
  <si>
    <t>employees under supervisor</t>
  </si>
  <si>
    <t>Show due quantity for /buyer {buyer}.</t>
  </si>
  <si>
    <t>SELECT DISTINCT
    TNO,
    ENAME,
    EMP_DEPT,
    EMP_ORG_NAME
FROM 
    KPCL_REPORTING.KPC_FULL_KIT_DOCKET_EMP
WHERE 
    SUPV_NAME LIKE '%{supervisor}%'
ORDER BY 
    ENAME ASC;</t>
  </si>
  <si>
    <t>due quantity for buyer</t>
  </si>
  <si>
    <t>supervisor</t>
  </si>
  <si>
    <t>Display present time by organization.</t>
  </si>
  <si>
    <t>SELECT 
    BUYER_NAME,
    SUM(TO_NUMBER(TOTAL_DEMAND)) AS TOTAL_DUE_QUANTITY
FROM 
    KPCL_REPORTING.DERIVED_PO_BOARD
WHERE 
    BUYER_NAME LIKE '%{buyer}%'
    AND REGEXP_LIKE(TOTAL_DEMAND, '^[0-9]+(\.[0-9]+)?$')
AND REQ_QTY_MONTH = UPPER(TO_CHAR(SYSDATE, 'MON-YYYY'))
GROUP BY 
    BUYER_NAME;</t>
  </si>
  <si>
    <t>Show present time by organization.</t>
  </si>
  <si>
    <t>present time by organization</t>
  </si>
  <si>
    <t>SELECT 
    ORG_NAME,
    SUM(PRESENT) AS TOTAL_PRESENT_TIME
FROM 
    KPCL_REPORTING.KPC_FK_DOCKET_IDLE_REPORT
WHERE IDLE_REASON LIKE 'Operator Absent'
GROUP BY 
    ORG_NAME
ORDER BY 
    TOTAL_PRESENT_TIME DESC;</t>
  </si>
  <si>
    <t>Show employees under supervisor {supervisor} in employee_department {employee_department}.</t>
  </si>
  <si>
    <t>Show employees under /supervisor {supervisor} in /employee_department {employee_department}.</t>
  </si>
  <si>
    <t>employees under supervisor in employee department</t>
  </si>
  <si>
    <t>SELECT DISTINCT
    TNO,
    ENAME,
    EMP_ORG_NAME
FROM 
    KPCL_REPORTING.KPC_FULL_KIT_DOCKET_EMP
WHERE 
    SUPV_NAME LIKE '%{supervisor}%'
    AND EMP_DEPT LIKE '%{employee_department}%'
ORDER BY 
    ENAME ASC;</t>
  </si>
  <si>
    <t>supervisor, employee_department</t>
  </si>
  <si>
    <t>Show present time by division.</t>
  </si>
  <si>
    <t>View items with due quantity above quantity {quantity}.</t>
  </si>
  <si>
    <t>View present time by division.</t>
  </si>
  <si>
    <t>Show items with due quantity above /quantity {quantity}.</t>
  </si>
  <si>
    <t>present time by division</t>
  </si>
  <si>
    <t>items with due quantity above quantity</t>
  </si>
  <si>
    <t>SELECT 
    RES_DIV AS DIVISION_NAME,
    SUM(PRESENT) AS TOTAL_PRESENT_TIME
FROM 
    KPCL_REPORTING.KPC_FK_DOCKET_IDLE_REPORT
WHERE IDLE_REASON LIKE 'Operator Absent'
GROUP BY 
    RES_DIV
ORDER BY 
    TOTAL_PRESENT_TIME DESC;</t>
  </si>
  <si>
    <t>SELECT 
    ITEM_CODE,
    SUM(TO_NUMBER(TOTAL_DEMAND)) AS TOTAL_DUE_QUANTITY
FROM 
    KPCL_REPORTING.DERIVED_PO_BOARD
WHERE 
    REGEXP_LIKE(TOTAL_DEMAND, '^[0-9]+(\.[0-9]+)?$')
AND REQ_QTY_MONTH = UPPER(TO_CHAR(SYSDATE, 'MON-YYYY'))
GROUP BY 
    ITEM_CODE
HAVING 
    SUM(TO_NUMBER(TOTAL_DEMAND)) &gt; {quantity};</t>
  </si>
  <si>
    <t>Show employees whose production exceeds standard production.</t>
  </si>
  <si>
    <t>employees whose production exceeds standard production</t>
  </si>
  <si>
    <t>SELECT 
    TNO,
    ENAME,
    EMP_DEPT,
    EMP_ORG_NAME,
    PERIOD_NAME,
    SUM(PRODUCED) AS TOTAL_PRODUCED,
    SUM(STD_PRODN) AS TOTAL_STANDARD_PRODUCTION
FROM 
    KPCL_REPORTING.KPC_FULL_KIT_DOCKET_EMP
GROUP BY 
    TNO,
    ENAME,
    EMP_DEPT,
    EMP_ORG_NAME,
    PERIOD_NAME
HAVING 
    SUM(PRODUCED) &gt; SUM(STD_PRODN)
ORDER BY 
    (SUM(PRODUCED) - SUM(STD_PRODN)) DESC;</t>
  </si>
  <si>
    <t>Show comparison of present time and worked time.</t>
  </si>
  <si>
    <t>Compare present time and worked time.</t>
  </si>
  <si>
    <t>present time and worked time</t>
  </si>
  <si>
    <t>SELECT 
    RESOURCE_CODE,
    RESOURCE_DESC,
    SUM(PRESENT) AS TOTAL_PRESENT_TIME,
    SUM(WORKED) AS TOTAL_WORKED_TIME,
    SUM(PRESENT - WORKED) AS TOTAL_UNWORKED_TIME
FROM 
    KPCL_REPORTING.KPC_FK_DOCKET_IDLE_REPORT
WHERE IDLE_REASON LIKE 'Operator Absent'
GROUP BY 
    RESOURCE_CODE,
    RESOURCE_DESC
ORDER BY 
    TOTAL_PRESENT_TIME DESC;</t>
  </si>
  <si>
    <t>View total due amount.</t>
  </si>
  <si>
    <t>Show total due amount.</t>
  </si>
  <si>
    <t>total due amount</t>
  </si>
  <si>
    <t>Display employees whose production is below standard production.</t>
  </si>
  <si>
    <t>SELECT 
    SUM(DUE_AMT) AS TOTAL_DUE_AMOUNT
FROM 
    KPCL_REPORTING.DERIVED_PO_BOARD
WHERE REQ_QTY_MONTH = UPPER(TO_CHAR(SYSDATE, 'MON-YYYY'));</t>
  </si>
  <si>
    <t>Show employees whose production is below standard production.</t>
  </si>
  <si>
    <t>employees whose production is below standard production</t>
  </si>
  <si>
    <t>SELECT 
    TNO,
    ENAME,
    EMP_DEPT,
    EMP_ORG_NAME,
    PERIOD_NAME,
    SUM(PRODUCED) AS TOTAL_PRODUCED,
    SUM(STD_PRODN) AS TOTAL_STANDARD_PRODUCTION
FROM 
    KPCL_REPORTING.KPC_FULL_KIT_DOCKET_EMP
GROUP BY 
    TNO,
    ENAME,
    EMP_DEPT,
    EMP_ORG_NAME,
    PERIOD_NAME
HAVING 
    SUM(PRODUCED) &lt; SUM(STD_PRODN)
ORDER BY 
    (SUM(STD_PRODN) - SUM(PRODUCED)) DESC;</t>
  </si>
  <si>
    <t>Show machines with low present time.</t>
  </si>
  <si>
    <t>Display due amount by supplier.</t>
  </si>
  <si>
    <t>machines with low present time</t>
  </si>
  <si>
    <t>Show due amount by supplier.</t>
  </si>
  <si>
    <t>Display employees whose worked minutes exceed present minutes.</t>
  </si>
  <si>
    <t>due amount by supplier</t>
  </si>
  <si>
    <t>SELECT 
    RESOURCE_CODE,
    RESOURCE_DESC,
    SUM(PRESENT) AS TOTAL_PRESENT_TIME
FROM 
    KPCL_REPORTING.KPC_FK_DOCKET_IDLE_REPORT
WHERE IDLE_REASON LIKE 'Operator Absent'
GROUP BY 
    RESOURCE_CODE,
    RESOURCE_DESC
ORDER BY 
    TOTAL_PRESENT_TIME ASC;</t>
  </si>
  <si>
    <t>Show employees whose worked minutes exceed present minutes.</t>
  </si>
  <si>
    <t>employees whose worked minutes exceed present minutes</t>
  </si>
  <si>
    <t>SELECT 
    SUPPLIER,
    SUM(DUE_AMT) AS TOTAL_DUE_AMOUNT
FROM 
    KPCL_REPORTING.DERIVED_PO_BOARD
WHERE REQ_QTY_MONTH = UPPER(TO_CHAR(SYSDATE, 'MON-YYYY'))
GROUP BY 
    SUPPLIER;</t>
  </si>
  <si>
    <t>SELECT 
    TNO,
    ENAME,
    EMP_DEPT,
    EMP_ORG_NAME,
    PERIOD_NAME,
    SUM(WORKED) AS TOTAL_WORKED_minutes,
    SUM(PRESENT) AS TOTAL_PRESENT_minutes
FROM 
    KPCL_REPORTING.KPC_FULL_KIT_DOCKET_EMP
GROUP BY 
    TNO,
    ENAME,
    EMP_DEPT,
    EMP_ORG_NAME,
    PERIOD_NAME
HAVING 
    SUM(WORKED) &gt; SUM(PRESENT)
ORDER BY 
    (SUM(WORKED) - SUM(PRESENT)) DESC;</t>
  </si>
  <si>
    <t>View total idle time.</t>
  </si>
  <si>
    <t>Show employees with external gratia above amount {amount}.</t>
  </si>
  <si>
    <t>Show total idle time.</t>
  </si>
  <si>
    <t>Show due amount by buyer.</t>
  </si>
  <si>
    <t>Show employees with external gratia above /amount {amount}.</t>
  </si>
  <si>
    <t>total idle time</t>
  </si>
  <si>
    <t>employees with external gratia above amount</t>
  </si>
  <si>
    <t>due amount by buyer</t>
  </si>
  <si>
    <t>SELECT 
    RESOURCE_CODE,
    RESOURCE_DESC,
    SUM(TOTAL_IDLE) AS OVERALL_IDLE_TIME
FROM 
    KPCL_REPORTING.KPC_FK_DOCKET_IDLE_REPORT
WHERE IDLE_REASON LIKE 'Operator Absent'
GROUP BY 
    RESOURCE_CODE,
    RESOURCE_DESC
ORDER BY 
    OVERALL_IDLE_TIME DESC;</t>
  </si>
  <si>
    <t>SELECT 
    TNO,
    ENAME,
    EMP_DEPT,
    EMP_ORG_NAME,
    PERIOD_NAME,
    SUM(EXGRT) AS TOTAL_EXGRT
FROM 
    KPCL_REPORTING.KPC_FULL_KIT_DOCKET_EMP
GROUP BY 
    TNO,
    ENAME,
    EMP_DEPT,
    EMP_ORG_NAME,
    PERIOD_NAME
HAVING 
    SUM(EXGRT) &gt; {amount}
ORDER BY 
    TOTAL_EXGRT DESC;</t>
  </si>
  <si>
    <t>SELECT 
    BUYER_NAME,
    SUM(DUE_AMT) AS TOTAL_DUE_AMOUNT
FROM 
    KPCL_REPORTING.DERIVED_PO_BOARD
WHERE REQ_QTY_MONTH = UPPER(TO_CHAR(SYSDATE, 'MON-YYYY'))
GROUP BY 
    BUYER_NAME;</t>
  </si>
  <si>
    <t>Show overall downtime.</t>
  </si>
  <si>
    <t>Display employees with high incentive but low performance.</t>
  </si>
  <si>
    <t>View overall downtime.</t>
  </si>
  <si>
    <t>Show employees with high incentive but low performance.</t>
  </si>
  <si>
    <t>Display due amount by organization.</t>
  </si>
  <si>
    <t>overall downtime</t>
  </si>
  <si>
    <t>employees with high incentive but low performance</t>
  </si>
  <si>
    <t>Show due amount by organization.</t>
  </si>
  <si>
    <t>SELECT 
    RESOURCE_CODE,
    RESOURCE_DESC,
    SUM(TOTAL_IDLE + MAINTAINCE_DOCKET_TIME) AS OVERALL_DOWNTIME
FROM 
    KPCL_REPORTING.KPC_FK_DOCKET_IDLE_REPORT
WHERE IDLE_REASON LIKE 'Operator Absent'
GROUP BY 
    RESOURCE_CODE,
    RESOURCE_DESC
ORDER BY 
    OVERALL_DOWNTIME DESC;</t>
  </si>
  <si>
    <t>due amount by organization</t>
  </si>
  <si>
    <t>SELECT 
    TNO,
    ENAME,
    EMP_DEPT,
    EMP_ORG_NAME,
    PERIOD_NAME,
    SUM(TOTINCN) AS TOTAL_INCENTIVE,
    AVG(PERFORMANCE_INDEX) AS AVG_PERFORMANCE_INDEX
FROM 
    KPCL_REPORTING.KPC_FULL_KIT_DOCKET_EMP
GROUP BY 
    TNO,
    ENAME,
    EMP_DEPT,
    EMP_ORG_NAME,
    PERIOD_NAME
HAVING 
    SUM(TOTINCN) &gt; (SELECT AVG(TOTINCN) FROM KPCL_REPORTING.KPC_FULL_KIT_DOCKET_EMP)
    AND AVG(PERFORMANCE_INDEX) &lt; (SELECT AVG(PERFORMANCE_INDEX) FROM KPCL_REPORTING.KPC_FULL_KIT_DOCKET_EMP)
ORDER BY 
    TOTAL_INCENTIVE DESC, 
    AVG_PERFORMANCE_INDEX ASC;</t>
  </si>
  <si>
    <t>SELECT 
    ORG_NAME AS ORGANIZATION_NAME,
    SUM(DUE_AMT) AS TOTAL_DUE_AMOUNT
FROM 
    KPCL_REPORTING.DERIVED_PO_BOARD
WHERE REQ_QTY_MONTH = UPPER(TO_CHAR(SYSDATE, 'MON-YYYY'))
GROUP BY 
    ORG_NAME;</t>
  </si>
  <si>
    <t>View idle time by organization.</t>
  </si>
  <si>
    <t>View employees with high performance but low incentive.</t>
  </si>
  <si>
    <t>Show idle time by organization.</t>
  </si>
  <si>
    <t>Show employees with high performance but low incentive.</t>
  </si>
  <si>
    <t>idle time by organization</t>
  </si>
  <si>
    <t>employees with high performance but low incentive</t>
  </si>
  <si>
    <t>SELECT 
    ORG_NAME,
    SUM(TOTAL_IDLE) AS TOTAL_IDLE_TIME
FROM 
    KPCL_REPORTING.KPC_FK_DOCKET_IDLE_REPORT
WHERE IDLE_REASON LIKE 'Operator Absent'
GROUP BY 
    ORG_NAME
ORDER BY 
    TOTAL_IDLE_TIME DESC;</t>
  </si>
  <si>
    <t>View due amount by item.</t>
  </si>
  <si>
    <t>SELECT 
    TNO,
    ENAME,
    EMP_DEPT,
    EMP_ORG_NAME,
    AVG(PERFORMANCE_INDEX) AS AVG_PERFORMANCE_INDEX,
    SUM(TOTINCN) AS TOTAL_INCENTIVE
FROM 
    KPCL_REPORTING.KPC_FULL_KIT_DOCKET_EMP
GROUP BY 
    TNO,
    ENAME,
    EMP_DEPT,
    EMP_ORG_NAME
HAVING 
    AVG(PERFORMANCE_INDEX) &gt; (SELECT AVG(PERFORMANCE_INDEX) FROM KPCL_REPORTING.KPC_FULL_KIT_DOCKET_EMP)
    AND SUM(TOTINCN) &lt; (SELECT AVG(TOTINCN) FROM KPCL_REPORTING.KPC_FULL_KIT_DOCKET_EMP);</t>
  </si>
  <si>
    <t>Show due amount by item.</t>
  </si>
  <si>
    <t>due amount by item</t>
  </si>
  <si>
    <t>SELECT 
    ITEM_CODE,
    SUM(DUE_AMT) AS TOTAL_DUE_AMOUNT
FROM 
    KPCL_REPORTING.DERIVED_PO_BOARD
WHERE REQ_QTY_MONTH = UPPER(TO_CHAR(SYSDATE, 'MON-YYYY'))
GROUP BY 
    ITEM_CODE;</t>
  </si>
  <si>
    <t>View idle time by division.</t>
  </si>
  <si>
    <t>Display employees with highest MSI.</t>
  </si>
  <si>
    <t>Show employees with highest MSI.</t>
  </si>
  <si>
    <t>idle time by division</t>
  </si>
  <si>
    <t>employees with highest MSI</t>
  </si>
  <si>
    <t>SELECT 
    TNO,
    ENAME,
    EMP_DEPT,
    EMP_ORG_NAME,
    PERIOD_NAME,
    MSI
FROM 
    KPCL_REPORTING.KPC_FULL_KIT_DOCKET_EMP
WHERE 
    MSI IS NOT NULL
ORDER BY 
    MSI DESC;</t>
  </si>
  <si>
    <t>SELECT 
    RES_DIV AS DIVISION_NAME,
    SUM(TOTAL_IDLE) AS TOTAL_IDLE_TIME
FROM 
    KPCL_REPORTING.KPC_FK_DOCKET_IDLE_REPORT
WHERE IDLE_REASON LIKE 'Operator Absent'
GROUP BY 
    RES_DIV
ORDER BY 
    TOTAL_IDLE_TIME DESC;</t>
  </si>
  <si>
    <t>Show due amount for supplier {supplier}.</t>
  </si>
  <si>
    <t>Show due amount for /supplier {supplier}.</t>
  </si>
  <si>
    <t>due amount for supplier</t>
  </si>
  <si>
    <t>SELECT 
    SUPPLIER,
    SUM(DUE_AMT) AS TOTAL_DUE_AMOUNT
FROM 
    KPCL_REPORTING.DERIVED_PO_BOARD
WHERE 
    SUPPLIER LIKE '%{supplier}%' AND REQ_QTY_MONTH = UPPER(TO_CHAR(SYSDATE, 'MON-YYYY'))
AND REQ_QTY_MONTH = UPPER(TO_CHAR(SYSDATE, 'MON-YYYY'))
GROUP BY 
    SUPPLIER;</t>
  </si>
  <si>
    <t>Display employees with incentive above amount {amount}.</t>
  </si>
  <si>
    <t>View idle time by machine.</t>
  </si>
  <si>
    <t>Show employees with incentive above /amount {amount}.</t>
  </si>
  <si>
    <t>Show idle time by machine.</t>
  </si>
  <si>
    <t>employees with incentive above amount</t>
  </si>
  <si>
    <t>idle time by machine</t>
  </si>
  <si>
    <t>SELECT 
    RESOURCE_CODE,
    RESOURCE_DESC,
    SUM(TOTAL_IDLE) AS TOTAL_IDLE_TIME
FROM 
    KPCL_REPORTING.KPC_FK_DOCKET_IDLE_REPORT
WHERE IDLE_REASON LIKE 'Operator Absent'
GROUP BY 
    RESOURCE_CODE,
    RESOURCE_DESC
ORDER BY 
    TOTAL_IDLE_TIME DESC;</t>
  </si>
  <si>
    <t>Display employees with incentive below amount {amount}.</t>
  </si>
  <si>
    <t>Show employees with incentive below /amount {amount}.</t>
  </si>
  <si>
    <t>Display idle time trend.</t>
  </si>
  <si>
    <t>employees with incentive below amount</t>
  </si>
  <si>
    <t>Show idle time trend.</t>
  </si>
  <si>
    <t>SELECT 
    TNO,
    ENAME,
    EMP_DEPT,
    EMP_ORG_NAME,
    PERIOD_NAME,
    SUM(TOTINCN) AS TOTAL_INCENTIVE
FROM 
    KPCL_REPORTING.KPC_FULL_KIT_DOCKET_EMP
GROUP BY 
    TNO,
    ENAME,
    EMP_DEPT,
    EMP_ORG_NAME,
    PERIOD_NAME
HAVING 
    SUM(TOTINCN) &lt; {amount}
ORDER BY 
    TOTAL_INCENTIVE DESC;</t>
  </si>
  <si>
    <t>idle time trend</t>
  </si>
  <si>
    <t>SELECT 
    TREND_MONTH,
    MONTHLY_IDLE_MINUTES,
    ROUND(MONTHLY_IDLE_MINUTES / 60, 2) AS MONTHLY_IDLE_HOURS,
    ROUND(SUM(MONTHLY_IDLE_MINUTES) OVER (ORDER BY TREND_MONTH) / 60, 2) AS CUMULATIVE_IDLE_HOURS
FROM (
    SELECT 
        TO_CHAR(UTILIZATION_DATE, 'YYYY-MM') AS TREND_MONTH,
        SUM(NVL(AVAILABLE_TIME, 0) - NVL(WORKED, 0)) AS MONTHLY_IDLE_MINUTES
    FROM 
        KPCL_REPORTING.KPC_FK_DOCKET_IDLE_REPORT
    WHERE IDLE_REASON LIKE 'Operator Absent'
    GROUP BY 
        TO_CHAR(UTILIZATION_DATE, 'YYYY-MM')
)
ORDER BY 
    TREND_MONTH ASC;</t>
  </si>
  <si>
    <t>Show employees with lowest MSI.</t>
  </si>
  <si>
    <t>employees with lowest MSI</t>
  </si>
  <si>
    <t>SELECT 
    TNO,
    ENAME,
    EMP_DEPT,
    EMP_ORG_NAME,
    PERIOD_NAME,
    MSI
FROM 
    KPCL_REPORTING.KPC_FULL_KIT_DOCKET_EMP
WHERE 
    MSI IS NOT NULL
ORDER BY 
    MSI ASC;</t>
  </si>
  <si>
    <t>Show comparison of idle time across organizations.</t>
  </si>
  <si>
    <t>Compare idle time across organizations.</t>
  </si>
  <si>
    <t>idle time across organizations</t>
  </si>
  <si>
    <t>SELECT 
    ORG_NAME,
    SUM(TOTAL_IDLE) AS TOTAL_IDLE_TIME,
    ROUND(AVG(TOTAL_IDLE), 2) AS AVERAGE_IDLE_TIME_PER_DOCKET
FROM 
    KPCL_REPORTING.KPC_FK_DOCKET_IDLE_REPORT
WHERE IDLE_REASON LIKE 'Operator Absent'
GROUP BY 
    ORG_NAME
ORDER BY 
    TOTAL_IDLE_TIME DESC;</t>
  </si>
  <si>
    <t>View employees with performance index above performance_index {performance_index}.</t>
  </si>
  <si>
    <t>Show employees with performance index above /performance_index {performance_index}.</t>
  </si>
  <si>
    <t>employees with performance index above performance index</t>
  </si>
  <si>
    <t>SELECT 
    TNO,
    ENAME,
    EMP_DEPT,
    EMP_ORG_NAME,
    PERIOD_NAME,
    PERFORMANCE_INDEX
FROM 
    KPCL_REPORTING.KPC_FULL_KIT_DOCKET_EMP
WHERE 
    PERFORMANCE_INDEX &gt; {performance_index}
ORDER BY 
    PERFORMANCE_INDEX DESC;</t>
  </si>
  <si>
    <t>View idle time for machine resource_code {resource_code}.</t>
  </si>
  <si>
    <t>Show idle time for machine /resource_code {resource_code}.</t>
  </si>
  <si>
    <t>idle time for machine resource code</t>
  </si>
  <si>
    <t>SELECT 
    RESOURCE_CODE,
    RESOURCE_DESC,
    SUM(TOTAL_IDLE) AS TOTAL_IDLE_TIME
FROM 
    KPCL_REPORTING.KPC_FK_DOCKET_IDLE_REPORT
WHERE 
   RESOURCE_CODE LIKE '%{resource_code}%'
AND IDLE_REASON LIKE 'Operator Absent'
GROUP BY 
    RESOURCE_CODE,
    RESOURCE_DESC;</t>
  </si>
  <si>
    <t>Show due amount for buyer {buyer}.</t>
  </si>
  <si>
    <t>Show due amount for /buyer {buyer}.</t>
  </si>
  <si>
    <t>due amount for buyer</t>
  </si>
  <si>
    <t>Display employees with performance index below performance_index {performance_index}.</t>
  </si>
  <si>
    <t>SELECT 
    BUYER_NAME,
    SUM(DUE_AMT) AS TOTAL_DUE_AMOUNT
FROM 
    KPCL_REPORTING.DERIVED_PO_BOARD
WHERE 
    BUYER_NAME LIKE  '%{buyer}%' AND REQ_QTY_MONTH = UPPER(TO_CHAR(SYSDATE, 'MON-YYYY')) 
AND REQ_QTY_MONTH = UPPER(TO_CHAR(SYSDATE, 'MON-YYYY'))
GROUP BY 
    BUYER_NAME;</t>
  </si>
  <si>
    <t>Show employees with performance index below /performance_index {performance_index}.</t>
  </si>
  <si>
    <t>employees with performance index below performance index</t>
  </si>
  <si>
    <t>SELECT 
    TNO,
    ENAME,
    EMP_DEPT,
    EMP_ORG_NAME,
    PERIOD_NAME,
    PERFORMANCE_INDEX
FROM 
    KPCL_REPORTING.KPC_FULL_KIT_DOCKET_EMP
WHERE 
    PERFORMANCE_INDEX &lt; {performance_index}
ORDER BY 
    PERFORMANCE_INDEX DESC;</t>
  </si>
  <si>
    <t>Show idle time for machine resource_description {resource_description}.</t>
  </si>
  <si>
    <t>View idle time for machine /resource_description {resource_description}.</t>
  </si>
  <si>
    <t>idle time for machine resource description</t>
  </si>
  <si>
    <t>SELECT 
    RESOURCE_CODE,
    RESOURCE_DESC,
    SUM(TOTAL_IDLE) AS TOTAL_IDLE_TIME
FROM 
    KPCL_REPORTING.KPC_FK_DOCKET_IDLE_REPORT
WHERE 
    (RESOURCE_DESC) LIKE ('%{resource_description}%')
AND IDLE_REASON LIKE 'Operator Absent'
GROUP BY 
    RESOURCE_CODE,
    RESOURCE_DESC
ORDER BY 
    TOTAL_IDLE_TIME DESC;</t>
  </si>
  <si>
    <t>Display employees with present minutes above minutes {minutes}.</t>
  </si>
  <si>
    <t>Show employees with present minutes above /minutes {minutes}.</t>
  </si>
  <si>
    <t>employees with present minutes above minutes</t>
  </si>
  <si>
    <t>Show due amount for item_code {item_code}.</t>
  </si>
  <si>
    <t>SELECT 
    TNO,
    ENAME,
    EMP_DEPT,
    EMP_ORG_NAME,
    PERIOD_NAME,
    SUM(PRESENT) AS TOTAL_PRESENT_minutes
FROM 
    KPCL_REPORTING.KPC_FULL_KIT_DOCKET_EMP
GROUP BY 
    TNO,
    ENAME,
    EMP_DEPT,
    EMP_ORG_NAME,
    PERIOD_NAME
HAVING 
    SUM(PRESENT) &gt; {minutes}
ORDER BY 
    TOTAL_PRESENT_minutes DESC;</t>
  </si>
  <si>
    <t>Show due amount for /item_code {item_code}.</t>
  </si>
  <si>
    <t>due amount for item code</t>
  </si>
  <si>
    <t>View idle time for div_code {div_code}.</t>
  </si>
  <si>
    <t>SELECT 
    ITEM_CODE,
    SUM(DUE_AMT) AS TOTAL_DUE_AMOUNT
FROM 
    KPCL_REPORTING.DERIVED_PO_BOARD
WHERE 
    ITEM_CODE LIKE '%{item_code}%' AND REQ_QTY_MONTH = UPPER(TO_CHAR(SYSDATE, 'MON-YYYY'))
AND REQ_QTY_MONTH = UPPER(TO_CHAR(SYSDATE, 'MON-YYYY'))
GROUP BY 
    ITEM_CODE;</t>
  </si>
  <si>
    <t>Show idle time for /div_code {div_code}.</t>
  </si>
  <si>
    <t>idle time for div code</t>
  </si>
  <si>
    <t>SELECT 
    DIV_CODE,
    RES_DIV AS DIVISION_NAME,
    SUM(TOTAL_IDLE) AS TOTAL_IDLE_TIME
FROM 
    KPCL_REPORTING.KPC_FK_DOCKET_IDLE_REPORT
WHERE 
    DIV_CODE LIKE '%{div_code}%'
AND IDLE_REASON LIKE 'Operator Absent'
GROUP BY 
    DIV_CODE,
    RES_DIV;</t>
  </si>
  <si>
    <t>Display employees with present minutes below minutes {minutes}.</t>
  </si>
  <si>
    <t>Show employees with present minutes below /minutes {minutes}.</t>
  </si>
  <si>
    <t>employees with present minutes below minutes</t>
  </si>
  <si>
    <t>SELECT 
    TNO,
    ENAME,
    EMP_DEPT,
    EMP_ORG_NAME,
    PERIOD_NAME,
    SUM(PRESENT) AS TOTAL_PRESENT_minutes
FROM 
    KPCL_REPORTING.KPC_FULL_KIT_DOCKET_EMP
GROUP BY 
    TNO,
    ENAME,
    EMP_DEPT,
    EMP_ORG_NAME,
    PERIOD_NAME
HAVING 
    SUM(PRESENT) &lt; {minutes}
ORDER BY 
    TOTAL_PRESENT_minutes DESC;</t>
  </si>
  <si>
    <t>Show idle time during week_period {week_period}.</t>
  </si>
  <si>
    <t>View employees with production above quantity {quantity}.</t>
  </si>
  <si>
    <t>SELECT 
    SUPPLIER,
    SUM(DUE_AMT) AS TOTAL_DUE_AMOUNT
FROM 
    KPCL_REPORTING.DERIVED_PO_BOARD
WHERE REQ_QTY_MONTH = UPPER(TO_CHAR(SYSDATE, 'MON-YYYY'))
GROUP BY 
    SUPPLIER
HAVING 
    SUM(DUE_AMT) &gt; {amount};</t>
  </si>
  <si>
    <t>Show employees with production above /quantity {quantity}.</t>
  </si>
  <si>
    <t>employees with production above quantity</t>
  </si>
  <si>
    <t>SELECT 
    TNO,
    ENAME,
    EMP_DEPT,
    EMP_ORG_NAME,
    PERIOD_NAME,
    SUM(PRODUCED) AS TOTAL_PRODUCED,
    SUM(STD_PRODN) AS TOTAL_STANDARD_PRODUCTION
FROM 
    KPCL_REPORTING.KPC_FULL_KIT_DOCKET_EMP
GROUP BY 
    TNO,
    ENAME,
    EMP_DEPT,
    EMP_ORG_NAME,
    PERIOD_NAME
HAVING 
    SUM(PRODUCED) &gt; {quantity}
ORDER BY 
    TOTAL_PRODUCED DESC;</t>
  </si>
  <si>
    <t>Show idle time during /week_period {week_period}.</t>
  </si>
  <si>
    <t xml:space="preserve">idle time during week period </t>
  </si>
  <si>
    <t>SELECT 
    RESOURCE_CODE,
    RESOURCE_DESC,
    SUM(TOTAL_IDLE) AS TOTAL_IDLE_TIME
FROM 
    KPCL_REPORTING.KPC_FK_DOCKET_IDLE_REPORT
WHERE 
    (WEEK_PERIOD) LIKE ('%{week_period}%')
AND IDLE_REASON LIKE 'Operator Absent'
GROUP BY 
    RESOURCE_CODE,
    RESOURCE_DESC
ORDER BY 
    TOTAL_IDLE_TIME DESC;</t>
  </si>
  <si>
    <t>Show employees with total incentive above amount {amount}.</t>
  </si>
  <si>
    <t>Show employees with total incentive above /amount {amount}.</t>
  </si>
  <si>
    <t>employees with total incentive above amount</t>
  </si>
  <si>
    <t>Display average lead time.</t>
  </si>
  <si>
    <t>Show average lead time.</t>
  </si>
  <si>
    <t>average lead time</t>
  </si>
  <si>
    <t>SELECT 
    AVG(LEAD_TIME) AS AVERAGE_LEAD_TIME
FROM 
    KPCL_REPORTING.DERIVED_PO_BOARD
WHERE REQ_QTY_MONTH = UPPER(TO_CHAR(SYSDATE, 'MON-YYYY'));</t>
  </si>
  <si>
    <t>Show idle time during month_period {month_period}.</t>
  </si>
  <si>
    <t>idle time during /month_period {month_period}.</t>
  </si>
  <si>
    <t xml:space="preserve">idle time during month period </t>
  </si>
  <si>
    <t>SELECT 
    RESOURCE_CODE,
    RESOURCE_DESC,
    SUM(TOTAL_IDLE) AS TOTAL_IDLE_TIME
FROM 
    KPCL_REPORTING.KPC_FK_DOCKET_IDLE_REPORT
WHERE 
    (MONTH_PERIOD) LIKE ('%{month_period}%')
AND IDLE_REASON LIKE 'Operator Absent'
GROUP BY 
    RESOURCE_CODE,
    RESOURCE_DESC
ORDER BY 
    TOTAL_IDLE_TIME DESC;</t>
  </si>
  <si>
    <t>Show employees with worked minutes above minutes {minutes}.</t>
  </si>
  <si>
    <t>Show employees with worked minutes above /minutes {minutes}.</t>
  </si>
  <si>
    <t>employees with worked minutes above minutes</t>
  </si>
  <si>
    <t>View lead time by supplier.</t>
  </si>
  <si>
    <t>Show lead time by supplier.</t>
  </si>
  <si>
    <t>SELECT 
    TNO,
    ENAME,
    EMP_DEPT,
    EMP_ORG_NAME,
    PERIOD_NAME,
    SUM(WORKED) AS TOTAL_WORKED_minutes
FROM 
    KPCL_REPORTING.KPC_FULL_KIT_DOCKET_EMP
GROUP BY 
    TNO,
    ENAME,
    EMP_DEPT,
    EMP_ORG_NAME,
    PERIOD_NAME
HAVING 
    SUM(WORKED) &gt; {minutes}
ORDER BY 
    TOTAL_WORKED_minutes DESC;</t>
  </si>
  <si>
    <t>lead time by supplier</t>
  </si>
  <si>
    <t>SELECT 
    SUPPLIER,
    AVG(LEAD_TIME) AS AVERAGE_LEAD_TIME
FROM 
    KPCL_REPORTING.DERIVED_PO_BOARD
WHERE REQ_QTY_MONTH = UPPER(TO_CHAR(SYSDATE, 'MON-YYYY'))
GROUP BY 
    SUPPLIER;</t>
  </si>
  <si>
    <t>Show idle time during year_period {year_period}.</t>
  </si>
  <si>
    <t>Show idle time during /year_period {year_period}.</t>
  </si>
  <si>
    <t xml:space="preserve">idle time during year period </t>
  </si>
  <si>
    <t>SELECT 
    RESOURCE_CODE,
    RESOURCE_DESC,
    SUM(TOTAL_IDLE) AS TOTAL_IDLE_TIME
FROM 
    KPCL_REPORTING.KPC_FK_DOCKET_IDLE_REPORT
WHERE 
    (YEAR_PERIOD) LIKE ('%{year_period}%')
AND IDLE_REASON LIKE 'Operator Absent'
GROUP BY 
    RESOURCE_CODE,
    RESOURCE_DESC
ORDER BY 
    TOTAL_IDLE_TIME DESC;</t>
  </si>
  <si>
    <t>Show employees with worked minutes below minutes {minutes}.</t>
  </si>
  <si>
    <t>Show employees with worked minutes below  /minutes {minutes}.</t>
  </si>
  <si>
    <t>employees with worked minutes below  minutes</t>
  </si>
  <si>
    <t>SELECT 
    TNO,
    ENAME,
    EMP_DEPT,
    EMP_ORG_NAME,
    SUM(WORKED) AS TOTAL_WORKED_minutes
FROM 
    KPCL_REPORTING.KPC_FULL_KIT_DOCKET_EMP
GROUP BY 
    TNO,
    ENAME,
    EMP_DEPT,
    EMP_ORG_NAME,
HAVING 
    SUM(WORKED) &lt;{minutes};</t>
  </si>
  <si>
    <t>Display lead time by item.</t>
  </si>
  <si>
    <t>Show lead time by item.</t>
  </si>
  <si>
    <t>lead time by item</t>
  </si>
  <si>
    <t>SELECT
    ITEM_CODE,
    ITEM_DESCRIPTION,
    LEAD_TIME
FROM KPCL_REPORTING.DERIVED_PO_BOARD
WHERE REQ_QTY_MONTH = UPPER(TO_CHAR(SYSDATE, 'MON-YYYY'))
ORDER BY ITEM_CODE;</t>
  </si>
  <si>
    <t>View comparison of downtime between machines.</t>
  </si>
  <si>
    <t>Compare downtime between machines.</t>
  </si>
  <si>
    <t>downtime between machines</t>
  </si>
  <si>
    <t>SELECT 
    RESOURCE_CODE,
    RESOURCE_DESC,
    SUM(TOTAL_IDLE) AS TOTAL_IDLE_TIME,
    SUM(MAINTAINCE_DOCKET_TIME) AS TOTAL_MAINTENANCE_TIME,
    SUM(TOTAL_IDLE + MAINTAINCE_DOCKET_TIME) AS TOTAL_OVERALL_DOWNTIME
FROM 
    KPCL_REPORTING.KPC_FK_DOCKET_IDLE_REPORT
WHERE IDLE_REASON LIKE 'Operator Absent'
GROUP BY 
    RESOURCE_CODE,
    RESOURCE_DESC
ORDER BY 
    TOTAL_OVERALL_DOWNTIME DESC;</t>
  </si>
  <si>
    <t>View employees with zero incentive.</t>
  </si>
  <si>
    <t>Show employees with zero incentive.</t>
  </si>
  <si>
    <t>employees with zero incentive</t>
  </si>
  <si>
    <t>SELECT 
    TNO,
    ENAME,
    EMP_DEPT,
    EMP_ORG_NAME,
    PERIOD_NAME,
    SUM(TOTINCN) AS TOTAL_INCENTIVE
FROM 
    KPCL_REPORTING.KPC_FULL_KIT_DOCKET_EMP
GROUP BY 
    TNO,
    ENAME,
    EMP_DEPT,
    EMP_ORG_NAME,
    PERIOD_NAME
HAVING 
    SUM(TOTINCN) = 0
ORDER BY 
    ENAME ASC, 
    PERIOD_NAME ASC;</t>
  </si>
  <si>
    <t>View lead time by organization.</t>
  </si>
  <si>
    <t>Show lead time by organization.</t>
  </si>
  <si>
    <t>lead time by organization</t>
  </si>
  <si>
    <t>SELECT 
    ORG_ID,
    ORG_NAME,
    MIN(LEAD_TIME) AS MIN_LEAD_TIME,
    AVG(LEAD_TIME) AS AVG_LEAD_TIME,
    MAX(LEAD_TIME) AS MAX_LEAD_TIME
FROM 
    KPCL_REPORTING.DERIVED_PO_BOARD
WHERE REQ_QTY_MONTH = UPPER(TO_CHAR(SYSDATE, 'MON-YYYY'))
GROUP BY 
    ORG_ID,
    ORG_NAME
ORDER BY 
    AVG_LEAD_TIME DESC;</t>
  </si>
  <si>
    <t>Display machines with idle time above minutes {minutes}.</t>
  </si>
  <si>
    <t>Show machines with idle time above /minutes {minutes}.</t>
  </si>
  <si>
    <t>Display employees with zero measured minutes.</t>
  </si>
  <si>
    <t>machines with idle time above minutes</t>
  </si>
  <si>
    <t>Show employees with zero measured minutes.</t>
  </si>
  <si>
    <t>employees with zero measured minutes</t>
  </si>
  <si>
    <t>SELECT 
    RESOURCE_CODE,
    RESOURCE_DESC,
    SUM(TOTAL_IDLE) AS TOTAL_IDLE_TIME
FROM 
    KPCL_REPORTING.KPC_FK_DOCKET_IDLE_REPORT
WHERE IDLE_REASON LIKE 'Operator Absent'
GROUP BY 
    RESOURCE_CODE,
    RESOURCE_DESC
HAVING 
    SUM(TOTAL_IDLE) &gt; %{minutes}%
ORDER BY 
    TOTAL_IDLE_TIME DESC;</t>
  </si>
  <si>
    <t>SELECT
    TNO,
    ENAME,
    EMP_DEPT,
    EMP_ORG_NAME
FROM KPCL_REPORTING.KPC_FULL_KIT_DOCKET_EMP
WHERE MEASURED = 0;</t>
  </si>
  <si>
    <t>View lead time for supplier {supplier}.</t>
  </si>
  <si>
    <t>Show lead time for /supplier {supplier}.</t>
  </si>
  <si>
    <t>lead time for supplier</t>
  </si>
  <si>
    <t>SELECT 
    SUPPLIER,
    VENDOR_CODE,
    MIN(LEAD_TIME) AS MIN_LEAD_TIME,
    AVG(LEAD_TIME) AS AVG_LEAD_TIME,
    MAX(LEAD_TIME) AS MAX_LEAD_TIME
FROM 
    KPCL_REPORTING.DERIVED_PO_BOARD
WHERE 
    SUPPLIER LIKE '%{supplier}%' AND REQ_QTY_MONTH = UPPER(TO_CHAR(SYSDATE, 'MON-YYYY'))
GROUP BY 
    SUPPLIER,
    VENDOR_CODE
ORDER BY 
    AVG_LEAD_TIME DESC;</t>
  </si>
  <si>
    <t>View employees with zero production.</t>
  </si>
  <si>
    <t>Display machines with idle time below minutes {minutes}.</t>
  </si>
  <si>
    <t>Show employees with zero production.</t>
  </si>
  <si>
    <t>Show machines with idle time below /minutes {minutes}.</t>
  </si>
  <si>
    <t>employees with zero production</t>
  </si>
  <si>
    <t>machines with idle time below minutes</t>
  </si>
  <si>
    <t>SELECT 
    TNO,
    ENAME,
    EMP_DEPT,
    EMP_ORG_NAME,
    PERIOD_NAME,
    SUM(PRODUCED) AS TOTAL_PRODUCED
FROM 
    KPCL_REPORTING.KPC_FULL_KIT_DOCKET_EMP
GROUP BY 
    TNO,
    ENAME,
    EMP_DEPT,
    EMP_ORG_NAME,
    PERIOD_NAME
HAVING 
    SUM(PRODUCED) = 0
ORDER BY 
    ENAME ASC, 
    PERIOD_NAME ASC;</t>
  </si>
  <si>
    <t>SELECT 
    RESOURCE_CODE,
    RESOURCE_DESC,
    SUM(TOTAL_IDLE) AS TOTAL_IDLE_TIME
FROM 
    KPCL_REPORTING.KPC_FK_DOCKET_IDLE_REPORT
WHERE IDLE_REASON LIKE 'Operator Absent'
GROUP BY 
    RESOURCE_CODE,
    RESOURCE_DESC
HAVING 
    SUM(TOTAL_IDLE) &lt; %{minutes}%
ORDER BY 
    TOTAL_IDLE_TIME ASC;</t>
  </si>
  <si>
    <t>View employees with zero total incentive.</t>
  </si>
  <si>
    <t>Show employees with zero total incentive.</t>
  </si>
  <si>
    <t>employees with zero total incentive</t>
  </si>
  <si>
    <t>Show machines with no idle time.</t>
  </si>
  <si>
    <t>machines with no idle time</t>
  </si>
  <si>
    <t>SELECT 
    RESOURCE_CODE,
    RESOURCE_DESC,
    SUM(TOTAL_IDLE) AS TOTAL_IDLE_TIME
FROM 
    KPCL_REPORTING.KPC_FK_DOCKET_IDLE_REPORT
WHERE IDLE_REASON LIKE 'Operator Absent'
GROUP BY 
    RESOURCE_CODE,
    RESOURCE_DESC
HAVING 
    SUM(TOTAL_IDLE) = 0 OR SUM(TOTAL_IDLE) IS NULL
ORDER BY 
    RESOURCE_CODE ASC;</t>
  </si>
  <si>
    <t>Display employees with zero worked minutes.</t>
  </si>
  <si>
    <t>Show employees with zero worked minutes.</t>
  </si>
  <si>
    <t>employees with zero worked minutes</t>
  </si>
  <si>
    <t xml:space="preserve">SELECT
    TNO,
    ENAME,
    EMP_DEPT,
    EMP_ORG_NAME
FROM KPCL_REPORTING.KPC_FULL_KIT_DOCKET_EMP
WHERE WORKED = 0;
</t>
  </si>
  <si>
    <t>View machines with highest downtime.</t>
  </si>
  <si>
    <t>Show machines with highest downtime.</t>
  </si>
  <si>
    <t>machines with highest downtime</t>
  </si>
  <si>
    <t>SELECT 
    RESOURCE_CODE,
    RESOURCE_DESC,
    SUM(TOTAL_IDLE + MAINTAINCE_DOCKET_TIME) AS TOTAL_DOWNTIME,
    SUM(TOTAL_IDLE) AS IDLE_TIME,
    SUM(MAINTAINCE_DOCKET_TIME) AS MAINTENANCE_TIME
FROM 
    KPCL_REPORTING.KPC_FK_DOCKET_IDLE_REPORT
WHERE IDLE_REASON LIKE 'Operator Absent'
GROUP BY 
    RESOURCE_CODE,
    RESOURCE_DESC
ORDER BY 
    TOTAL_DOWNTIME DESC;</t>
  </si>
  <si>
    <t>Show external gratia by department.</t>
  </si>
  <si>
    <t>external gratia by employee department</t>
  </si>
  <si>
    <t>SELECT 
    EMP_DEPT,
    PERIOD_NAME,
    SUM(EXGRT) AS TOTAL_EXGRT
FROM 
    KPCL_REPORTING.KPC_FULL_KIT_DOCKET_EMP
GROUP BY 
    EMP_DEPT,
    PERIOD_NAME
ORDER BY 
    TOTAL_EXGRT DESC;</t>
  </si>
  <si>
    <t>View downtime against each idle reason.</t>
  </si>
  <si>
    <t>Show downtime against each idle reason.</t>
  </si>
  <si>
    <t>downtime against each idle reason</t>
  </si>
  <si>
    <t>SELECT 
    IDLE_REASON,
    SUM(IDLE_TIME) AS TOTAL_IDLE_TIME,
    SUM(MAINTAINCE_DOCKET_TIME) AS TOTAL_MAINTENANCE_TIME,
    SUM(IDLE_TIME + MAINTAINCE_DOCKET_TIME) AS TOTAL_OVERALL_DOWNTIME
FROM 
    KPCL_REPORTING.KPC_FK_DOCKET_IDLE_REPORT
WHERE IDLE_REASON LIKE 'Operator Absent' AND
    IDLE_TIME &gt; 0
GROUP BY 
    IDLE_REASON
ORDER BY 
    TOTAL_OVERALL_DOWNTIME DESC;</t>
  </si>
  <si>
    <t>Show external gratia by employee.</t>
  </si>
  <si>
    <t>external gratia by employee</t>
  </si>
  <si>
    <t>SELECT 
    TNO,
    ENAME,
    EMP_DEPT,
    EMP_ORG_NAME,
    PERIOD_NAME,
    SUM(EXGRT) AS TOTAL_EXGRT
FROM 
    KPCL_REPORTING.KPC_FULL_KIT_DOCKET_EMP
GROUP BY 
    TNO,
    ENAME,
    EMP_DEPT,
    EMP_ORG_NAME,
    PERIOD_NAME;</t>
  </si>
  <si>
    <t>Display lead time for item_code {item_code}.</t>
  </si>
  <si>
    <t>Show lead time for /item_code {item_code}.</t>
  </si>
  <si>
    <t>lead time for item code</t>
  </si>
  <si>
    <t>Display top idle reasons.</t>
  </si>
  <si>
    <t>View top idle reasons.</t>
  </si>
  <si>
    <t>SELECT 
    ITEM_CODE,
    ITEM_DESCRIPTION,
    MIN(LEAD_TIME) AS MIN_LEAD_TIME,
    AVG(LEAD_TIME) AS AVG_LEAD_TIME,
    MAX(LEAD_TIME) AS MAX_LEAD_TIME
FROM 
    KPCL_REPORTING.DERIVED_PO_BOARD
WHERE 
    ITEM_CODE LIKE '%{item_code}%' AND REQ_QTY_MONTH = UPPER(TO_CHAR(SYSDATE, 'MON-YYYY'))
GROUP BY 
    ITEM_CODE,
    ITEM_DESCRIPTION;</t>
  </si>
  <si>
    <t>top idle reasons</t>
  </si>
  <si>
    <t>SELECT 
    IDLE_REASON,
    SUM(IDLE_TIME) AS TOTAL_IDLE_TIME
FROM 
    KPCL_REPORTING.KPC_FK_DOCKET_IDLE_REPORT
WHERE IDLE_REASON LIKE 'Operator Absent' AND
    IDLE_TIME &gt; 0
GROUP BY 
    IDLE_REASON
ORDER BY 
    TOTAL_IDLE_TIME DESC;</t>
  </si>
  <si>
    <t>Display external gratia by organization.</t>
  </si>
  <si>
    <t>Show external gratia by organization.</t>
  </si>
  <si>
    <t>external gratia by organization</t>
  </si>
  <si>
    <t>SELECT 
    EMP_ORG_NAME,
    PERIOD_NAME,
    SUM(EXGRT) AS TOTAL_EXGRT
FROM 
    KPCL_REPORTING.KPC_FULL_KIT_DOCKET_EMP
GROUP BY 
    EMP_ORG_NAME,
    PERIOD_NAME;</t>
  </si>
  <si>
    <t>Display most common idle reason.</t>
  </si>
  <si>
    <t>Show most common idle reason.</t>
  </si>
  <si>
    <t>most common idle reason</t>
  </si>
  <si>
    <t>Show incentive by department.</t>
  </si>
  <si>
    <t>SELECT * FROM (
    SELECT 
        IDLE_REASON,
        COUNT(*) AS OCCURRENCES,
        SUM(IDLE_TIME) AS TOTAL_IDLE_TIME
    FROM 
        KPCL_REPORTING.KPC_FK_DOCKET_IDLE_REPORT
     WHERE IDLE_TIME &gt; 0
    GROUP BY 
        IDLE_REASON
    ORDER BY 
        TOTAL_IDLE_TIME DESC
)
WHERE ROWNUM = 1;</t>
  </si>
  <si>
    <t>incentive by employee department</t>
  </si>
  <si>
    <t>SELECT 
    SUPPLIER,
    VENDOR_CODE,
    MIN(LEAD_TIME) AS MIN_LEAD_TIME,
    AVG(LEAD_TIME) AS AVG_LEAD_TIME,
    MAX(LEAD_TIME) AS MAX_LEAD_TIME,
    COUNT(DISTINCT ITEM_CODE) AS UNIQUE_ITEMS_COUNT
FROM 
    KPCL_REPORTING.DERIVED_PO_BOARD
WHERE REQ_QTY_MONTH = UPPER(TO_CHAR(SYSDATE, 'MON-YYYY'))
GROUP BY 
    SUPPLIER,
    VENDOR_CODE
HAVING 
    AVG(LEAD_TIME) &gt; {days}
ORDER BY 
    AVG_LEAD_TIME DESC;</t>
  </si>
  <si>
    <t>SELECT
    EMP_DEPT,
    AVG(TOTINCN) AS AVG_INCENTIVE_PAYOUT,
    SUM(TOTINCN) AS TOTAL_INCENTIVE_PAYOUT,
    COUNT(DISTINCT TNO) AS TOTAL_EMPLOYEES,
    PERIOD_NAME
FROM KPCL_REPORTING.KPC_FULL_KIT_DOCKET_EMP
GROUP BY EMP_DEPT, PERIOD_NAME
ORDER BY PERIOD_NAME DESC, AVG_INCENTIVE_PAYOUT DESC;</t>
  </si>
  <si>
    <t>Show least common idle reason.</t>
  </si>
  <si>
    <t>least common idle reason</t>
  </si>
  <si>
    <t>Show incentive by employee.</t>
  </si>
  <si>
    <t>SELECT * FROM (
    SELECT 
        IDLE_REASON,
        COUNT(*) AS OCCURRENCES,
        SUM(IDLE_TIME) AS TOTAL_IDLE_TIME
    FROM 
        KPCL_REPORTING.KPC_FK_DOCKET_IDLE_REPORT
    WHERE IDLE_REASON LIKE 'Operator Absent'
    AND    IDLE_TIME &gt; 0
    GROUP BY 
        IDLE_REASON
    ORDER BY 
        OCCURRENCES ASC, 
        TOTAL_IDLE_TIME ASC
)
WHERE ROWNUM = 1;</t>
  </si>
  <si>
    <t>View suppliers with lead time below days {days}.</t>
  </si>
  <si>
    <t>Show suppliers with lead time below /days {days}.</t>
  </si>
  <si>
    <t>incentive by employee</t>
  </si>
  <si>
    <t>suppliers with lead time below days</t>
  </si>
  <si>
    <t>SELECT 
    TNO,
    ENAME,
    EMP_DEPT,
    EMP_ORG_NAME,
    PERIOD_NAME,
    SUM(TOTINCN) AS TOTAL_INCENTIVE
FROM 
    KPCL_REPORTING.KPC_FULL_KIT_DOCKET_EMP
GROUP BY 
    TNO,
    ENAME,
    EMP_DEPT,
    EMP_ORG_NAME,
    PERIOD_NAME
ORDER BY 
    TOTAL_INCENTIVE DESC;</t>
  </si>
  <si>
    <t>SELECT 
    SUPPLIER,
    VENDOR_CODE,
    MIN(LEAD_TIME) AS MIN_LEAD_TIME,
    AVG(LEAD_TIME) AS AVG_LEAD_TIME,
    MAX(LEAD_TIME) AS MAX_LEAD_TIME,
    COUNT(DISTINCT ITEM_CODE) AS UNIQUE_ITEMS_COUNT
FROM 
    KPCL_REPORTING.DERIVED_PO_BOARD
WHERE REQ_QTY_MONTH = UPPER(TO_CHAR(SYSDATE, 'MON-YYYY'))
GROUP BY 
    SUPPLIER,
    VENDOR_CODE
HAVING 
    AVG(LEAD_TIME) &lt; {days}
ORDER BY 
    AVG_LEAD_TIME ASC;</t>
  </si>
  <si>
    <t>View idle reason distribution.</t>
  </si>
  <si>
    <t>idle reason distribution</t>
  </si>
  <si>
    <t>Display incentive by organization.</t>
  </si>
  <si>
    <t>Show incentive by organization.</t>
  </si>
  <si>
    <t>SELECT 
    IDLE_REASON,
    COUNT(*) AS OCCURRENCES,
    SUM(IDLE_TIME) AS TOTAL_IDLE_TIME,
    ROUND(100 * SUM(IDLE_TIME) / SUM(SUM(IDLE_TIME)) OVER (), 2) AS IDLE_TIME_PERCENTAGE
FROM 
    KPCL_REPORTING.KPC_FK_DOCKET_IDLE_REPORT
WHERE IDLE_REASON LIKE 'Operator Absent'
   AND  IDLE_TIME &gt; 0
GROUP BY 
    IDLE_REASON
ORDER BY 
    TOTAL_IDLE_TIME DESC;</t>
  </si>
  <si>
    <t>incentive by organization</t>
  </si>
  <si>
    <t>SELECT 
    EMP_ORG_NAME,
    PERIOD_NAME,
    SUM(INCENTIVE) AS TOTAL_INCENTIVE
FROM 
    KPCL_REPORTING.KPC_FULL_KIT_DOCKET_EMP
GROUP BY 
    EMP_ORG_NAME,
    PERIOD_NAME
ORDER BY 
    TOTAL_INCENTIVE DESC;</t>
  </si>
  <si>
    <t>Display items with highest lead time.</t>
  </si>
  <si>
    <t>Show items with highest lead time.</t>
  </si>
  <si>
    <t>items with highest lead time</t>
  </si>
  <si>
    <t>SELECT 
    ITEM_CODE,
    ITEM_DESCRIPTION,
    LEAD_TIME,
    SUPPLIER,
    VENDOR_CODE,
    ORG_NAME
FROM (
    SELECT 
        ITEM_CODE,
        ITEM_DESCRIPTION,
        LEAD_TIME,
        SUPPLIER,
        VENDOR_CODE,
        ORG_NAME,
        DENSE_RANK() OVER (ORDER BY LEAD_TIME DESC) as LT_RANK
    FROM 
        KPCL_REPORTING.DERIVED_PO_BOARD
    WHERE 
        LEAD_TIME IS NOT NULL AND REQ_QTY_MONTH = UPPER(TO_CHAR(SYSDATE, 'MON-YYYY'))
)
WHERE 
    LT_RANK &lt;= 10 
ORDER BY 
    LEAD_TIME DESC, 
    ITEM_CODE;</t>
  </si>
  <si>
    <t>Show incentive by employee organisation.</t>
  </si>
  <si>
    <t>Display downtime for idle_reason {idle_reason}.</t>
  </si>
  <si>
    <t>incentive by employee organisation</t>
  </si>
  <si>
    <t>SELECT
    EMP_ORG_NAME,
    SUM(TOTINCN) AS TOTAL_INCENTIVE
FROM KPCL_REPORTING.KPC_FULL_KIT_DOCKET_EMP
GROUP BY EMP_ORG_NAME;</t>
  </si>
  <si>
    <t>SELECT 
    RESOURCE_CODE,
    RESOURCE_DESC,
    SUM(IDLE_TIME) AS TOTAL_IDLE_TIME,
    SUM(MAINTAINCE_DOCKET_TIME) AS TOTAL_MAINTENANCE_TIME,
    SUM(IDLE_TIME + MAINTAINCE_DOCKET_TIME) AS TOTAL_OVERALL_DOWNTIME
FROM 
    KPCL_REPORTING.KPC_FK_DOCKET_IDLE_REPORT
WHERE 
    (IDLE_REASON) LIKE ('%{idle_reason}%')
    AND IDLE_TIME &gt; 0
GROUP BY 
    RESOURCE_CODE,
    RESOURCE_DESC,
    IDLE_TIME
ORDER BY 
    TOTAL_OVERALL_DOWNTIME DESC;</t>
  </si>
  <si>
    <t>Show approved purchase orders.</t>
  </si>
  <si>
    <t>approved purchase orders</t>
  </si>
  <si>
    <t>SELECT 
    PO_NUM,
    PO_TYPE,
    PO_STATUS,
    APPROVAL_STATUS,
    PO_CREATION_DATE,
    SUPPLIER,
    BUYER_NAME,
    SUM(LINE_AMOUNT) AS TOTAL_PO_AMOUNT,
    CURRENCY
FROM 
    KPCL_REPORTING.DERIVED_PO_BOARD
WHERE 
    APPROVAL_STATUS = 'APPROVED' AND REQ_QTY_MONTH = UPPER(TO_CHAR(SYSDATE, 'MON-YYYY'))
GROUP BY 
    PO_NUM,
    PO_TYPE,
    PO_STATUS,
    APPROVAL_STATUS,
    PO_CREATION_DATE,
    SUPPLIER,
    BUYER_NAME,
    CURRENCY
ORDER BY 
    PO_CREATION_DATE DESC;</t>
  </si>
  <si>
    <t>Show incentive by supervisor.</t>
  </si>
  <si>
    <t>incentive by supervisor</t>
  </si>
  <si>
    <t>SELECT 
    SUPV_NAME,
    PERIOD_NAME,
    SUM(INCENTIVE) AS TOTAL_INCENTIVE
FROM 
    KPCL_REPORTING.KPC_FULL_KIT_DOCKET_EMP
GROUP BY 
    SUPV_NAME,
    PERIOD_NAME
ORDER BY 
    TOTAL_INCENTIVE DESC;</t>
  </si>
  <si>
    <t>View downtime for idle_reason {idle_reason} in div_code {div_code}.</t>
  </si>
  <si>
    <t>Show downtime for /idle_reason {idle_reason} in /div_code {div_code}.</t>
  </si>
  <si>
    <t>downtime for idle reason in div code</t>
  </si>
  <si>
    <t>Show incentive during week_period {week_period}.</t>
  </si>
  <si>
    <t>SELECT 
    RESOURCE_CODE,
    RESOURCE_DESC,
    SUM(IDLE_TIME) AS TOTAL_IDLE_TIME,
    SUM(MAINTAINCE_DOCKET_TIME) AS TOTAL_MAINTENANCE_TIME,
    SUM(IDLE_TIME + MAINTAINCE_DOCKET_TIME) AS TOTAL_OVERALL_DOWNTIME
FROM 
    KPCL_REPORTING.KPC_FK_DOCKET_IDLE_REPORT
WHERE 
    (IDLE_REASON) LIKE ('%{idle_reason}%')
    AND DIV_CODE LIKE '%{div_code}%'
    AND IDLE_TIME &gt; 0
GROUP BY 
    RESOURCE_CODE,
    RESOURCE_DESC
ORDER BY 
    TOTAL_OVERALL_DOWNTIME DESC;</t>
  </si>
  <si>
    <t>Show incentive during /week_period {week_period}.</t>
  </si>
  <si>
    <t>idle_reason, div_code</t>
  </si>
  <si>
    <t>incentive during week period</t>
  </si>
  <si>
    <t>SELECT 
    WEEK_PERIOD,
    SUM(TOTINCN) AS TOTAL_INCENTIVE,
    COUNT(DISTINCT TNO) AS TOTAL_EMPLOYEES_PAID
FROM 
    KPCL_REPORTING.KPC_FULL_KIT_DOCKET_EMP
WHERE 
    WEEK_PERIOD LIKE '%{week_period}%'
GROUP BY 
    WEEK_PERIOD;</t>
  </si>
  <si>
    <t>Show rejected purchase orders.</t>
  </si>
  <si>
    <t>rejected purchase orders</t>
  </si>
  <si>
    <t>SELECT 
    PO_NUM,
    PO_TYPE,
    PO_STATUS,
    APPROVAL_STATUS,
    PO_CREATION_DATE,
    SUPPLIER,
    BUYER_NAME,
    SUM(LINE_AMOUNT) AS TOTAL_PO_AMOUNT,
    CURRENCY
FROM 
    KPCL_REPORTING.DERIVED_PO_BOARD
WHERE 
    APPROVAL_STATUS = 'REJECTED' AND REQ_QTY_MONTH = UPPER(TO_CHAR(SYSDATE, 'MON-YYYY'))
GROUP BY 
    PO_NUM,
    PO_TYPE,
    PO_STATUS,
    APPROVAL_STATUS,
    PO_CREATION_DATE,
    SUPPLIER,
    BUYER_NAME,
    CURRENCY
ORDER BY 
    PO_CREATION_DATE DESC;</t>
  </si>
  <si>
    <t>View downtime for idle_reason {idle_reason} for machine resource_code {resource_code}.</t>
  </si>
  <si>
    <t>Show downtime for /idle_reason {idle_reason} for machine /resource_code {resource_code}.</t>
  </si>
  <si>
    <t>downtime for idle reason for machine resource code</t>
  </si>
  <si>
    <t>SELECT 
    RESOURCE_CODE,
    RESOURCE_DESC,
    SUM(IDLE_TIME) AS TOTAL_IDLE_TIME,
    SUM(MAINTAINCE_DOCKET_TIME) AS TOTAL_MAINTENANCE_TIME,
    SUM(IDLE_TIME + MAINTAINCE_DOCKET_TIME) AS TOTAL_OVERALL_DOWNTIME
FROM 
    KPCL_REPORTING.KPC_FK_DOCKET_IDLE_REPORT
WHERE 
     (IDLE_REASON) LIKE ('%{idle_reason}%')
    AND RESOURCE_CODE LIKE '%{resource_code}%'
    AND IDLE_TIME &gt; 0
GROUP BY 
    RESOURCE_CODE,
    RESOURCE_DESC;</t>
  </si>
  <si>
    <t>idle_reason, resource_code</t>
  </si>
  <si>
    <t>Show incentive during month_period {month_period}.</t>
  </si>
  <si>
    <t>Show incentive during /month_period {month_period}.</t>
  </si>
  <si>
    <t>View incomplete purchase orders.</t>
  </si>
  <si>
    <t>incentive during month period</t>
  </si>
  <si>
    <t>Show incomplete purchase orders.</t>
  </si>
  <si>
    <t>SELECT 
    MONTH_PERIOD,
    SUM(TOTINCN) AS TOTAL_INCENTIVE,
    COUNT(DISTINCT TNO) AS TOTAL_EMPLOYEES_PAID
FROM 
    KPCL_REPORTING.KPC_FULL_KIT_DOCKET_EMP
WHERE 
    MONTH_PERIOD LIKE '%{month_period}%'
GROUP BY 
    MONTH_PERIOD;</t>
  </si>
  <si>
    <t>incomplete purchase orders</t>
  </si>
  <si>
    <t>Show top machines affected by idle_reason {idle_reason}.</t>
  </si>
  <si>
    <t>Show top machines affected by /idle_reason {idle_reason}.</t>
  </si>
  <si>
    <t>top machines affected by idle reason</t>
  </si>
  <si>
    <t>SELECT 
    PO_NUM,
    PO_TYPE,
    PO_STATUS,
    APPROVAL_STATUS,
    PO_CREATION_DATE,
    SUPPLIER,
    BUYER_NAME,
    SUM(LINE_AMOUNT) AS TOTAL_PO_AMOUNT,
    CURRENCY
FROM 
    KPCL_REPORTING.DERIVED_PO_BOARD
WHERE 
    APPROVAL_STATUS = 'INCOMPLETE' AND REQ_QTY_MONTH = UPPER(TO_CHAR(SYSDATE, 'MON-YYYY'))
GROUP BY 
    PO_NUM,
    PO_TYPE,
    PO_STATUS,
    APPROVAL_STATUS,
    PO_CREATION_DATE,
    SUPPLIER,
    BUYER_NAME,
    CURRENCY
ORDER BY 
    PO_CREATION_DATE DESC;</t>
  </si>
  <si>
    <t>SELECT * FROM (
    SELECT 
        RESOURCE_CODE,
        RESOURCE_DESC,
        SUM(IDLE_TIME) AS TOTAL_IDLE_TIME,
        RANK() OVER (ORDER BY SUM(IDLE_TIME) DESC) AS RANKING
    FROM 
        KPCL_REPORTING.KPC_FK_DOCKET_IDLE_REPORT
    WHERE 
         (IDLE_REASON) LIKE ('%{idle_reason}%')
        AND IDLE_TIME &gt; 0
    GROUP BY 
        RESOURCE_CODE,
        RESOURCE_DESC
)
ORDER BY RANKING;</t>
  </si>
  <si>
    <t>Show incentive during year_period {year_period }.</t>
  </si>
  <si>
    <t>Show incentive during /year_period {year_period}.</t>
  </si>
  <si>
    <t xml:space="preserve">incentive during year period </t>
  </si>
  <si>
    <t>SELECT 
    YEAR_PERIOD,
    SUM(TOTINCN) AS TOTAL_INCENTIVE,
    COUNT(DISTINCT TNO) AS TOTAL_EMPLOYEES_PAID
FROM 
    KPCL_REPORTING.KPC_FULL_KIT_DOCKET_EMP
WHERE 
    YEAR_PERIOD LIKE '%{year_period}%'
GROUP BY 
    YEAR_PERIOD;</t>
  </si>
  <si>
    <t xml:space="preserve">year_period </t>
  </si>
  <si>
    <t>Display purchase orders in process.</t>
  </si>
  <si>
    <t>Show purchase orders in process.</t>
  </si>
  <si>
    <t>purchase orders in process</t>
  </si>
  <si>
    <t>SELECT  PO_NUM, SUPPLIER, PO_CREATION_DATE, APPROVAL_STATUS
FROM KPCL_REPORTING.DERIVED_PO_BOARD
WHERE APPROVAL_STATUS = 'IN PROCESS' AND REQ_QTY_MONTH = UPPER(TO_CHAR(SYSDATE, 'MON-YYYY'))
ORDER BY PO_CREATION_DATE DESC;</t>
  </si>
  <si>
    <t>View organizations most affected by idle_reason {idle_reason}.</t>
  </si>
  <si>
    <t>Show organizations most affected by /idle_reason {idle_reason}.</t>
  </si>
  <si>
    <t>organizations most affected by idle reason</t>
  </si>
  <si>
    <t>Show incentive during week_period {week_period }.</t>
  </si>
  <si>
    <t>SELECT 
    ORG_NAME,
    SUM(IDLE_TIME) AS TOTAL_IDLE_TIME,
    COUNT(*) AS DOCKET_OCCURRENCES
FROM 
    KPCL_REPORTING.KPC_FK_DOCKET_IDLE_REPORT
WHERE 
 (IDLE_REASON) LIKE ('%{idle_reason}%')    AND IDLE_TIME &gt; 0
GROUP BY 
    ORG_NAME
ORDER BY 
    TOTAL_IDLE_TIME DESC;</t>
  </si>
  <si>
    <t xml:space="preserve">incentive during week period </t>
  </si>
  <si>
    <t>SELECT 
    WEEK_PERIOD,
    SUM(TOTINCN) AS TOTAL_INCENTIVE,
    COUNT(DISTINCT TNO) AS TOTAL_EMPLOYEES_PAID
FROM 
    KPCL_REPORTING.KPC_FULL_KIT_DOCKET_EMP
WHERE 
    WEEK_PERIOD LIKE '%{week_period }%'
GROUP BY 
    WEEK_PERIOD;</t>
  </si>
  <si>
    <t xml:space="preserve">week_period </t>
  </si>
  <si>
    <t>View purchase orders requiring reapproval.</t>
  </si>
  <si>
    <t>Show purchase orders requiring reapproval.</t>
  </si>
  <si>
    <t>purchase orders requiring reapproval</t>
  </si>
  <si>
    <t>View idle_reason {idle_reason} trend over time.</t>
  </si>
  <si>
    <t>SELECT 
    PO_NUM,
    PO_TYPE,
    PO_STATUS,
    APPROVAL_STATUS,
    PO_CREATION_DATE,
    SUPPLIER,
    BUYER_NAME,
    SUM(LINE_AMOUNT) AS TOTAL_PO_AMOUNT,
    CURRENCY
FROM 
    KPCL_REPORTING.DERIVED_PO_BOARD
WHERE 
    APPROVAL_STATUS = 'REQUIRES REAPPROVAL' AND REQ_QTY_MONTH = UPPER(TO_CHAR(SYSDATE, 'MON-YYYY'))
GROUP BY 
    PO_NUM,
    PO_TYPE,
    PO_STATUS,
    APPROVAL_STATUS,
    PO_CREATION_DATE,
    SUPPLIER,
    BUYER_NAME,
    CURRENCY
ORDER BY 
    PO_CREATION_DATE DESC;</t>
  </si>
  <si>
    <t>Show /idle_reason {idle_reason} trend over time.</t>
  </si>
  <si>
    <t>idle reason trend over time</t>
  </si>
  <si>
    <t>SELECT 
    TRUNC(UTILIZATION_DATE, 'MM') AS TREND_MONTH,
    SUM(IDLE_TIME) AS TOTAL_IDLE_TIME,
    COUNT(*) AS OCCURRENCES
FROM 
    KPCL_REPORTING.KPC_FK_DOCKET_IDLE_REPORT
WHERE 
     (IDLE_REASON) LIKE ('%{idle_reason}%')
    AND IDLE_TIME &gt; 0
GROUP BY 
    TRUNC(UTILIZATION_DATE, 'MM')
ORDER BY 
    TREND_MONTH ASC;</t>
  </si>
  <si>
    <t>Display approval status summary.</t>
  </si>
  <si>
    <t>Show approval status summary.</t>
  </si>
  <si>
    <t>approval status summary</t>
  </si>
  <si>
    <t>View incentive for employee_department {employee_department}.</t>
  </si>
  <si>
    <t>Display comparison of idle_reason {idle_reason} and idle_reason {idle_reason}.</t>
  </si>
  <si>
    <t>Show incentive for /employee_department {employee_department}.</t>
  </si>
  <si>
    <t>SELECT
    APPROVAL_STATUS,
    COUNT(*) AS PO_COUNT
FROM KPCL_REPORTING.DERIVED_PO_BOARD
WHERE REQ_QTY_MONTH = UPPER(TO_CHAR(SYSDATE, 'MON-YYYY'))
GROUP BY APPROVAL_STATUS
ORDER BY PO_COUNT DESC;</t>
  </si>
  <si>
    <t>Compare /idle_reason {idle_reason} and /idle_reason {idle_reason}.</t>
  </si>
  <si>
    <t>incentive for employee department</t>
  </si>
  <si>
    <t>idle reason and idle reason</t>
  </si>
  <si>
    <t>SELECT
    EMP_DEPT AS DEPARTMENT,
    AVG(TOTINCN) AS AVG_INCENTIVE_PAYOUT,
    SUM(TOTINCN) AS TOTAL_INCENTIVE_PAYOUT,
    COUNT(DISTINCT TNO) AS TOTAL_EMPLOYEES
FROM KPCL_REPORTING.KPC_FULL_KIT_DOCKET_EMP
WHERE EMP_DEPT LIKE '%{employee_department}%'
GROUP BY EMP_DEPT
ORDER BY AVG_INCENTIVE_PAYOUT DESC;</t>
  </si>
  <si>
    <t>SELECT 
    IDLE_REASON,
    COUNT(*) AS TOTAL_OCCURRENCES,
   SUM(NVL(IDLE_TIME, 0)) AS TOTAL_IDLE_TIME_MINS,
    ROUND(AVG(NVL(IDLE_TIME, 0)), 2) AS AVERAGE_IDLE_TIME_PER_DOCKET_MINS,
    ROUND(SUM(NVL(IDLE_TIME, 0)) / 60.0, 2) AS TOTAL_IDLE_TIME_HOURS,
    ROUND(AVG(NVL(IDLE_TIME, 0)) / 60.0, 2) AS AVERAGE_IDLE_TIME_PER_DOCKET_HOURS
FROM 
    KPCL_REPORTING.KPC_FK_DOCKET_IDLE_REPORT
WHERE 
    UPPER(IDLE_REASON) LIKE UPPER('%{idle_reason}%')
    AND NVL(IDLE_TIME, 0) &gt; 0
GROUP BY 
    IDLE_REASON
ORDER BY 
    TOTAL_IDLE_TIME_MINS DESC;</t>
  </si>
  <si>
    <t>View incentive for employee {employee}.</t>
  </si>
  <si>
    <t>View approval status by buyer.</t>
  </si>
  <si>
    <t>Show incentive for /employee {employee}.</t>
  </si>
  <si>
    <t>Show approval status by buyer.</t>
  </si>
  <si>
    <t>incentive for employee</t>
  </si>
  <si>
    <t>approval status by buyer</t>
  </si>
  <si>
    <t>SELECT 
    TNO,
    ENAME,
    EMP_DEPT,
    EMP_ORG_NAME,
    PERIOD_NAME,
    SUM(TOTINCN) AS TOTAL_INCENTIVE
FROM 
    KPCL_REPORTING.KPC_FULL_KIT_DOCKET_EMP
WHERE 
    ENAME LIKE '%{employee}%'
GROUP BY 
    TNO,
    ENAME,
    EMP_DEPT,
    EMP_ORG_NAME,
    PERIOD_NAME
ORDER BY 
    PERIOD_NAME DESC;</t>
  </si>
  <si>
    <t>SELECT
    BUYER_NAME,
    APPROVAL_STATUS,
    COUNT(*) AS PO_COUNT
FROM KPCL_REPORTING.DERIVED_PO_BOARD
WHERE REQ_QTY_MONTH = UPPER(TO_CHAR(SYSDATE, 'MON-YYYY'))
GROUP BY
    BUYER_NAME,
    APPROVAL_STATUS
ORDER BY
    BUYER_NAME,
    APPROVAL_STATUS;</t>
  </si>
  <si>
    <t>Display machines with more than minutes {minutes} downtime due to idle_reason {idle_reason}.</t>
  </si>
  <si>
    <t>Show machines with more than /minutes {minutes} downtime due to /idle_reason {idle_reason}.</t>
  </si>
  <si>
    <t>machines with more than minutes downtime due to idle reason</t>
  </si>
  <si>
    <t>SELECT 
    RESOURCE_CODE,
    RESOURCE_DESC,
    SUM(IDLE_TIME + MAINTAINCE_DOCKET_TIME) AS TOTAL_DOWNTIME,
    SUM(IDLE_TIME) AS TOTAL_IDLE_TIME,
    SUM(MAINTAINCE_DOCKET_TIME) AS TOTAL_MAINTENANCE_TIME
FROM 
    KPCL_REPORTING.KPC_FK_DOCKET_IDLE_REPORT
WHERE 
     (IDLE_REASON) LIKE ('%{idle_reason}%')
    AND IDLE_TIME &gt; 0
GROUP BY 
    RESOURCE_CODE,
    RESOURCE_DESC
HAVING 
    SUM(IDLE_TIME + MAINTAINCE_DOCKET_TIME) &gt; %{minutes}%
ORDER BY 
    TOTAL_DOWNTIME DESC;</t>
  </si>
  <si>
    <t>idle_reason, minutes</t>
  </si>
  <si>
    <t>Display approval status by supplier.</t>
  </si>
  <si>
    <t>Show incentive for employee {employee} during month_period {month_period }.</t>
  </si>
  <si>
    <t>Show approval status by supplier.</t>
  </si>
  <si>
    <t>approval status by supplier</t>
  </si>
  <si>
    <t>SELECT
    SUPPLIER,
    APPROVAL_STATUS,
    COUNT(*) AS PO_COUNT
FROM KPCL_REPORTING.DERIVED_PO_BOARD
WHERE REQ_QTY_MONTH = UPPER(TO_CHAR(SYSDATE, 'MON-YYYY'))
GROUP BY
    SUPPLIER,
    APPROVAL_STATUS
ORDER BY
    SUPPLIER,
    APPROVAL_STATUS;</t>
  </si>
  <si>
    <t>Show total rejected quantity.</t>
  </si>
  <si>
    <t>Show incentive for /employee {employee} during /month_period {month_period}.</t>
  </si>
  <si>
    <t>incentive for employee during month period</t>
  </si>
  <si>
    <t>total rejected quantity</t>
  </si>
  <si>
    <t>SELECT 
    TNO,
    ENAME,
    EMP_DEPT,
    EMP_ORG_NAME,
    MONTH_PERIOD,
    SUM(TOTINCN) AS TOTAL_INCENTIVE
FROM 
    KPCL_REPORTING.KPC_FULL_KIT_DOCKET_EMP
WHERE 
    ENAME LIKE '%{employee}%'
    AND MONTH_PERIOD LIKE '%{month_period }%'
GROUP BY 
    TNO,
    ENAME,
    EMP_DEPT,
    EMP_ORG_NAME,
    MONTH_PERIOD 
ORDER BY 
    TOTAL_INCENTIVE DESC;</t>
  </si>
  <si>
    <t>SELECT 
    SUM(QUANTITY_REJ_MACHINE) AS TOTAL_REJECTED_BY_MACHINE,
    SUM(QUANTITY_REJ_MATERIAL) AS TOTAL_REJECTED_BY_MATERIAL,
    SUM(QUANTITY_REJ_MACHINE + QUANTITY_REJ_MATERIAL) AS TOTAL_OVERALL_REJECTED
FROM 
    KPCL_REPORTING.KPC_FK_DOCKET_IDLE_REPORT
WHERE (IDLE_REASON) LIKE ('Operator Absent');</t>
  </si>
  <si>
    <t>employee, month_period</t>
  </si>
  <si>
    <t>Display approval status by organization.</t>
  </si>
  <si>
    <t>Show approval status by organization.</t>
  </si>
  <si>
    <t>approval status by organization</t>
  </si>
  <si>
    <t>SELECT
    ORG_NAME,
    APPROVAL_STATUS,
    COUNT(*) AS PO_COUNT
FROM KPCL_REPORTING.DERIVED_PO_BOARD
WHERE REQ_QTY_MONTH = UPPER(TO_CHAR(SYSDATE, 'MON-YYYY'))
GROUP BY
    ORG_NAME,
    APPROVAL_STATUS
ORDER BY
    ORG_NAME,
    APPROVAL_STATUS;</t>
  </si>
  <si>
    <t>Show total rejection quantity.</t>
  </si>
  <si>
    <t>View total rejection quantity.</t>
  </si>
  <si>
    <t>View incentive scheme summary.</t>
  </si>
  <si>
    <t>total rejection quantity</t>
  </si>
  <si>
    <t>Show incentive scheme summary.</t>
  </si>
  <si>
    <t>incentive scheme summary</t>
  </si>
  <si>
    <t>SELECT 
    SUM(NVL(QUANTITY_REJ_MACHINE, 0)) AS TOTAL_REJECTED_BY_MACHINE,
    SUM(NVL(QUANTITY_REJ_MATERIAL, 0)) AS TOTAL_REJECTED_BY_MATERIAL,
    SUM(NVL(QUANTITY_REJ_MACHINE, 0) + NVL(QUANTITY_REJ_MATERIAL, 0)) AS TOTAL_OVERALL_REJECTED
FROM 
    KPCL_REPORTING.KPC_FK_DOCKET_IDLE_REPORT
WHERE (IDLE_REASON) LIKE ('Operator Absent');</t>
  </si>
  <si>
    <t>SELECT 
    PERIOD_NAME,
    COUNT(DISTINCT EMP_ORG_NAME) AS TOTAL_ORGANIZATIONS,
    COUNT(DISTINCT EMP_DEPT) AS TOTAL_DEPARTMENTS,
    COUNT(DISTINCT TNO) AS TOTAL_ELIGIBLE_EMPLOYEES,
    COUNT(DISTINCT CASE WHEN TOTINCN &gt; 0 THEN TNO END) AS EMPLOYEES_EARNING_INCENTIVE,
    SUM(TOTINCN) AS TOTAL_INCENTIVE_PAYOUT,
    AVG(TOTINCN) AS AVERAGE_INCENTIVE_PER_EMP,
    MAX(TOTINCN) AS HIGHEST_INCENTIVE_PAID,
    AVG(PERFORMANCE_INDEX) AS OVERALL_AVG_PERFORMANCE_INDEX
FROM 
    KPCL_REPORTING.KPC_FULL_KIT_DOCKET_EMP
GROUP BY 
    PERIOD_NAME
ORDER BY 
    PERIOD_NAME DESC;</t>
  </si>
  <si>
    <t>Display purchase orders with approval_status {approval_status}.</t>
  </si>
  <si>
    <t>Show purchase orders with /approval_status {approval_status}.</t>
  </si>
  <si>
    <t>purchase orders with approval status</t>
  </si>
  <si>
    <t>SELECT 
    PO_NUM,
    PO_TYPE,
    PO_STATUS,
    APPROVAL_STATUS,
    PO_CREATION_DATE,
    SUPPLIER,
    BUYER_NAME,
    SUM(LINE_AMOUNT) AS TOTAL_PO_AMOUNT,
    CURRENCY
FROM 
    KPCL_REPORTING.DERIVED_PO_BOARD
WHERE 
    (APPROVAL_STATUS) LIKE ('%{approval_status}%') AND REQ_QTY_MONTH = UPPER(TO_CHAR(SYSDATE, 'MON-YYYY'))
GROUP BY 
    PO_NUM,
    PO_TYPE,
    PO_STATUS,
    APPROVAL_STATUS,
    PO_CREATION_DATE,
    SUPPLIER,
    BUYER_NAME,
    CURRENCY
ORDER BY 
    PO_CREATION_DATE DESC;</t>
  </si>
  <si>
    <t>View rejection trend.</t>
  </si>
  <si>
    <t>Show rejection trend.</t>
  </si>
  <si>
    <t>Display KPI summary for employee_department {employee_department}.</t>
  </si>
  <si>
    <t>rejection trend</t>
  </si>
  <si>
    <t>Show KPI summary for /employee_department {employee_department}.</t>
  </si>
  <si>
    <t>KPI summary for employee department</t>
  </si>
  <si>
    <t>SELECT 
    TRUNC(UTILIZATION_DATE, 'MM') AS TREND_MONTH,
    SUM(NVL(QUANTITY_REJ_MACHINE, 0)) AS REJECTED_BY_MACHINE,
    SUM(NVL(QUANTITY_REJ_MATERIAL, 0)) AS REJECTED_BY_MATERIAL,
    SUM(NVL(QUANTITY_REJ_MACHINE, 0) + NVL(QUANTITY_REJ_MATERIAL, 0)) AS TOTAL_REJECTED_QUANTITY
FROM 
    KPCL_REPORTING.KPC_FK_DOCKET_IDLE_REPORT
WHERE (IDLE_REASON) LIKE ('Operator Absent')
GROUP BY 
    TRUNC(UTILIZATION_DATE, 'MM')
ORDER BY 
    TREND_MONTH ASC;</t>
  </si>
  <si>
    <t>SELECT 
    EMP_DEPT,
    PERIOD_NAME,
    COUNT(DISTINCT TNO) AS TOTAL_EMPLOYEES,
    AVG(PERFORMANCE_INDEX) AS AVG_PERFORMANCE_INDEX,
    SUM(PRODUCED) AS TOTAL_ACTUAL_PRODUCTION,
    SUM(STD_PRODN) AS TOTAL_STANDARD_PRODUCTION,
    SUM(WORKED) AS TOTAL_WORKED_minutes,
    SUM(PRESENT) AS TOTAL_PRESENT_minutes,
    SUM(MEASURED) AS TOTAL_MEASURED_minutes,
    SUM(TOTINCN) AS TOTAL_INCENTIVE_PAYOUT
FROM 
    KPCL_REPORTING.KPC_FULL_KIT_DOCKET_EMP
WHERE 
    EMP_DEPT LIKE '%{employee_department}%'
GROUP BY 
    EMP_DEPT,
    PERIOD_NAME
ORDER BY 
    PERIOD_NAME DESC;</t>
  </si>
  <si>
    <t>Show rejection percentage.</t>
  </si>
  <si>
    <t>View rejection percentage.</t>
  </si>
  <si>
    <t>Show KPI summary for employee {employee}.</t>
  </si>
  <si>
    <t>rejection percentage</t>
  </si>
  <si>
    <t>Show KPI summary for /employee {employee}.</t>
  </si>
  <si>
    <t>KPI summary for employee</t>
  </si>
  <si>
    <t>SELECT
    RESOURCE_CODE,
    RESOURCE_DESC,
    SUM(QUANTITY_REJ_MACHINE) AS TOTAL_MACHINE_REJECTION,
    SUM(QUANTITY_REJ_MATERIAL) AS TOTAL_MATERIAL_REJECTION,
    SUM(PRODUCED) AS TOTAL_PRODUCED_QUANTITY,
    CASE
        WHEN SUM(PRODUCED) &gt; 0
        THEN ROUND((SUM(QUANTITY_REJ_MACHINE + QUANTITY_REJ_MATERIAL) / SUM(PRODUCED)) * 100, 2)
        ELSE 0
    END AS TOTAL_REJECTION_PERCENTAGE
FROM
    KPCL_REPORTING.KPC_FK_DOCKET_IDLE_REPORT
WHERE (IDLE_REASON) LIKE ('Operator Absent')
GROUP BY
    RESOURCE_CODE,
    RESOURCE_DESC
ORDER BY
    TOTAL_REJECTION_PERCENTAGE DESC;</t>
  </si>
  <si>
    <t>SELECT 
    TNO,
    ENAME,
    EMP_ORG_NAME,
    EMP_DEPT,
    PERIOD_NAME,
    SUPV_NAME,
    AVG(PERFORMANCE_INDEX) AS AVG_PERFORMANCE_INDEX,
    SUM(PRODUCED) AS TOTAL_ACTUAL_PRODUCTION,
    SUM(STD_PRODN) AS TOTAL_STANDARD_PRODUCTION,
    SUM(WORKED) AS TOTAL_WORKED_minutes,
    SUM(PRESENT) AS TOTAL_PRESENT_minutes,
    SUM(MEASURED) AS TOTAL_MEASURED_minutes,
    SUM(MSI) AS TOTAL_MSI,
    SUM(TOTINCN) AS TOTAL_INCENTIVE_PAYOUT
FROM 
    KPCL_REPORTING.KPC_FULL_KIT_DOCKET_EMP
WHERE 
    ENAME LIKE '%{employee}%'
GROUP BY 
    TNO,
    ENAME,
    EMP_ORG_NAME,
    EMP_DEPT,
    PERIOD_NAME,
    SUPV_NAME
ORDER BY 
    PERIOD_NAME DESC;</t>
  </si>
  <si>
    <t>Show rejection summary.</t>
  </si>
  <si>
    <t>Show KPI summary for supervisor {supervisor}.</t>
  </si>
  <si>
    <t>Show KPI summary for /supervisor {supervisor}.</t>
  </si>
  <si>
    <t>rejection summary</t>
  </si>
  <si>
    <t>KPI summary for supervisor</t>
  </si>
  <si>
    <t>SELECT
    RESOURCE_CODE,
    RESOURCE_DESC,
    SUM(QUANTITY_REJ_MACHINE) AS TOTAL_MACHINE_REJECTION,
    SUM(QUANTITY_REJ_MATERIAL) AS TOTAL_MATERIAL_REJECTION,
    SUM(QUANTITY_REJ_MACHINE + QUANTITY_REJ_MATERIAL) AS TOTAL_COMBINED_REJECTION
FROM
    KPCL_REPORTING.KPC_FK_DOCKET_IDLE_REPORT
WHERE (IDLE_REASON) LIKE ('Operator Absent')
GROUP BY
    RESOURCE_CODE,
    RESOURCE_DESC
ORDER BY
    TOTAL_COMBINED_REJECTION DESC;</t>
  </si>
  <si>
    <t>SELECT 
    SUPV_NAME,
    PERIOD_NAME,
    COUNT(DISTINCT TNO) AS TOTAL_EMPLOYEES_UNDER_SUPERVISION,
    AVG(PERFORMANCE_INDEX) AS AVG_PERFORMANCE_INDEX,
    SUM(PRODUCED) AS TOTAL_ACTUAL_PRODUCTION,
    SUM(STD_PRODN) AS TOTAL_STANDARD_PRODUCTION,
    SUM(WORKED) AS TOTAL_WORKED_minutes,
    SUM(PRESENT) AS TOTAL_PRESENT_minutes,
    SUM(MEASURED) AS TOTAL_MEASURED_minutes,
    SUM(MSI) AS TOTAL_MSI,
    SUM(TOTINCN) AS TOTAL_INCENTIVE_PAYOUT
FROM 
    KPCL_REPORTING.KPC_FULL_KIT_DOCKET_EMP
WHERE 
    SUPV_NAME LIKE '%{supervisor}%'
GROUP BY 
    SUPV_NAME,
    PERIOD_NAME
ORDER BY 
    PERIOD_NAME DESC;</t>
  </si>
  <si>
    <t>View machine rejection quantity.</t>
  </si>
  <si>
    <t>Show machine rejection quantity.</t>
  </si>
  <si>
    <t>machine rejection quantity</t>
  </si>
  <si>
    <t>Show LPI by department.</t>
  </si>
  <si>
    <t>SELECT
    RESOURCE_CODE,
    RESOURCE_DESC,
    SUM(QUANTITY_REJ_MACHINE) AS TOTAL_REJECTION_QUANTITY
FROM
    KPCL_REPORTING.KPC_FK_DOCKET_IDLE_REPORT
WHERE (IDLE_REASON) LIKE ('Operator Absent')
GROUP BY
    RESOURCE_CODE,
    RESOURCE_DESC
ORDER BY
    TOTAL_REJECTION_QUANTITY DESC;</t>
  </si>
  <si>
    <t>LPI by employee department</t>
  </si>
  <si>
    <t>SELECT 
    EMP_DEPT,
    PERIOD_NAME,
    LPI
FROM 
    KPCL_REPORTING.KPC_FULL_KIT_DOCKET_EMP
GROUP BY 
    EMP_DEPT,
    PERIOD_NAME,
    LPI;</t>
  </si>
  <si>
    <t>Display top buyers with rejected purchase orders.</t>
  </si>
  <si>
    <t>Show top buyers with rejected purchase orders.</t>
  </si>
  <si>
    <t>Show material rejection quantity.</t>
  </si>
  <si>
    <t>top buyers with rejected purchase orders</t>
  </si>
  <si>
    <t>View material rejection quantity.</t>
  </si>
  <si>
    <t>material rejection quantity</t>
  </si>
  <si>
    <t>SELECT 
    BUYER_NAME,
    COUNT(DISTINCT PO_NUM) AS REJECTED_PO_COUNT,
    SUM(LINE_AMOUNT) AS TOTAL_REJECTED_AMOUNT,
    CURRENCY
FROM 
    KPCL_REPORTING.DERIVED_PO_BOARD
WHERE 
    APPROVAL_STATUS = 'REJECTED' AND REQ_QTY_MONTH = UPPER(TO_CHAR(SYSDATE, 'MON-YYYY'))
GROUP BY 
    BUYER_NAME,
    CURRENCY
ORDER BY 
    REJECTED_PO_COUNT DESC, 
    TOTAL_REJECTED_AMOUNT DESC;</t>
  </si>
  <si>
    <t>SELECT
    RESOURCE_CODE,
    RESOURCE_DESC,
    SUM(QUANTITY_REJ_MATERIAL) AS TOTAL_MATERIAL_REJECTION_QUANTITY
FROM
    KPCL_REPORTING.KPC_FK_DOCKET_IDLE_REPORT
WHERE (IDLE_REASON) LIKE ('Operator Absent')
GROUP BY
    RESOURCE_CODE,
    RESOURCE_DESC
ORDER BY
    TOTAL_MATERIAL_REJECTION_QUANTITY DESC;</t>
  </si>
  <si>
    <t>View LPI by employee.</t>
  </si>
  <si>
    <t>Show LPI by employee.</t>
  </si>
  <si>
    <t>LPI by employee</t>
  </si>
  <si>
    <t>SELECT 
    TNO,
    ENAME,
    EMP_ORG_NAME,
    EMP_DEPT,
    PERIOD_NAME,
    LPI
FROM 
    KPCL_REPORTING.KPC_FULL_KIT_DOCKET_EMP
GROUP BY 
    TNO,
    ENAME,
    EMP_ORG_NAME,
    EMP_DEPT,
    PERIOD_NAME,
    LPI;</t>
  </si>
  <si>
    <t>View comparison of machine and material rejection.</t>
  </si>
  <si>
    <t>Compare machine and material rejection.</t>
  </si>
  <si>
    <t>View items due today.</t>
  </si>
  <si>
    <t>machine and material rejection</t>
  </si>
  <si>
    <t>Show items due today.</t>
  </si>
  <si>
    <t>items due today</t>
  </si>
  <si>
    <t>SELECT
    RESOURCE_CODE,
    RESOURCE_DESC,
    SUM(QUANTITY_REJ_MACHINE) AS TOTAL_MACHINE_REJECTION,
    SUM(QUANTITY_REJ_MATERIAL) AS TOTAL_MATERIAL_REJECTION
FROM
    KPCL_REPORTING.KPC_FK_DOCKET_IDLE_REPORT
WHERE (IDLE_REASON) LIKE ('Operator Absent')
GROUP BY
    RESOURCE_CODE,
    RESOURCE_DESC
ORDER BY
    TOTAL_MACHINE_REJECTION DESC;</t>
  </si>
  <si>
    <t>SELECT 
    ITEM_CODE,
    ITEM_DESCRIPTION,
    PO_NUM,
    LINE_NUM,
    SUPPLIER,
    SUM(DUE_QTY) AS TOTAL_DUE_QTY,
    SUM(DUE_AMT) AS TOTAL_DUE_AMT,
    CURRENCY
FROM 
    KPCL_REPORTING.DERIVED_PO_BOARD
WHERE 
    NEED_BY_DATE IS NOT NULL
    AND TO_DATE(NEED_BY_DATE, 'DD-MON-YY') = TRUNC(SYSDATE) AND REQ_QTY_MONTH = UPPER(TO_CHAR(SYSDATE, 'MON-YYYY'))
GROUP BY 
    ITEM_CODE,
    ITEM_DESCRIPTION,
    PO_NUM,
    LINE_NUM,
    SUPPLIER,
    CURRENCY
ORDER BY 
    TOTAL_DUE_AMT DESC;</t>
  </si>
  <si>
    <t>Show LPI by organization.</t>
  </si>
  <si>
    <t>LPI by organization</t>
  </si>
  <si>
    <t>SELECT 
    EMP_ORG_NAME,
    PERIOD_NAME,
    AVG(LPI) AS AVG_LPI,
    MIN(LPI) AS MIN_LPI,
    MAX(LPI) AS MAX_LPI,
    COUNT(DISTINCT TNO) AS TOTAL_EMPLOYEES
FROM 
    KPCL_REPORTING.KPC_FULL_KIT_DOCKET_EMP
GROUP BY 
    EMP_ORG_NAME,
    PERIOD_NAME
ORDER BY 
    AVG_LPI DESC;</t>
  </si>
  <si>
    <t>Show machine rejection quantity for machine resource_code {resource_code}.</t>
  </si>
  <si>
    <t>Show machine rejection quantity for machine /resource_code {resource_code}.</t>
  </si>
  <si>
    <t>Show items due this week.</t>
  </si>
  <si>
    <t>machine rejection quantity for machine resource code</t>
  </si>
  <si>
    <t>SELECT
    RESOURCE_CODE,
    RESOURCE_DESC,
    SUM(QUANTITY_REJ_MACHINE) AS TOTAL_REJECTION_QUANTITY
FROM
    KPCL_REPORTING.KPC_FK_DOCKET_IDLE_REPORT
WHERE
   RESOURCE_CODE LIKE '%{resource_code}%'
AND (IDLE_REASON) LIKE ('Operator Absent')
GROUP BY
    RESOURCE_CODE,
    RESOURCE_DESC;</t>
  </si>
  <si>
    <t>items due this week</t>
  </si>
  <si>
    <t>SELECT 
    ITEM_CODE,
    ITEM_DESCRIPTION,
    PO_NUM,
    LINE_NUM,
    SUPPLIER,
    NEED_BY_DATE,
    SUM(DUE_QTY) AS TOTAL_DUE_QTY,
    SUM(DUE_AMT) AS TOTAL_DUE_AMT,
    CURRENCY
FROM 
    KPCL_REPORTING.DERIVED_PO_BOARD
WHERE 
    NEED_BY_DATE IS NOT NULL
    AND TO_DATE(NEED_BY_DATE, 'DD-MON-YY') &gt;= TRUNC(SYSDATE, 'IW') 
    AND TO_DATE(NEED_BY_DATE, 'DD-MON-YY') &lt; TRUNC(SYSDATE, 'IW') + 7 AND REQ_QTY_MONTH = UPPER(TO_CHAR(SYSDATE, 'MON-YYYY'))
GROUP BY 
    ITEM_CODE,
    ITEM_DESCRIPTION,
    PO_NUM,
    LINE_NUM,
    SUPPLIER,
    NEED_BY_DATE,
    CURRENCY
ORDER BY 
    TO_DATE(NEED_BY_DATE, 'DD-MON-RR') ASC,
    TOTAL_DUE_AMT DESC;</t>
  </si>
  <si>
    <t>View LPI by supervisor.</t>
  </si>
  <si>
    <t>Show LPI by supervisor.</t>
  </si>
  <si>
    <t>LPI by supervisor</t>
  </si>
  <si>
    <t>SELECT 
    SUPV_NAME,
    PERIOD_NAME,
    AVG(LPI) AS AVG_LPI,
    MIN(LPI) AS MIN_LPI,
    MAX(LPI) AS MAX_LPI,
    COUNT(DISTINCT TNO) AS TOTAL_EMPLOYEES_UNDER_SUPERVISION
FROM 
    KPCL_REPORTING.KPC_FULL_KIT_DOCKET_EMP
GROUP BY 
    SUPV_NAME,
    PERIOD_NAME
ORDER BY 
    AVG_LPI DESC;</t>
  </si>
  <si>
    <t>View machine rejection quantity during month_period {month_period}.</t>
  </si>
  <si>
    <t>View machine rejection quantity during /month_period {month_period}.</t>
  </si>
  <si>
    <t xml:space="preserve">machine rejection quantity during month period </t>
  </si>
  <si>
    <t>Display items due this month.</t>
  </si>
  <si>
    <t>SELECT
    RESOURCE_CODE,
    RESOURCE_DESC,
    SUM(QUANTITY_REJ_MACHINE) AS TOTAL_REJECTION_QUANTITY
FROM
    KPCL_REPORTING.KPC_FK_DOCKET_IDLE_REPORT
WHERE
   (MONTH_PERIOD) LIKE ('%{month_period}%')
AND (IDLE_REASON) LIKE ('Operator Absent')
GROUP BY
    RESOURCE_CODE,
    RESOURCE_DESC
ORDER BY
    TOTAL_REJECTION_QUANTITY DESC;</t>
  </si>
  <si>
    <t>Show items due this month.</t>
  </si>
  <si>
    <t>items due this month</t>
  </si>
  <si>
    <t>SELECT 
    ITEM_CODE,
    ITEM_DESCRIPTION,
    PO_NUM,
    LINE_NUM,
    SUPPLIER,
    NEED_BY_DATE,
    SUM(DUE_QTY) AS TOTAL_DUE_QTY,
    SUM(DUE_AMT) AS TOTAL_DUE_AMT,
    CURRENCY
FROM KPCL_REPORTING.DERIVED_PO_BOARD
WHERE NEED_BY_DATE IS NOT NULL AND REQ_QTY_MONTH = UPPER(TO_CHAR(SYSDATE, 'MON-YYYY'))
  AND NEED_BY_DATE &gt;= TRUNC(SYSDATE, 'MM')
  AND NEED_BY_DATE &lt; ADD_MONTHS(TRUNC(SYSDATE, 'MM'), 1)
GROUP BY 
    ITEM_CODE,
    ITEM_DESCRIPTION,
    PO_NUM,
    LINE_NUM,
    SUPPLIER,
    NEED_BY_DATE,
    CURRENCY
ORDER BY 
    NEED_BY_DATE ASC,
    TOTAL_DUE_AMT DESC;</t>
  </si>
  <si>
    <t>View LPI for employee {employee}.</t>
  </si>
  <si>
    <t>Show LPI for /employee {employee}.</t>
  </si>
  <si>
    <t>LPI for employee</t>
  </si>
  <si>
    <t>SELECT 
    TNO,
    ENAME,
    EMP_ORG_NAME,
    EMP_DEPT,
    LPI
FROM 
    KPCL_REPORTING.KPC_FULL_KIT_DOCKET_EMP
WHERE 
    ENAME LIKE '%{employee}%'
GROUP BY 
    TNO,
    ENAME,
    EMP_ORG_NAME,
    EMP_DEPT,
    LPI;</t>
  </si>
  <si>
    <t>View machine rejection quantity during week_period {week_period}.</t>
  </si>
  <si>
    <t>View machine rejection quantity during /week_period {week_period}.</t>
  </si>
  <si>
    <t xml:space="preserve">machine rejection quantity during week period </t>
  </si>
  <si>
    <t>SELECT
    RESOURCE_CODE,
    RESOURCE_DESC,
    SUM(QUANTITY_REJ_MACHINE) AS TOTAL_REJECTION_QUANTITY
FROM
    KPCL_REPORTING.KPC_FK_DOCKET_IDLE_REPORT
WHERE
   (WEEK_PERIOD) LIKE ('%{week_period}%')
AND (IDLE_REASON) LIKE ('Operator Absent')
GROUP BY
    RESOURCE_CODE,
    RESOURCE_DESC
ORDER BY
    TOTAL_REJECTION_QUANTITY DESC;</t>
  </si>
  <si>
    <t>Display items due by expected date.</t>
  </si>
  <si>
    <t>Show items due by expected date.</t>
  </si>
  <si>
    <t>items due by expected date</t>
  </si>
  <si>
    <t>SELECT ITEM_CODE, ITEM_DESCRIPTION, EXPECTED_DATE, 
       SUM(QUANTITY) AS TOTAL_QUANTITY_DUE,
       SUM(QUANTITY * UNIT_PRICE) AS TOTAL_DUE_AMOUNT
FROM KPCL_REPORTING.DERIVED_PO_BOARD
WHERE EXPECTED_DATE IS NOT NULL AND REQ_QTY_MONTH = UPPER(TO_CHAR(SYSDATE, 'MON-YYYY'))
GROUP BY ITEM_CODE, ITEM_DESCRIPTION, EXPECTED_DATE
ORDER BY EXPECTED_DATE ASC, TOTAL_DUE_AMOUNT DESC;</t>
  </si>
  <si>
    <t>Show measured minutes by department.</t>
  </si>
  <si>
    <t>measured minutes by employee department</t>
  </si>
  <si>
    <t>SELECT
    EMP_DEPT,
    SUM(MEASURED) AS TOTAL_MEASURED
FROM KPCL_REPORTING.KPC_FULL_KIT_DOCKET_EMP
GROUP BY EMP_DEPT;</t>
  </si>
  <si>
    <t>View machine rejection quantity during year_period {year_period}.</t>
  </si>
  <si>
    <t>View machine rejection quantity during /year_period {year_period}.</t>
  </si>
  <si>
    <t>machine rejection quantity during year period</t>
  </si>
  <si>
    <t>SELECT
    RESOURCE_CODE,
    RESOURCE_DESC,
    SUM(QUANTITY_REJ_MACHINE) AS TOTAL_REJECTION_QUANTITY
FROM
    KPCL_REPORTING.KPC_FK_DOCKET_IDLE_REPORT
WHERE
   (YEAR_PERIOD) LIKE ('%{year_period}%')
AND (IDLE_REASON) LIKE ('Operator Absent')
GROUP BY
    RESOURCE_CODE,
    RESOURCE_DESC
ORDER BY
    TOTAL_REJECTION_QUANTITY DESC;</t>
  </si>
  <si>
    <t>View items due by buyer expected date.</t>
  </si>
  <si>
    <t>View measured minutes by employee.</t>
  </si>
  <si>
    <t>Show items due by buyer expected date.</t>
  </si>
  <si>
    <t>Show measured minutes by employee.</t>
  </si>
  <si>
    <t>items due by buyer expected date</t>
  </si>
  <si>
    <t>measured minutes by employee</t>
  </si>
  <si>
    <t>SELECT
    TNO,
    ENAME,
    SUM(MEASURED) AS TOTAL_MEASURED
FROM KPCL_REPORTING.KPC_FULL_KIT_DOCKET_EMP
GROUP BY TNO, ENAME;</t>
  </si>
  <si>
    <t>SELECT 
    ITEM_CODE,
    ITEM_DESCRIPTION,
    PO_NUM,
    LINE_NUM,
    SUPPLIER,
    BUYER_NAME,
    BUYER_EXPECTED_DATE,
    SUM(DUE_QTY) AS TOTAL_DUE_QTY,
    SUM(DUE_AMT) AS TOTAL_DUE_AMT,
    CURRENCY
FROM 
    KPCL_REPORTING.DERIVED_PO_BOARD
WHERE 
    BUYER_EXPECTED_DATE IS NOT NULL
    AND DUE_QTY &gt; 0 AND REQ_QTY_MONTH = UPPER(TO_CHAR(SYSDATE, 'MON-YYYY'))
GROUP BY 
    ITEM_CODE,
    ITEM_DESCRIPTION,
    PO_NUM,
    LINE_NUM,
    SUPPLIER,
    BUYER_NAME,
    BUYER_EXPECTED_DATE,
    CURRENCY
ORDER BY 
    BUYER_EXPECTED_DATE ASC,
    TOTAL_DUE_AMT DESC;</t>
  </si>
  <si>
    <t>Show material rejection quantity for machine resource_code {resource_code}.</t>
  </si>
  <si>
    <t>Show material rejection quantity for machine /resource_code {resource_code}.</t>
  </si>
  <si>
    <t>material rejection quantity for machine resource code</t>
  </si>
  <si>
    <t>SELECT
    RESOURCE_CODE,
    RESOURCE_DESC,
    SUM(QUANTITY_REJ_MATERIAL) AS TOTAL_MATERIAL_REJECTIONS
FROM
    KPCL_REPORTING.KPC_FK_DOCKET_IDLE_REPORT
WHERE
   RESOURCE_CODE LIKE '%{resource_code}%'
AND (IDLE_REASON) LIKE ('Operator Absent')
GROUP BY
    RESOURCE_CODE,
    RESOURCE_DESC;</t>
  </si>
  <si>
    <t>View measured minutes by organization.</t>
  </si>
  <si>
    <t>View items due by supplier expected date.</t>
  </si>
  <si>
    <t>Show measured minutes by organization.</t>
  </si>
  <si>
    <t>Show items due by supplier expected date.</t>
  </si>
  <si>
    <t>measured minutes by organization</t>
  </si>
  <si>
    <t>items due by supplier expected date</t>
  </si>
  <si>
    <t>SELECT
    EMP_ORG_NAME,
    SUM(MEASURED) AS TOTAL_MEASURED
FROM KPCL_REPORTING.KPC_FULL_KIT_DOCKET_EMP
GROUP BY EMP_ORG_NAME;</t>
  </si>
  <si>
    <t>SELECT ITEM_CODE, ITEM_DESCRIPTION, SUPPLIER_EXPECTED_DATE, 
       SUM(QUANTITY) AS TOTAL_QUANTITY_DUE,
       SUM(QUANTITY * UNIT_PRICE) AS TOTAL_DUE_AMOUNT
FROM KPCL_REPORTING.DERIVED_PO_BOARD
WHERE SUPPLIER_EXPECTED_DATE IS NOT NULL AND REQ_QTY_MONTH = UPPER(TO_CHAR(SYSDATE, 'MON-YYYY'))
GROUP BY ITEM_CODE, ITEM_DESCRIPTION, SUPPLIER_EXPECTED_DATE
ORDER BY SUPPLIER_EXPECTED_DATE ASC, TOTAL_DUE_AMOUNT DESC;</t>
  </si>
  <si>
    <t>View material rejection quantity during month_period {month_period}.</t>
  </si>
  <si>
    <t>View material rejection quantity during /month_period {month_period}.</t>
  </si>
  <si>
    <t>material rejection quantity during month period</t>
  </si>
  <si>
    <t>Show measured minutes by supervisor.</t>
  </si>
  <si>
    <t>SELECT
    RESOURCE_CODE,
    RESOURCE_DESC,
    SUM(QUANTITY_REJ_MATERIAL) AS TOTAL_MATERIAL_REJECTIONS
FROM
    KPCL_REPORTING.KPC_FK_DOCKET_IDLE_REPORT
WHERE
    (MONTH_PERIOD) LIKE ('%{month_period}%')
AND (IDLE_REASON) LIKE ('Operator Absent')
GROUP BY
    RESOURCE_CODE,
    RESOURCE_DESC
ORDER BY
    TOTAL_MATERIAL_REJECTIONS DESC;</t>
  </si>
  <si>
    <t>measured minutes by supervisor</t>
  </si>
  <si>
    <t>View overdue purchase orders.</t>
  </si>
  <si>
    <t>SELECT
    SUPV_ID,
    SUPV_NAME,
    SUM(MEASURED) AS TOTAL_MEASURED_minutes
FROM KPCL_REPORTING.KPC_FULL_KIT_DOCKET_EMP
GROUP BY
    SUPV_ID,
    SUPV_NAME
ORDER BY
    TOTAL_MEASURED_minutes DESC;</t>
  </si>
  <si>
    <t>Show overdue purchase orders.</t>
  </si>
  <si>
    <t>overdue purchase orders</t>
  </si>
  <si>
    <t>SELECT
    PO_NUM,
    PO_CREATION_DATE,
    BUYER_NAME,
    SUPPLIER,
    ITEM_CODE,
    ITEM_DESCRIPTION,
    QUANTITY,
    EXPECTED_DATE,
    DUE_QTY,
    DUE_AMT
FROM KPCL_REPORTING.DERIVED_PO_BOARD
WHERE EXPECTED_DATE &lt; TRUNC(SYSDATE) AND REQ_QTY_MONTH = UPPER(TO_CHAR(SYSDATE, 'MON-YYYY'))
ORDER BY EXPECTED_DATE;</t>
  </si>
  <si>
    <t>View material rejection quantity during week_period {week_period}.</t>
  </si>
  <si>
    <t>View material rejection quantity during /week_period {week_period}.</t>
  </si>
  <si>
    <t>Show measured minutes for employee {employee}.</t>
  </si>
  <si>
    <t>material rejection quantity during week period</t>
  </si>
  <si>
    <t>Show measured minutes for /employee {employee}.</t>
  </si>
  <si>
    <t>measured minutes for employee</t>
  </si>
  <si>
    <t>SELECT
    RESOURCE_CODE,
    RESOURCE_DESC,
    SUM(QUANTITY_REJ_MATERIAL) AS TOTAL_MATERIAL_REJECTIONS
FROM
    KPCL_REPORTING.KPC_FK_DOCKET_IDLE_REPORT
WHERE
    (WEEK_PERIOD) LIKE ('%{week_period}%')
AND (IDLE_REASON) LIKE ('Operator Absent')
GROUP BY
    RESOURCE_CODE,
    RESOURCE_DESC
ORDER BY
    TOTAL_MATERIAL_REJECTIONS DESC;</t>
  </si>
  <si>
    <t>SELECT
    TNO,
    ENAME,
    SUM(MEASURED) AS MEASURED
FROM KPCL_REPORTING.KPC_FULL_KIT_DOCKET_EMP
WHERE ENAME LIKE '%{employee}%'
GROUP BY TNO, ENAME;</t>
  </si>
  <si>
    <t>Show overdue items.</t>
  </si>
  <si>
    <t>overdue items</t>
  </si>
  <si>
    <t>SELECT
    ITEM_CODE,
    ITEM_DESCRIPTION,
    PO_NUM,
    SUPPLIER,
    QUANTITY,
    EXPECTED_DATE
FROM KPCL_REPORTING.DERIVED_PO_BOARD
WHERE EXPECTED_DATE &lt; TRUNC(SYSDATE) AND REQ_QTY_MONTH = UPPER(TO_CHAR(SYSDATE, 'MON-YYYY'))
ORDER BY EXPECTED_DATE;</t>
  </si>
  <si>
    <t>View material rejection quantity during /year_period {year_period}.</t>
  </si>
  <si>
    <t xml:space="preserve">material rejection quantity during year period </t>
  </si>
  <si>
    <t>View monthly incentive trend.</t>
  </si>
  <si>
    <t>Show monthly incentive trend.</t>
  </si>
  <si>
    <t>SELECT
    RESOURCE_CODE,
    RESOURCE_DESC,
    SUM(QUANTITY_REJ_MATERIAL) AS TOTAL_MATERIAL_REJECTIONS
FROM
    KPCL_REPORTING.KPC_FK_DOCKET_IDLE_REPORT
WHERE
    (YEAR_PERIOD) LIKE ('%{year_period}%')
AND (IDLE_REASON) LIKE ('Operator Absent')
GROUP BY
    RESOURCE_CODE,
    RESOURCE_DESC
ORDER BY
    TOTAL_MATERIAL_REJECTIONS DESC;</t>
  </si>
  <si>
    <t>monthly incentive trend</t>
  </si>
  <si>
    <t>Show overdue quantity.</t>
  </si>
  <si>
    <t>overdue quantity</t>
  </si>
  <si>
    <t>SELECT
    SUM(DUE_QTY) AS OVERDUE_QUANTITY
FROM KPCL_REPORTING.DERIVED_PO_BOARD
WHERE EXPECTED_DATE &lt; TRUNC(SYSDATE) AND REQ_QTY_MONTH = UPPER(TO_CHAR(SYSDATE, 'MON-YYYY'));</t>
  </si>
  <si>
    <t>View rejection quantity for machine resource_code {resource_code}.</t>
  </si>
  <si>
    <t>Show rejection quantity for machine /resource_code {resource_code}.</t>
  </si>
  <si>
    <t>rejection quantity for machine resource code</t>
  </si>
  <si>
    <t>Show monthly performance trend.</t>
  </si>
  <si>
    <t>SELECT
    RESOURCE_CODE,
    RESOURCE_DESC,
    SUM(QUANTITY_REJ_MACHINE) AS TOTAL_MACHINE_REJECTIONS,
    SUM(QUANTITY_REJ_MATERIAL) AS TOTAL_MATERIAL_REJECTIONS,
    (SUM(QUANTITY_REJ_MACHINE) + SUM(QUANTITY_REJ_MATERIAL)) AS TOTAL_COMBINED_REJECTIONS
FROM
    KPCL_REPORTING.KPC_FK_DOCKET_IDLE_REPORT
WHERE
   RESOURCE_CODE LIKE '%{resource_code}%'
AND (IDLE_REASON) LIKE ('Operator Absent')
GROUP BY
    RESOURCE_CODE,
    RESOURCE_DESC;</t>
  </si>
  <si>
    <t>monthly performance trend</t>
  </si>
  <si>
    <t>SELECT 
    MONTH_PERIOD,
    AVG(PERFORMANCE_INDEX) AS AVG_PERFORMANCE_INDEX,
    SUM(PRODUCED) AS TOTAL_ACTUAL_PRODUCTION,
    SUM(STD_PRODN) AS TOTAL_STANDARD_PRODUCTION,
    SUM(TOTINCN) AS TOTAL_INCENTIVE_PAYOUT,
    COUNT(DISTINCT TNO) AS TOTAL_ACTIVE_EMPLOYEES
FROM 
    KPCL_REPORTING.KPC_FULL_KIT_DOCKET_EMP
GROUP BY 
    MONTH_PERIOD;</t>
  </si>
  <si>
    <t>Display overdue amount.</t>
  </si>
  <si>
    <t>Display rejection quantity during month_period {month_period}.</t>
  </si>
  <si>
    <t>Show overdue amount.</t>
  </si>
  <si>
    <t>overdue amount</t>
  </si>
  <si>
    <t>Display rejection quantity during /month_period {month_period}.</t>
  </si>
  <si>
    <t>Show monthly present minutes trend.</t>
  </si>
  <si>
    <t>SELECT
    SUM(DUE_AMT) AS OVERDUE_AMOUNT
FROM KPCL_REPORTING.DERIVED_PO_BOARD
WHERE REQ_QTY_MONTH = UPPER(TO_CHAR(SYSDATE, 'MON-YYYY'))
AND EXPECTED_DATE &lt; TRUNC(SYSDATE);</t>
  </si>
  <si>
    <t>rejection quantity during month period</t>
  </si>
  <si>
    <t>monthly present minutes trend</t>
  </si>
  <si>
    <t>SELECT
    MONTH_PERIOD,
    SUM(PRESENT) AS TOTAL_PRESENT_minutes
FROM KPCL_REPORTING.KPC_FULL_KIT_DOCKET_EMP
GROUP BY MONTH_PERIOD
ORDER BY MONTH_PERIOD ASC;</t>
  </si>
  <si>
    <t>SELECT
    RESOURCE_CODE,
    RESOURCE_DESC,
    SUM(QUANTITY_REJ_MACHINE) AS TOTAL_MACHINE_REJECTIONS,
    SUM(QUANTITY_REJ_MATERIAL) AS TOTAL_MATERIAL_REJECTIONS,
    (SUM(QUANTITY_REJ_MACHINE) + SUM(QUANTITY_REJ_MATERIAL)) AS TOTAL_COMBINED_REJECTIONS
FROM
    KPCL_REPORTING.KPC_FK_DOCKET_IDLE_REPORT
WHERE
    (MONTH_PERIOD) LIKE ('%{month_period}%')
AND (IDLE_REASON) LIKE ('Operator Absent')
GROUP BY
    RESOURCE_CODE,
    RESOURCE_DESC
ORDER BY
    TOTAL_COMBINED_REJECTIONS DESC;</t>
  </si>
  <si>
    <t>Show deliveries expected during month {month}.</t>
  </si>
  <si>
    <t>Show deliveries expected during /month {month}.</t>
  </si>
  <si>
    <t>Display monthly production trend.</t>
  </si>
  <si>
    <t>Display rejection quantity during week_period {week_period}.</t>
  </si>
  <si>
    <t>Show monthly production trend.</t>
  </si>
  <si>
    <t>deliveries expected during month</t>
  </si>
  <si>
    <t>monthly production trend</t>
  </si>
  <si>
    <t>Display rejection quantity during /week_period {week_period}.</t>
  </si>
  <si>
    <t xml:space="preserve">rejection quantity during week period </t>
  </si>
  <si>
    <t>SELECT 
    PERIOD_NAME,
    SUM(PRODUCED) AS TOTAL_ACTUAL_PRODUCTION,
    SUM(STD_PRODN) AS TOTAL_STANDARD_PRODUCTION,
    AVG(PERFORMANCE_INDEX) AS AVG_PERFORMANCE_INDEX,
    COUNT(DISTINCT TNO) AS TOTAL_EMPLOYEES
FROM 
    KPCL_REPORTING.KPC_FULL_KIT_DOCKET_EMP
GROUP BY 
    PERIOD_NAME
ORDER BY 
    PERIOD_NAME ASC;</t>
  </si>
  <si>
    <t>SELECT 
    PO_NUM,
    LINE_NUM,
    ITEM_CODE,
    ITEM_DESCRIPTION,
    SUPPLIER,
    EXPECTED_DATE,
    DUE_QTY,
    DUE_AMT,
    CURRENCY
FROM KPCL_REPORTING.DERIVED_PO_BOARD
WHERE EXPECTED_DATE IS NOT NULL AND REQ_QTY_MONTH = UPPER(TO_CHAR(SYSDATE, 'MON-YYYY'))
  AND TO_CHAR(EXPECTED_DATE, 'MON', 'NLS_DATE_LANGUAGE = American') = SUBSTR(UPPER('{month}'), 1, 3)
ORDER BY 
    EXPECTED_DATE ASC, 
    DUE_AMT DESC;</t>
  </si>
  <si>
    <t>SELECT
    RESOURCE_CODE,
    RESOURCE_DESC,
    SUM(QUANTITY_REJ_MACHINE) AS TOTAL_MACHINE_REJECTIONS,
    SUM(QUANTITY_REJ_MATERIAL) AS TOTAL_MATERIAL_REJECTIONS,
    (SUM(QUANTITY_REJ_MACHINE) + SUM(QUANTITY_REJ_MATERIAL)) AS TOTAL_COMBINED_REJECTIONS
FROM
    KPCL_REPORTING.KPC_FK_DOCKET_IDLE_REPORT
WHERE
    (WEEK_PERIOD) LIKE ('%{week_period}%')
AND (IDLE_REASON) LIKE ('Operator Absent')
GROUP BY
    RESOURCE_CODE,
    RESOURCE_DESC
ORDER BY
    TOTAL_COMBINED_REJECTIONS DESC;</t>
  </si>
  <si>
    <t>Show monthly total incentive trend.</t>
  </si>
  <si>
    <t>monthly total incentive trend</t>
  </si>
  <si>
    <t>Display rejection quantity during year_period {year_period}.</t>
  </si>
  <si>
    <t>Display rejection quantity during /year_period {year_period}.</t>
  </si>
  <si>
    <t xml:space="preserve">rejection quantity during year period </t>
  </si>
  <si>
    <t>SELECT
    RESOURCE_CODE,
    RESOURCE_DESC,
    SUM(QUANTITY_REJ_MACHINE) AS TOTAL_MACHINE_REJECTIONS,
    SUM(QUANTITY_REJ_MATERIAL) AS TOTAL_MATERIAL_REJECTIONS,
    (SUM(QUANTITY_REJ_MACHINE) + SUM(QUANTITY_REJ_MATERIAL)) AS TOTAL_COMBINED_REJECTIONS
FROM
    KPCL_REPORTING.KPC_FK_DOCKET_IDLE_REPORT
WHERE
    (YEAR_PERIOD) LIKE ('%{year_period}%')
AND (IDLE_REASON) LIKE ('Operator Absent')
GROUP BY
    RESOURCE_CODE,
    RESOURCE_DESC
ORDER BY
    TOTAL_COMBINED_REJECTIONS DESC;</t>
  </si>
  <si>
    <t>View monthly worked minutes trend.</t>
  </si>
  <si>
    <t>Show monthly worked minutes trend.</t>
  </si>
  <si>
    <t>monthly worked minutes trend</t>
  </si>
  <si>
    <t xml:space="preserve">SELECT
    MONTH_PERIOD,
    SUM(WORKED) AS TOTAL_WORKED_minutes
FROM KPCL_REPORTING.KPC_FULL_KIT_DOCKET_EMP
GROUP BY MONTH_PERIOD
ORDER BY MONTH_PERIOD ASC;
</t>
  </si>
  <si>
    <t>View rejection trend for machine resource_code {resource_code}.</t>
  </si>
  <si>
    <t>Show rejection trend for machine /resource_code {resource_code}.</t>
  </si>
  <si>
    <t>rejection trend for machine resource code</t>
  </si>
  <si>
    <t>View MSI by department.</t>
  </si>
  <si>
    <t>Show MSI by department.</t>
  </si>
  <si>
    <t>MSI by employee department</t>
  </si>
  <si>
    <t>SELECT 
    TO_CHAR(UTILIZATION_DATE, 'YYYY-MM') AS TREND_MONTH,
    SUM(NVL(QUANTITY_REJ_MATERIAL, 0)) AS MATERIAL_REJECTS,
    SUM(NVL(QUANTITY_REJ_MACHINE, 0)) AS MACHINE_REJECTS,
    SUM(NVL(QUANTITY_REJ_MATERIAL, 0) + NVL(QUANTITY_REJ_MACHINE, 0)) AS TOTAL_REJECTS,
    CASE 
        WHEN SUM(NVL(TOTAL_QUANTITY, 0) + NVL(QUANTITY_REJ_MATERIAL, 0) + NVL(QUANTITY_REJ_MACHINE, 0)) &gt; 0 
        THEN ROUND(
            (SUM(NVL(QUANTITY_REJ_MATERIAL, 0) + NVL(QUANTITY_REJ_MACHINE, 0)) / 
             SUM(NVL(TOTAL_QUANTITY, 0) + NVL(QUANTITY_REJ_MATERIAL, 0) + NVL(QUANTITY_REJ_MACHINE, 0))) * 100, 
            2
        )
        ELSE 0 
    END AS REJECTION_RATE_PERCENTAGE
FROM 
    KPCL_REPORTING.KPC_FK_DOCKET_IDLE_REPORT
WHERE 
    RESOURCE_CODE LIKE '%{resource_code}%'
AND (IDLE_REASON) LIKE ('Operator Absent')
GROUP BY 
    TO_CHAR(UTILIZATION_DATE, 'YYYY-MM')
ORDER BY 
    TREND_MONTH ASC;</t>
  </si>
  <si>
    <t>SELECT 
    EMP_DEPT,
    PERIOD_NAME,
    SUM(MSI) AS TOTAL_MSI,
    AVG(MSI) AS AVG_MSI
FROM 
    KPCL_REPORTING.KPC_FULL_KIT_DOCKET_EMP
GROUP BY 
    EMP_DEPT,
    PERIOD_NAME
ORDER BY 
    TOTAL_MSI DESC;</t>
  </si>
  <si>
    <t>Show MSI by employee.</t>
  </si>
  <si>
    <t>Display machines with machine rejection above quantity {quantity}.</t>
  </si>
  <si>
    <t>Show machines with machine rejection above /quantity {quantity}.</t>
  </si>
  <si>
    <t>MSI by employee</t>
  </si>
  <si>
    <t>machines with machine rejection above quantity</t>
  </si>
  <si>
    <t xml:space="preserve">SELECT
    TNO,
    ENAME,
    EMP_DEPT,
    MSI
FROM KPCL_REPORTING.KPC_FULL_KIT_DOCKET_EMP;
</t>
  </si>
  <si>
    <t>SELECT
    RESOURCE_CODE,
    RESOURCE_DESC,
    SUM(QUANTITY_REJ_MACHINE) AS TOTAL_MACHINE_REJECTIONS
FROM
    KPCL_REPORTING.KPC_FK_DOCKET_IDLE_REPORT
WHERE (IDLE_REASON) LIKE ('Operator Absent')
GROUP BY
    RESOURCE_CODE,
    RESOURCE_DESC
HAVING
    SUM(QUANTITY_REJ_MACHINE) &gt; {quantity}
ORDER BY
    TOTAL_MACHINE_REJECTIONS DESC;</t>
  </si>
  <si>
    <t>Display deliveries expected during year {year}.</t>
  </si>
  <si>
    <t>Show deliveries expected during /year {year}.</t>
  </si>
  <si>
    <t>deliveries expected during year</t>
  </si>
  <si>
    <t>View MSI by organization.</t>
  </si>
  <si>
    <t>Show MSI by organization.</t>
  </si>
  <si>
    <t>SELECT 
    PO_NUM,
    LINE_NUM,
    ITEM_CODE,
    ITEM_DESCRIPTION,
    SUPPLIER,
    EXPECTED_DATE,
    DUE_QTY,
    DUE_AMT,
    CURRENCY
FROM KPCL_REPORTING.DERIVED_PO_BOARD
WHERE EXPECTED_DATE IS NOT NULL
  AND TO_CHAR(EXPECTED_DATE, 'YY') = SUBSTR('{year}', -2) AND REQ_QTY_MONTH = UPPER(TO_CHAR(SYSDATE, 'MON-YYYY'))
ORDER BY 
    EXPECTED_DATE ASC, 
    DUE_AMT DESC;</t>
  </si>
  <si>
    <t>MSI by organization</t>
  </si>
  <si>
    <t>Display machines with material rejection above quantity {quantity}.</t>
  </si>
  <si>
    <t>SELECT 
    EMP_ORG_NAME,
    PERIOD_NAME,
    SUM(MSI) AS TOTAL_MSI,
    AVG(MSI) AS AVG_MSI
FROM 
    KPCL_REPORTING.KPC_FULL_KIT_DOCKET_EMP
GROUP BY 
    EMP_ORG_NAME,
    PERIOD_NAME
ORDER BY 
    TOTAL_MSI DESC;</t>
  </si>
  <si>
    <t>Show machines with material rejection above /quantity {quantity}.</t>
  </si>
  <si>
    <t>machines with material rejection above quantity</t>
  </si>
  <si>
    <t>SELECT
    RESOURCE_CODE,
    RESOURCE_DESC,
    SUM(QUANTITY_REJ_MATERIAL) AS TOTAL_MATERIAL_REJECTIONS
FROM
    KPCL_REPORTING.KPC_FK_DOCKET_IDLE_REPORT
WHERE (IDLE_REASON) LIKE ('Operator Absent')
GROUP BY
    RESOURCE_CODE,
    RESOURCE_DESC
HAVING
    SUM(QUANTITY_REJ_MATERIAL) &gt; {quantity}
ORDER BY
    TOTAL_MATERIAL_REJECTIONS DESC;</t>
  </si>
  <si>
    <t>Display MSI for employee {employee}.</t>
  </si>
  <si>
    <t>Show deliveries for supplier {supplier}.</t>
  </si>
  <si>
    <t>Show MSI for /employee {employee}.</t>
  </si>
  <si>
    <t>Show deliveries for /supplier {supplier}.</t>
  </si>
  <si>
    <t>MSI for employee</t>
  </si>
  <si>
    <t>deliveries for supplier</t>
  </si>
  <si>
    <t>View rejection percentage above percentage {percentage}.</t>
  </si>
  <si>
    <t>SELECT 
    TNO,
    ENAME,
    EMP_DEPT,
    EMP_ORG_NAME,
    PERIOD_NAME,
    SUM(MSI) AS TOTAL_MSI
FROM 
    KPCL_REPORTING.KPC_FULL_KIT_DOCKET_EMP
WHERE 
    ENAME LIKE '%{employee}%'
GROUP BY 
    TNO,
    ENAME,
    EMP_DEPT,
    EMP_ORG_NAME,
    PERIOD_NAME;</t>
  </si>
  <si>
    <t>Show rejection percentage above /percentage {percentage}.</t>
  </si>
  <si>
    <t>SELECT 
    PO_NUM,
    LINE_NUM,
    ITEM_CODE,
    ITEM_DESCRIPTION,
    SUPPLIER,
    VENDOR_CODE,
    EXPECTED_DATE,
    DUE_QTY,
    DUE_AMT,
    CURRENCY
FROM 
    KPCL_REPORTING.DERIVED_PO_BOARD
WHERE 
    SUPPLIER IS NOT NULL
    AND (SUPPLIER) LIKE ('%{supplier}%') AND REQ_QTY_MONTH = UPPER(TO_CHAR(SYSDATE, 'MON-YYYY'))
ORDER BY 
    EXPECTED_DATE ASC, 
    DUE_AMT DESC;</t>
  </si>
  <si>
    <t>rejection percentage above percentage</t>
  </si>
  <si>
    <t>SELECT 
    RESOURCE_CODE,
    RESOURCE_DESC,
    SUM(NVL(TOTAL_QUANTITY, 0)) AS TOTAL_PRODUCTION_QUANTITY,
    SUM(NVL(QUANTITY_REJ_MACHINE, 0) + NVL(QUANTITY_REJ_MATERIAL, 0)) AS TOTAL_REJECTION_QUANTITY,
    ROUND(
        SUM(NVL(QUANTITY_REJ_MACHINE, 0) + NVL(QUANTITY_REJ_MATERIAL, 0)) * 100 / 
        NULLIF(SUM(NVL(TOTAL_QUANTITY, 0)), 0), 2
    ) AS REJECTION_PERCENTAGE
FROM 
    KPCL_REPORTING.KPC_FK_DOCKET_IDLE_REPORT
WHERE (IDLE_REASON) LIKE ('Operator Absent')
GROUP BY 
    RESOURCE_CODE,
    RESOURCE_DESC
HAVING 
    ROUND(
        SUM(NVL(QUANTITY_REJ_MACHINE, 0) + NVL(QUANTITY_REJ_MATERIAL, 0)) * 100 / 
        NULLIF(SUM(NVL(TOTAL_QUANTITY, 0)), 0), 2
    ) &gt; %{percentage}%
ORDER BY 
    REJECTION_PERCENTAGE DESC;</t>
  </si>
  <si>
    <t>Show organization performance trend.</t>
  </si>
  <si>
    <t>organization performance trend</t>
  </si>
  <si>
    <t>SELECT 
    EMP_ORG_NAME,
    PERIOD_NAME,
    AVG(PERFORMANCE_INDEX) AS AVG_PERFORMANCE_INDEX,
    SUM(PRODUCED) AS TOTAL_ACTUAL_PRODUCTION,
    SUM(STD_PRODN) AS TOTAL_STANDARD_PRODUCTION,
    SUM(TOTINCN) AS TOTAL_INCENTIVE_PAYOUT,
    COUNT(DISTINCT TNO) AS TOTAL_EMPLOYEES
FROM 
    KPCL_REPORTING.KPC_FULL_KIT_DOCKET_EMP
GROUP BY 
    EMP_ORG_NAME,
    PERIOD_NAME
ORDER BY 
    EMP_ORG_NAME ASC,
    PERIOD_NAME ASC;</t>
  </si>
  <si>
    <t>Show deliveries for item_code {item_code}.</t>
  </si>
  <si>
    <t>Show deliveries for /item_code {item_code}.</t>
  </si>
  <si>
    <t>Display rejection percentage below percentage {percentage}.</t>
  </si>
  <si>
    <t>deliveries for item code</t>
  </si>
  <si>
    <t>Show rejection percentage below /percentage {percentage}.</t>
  </si>
  <si>
    <t>rejection percentage below percentage</t>
  </si>
  <si>
    <t>SELECT 
    PO_NUM,
    LINE_NUM,
    ITEM_CODE,
    ITEM_DESCRIPTION,
    SUPPLIER,
    EXPECTED_DATE,
    DUE_QTY,
    DUE_AMT,
    CURRENCY
FROM 
    KPCL_REPORTING.DERIVED_PO_BOARD
WHERE 
    ITEM_CODE IS NOT NULL
    AND (ITEM_CODE) LIKE ('%{item_code}%') AND REQ_QTY_MONTH = UPPER(TO_CHAR(SYSDATE, 'MON-YYYY'))
ORDER BY 
    EXPECTED_DATE ASC, 
    DUE_AMT DESC;</t>
  </si>
  <si>
    <t>SELECT
    RESOURCE_CODE,
    RESOURCE_DESC,
    SUM(TOTAL_QUANTITY) AS TOTAL_ACTUAL_PRODUCTION,
    (SUM(QUANTITY_REJ_MACHINE) + SUM(QUANTITY_REJ_MATERIAL)) AS TOTAL_REJECTIONS,
    CASE
        WHEN SUM(TOTAL_QUANTITY) &gt; 0
        THEN ROUND(((SUM(QUANTITY_REJ_MACHINE) + SUM(QUANTITY_REJ_MATERIAL)) / SUM(TOTAL_QUANTITY)) * 100, 2)
        ELSE 0
    END AS REJECTION_PERCENTAGE
FROM
    KPCL_REPORTING.KPC_FK_DOCKET_IDLE_REPORT
WHERE (IDLE_REASON) LIKE ('Operator Absent')
GROUP BY
    RESOURCE_CODE,
    RESOURCE_DESC
HAVING
    (CASE
        WHEN SUM(TOTAL_QUANTITY) &gt; 0
        THEN ((SUM(QUANTITY_REJ_MACHINE) + SUM(QUANTITY_REJ_MATERIAL)) / SUM(TOTAL_QUANTITY)) * 100
        ELSE 0
    END) &lt; {percentage}
ORDER BY
    REJECTION_PERCENTAGE ASC;</t>
  </si>
  <si>
    <t>View organization wise employee count.</t>
  </si>
  <si>
    <t>Show organization wise employee count.</t>
  </si>
  <si>
    <t>organization wise employee count</t>
  </si>
  <si>
    <t>SELECT 
    EMP_ORG_NAME,
    PERIOD_NAME,
    COUNT(DISTINCT TNO) AS TOTAL_EMPLOYEE_COUNT
FROM 
    KPCL_REPORTING.KPC_FULL_KIT_DOCKET_EMP
GROUP BY 
    EMP_ORG_NAME,
    PERIOD_NAME;</t>
  </si>
  <si>
    <t>View customer wise demand.</t>
  </si>
  <si>
    <t>Show customer wise demand.</t>
  </si>
  <si>
    <t>customer wise demand</t>
  </si>
  <si>
    <t>SELECT
    CUSTOMER,
    SUM(TOTAL_DEMAND) AS TOTAL_DEMAND
FROM KPCL_REPORTING.DERIVED_PO_BOARD
WHERE REQ_QTY_MONTH = UPPER(TO_CHAR(SYSDATE, 'MON-YYYY'))
GROUP BY CUSTOMER
ORDER BY CUSTOMER;</t>
  </si>
  <si>
    <t>SELECT 
    RESOURCE_CODE,
    RESOURCE_DESC,
    SUM(NVL(QUANTITY_REJ_MACHINE, 0) + NVL(QUANTITY_REJ_MATERIAL, 0)) AS TOTAL_REJECTED_QUANTITY,
    SUM(NVL(QUANTITY_REJ_MACHINE, 0)) AS REJECTED_BY_MACHINE,
    SUM(NVL(QUANTITY_REJ_MATERIAL, 0)) AS REJECTED_BY_MATERIAL
FROM 
    KPCL_REPORTING.KPC_FK_DOCKET_IDLE_REPORT
WHERE (IDLE_REASON) LIKE ('Operator Absent')
GROUP BY 
    RESOURCE_CODE,
    RESOURCE_DESC
ORDER BY 
    TOTAL_REJECTED_QUANTITY DESC;</t>
  </si>
  <si>
    <t>Show organization wise incentive.</t>
  </si>
  <si>
    <t>organization wise incentive</t>
  </si>
  <si>
    <t xml:space="preserve">SELECT
    EMP_ORG_NAME,
    SUM(INCENTIVE) AS TOTAL_INCENTIVE
FROM KPCL_REPORTING.KPC_FULL_KIT_DOCKET_EMP
GROUP BY EMP_ORG_NAME;
</t>
  </si>
  <si>
    <t>Display machines with lowest rejection quantity.</t>
  </si>
  <si>
    <t>Show customer wise PO value.</t>
  </si>
  <si>
    <t>Show machines with lowest rejection quantity.</t>
  </si>
  <si>
    <t>machines with lowest rejection quantity</t>
  </si>
  <si>
    <t>customer wise PO value</t>
  </si>
  <si>
    <t>SELECT
    CUSTOMER,
    SUM(LINE_AMOUNT) AS PO_VALUE
FROM KPCL_REPORTING.DERIVED_PO_BOARD
WHERE REQ_QTY_MONTH = UPPER(TO_CHAR(SYSDATE, 'MON-YYYY'))
GROUP BY CUSTOMER
ORDER BY CUSTOMER;</t>
  </si>
  <si>
    <t>SELECT 
    RESOURCE_CODE,
    RESOURCE_DESC,
    SUM(NVL(QUANTITY_REJ_MACHINE, 0) + NVL(QUANTITY_REJ_MATERIAL, 0)) AS TOTAL_REJECTED_QUANTITY,
    SUM(NVL(QUANTITY_REJ_MACHINE, 0)) AS REJECTED_BY_MACHINE,
    SUM(NVL(QUANTITY_REJ_MATERIAL, 0)) AS REJECTED_BY_MATERIAL
FROM 
    KPCL_REPORTING.KPC_FK_DOCKET_IDLE_REPORT
WHERE (IDLE_REASON) LIKE ('Operator Absent')
GROUP BY 
    RESOURCE_CODE,
    RESOURCE_DESC
ORDER BY 
    TOTAL_REJECTED_QUANTITY ASC;</t>
  </si>
  <si>
    <t>Display organization wise measured minutes.</t>
  </si>
  <si>
    <t>Show organization wise measured minutes.</t>
  </si>
  <si>
    <t>organization wise measured minutes</t>
  </si>
  <si>
    <t>SELECT 
    EMP_ORG_NAME,
    PERIOD_NAME,
    SUM(MEASURED) AS TOTAL_MEASURED_minutes
FROM 
    KPCL_REPORTING.KPC_FULL_KIT_DOCKET_EMP
GROUP BY 
    EMP_ORG_NAME,
    PERIOD_NAME;</t>
  </si>
  <si>
    <t>Display machines with zero rejection.</t>
  </si>
  <si>
    <t>View customer wise quantity.</t>
  </si>
  <si>
    <t>Show machines with zero rejection.</t>
  </si>
  <si>
    <t>Show customer wise quantity.</t>
  </si>
  <si>
    <t>machines with zero rejection</t>
  </si>
  <si>
    <t>customer wise quantity</t>
  </si>
  <si>
    <t>SELECT 
    RESOURCE_CODE,
    RESOURCE_DESC,
    SUM(NVL(QUANTITY_REJ_MACHINE, 0)) AS REJECTED_BY_MACHINE,
    SUM(NVL(QUANTITY_REJ_MATERIAL, 0)) AS REJECTED_BY_MATERIAL
FROM 
    KPCL_REPORTING.KPC_FK_DOCKET_IDLE_REPORT
WHERE (IDLE_REASON) LIKE ('Operator Absent')
GROUP BY 
    RESOURCE_CODE,
    RESOURCE_DESC
HAVING 
    SUM(NVL(QUANTITY_REJ_MACHINE, 0) + NVL(QUANTITY_REJ_MATERIAL, 0)) = 0;</t>
  </si>
  <si>
    <t>SELECT
    CUSTOMER,
    SUM(QUANTITY) AS TOTAL_QUANTITY
FROM KPCL_REPORTING.DERIVED_PO_BOARD
WHERE REQ_QTY_MONTH = UPPER(TO_CHAR(SYSDATE, 'MON-YYYY'))
GROUP BY CUSTOMER
ORDER BY CUSTOMER;</t>
  </si>
  <si>
    <t>Show organization wise performance index.</t>
  </si>
  <si>
    <t>organization wise performance index</t>
  </si>
  <si>
    <t>SELECT 
    EMP_ORG_NAME,
    PERIOD_NAME,
    AVG(PERFORMANCE_INDEX) AS AVG_PERFORMANCE_INDEX,
    MIN(PERFORMANCE_INDEX) AS MIN_PERFORMANCE_INDEX,
    MAX(PERFORMANCE_INDEX) AS MAX_PERFORMANCE_INDEX,
    COUNT(DISTINCT TNO) AS TOTAL_EMPLOYEES
FROM 
    KPCL_REPORTING.KPC_FULL_KIT_DOCKET_EMP
GROUP BY 
    EMP_ORG_NAME,
    PERIOD_NAME
ORDER BY 
    AVG_PERFORMANCE_INDEX DESC;</t>
  </si>
  <si>
    <t>View total maintenance time.</t>
  </si>
  <si>
    <t>Show total maintenance time.</t>
  </si>
  <si>
    <t>Display customer wise item count.</t>
  </si>
  <si>
    <t>total maintenance time</t>
  </si>
  <si>
    <t>Show customer wise item count.</t>
  </si>
  <si>
    <t>SELECT 
    SUM(NVL(MAINTAINCE_DOCKET_TIME, 0)) AS TOTAL_MAINTENANCE_TIME
FROM 
    KPCL_REPORTING.KPC_FK_DOCKET_IDLE_REPORT
WHERE (IDLE_REASON) LIKE ('Operator Absent');</t>
  </si>
  <si>
    <t>customer wise item count</t>
  </si>
  <si>
    <t>SELECT CUSTOMER,
       COUNT(DISTINCT ITEM_CODE) AS UNIQUE_ITEM_COUNT,
       COUNT(ITEM_CODE) AS TOTAL_ITEM_LINES
FROM KPCL_REPORTING.DERIVED_PO_BOARD
WHERE CUSTOMER IS NOT NULL AND REQ_QTY_MONTH = UPPER(TO_CHAR(SYSDATE, 'MON-YYYY'))
GROUP BY CUSTOMER
ORDER BY UNIQUE_ITEM_COUNT DESC;</t>
  </si>
  <si>
    <t>Display organization wise present minutes.</t>
  </si>
  <si>
    <t>Display maintenance time by machine.</t>
  </si>
  <si>
    <t>Show organization wise present minutes.</t>
  </si>
  <si>
    <t>View maintenance time by machine.</t>
  </si>
  <si>
    <t>organization wise present minutes</t>
  </si>
  <si>
    <t>maintenance time by machine</t>
  </si>
  <si>
    <t>Display customer wise due quantity.</t>
  </si>
  <si>
    <t>SELECT 
    EMP_ORG_NAME,
    PERIOD_NAME,
    SUM(PRESENT) AS TOTAL_PRESENT_minutes
FROM 
    KPCL_REPORTING.KPC_FULL_KIT_DOCKET_EMP
GROUP BY 
    EMP_ORG_NAME,
    PERIOD_NAME
ORDER BY 
    TOTAL_PRESENT_minutes DESC;</t>
  </si>
  <si>
    <t>SELECT 
    RESOURCE_CODE,
    RESOURCE_DESC,
    SUM(NVL(MAINTAINCE_DOCKET_TIME, 0)) AS TOTAL_MAINTENANCE_TIME
FROM 
    KPCL_REPORTING.KPC_FK_DOCKET_IDLE_REPORT
WHERE (IDLE_REASON) LIKE ('Operator Absent')
GROUP BY 
    RESOURCE_CODE,
    RESOURCE_DESC
ORDER BY 
    TOTAL_MAINTENANCE_TIME DESC;</t>
  </si>
  <si>
    <t>Show customer wise due quantity.</t>
  </si>
  <si>
    <t>customer wise due quantity</t>
  </si>
  <si>
    <t>SELECT CUSTOMER,
       COUNT(DISTINCT PO_NUM) AS TOTAL_PURCHASE_ORDERS,
       SUM(QUANTITY) AS TOTAL_DUE_QUANTITY,
       SUM(QUANTITY * UNIT_PRICE) AS TOTAL_DUE_AMOUNT
FROM KPCL_REPORTING.DERIVED_PO_BOARD
WHERE CUSTOMER IS NOT NULL
  AND NEED_BY_DATE &gt;= TRUNC(SYSDATE) AND REQ_QTY_MONTH = UPPER(TO_CHAR(SYSDATE, 'MON-YYYY'))
GROUP BY CUSTOMER
ORDER BY TOTAL_DUE_QUANTITY DESC;</t>
  </si>
  <si>
    <t>View maintenance time by organization.</t>
  </si>
  <si>
    <t>Show maintenance time by organization.</t>
  </si>
  <si>
    <t>maintenance time by organization</t>
  </si>
  <si>
    <t>View customer wise due amount.</t>
  </si>
  <si>
    <t>SELECT 
    ORG_NAME,
    SUM(NVL(MAINTAINCE_DOCKET_TIME, 0)) AS TOTAL_MAINTENANCE_TIME
FROM 
    KPCL_REPORTING.KPC_FK_DOCKET_IDLE_REPORT
WHERE (IDLE_REASON) LIKE ('Operator Absent')
GROUP BY 
    ORG_NAME
ORDER BY 
    TOTAL_MAINTENANCE_TIME DESC;</t>
  </si>
  <si>
    <t>Show customer wise due amount.</t>
  </si>
  <si>
    <t>customer wise due amount</t>
  </si>
  <si>
    <t>Display organization wise production.</t>
  </si>
  <si>
    <t>Show organization wise production.</t>
  </si>
  <si>
    <t>SELECT 
    CUSTOMER,
    SUM(DUE_AMT) AS TOTAL_DUE_AMOUNT
FROM 
    KPCL_REPORTING.DERIVED_PO_BOARD
WHERE REQ_QTY_MONTH = UPPER(TO_CHAR(SYSDATE, 'MON-YYYY'))
GROUP BY 
    CUSTOMER;</t>
  </si>
  <si>
    <t>organization wise production</t>
  </si>
  <si>
    <t>SELECT 
    EMP_ORG_NAME,
    PERIOD_NAME,
    SUM(PRODUCED) AS TOTAL_ACTUAL_PRODUCTION,
    SUM(STD_PRODN) AS TOTAL_STANDARD_PRODUCTION
FROM 
    KPCL_REPORTING.KPC_FULL_KIT_DOCKET_EMP
GROUP BY 
    EMP_ORG_NAME,
    PERIOD_NAME
ORDER BY 
    TOTAL_ACTUAL_PRODUCTION DESC;</t>
  </si>
  <si>
    <t>Show maintenance time by division.</t>
  </si>
  <si>
    <t>View maintenance time by division.</t>
  </si>
  <si>
    <t>maintenance time by division</t>
  </si>
  <si>
    <t>SELECT 
    DIV_CODE,
    SUM(NVL(MAINTAINCE_DOCKET_TIME, 0)) AS TOTAL_MAINTENANCE_TIME
FROM 
    KPCL_REPORTING.KPC_FK_DOCKET_IDLE_REPORT
WHERE (IDLE_REASON) LIKE ('Operator Absent')
GROUP BY 
    DIV_CODE
ORDER BY 
    TOTAL_MAINTENANCE_TIME DESC;</t>
  </si>
  <si>
    <t>Show demand for customer {customer}.</t>
  </si>
  <si>
    <t>View organization wise standard production.</t>
  </si>
  <si>
    <t>Show demand for /customer {customer} .</t>
  </si>
  <si>
    <t>Show organization wise standard production.</t>
  </si>
  <si>
    <t xml:space="preserve">demand for customer </t>
  </si>
  <si>
    <t>organization wise standard production</t>
  </si>
  <si>
    <t>SELECT 
    CUSTOMER,
    SUM(CASE WHEN REGEXP_LIKE(TOTAL_DEMAND, '^[0-9]+(\.[0-9]+)?$') THEN TO_NUMBER(TOTAL_DEMAND) ELSE 0 END) AS TOTAL_DEMAND_QUANTITY
FROM 
    KPCL_REPORTING.DERIVED_PO_BOARD
WHERE 
    CUSTOMER LIKE '%{customer}%' AND REQ_QTY_MONTH = UPPER(TO_CHAR(SYSDATE, 'MON-YYYY'))
GROUP BY 
    CUSTOMER;</t>
  </si>
  <si>
    <t>SELECT 
    EMP_ORG_NAME,
    PERIOD_NAME,
    SUM(STD_PRODN) AS TOTAL_STANDARD_PRODUCTION
FROM 
    KPCL_REPORTING.KPC_FULL_KIT_DOCKET_EMP
GROUP BY 
    EMP_ORG_NAME,
    PERIOD_NAME
ORDER BY 
    TOTAL_STANDARD_PRODUCTION DESC;</t>
  </si>
  <si>
    <t>View maintenance trend.</t>
  </si>
  <si>
    <t>Show maintenance trend.</t>
  </si>
  <si>
    <t>maintenance trend</t>
  </si>
  <si>
    <t>SELECT 
    TRUNC(UTILIZATION_DATE, 'MM') AS TREND_MONTH,
    SUM(NVL(MAINTAINCE_DOCKET_TIME, 0)) AS TOTAL_MAINTENANCE_TIME
FROM 
    KPCL_REPORTING.KPC_FK_DOCKET_IDLE_REPORT
WHERE (IDLE_REASON) LIKE ('Operator Absent')
GROUP BY 
    TRUNC(UTILIZATION_DATE, 'MM')
ORDER BY 
    TREND_MONTH ASC;</t>
  </si>
  <si>
    <t>Show organization wise total incentive.</t>
  </si>
  <si>
    <t>organization wise total incentive</t>
  </si>
  <si>
    <t>SELECT
    ORG_ID,
    ORG_NAME,
    SUM(INCENTIVE) AS TOTAL_INCENTIVE
FROM KPCL_REPORTING.KPC_FULL_KIT_DOCKET_EMP
GROUP BY ORG_ID, ORG_NAME;</t>
  </si>
  <si>
    <t>Show maintenance time for machine resource_code {resource_code}.</t>
  </si>
  <si>
    <t>Show maintenance time for machine /resource_code {resource_code}.</t>
  </si>
  <si>
    <t>maintenance time for machine resource code</t>
  </si>
  <si>
    <t>SELECT
    RESOURCE_CODE,
    RESOURCE_DESC,
    SUM(MAINTAINCE_DOCKET_TIME) AS TOTAL_MAINTENANCE_TIME
FROM
    KPCL_REPORTING.KPC_FK_DOCKET_IDLE_REPORT
WHERE
   RESOURCE_CODE LIKE '%{resource_code}%'
AND (IDLE_REASON) LIKE ('Operator Absent')
GROUP BY
    RESOURCE_CODE,
    RESOURCE_DESC;</t>
  </si>
  <si>
    <t>Show organization wise worked minutes.</t>
  </si>
  <si>
    <t>organization wise worked minutes</t>
  </si>
  <si>
    <t>SELECT 
    EMP_ORG_NAME,
    PERIOD_NAME,
    SUM(WORKED) AS TOTAL_WORKED_minutes
FROM 
    KPCL_REPORTING.KPC_FULL_KIT_DOCKET_EMP
GROUP BY 
    EMP_ORG_NAME,
    PERIOD_NAME
ORDER BY 
    TOTAL_WORKED_minutes DESC;</t>
  </si>
  <si>
    <t>Show maintenance time during month_period {month_period}.</t>
  </si>
  <si>
    <t>Show maintenance time during /month_period {month_period}.</t>
  </si>
  <si>
    <t xml:space="preserve">maintenance time during month period </t>
  </si>
  <si>
    <t>SELECT 
    RESOURCE_CODE,
    RESOURCE_DESC,
    SUM(NVL(MAINTAINCE_DOCKET_TIME, 0)) AS TOTAL_MAINTENANCE_TIME
FROM 
    KPCL_REPORTING.KPC_FK_DOCKET_IDLE_REPORT
WHERE 
    (
        MONTH_PERIOD LIKE '%{month_period}%'
       AND (IDLE_REASON) LIKE ('Operator Absent')
    )
GROUP BY 
    RESOURCE_CODE,
    RESOURCE_DESC
ORDER BY 
    TOTAL_MAINTENANCE_TIME DESC;</t>
  </si>
  <si>
    <t xml:space="preserve">SELECT
    AVG(PERFORMANCE_INDEX) AS OVERALL_PERFORMANCE_INDEX
FROM KPCL_REPORTING.KPC_FULL_KIT_DOCKET_EMP;
</t>
  </si>
  <si>
    <t>Show maintenance time during week_period {week_period}.</t>
  </si>
  <si>
    <t>Show maintenance time during /week_period {week_period}.</t>
  </si>
  <si>
    <t>Display performance index by department.</t>
  </si>
  <si>
    <t xml:space="preserve">maintenance time during week period </t>
  </si>
  <si>
    <t>Show performance index by department.</t>
  </si>
  <si>
    <t>performance index by employee department</t>
  </si>
  <si>
    <t>SELECT 
    RESOURCE_CODE,
    RESOURCE_DESC,
    SUM(NVL(MAINTAINCE_DOCKET_TIME, 0)) AS TOTAL_MAINTENANCE_TIME
FROM 
    KPCL_REPORTING.KPC_FK_DOCKET_IDLE_REPORT
WHERE 
    (
        WEEK_PERIOD LIKE '%{week_period}%'
        AND (IDLE_REASON) LIKE ('Operator Absent')
    )
GROUP BY 
    RESOURCE_CODE,
    RESOURCE_DESC
ORDER BY 
    TOTAL_MAINTENANCE_TIME DESC;</t>
  </si>
  <si>
    <t>SELECT 
    EMP_DEPT,
    PERIOD_NAME,
    AVG(PERFORMANCE_INDEX) AS AVG_PERFORMANCE_INDEX,
    MIN(PERFORMANCE_INDEX) AS MIN_PERFORMANCE_INDEX,
    MAX(PERFORMANCE_INDEX) AS MAX_PERFORMANCE_INDEX,
    COUNT(DISTINCT TNO) AS TOTAL_EMPLOYEES
FROM 
    KPCL_REPORTING.KPC_FULL_KIT_DOCKET_EMP
GROUP BY 
    EMP_DEPT,
    PERIOD_NAME
ORDER BY 
    AVG_PERFORMANCE_INDEX DESC;</t>
  </si>
  <si>
    <t>Show customer {customer} pending quantity.</t>
  </si>
  <si>
    <t>Show /customer {customer} pending quantity.</t>
  </si>
  <si>
    <t>customer pending quantity</t>
  </si>
  <si>
    <t>SELECT 
    CUSTOMER,
    PO_NUM,
    LINE_NUM,
    ITEM_CODE,
    ITEM_DESCRIPTION,
    DUE_QTY AS PENDING_DUE_QTY,
    PENDING_PO AS CHILD_ITEM_PENDING_PO_QTY,
    PENDING_REQUISITION AS PENDING_REQ_QTY,
    DUE_AMT,
    CURRENCY
FROM 
    KPCL_REPORTING.DERIVED_PO_BOARD
WHERE 
    CUSTOMER IS NOT NULL
    AND CUSTOMER LIKE '%{customer}%'
    AND (DUE_QTY &gt; 0 OR PENDING_PO &gt; 0 OR PENDING_REQUISITION &gt; 0) AND REQ_QTY_MONTH = UPPER(TO_CHAR(SYSDATE, 'MON-YYYY'))
ORDER BY 
    DUE_AMT DESC;</t>
  </si>
  <si>
    <t>Show maintenance time during year_period {year_period}.</t>
  </si>
  <si>
    <t>Show performance index by employee.</t>
  </si>
  <si>
    <t>Show maintenance time during /year_period {year_period}.</t>
  </si>
  <si>
    <t>performance index by employee</t>
  </si>
  <si>
    <t xml:space="preserve"> maintenance time during year period </t>
  </si>
  <si>
    <t>SELECT 
    TNO,
    ENAME,
    EMP_DEPT,
    EMP_ORG_NAME,
    PERIOD_NAME,
    AVG(PERFORMANCE_INDEX) AS AVG_PERFORMANCE_INDEX
FROM 
    KPCL_REPORTING.KPC_FULL_KIT_DOCKET_EMP
GROUP BY 
    TNO,
    ENAME,
    EMP_DEPT,
    EMP_ORG_NAME,
    PERIOD_NAME;</t>
  </si>
  <si>
    <t>SELECT 
    RESOURCE_CODE,
    RESOURCE_DESC,
    SUM(NVL(MAINTAINCE_DOCKET_TIME, 0)) AS TOTAL_MAINTENANCE_TIME
FROM 
    KPCL_REPORTING.KPC_FK_DOCKET_IDLE_REPORT
WHERE 
    (
        YEAR_PERIOD LIKE '%{year_period}%'
         AND (IDLE_REASON) LIKE ('Operator Absent')
    )
GROUP BY 
    RESOURCE_CODE,
    RESOURCE_DESC
ORDER BY 
    TOTAL_MAINTENANCE_TIME DESC;</t>
  </si>
  <si>
    <t>View customer {customer} item list.</t>
  </si>
  <si>
    <t>Show /customer {customer} item list.</t>
  </si>
  <si>
    <t>Show maintenance time during fin_year {fin_year}.</t>
  </si>
  <si>
    <t>customer item list</t>
  </si>
  <si>
    <t>Show maintenance time during /fin_year {fin_year}.</t>
  </si>
  <si>
    <t>SELECT
    ORG_ID,
    ORG_NAME,
    AVG(PERFORMANCE_INDEX) AS AVG_PERFORMANCE_INDEX
FROM KPCL_REPORTING.KPC_FULL_KIT_DOCKET_EMP
GROUP BY
    ORG_ID,
    ORG_NAME
ORDER BY
    ORG_ID;</t>
  </si>
  <si>
    <t>maintenance time during fin year</t>
  </si>
  <si>
    <t>SELECT DISTINCT
    CUSTOMER,
    ITEM_CODE,
    ITEM_DESCRIPTION,
    ITEM_CATEGORY,
    PG AS PRODUCT_GROUP,
    MODEL AS COMPRESSOR_MODEL
FROM 
    KPCL_REPORTING.DERIVED_PO_BOARD
WHERE 
    CUSTOMER IS NOT NULL
    AND CUSTOMER LIKE '%{customer}%' AND REQ_QTY_MONTH = UPPER(TO_CHAR(SYSDATE, 'MON-YYYY'))
ORDER BY 
    ITEM_CODE ASC;</t>
  </si>
  <si>
    <t>SELECT 
    RESOURCE_CODE,
    RESOURCE_DESC,
    SUM(NVL(MAINTAINCE_DOCKET_TIME, 0)) AS TOTAL_MAINTENANCE_TIME
FROM 
    KPCL_REPORTING.KPC_FK_DOCKET_IDLE_REPORT
WHERE 
    FIN_YEAR LIKE '%{fin_year}%'
    AND (IDLE_REASON) LIKE ('Operator Absent')
GROUP BY 
    RESOURCE_CODE,
    RESOURCE_DESC
ORDER BY 
    TOTAL_MAINTENANCE_TIME DESC;</t>
  </si>
  <si>
    <t>Display performance index by supervisor.</t>
  </si>
  <si>
    <t>Show performance index by supervisor.</t>
  </si>
  <si>
    <t>performance index by supervisor</t>
  </si>
  <si>
    <t>SELECT
    SUPV_NAME,
    AVG(PERFORMANCE_INDEX) AS AVG_PERFORMANCE_INDEX
FROM KPCL_REPORTING.KPC_FULL_KIT_DOCKET_EMP
GROUP BY SUPV_NAME
ORDER BY AVG_PERFORMANCE_INDEX DESC;</t>
  </si>
  <si>
    <t>Display full kit wise demand.</t>
  </si>
  <si>
    <t>Show full kit wise demand.</t>
  </si>
  <si>
    <t>full kit wise demand</t>
  </si>
  <si>
    <t>Display machines with maintenance time above minutes {minutes}.</t>
  </si>
  <si>
    <t>Show machines with maintenance time above /minutes {minutes}.</t>
  </si>
  <si>
    <t>SELECT 
    FK_NAME,
    SUM(MRP_DEMAND),
    SUM(TOTAL_DEMAND)
FROM KPCL_REPORTING.DERIVED_PO_BOARD
WHERE REQ_QTY_MONTH = UPPER(TO_CHAR(SYSDATE, 'MON-YYYY'))
GROUP BY  FK_NAME
ORDER BY FK_NAME;</t>
  </si>
  <si>
    <t>machines with maintenance time above minutes</t>
  </si>
  <si>
    <t>View performance index during month_period {month_period }.</t>
  </si>
  <si>
    <t>SELECT 
    RESOURCE_CODE,
    RESOURCE_DESC,
    SUM(NVL(MAINTAINCE_DOCKET_TIME, 0)) AS TOTAL_MAINTENANCE_TIME
FROM 
    KPCL_REPORTING.KPC_FK_DOCKET_IDLE_REPORT
WHERE (IDLE_REASON) LIKE ('Operator Absent')
GROUP BY 
    RESOURCE_CODE,
    RESOURCE_DESC
HAVING 
    SUM(NVL(MAINTAINCE_DOCKET_TIME, 0)) &gt; %{minutes}%
ORDER BY 
    TOTAL_MAINTENANCE_TIME DESC;</t>
  </si>
  <si>
    <t>Show performance index during /month_period {month_period }.</t>
  </si>
  <si>
    <t>SELECT 
    MONTH_PERIOD,
    AVG(PERFORMANCE_INDEX) AS AVG_PERFORMANCE_INDEX,
    MIN(PERFORMANCE_INDEX) AS MIN_PERFORMANCE_INDEX,
    MAX(PERFORMANCE_INDEX) AS MAX_PERFORMANCE_INDEX,
    COUNT(DISTINCT TNO) AS TOTAL_EMPLOYEES
FROM 
    KPCL_REPORTING.KPC_FULL_KIT_DOCKET_EMP
WHERE 
    MONTH_PERIOD LIKE '%{month_period }%'
GROUP BY 
    MONTH_PERIOD 
ORDER BY 
    MONTH_PERIOD ASC;</t>
  </si>
  <si>
    <t xml:space="preserve">month_period </t>
  </si>
  <si>
    <t>Show full kit wise stock.</t>
  </si>
  <si>
    <t>full kit wise stock</t>
  </si>
  <si>
    <t>SELECT
    FK_NAME,
    SUM(STOCK_GENERAL_STORE),
     SUM(STOCK_PENDING_INSP),
     SUM(STOCK_PEND_IN_POSTING),
     SUM(STOCK_SUP_SUB_INV),
     SUM(STOCK_REJ_SUB_INV),
     SUM(WIP_QTY),
     SUM(OSP_QTY)
FROM KPCL_REPORTING.DERIVED_PO_BOARD
WHERE REQ_QTY_MONTH = UPPER(TO_CHAR(SYSDATE, 'MON-YYYY'))
GROUP BY FK_NAME
ORDER BY FK_NAME;</t>
  </si>
  <si>
    <t>Show machines with maintenance time below minutes {minutes}.</t>
  </si>
  <si>
    <t>Show machines with maintenance time below /minutes {minutes}.</t>
  </si>
  <si>
    <t>View performance index during week_period {week_period }.</t>
  </si>
  <si>
    <t>machines with maintenance time below minutes</t>
  </si>
  <si>
    <t>Show performance index during /week_period {week_period }.</t>
  </si>
  <si>
    <t>SELECT 
    RESOURCE_CODE,
    RESOURCE_DESC,
    SUM(NVL(MAINTAINCE_DOCKET_TIME, 0)) AS TOTAL_MAINTENANCE_TIME
FROM 
    KPCL_REPORTING.KPC_FK_DOCKET_IDLE_REPORT
WHERE (IDLE_REASON) LIKE ('Operator Absent')
GROUP BY 
    RESOURCE_CODE,
    RESOURCE_DESC
HAVING 
    SUM(NVL(MAINTAINCE_DOCKET_TIME, 0)) &lt; %{minutes}%
ORDER BY 
    TOTAL_MAINTENANCE_TIME ASC;</t>
  </si>
  <si>
    <t>SELECT 
    WEEK_PERIOD,
    AVG(PERFORMANCE_INDEX) AS AVG_PERFORMANCE_INDEX,
    MIN(PERFORMANCE_INDEX) AS MIN_PERFORMANCE_INDEX,
    MAX(PERFORMANCE_INDEX) AS MAX_PERFORMANCE_INDEX,
    COUNT(DISTINCT TNO) AS TOTAL_EMPLOYEES
FROM 
    KPCL_REPORTING.KPC_FULL_KIT_DOCKET_EMP
WHERE 
    WEEK_PERIOD LIKE '%{week_period }%'
GROUP BY 
    WEEK_PERIOD 
ORDER BY 
    WEEK_PERIOD ASC;</t>
  </si>
  <si>
    <t>Show full kit wise pending quantity.</t>
  </si>
  <si>
    <t>full kit wise pending quantity</t>
  </si>
  <si>
    <t>SELECT 
    FK_NAME,
    SUM(PENDING_PO) AS TOTAL_PENDING_PO,
    SUM(PENDING_REQUISITION) AS TOTAL_PENDING_REQUISITION,
    SUM(PENDING_ASN) AS TOTAL_PENDING_ASN
FROM 
    KPCL_REPORTING.DERIVED_PO_BOARD
WHERE REQ_QTY_MONTH = UPPER(TO_CHAR(SYSDATE, 'MON-YYYY'))
GROUP BY 
    FK_NAME;</t>
  </si>
  <si>
    <t>Show comparison of maintenance time between machine resource_code {resource_code} and resource_code {resource_code}.</t>
  </si>
  <si>
    <t>Compare maintenance time between machine /resource_code {resource_code} and /resource_code {resource_code}.</t>
  </si>
  <si>
    <t>maintenance time between machine resource code and resource code</t>
  </si>
  <si>
    <t>SELECT 
    RESOURCE_CODE,
    RESOURCE_DESC,
    SUM(NVL(MAINTAINCE_DOCKET_TIME, 0)) AS TOTAL_MAINTENANCE_TIME,
    COUNT(*) AS DOCKET_COUNT,
    ROUND(AVG(NVL(MAINTAINCE_DOCKET_TIME, 0)), 2) AS AVG_MAINTENANCE_TIME
FROM 
    KPCL_REPORTING.KPC_FK_DOCKET_IDLE_REPORT
WHERE 
     RESOURCE_CODE LIKE '%{resource_code}%' 
    AND (IDLE_REASON) LIKE ('Operator Absent')
GROUP BY 
    RESOURCE_CODE,
    RESOURCE_DESC;</t>
  </si>
  <si>
    <t>Display full kit wise due quantity.</t>
  </si>
  <si>
    <t>Show full kit wise due quantity.</t>
  </si>
  <si>
    <t>full kit wise due quantity</t>
  </si>
  <si>
    <t>SELECT 
    FK_NAME,
    SUM(DUE_QTY) AS TOTAL_DUE_QUANTITY
FROM 
       KPCL_REPORTING.DERIVED_PO_BOARD
WHERE REQ_QTY_MONTH = UPPER(TO_CHAR(SYSDATE, 'MON-YYYY'))
GROUP BY 
    FK_NAME;</t>
  </si>
  <si>
    <t>Display maintenance impact on utilization.</t>
  </si>
  <si>
    <t>Show maintenance impact on utilization.</t>
  </si>
  <si>
    <t>maintenance impact on utilization</t>
  </si>
  <si>
    <t>View performance index during year_period {year_period }.</t>
  </si>
  <si>
    <t>SELECT 
    RESOURCE_CODE,
    RESOURCE_DESC,
    SUM(NVL(MAINTAINCE_DOCKET_TIME, 0)) AS TOTAL_MAINTENANCE_TIME,
    SUM(NVL(TOTAL_IDLE, 0)) AS TOTAL_IDLE_TIME,
    SUM(NVL(MAINTAINCE_DOCKET_TIME, 0) + NVL(TOTAL_IDLE, 0)) AS TOTAL_DOWNTIME
FROM 
    KPCL_REPORTING.KPC_FK_DOCKET_IDLE_REPORT
WHERE (IDLE_REASON) LIKE ('Operator Absent')
GROUP BY 
    RESOURCE_CODE,
    RESOURCE_DESC
ORDER BY 
    TOTAL_MAINTENANCE_TIME DESC;</t>
  </si>
  <si>
    <t>View full kit wise PO value.</t>
  </si>
  <si>
    <t>Show performance index during /year_period {year_period }.</t>
  </si>
  <si>
    <t>Show full kit wise PO value.</t>
  </si>
  <si>
    <t>full kit wise PO value</t>
  </si>
  <si>
    <t>SELECT 
    YEAR_PERIOD,
    AVG(PERFORMANCE_INDEX) AS AVG_PERFORMANCE_INDEX,
    MIN(PERFORMANCE_INDEX) AS MIN_PERFORMANCE_INDEX,
    MAX(PERFORMANCE_INDEX) AS MAX_PERFORMANCE_INDEX,
    COUNT(DISTINCT TNO) AS TOTAL_EMPLOYEES
FROM 
    KPCL_REPORTING.KPC_FULL_KIT_DOCKET_EMP
WHERE 
    YEAR_PERIOD LIKE '%{year_period }%'
GROUP BY 
    YEAR_PERIOD 
ORDER BY 
    YEAR_PERIOD ASC;</t>
  </si>
  <si>
    <t>SELECT 
    FK_NAME,
    SUM(LINE_AMOUNT) AS TOTAL_PO_VALUE
FROM 
    KPCL_REPORTING.DERIVED_PO_BOARD
WHERE REQ_QTY_MONTH = UPPER(TO_CHAR(SYSDATE, 'MON-YYYY'))
GROUP BY 
    FK_NAME;</t>
  </si>
  <si>
    <t>Show maintenance impact on production.</t>
  </si>
  <si>
    <t>maintenance impact on production</t>
  </si>
  <si>
    <t>SELECT 
    RESOURCE_CODE,
    RESOURCE_DESC,
    SUM(NVL(MAINTAINCE_DOCKET_TIME, 0)) AS TOTAL_MAINTENANCE_TIME,
    SUM(NVL(QUANTITY_REJ_MACHINE, 0) + NVL(QUANTITY_REJ_MATERIAL, 0)) AS TOTAL_REJECTED_QUANTITY
FROM 
    KPCL_REPORTING.KPC_FK_DOCKET_IDLE_REPORT
WHERE (IDLE_REASON) LIKE ('Operator Absent')
GROUP BY 
    RESOURCE_CODE,
    RESOURCE_DESC
ORDER BY 
    TOTAL_MAINTENANCE_TIME DESC;</t>
  </si>
  <si>
    <t>View full kit demand.</t>
  </si>
  <si>
    <t>Show full kit demand.</t>
  </si>
  <si>
    <t>View performance index for employee_department {employee_department}.</t>
  </si>
  <si>
    <t>full kit demand</t>
  </si>
  <si>
    <t>Show performance index for /employee_department {employee_department}.</t>
  </si>
  <si>
    <t>performance index for employee department</t>
  </si>
  <si>
    <t>SELECT 
    FK_NAME,
    SUM(MRP_DEMAND) AS TOTAL_MRP_DEMAND,
    SUM(TOTAL_DEMAND) AS TOTAL_DEMAND_QUANTITY
FROM 
    KPCL_REPORTING.DERIVED_PO_BOARD
WHERE REQ_QTY_MONTH = UPPER(TO_CHAR(SYSDATE, 'MON-YYYY'))
GROUP BY 
    FK_NAME;</t>
  </si>
  <si>
    <t>SELECT 
    EMP_DEPT,
    PERIOD_NAME,
    AVG(PERFORMANCE_INDEX) AS AVG_PERFORMANCE_INDEX,
    MIN(PERFORMANCE_INDEX) AS MIN_PERFORMANCE_INDEX,
    MAX(PERFORMANCE_INDEX) AS MAX_PERFORMANCE_INDEX,
    COUNT(DISTINCT TNO) AS TOTAL_EMPLOYEES
FROM 
    KPCL_REPORTING.KPC_FULL_KIT_DOCKET_EMP
WHERE 
    EMP_DEPT LIKE '%{employee_department}%'
GROUP BY 
    EMP_DEPT,
    PERIOD_NAME
ORDER BY 
    PERIOD_NAME ASC;</t>
  </si>
  <si>
    <t>View maintenance impact on utilization for machine resource_code {resource_code}.</t>
  </si>
  <si>
    <t>Show maintenance impact on utilization for machine /resource_code {resource_code}.</t>
  </si>
  <si>
    <t>maintenance impact on utilization for machine resource code</t>
  </si>
  <si>
    <t>SELECT 
    RESOURCE_CODE,
    RESOURCE_DESC,
    SUM(NVL(MAINTAINCE_DOCKET_TIME, 0)) AS TOTAL_MAINTENANCE_TIME,
    SUM(NVL(TOTAL_IDLE, 0)) AS TOTAL_IDLE_TIME,
    SUM(NVL(MAINTAINCE_DOCKET_TIME, 0) + NVL(TOTAL_IDLE, 0)) AS TOTAL_DOWNTIME
FROM 
    KPCL_REPORTING.KPC_FK_DOCKET_IDLE_REPORT
WHERE 
   RESOURCE_CODE LIKE '%{resource_code}%'
AND (IDLE_REASON) LIKE ('Operator Absent')
GROUP BY 
    RESOURCE_CODE,
    RESOURCE_DESC;</t>
  </si>
  <si>
    <t>Display full kit full_kit {full_kit} stock.</t>
  </si>
  <si>
    <t>Show full kit /full_kit {full_kit} stock.</t>
  </si>
  <si>
    <t>full kit full kit stock</t>
  </si>
  <si>
    <t>View performance index for employee {employee}.</t>
  </si>
  <si>
    <t>SELECT 
    FK_NAME AS FULL_KIT_NAME,
    ITEM_CODE,
    ITEM_DESCRIPTION,
    ITEM_CATEGORY,
    SUPPLIER,
    QUANTITY AS PO_QUANTITY,
    DUE_QTY AS PENDING_QUANTITY,
    STOCK_REJ_SUB_INV AS REJECTED_STOCK,
    UOM
FROM 
    KPCL_REPORTING.DERIVED_PO_BOARD
WHERE 
    FK_NAME IS NOT NULL
    AND (FK_NAME) LIKE ('%{full_kit}%') AND REQ_QTY_MONTH = UPPER(TO_CHAR(SYSDATE, 'MON-YYYY'))
ORDER BY 
    FK_NAME ASC,
    ITEM_CODE ASC;</t>
  </si>
  <si>
    <t>Show performance index for /employee {employee}.</t>
  </si>
  <si>
    <t>performance index for employee</t>
  </si>
  <si>
    <t>SELECT 
    TNO,
    ENAME,
    EMP_DEPT,
    EMP_ORG_NAME,
    PERIOD_NAME,
    PERFORMANCE_INDEX
FROM 
    KPCL_REPORTING.KPC_FULL_KIT_DOCKET_EMP
WHERE 
    ENAME LIKE '%{employee}%'
ORDER BY 
    PERIOD_NAME ASC;</t>
  </si>
  <si>
    <t>View machines requiring highest maintenance.</t>
  </si>
  <si>
    <t>Show machines requiring highest maintenance.</t>
  </si>
  <si>
    <t>machines requiring highest maintenance</t>
  </si>
  <si>
    <t>SELECT 
    RESOURCE_CODE,
    RESOURCE_DESC,
    SUM(NVL(MAINTAINCE_DOCKET_TIME, 0)) AS TOTAL_MAINTENANCE_TIME,
    COUNT(*) AS MAINTENANCE_DOCKETS_COUNT
FROM 
    KPCL_REPORTING.KPC_FK_DOCKET_IDLE_REPORT
WHERE (IDLE_REASON) LIKE ('Operator Absent')
GROUP BY 
    RESOURCE_CODE,
    RESOURCE_DESC
ORDER BY 
    TOTAL_MAINTENANCE_TIME DESC;</t>
  </si>
  <si>
    <t>View performance index for employee {employee} during month {month}.</t>
  </si>
  <si>
    <t>Show performance index for /employee {employee} during /month {month}.</t>
  </si>
  <si>
    <t>performance index for employee during month</t>
  </si>
  <si>
    <t>SELECT 
    TNO,
    ENAME,
    EMP_DEPT,
    EMP_ORG_NAME,
    MONTH_PERIOD,
    PERFORMANCE_INDEX
FROM 
    KPCL_REPORTING.KPC_FULL_KIT_DOCKET_EMP
WHERE 
    ENAME LIKE '%{employee}%'
    AND MONTH_PERIOD LIKE '%{month_period}%'
ORDER BY 
    MONTH_PERIOD ASC;</t>
  </si>
  <si>
    <t>View machines requiring least maintenance.</t>
  </si>
  <si>
    <t>Show machines requiring least maintenance.</t>
  </si>
  <si>
    <t>machines requiring least maintenance</t>
  </si>
  <si>
    <t>SELECT 
    RESOURCE_CODE,
    RESOURCE_DESC,
    SUM(NVL(MAINTAINCE_DOCKET_TIME, 0)) AS TOTAL_MAINTENANCE_TIME,
    COUNT(*) AS MAINTENANCE_DOCKETS_COUNT
FROM 
    KPCL_REPORTING.KPC_FK_DOCKET_IDLE_REPORT
WHERE (IDLE_REASON) LIKE ('Operator Absent')
GROUP BY 
    RESOURCE_CODE,
    RESOURCE_DESC
ORDER BY 
    TOTAL_MAINTENANCE_TIME ASC;</t>
  </si>
  <si>
    <t>View total development time.</t>
  </si>
  <si>
    <t>Show total development time.</t>
  </si>
  <si>
    <t>total development time</t>
  </si>
  <si>
    <t>Display performance trend.</t>
  </si>
  <si>
    <t>Show performance trend.</t>
  </si>
  <si>
    <t>SELECT 
    SUM(NVL(DEVELOPMENT_DOCKET_TIME, 0)) AS TOTAL_DEVELOPMENT_DOCKET_TIME
FROM 
    KPCL_REPORTING.KPC_FK_DOCKET_IDLE_REPORT
WHERE (IDLE_REASON) LIKE ('Operator Absent');</t>
  </si>
  <si>
    <t>performance trend</t>
  </si>
  <si>
    <t>SELECT
    YEAR_PERIOD,
    ROUND(AVG(PERFORMANCE_INDEX), 4) AS AVG_PERFORMANCE_INDEX
FROM KPCL_REPORTING.KPC_FULL_KIT_DOCKET_EMP
GROUP BY YEAR_PERIOD
ORDER BY YEAR_PERIOD ASC;</t>
  </si>
  <si>
    <t>Show development time by machine.</t>
  </si>
  <si>
    <t>View development time by machine.</t>
  </si>
  <si>
    <t>development time by machine</t>
  </si>
  <si>
    <t>View performance under incentive_scheme {incentive_scheme}.</t>
  </si>
  <si>
    <t>Show performance under /incentive_scheme {incentive_scheme}.</t>
  </si>
  <si>
    <t>performance under incentive scheme</t>
  </si>
  <si>
    <t>SELECT 
    RESOURCE_CODE,
    RESOURCE_DESC,
    SUM(NVL(DEVELOPMENT_DOCKET_TIME, 0)) AS TOTAL_DEVELOPMENT_DOCKET_TIME
FROM 
    KPCL_REPORTING.KPC_FK_DOCKET_IDLE_REPORT
WHERE (IDLE_REASON) LIKE ('Operator Absent')
GROUP BY 
    RESOURCE_CODE,
    RESOURCE_DESC
ORDER BY 
    TOTAL_DEVELOPMENT_DOCKET_TIME DESC;</t>
  </si>
  <si>
    <t>SELECT 
    INCNSCHM,
    PERIOD_NAME,
    AVG(PERFORMANCE_INDEX) AS AVG_PERFORMANCE_INDEX,
    SUM(PRODUCED) AS TOTAL_PRODUCED,
    SUM(STD_PRODN) AS TOTAL_STANDARD_PRODUCTION,
    SUM(TOTINCN) AS TOTAL_INCENTIVE,
    COUNT(DISTINCT TNO) AS TOTAL_EMPLOYEES
FROM 
    KPCL_REPORTING.KPC_FULL_KIT_DOCKET_EMP
WHERE 
    INCNSCHM LIKE '%{incentive_scheme}%'
GROUP BY 
    INCNSCHM,
    PERIOD_NAME
ORDER BY 
    AVG_PERFORMANCE_INDEX DESC;</t>
  </si>
  <si>
    <t>Display items with no stock.</t>
  </si>
  <si>
    <t>Show items with no stock.</t>
  </si>
  <si>
    <t>View development time by organization.</t>
  </si>
  <si>
    <t>Display present minutes by department.</t>
  </si>
  <si>
    <t>items with no stock</t>
  </si>
  <si>
    <t>Show development time by organization.</t>
  </si>
  <si>
    <t>Show present minutes by department.</t>
  </si>
  <si>
    <t>development time by organization</t>
  </si>
  <si>
    <t>present minutes by employee department</t>
  </si>
  <si>
    <t>SELECT
    ITEM_CODE,
    ITEM_DESCRIPTION,
    ITEM_CATEGORY,
    STOCK_GENERAL_STORE,
    STOCK_PENDING_INSP,
    STOCK_PEND_IN_POSTING,
    STOCK_SUP_SUB_INV,
    STOCK_REJ_SUB_INV
FROM KPCL_REPORTING.DERIVED_PO_BOARD
WHERE NVL(STOCK_GENERAL_STORE, 0) = 0
  AND NVL(STOCK_PENDING_INSP, 0) = 0
  AND NVL(STOCK_PEND_IN_POSTING, 0) = 0
  AND NVL(STOCK_SUP_SUB_INV, 0) = 0
  AND NVL(STOCK_REJ_SUB_INV, 0) = 0 AND REQ_QTY_MONTH = UPPER(TO_CHAR(SYSDATE, 'MON-YYYY'))
ORDER BY ITEM_CODE;</t>
  </si>
  <si>
    <t>SELECT 
    ORG_NAME,
    SUM(NVL(DEVELOPMENT_DOCKET_TIME, 0)) AS TOTAL_DEVELOPMENT_DOCKET_TIME
FROM 
    KPCL_REPORTING.KPC_FK_DOCKET_IDLE_REPORT
WHERE (IDLE_REASON) LIKE ('Operator Absent')
GROUP BY 
    ORG_NAME
ORDER BY 
    TOTAL_DEVELOPMENT_DOCKET_TIME DESC;</t>
  </si>
  <si>
    <t>SELECT 
    EMP_DEPT,
    SUM(PRESENT) AS TOTAL_PRESENT_minutes
FROM 
    KPCL_REPORTING.KPC_FULL_KIT_DOCKET_EMP
GROUP BY 
    EMP_DEPT
ORDER BY 
    TOTAL_PRESENT_minutes DESC;</t>
  </si>
  <si>
    <t>View present minutes by employee.</t>
  </si>
  <si>
    <t>Show present minutes by employee.</t>
  </si>
  <si>
    <t>View development time by division.</t>
  </si>
  <si>
    <t>Display items with no demand.</t>
  </si>
  <si>
    <t>present minutes by employee</t>
  </si>
  <si>
    <t>Show items with no demand.</t>
  </si>
  <si>
    <t>SELECT 
    TNO,
    ENAME,
    EMP_DEPT,
    EMP_ORG_NAME,
    PERIOD_NAME,
    SUM(PRESENT) AS TOTAL_PRESENT_minutes
FROM 
    KPCL_REPORTING.KPC_FULL_KIT_DOCKET_EMP
GROUP BY 
    TNO,
    ENAME,
    EMP_DEPT,
    EMP_ORG_NAME,
    PERIOD_NAME
ORDER BY 
    TOTAL_PRESENT_minutes DESC;</t>
  </si>
  <si>
    <t>items with no demand</t>
  </si>
  <si>
    <t>SELECT 
    ITEM_CODE
FROM 
    KPCL_REPORTING.DERIVED_PO_BOARD
WHERE REQ_QTY_MONTH = UPPER(TO_CHAR(SYSDATE, 'MON-YYYY'))
GROUP BY 
    ITEM_CODE
HAVING 
    SUM(CASE WHEN REGEXP_LIKE(TOTAL_DEMAND, '^[0-9]+(\.[0-9]+)?$') THEN TO_NUMBER(TOTAL_DEMAND) ELSE 0 END) = 0;</t>
  </si>
  <si>
    <t>development time by division</t>
  </si>
  <si>
    <t>SELECT 
    DIV_CODE,
    SUM(NVL(DEVELOPMENT_DOCKET_TIME, 0)) AS TOTAL_DEVELOPMENT_DOCKET_TIME
FROM 
    KPCL_REPORTING.KPC_FK_DOCKET_IDLE_REPORT
WHERE (IDLE_REASON) LIKE ('Operator Absent')
GROUP BY 
    DIV_CODE
ORDER BY 
    TOTAL_DEVELOPMENT_DOCKET_TIME DESC;</t>
  </si>
  <si>
    <t>SELECT
    ITEM_CODE,
    ITEM_DESCRIPTION,
    SAFETY_STOCK,
    STOCK_GENERAL_STORE
FROM
    KPCL_REPORTING.DERIVED_PO_BOARD
WHERE REQ_QTY_MONTH = UPPER(TO_CHAR(SYSDATE, 'MON-YYYY'))
AND 
    STOCK_GENERAL_STORE &lt; SAFETY_STOCK;</t>
  </si>
  <si>
    <t>Show month wise development trend.</t>
  </si>
  <si>
    <t>View present minutes by organization.</t>
  </si>
  <si>
    <t>Show development trend.</t>
  </si>
  <si>
    <t>Show present minutes by organization.</t>
  </si>
  <si>
    <t>development trend</t>
  </si>
  <si>
    <t>present minutes by organization</t>
  </si>
  <si>
    <t>SELECT 
    EMP_ORG_NAME,
    SUM(PRESENT) AS TOTAL_PRESENT_minutes
FROM 
    KPCL_REPORTING.KPC_FULL_KIT_DOCKET_EMP
GROUP BY 
    EMP_ORG_NAME
ORDER BY 
    TOTAL_PRESENT_minutes DESC;</t>
  </si>
  <si>
    <t>SELECT 
    TRUNC(UTILIZATION_DATE, 'MM') AS TREND_MONTH,
    SUM(NVL(DEVELOPMENT_DOCKET_TIME, 0)) AS TOTAL_DEVELOPMENT_DOCKET_TIME
FROM 
    KPCL_REPORTING.KPC_FK_DOCKET_IDLE_REPORT
WHERE (IDLE_REASON) LIKE ('Operator Absent')
GROUP BY 
    TRUNC(UTILIZATION_DATE, 'MM')
ORDER BY 
    TREND_MONTH ASC;</t>
  </si>
  <si>
    <t>View items with stock above safety stock.</t>
  </si>
  <si>
    <t>Display present minutes by supervisor.</t>
  </si>
  <si>
    <t>SELECT
    ITEM_CODE,
    ITEM_DESCRIPTION,
    SAFETY_STOCK,
    STOCK_GENERAL_STORE
FROM
    KPCL_REPORTING.DERIVED_PO_BOARD
WHERE
    STOCK_GENERAL_STORE &gt; SAFETY_STOCK AND REQ_QTY_MONTH = UPPER(TO_CHAR(SYSDATE, 'MON-YYYY'));</t>
  </si>
  <si>
    <t>Show present minutes by supervisor.</t>
  </si>
  <si>
    <t>present minutes by supervisor</t>
  </si>
  <si>
    <t>Show development time for machine resource_code {resource_code}.</t>
  </si>
  <si>
    <t>SELECT 
    SUPV_NAME,
    SUM(PRESENT) AS TOTAL_PRESENT_minutes
FROM 
    KPCL_REPORTING.KPC_FULL_KIT_DOCKET_EMP
WHERE 
    SUPV_NAME IS NOT NULL
GROUP BY 
    SUPV_NAME
ORDER BY 
    TOTAL_PRESENT_minutes DESC;</t>
  </si>
  <si>
    <t>Show development time for machine /resource_code {resource_code}.</t>
  </si>
  <si>
    <t>development time for machine resource code</t>
  </si>
  <si>
    <t>SELECT 
    RESOURCE_CODE,
    RESOURCE_DESC,
    SUM(NVL(DEVELOPMENT_DOCKET_TIME, 0)) AS TOTAL_DEVELOPMENT_DOCKET_TIME
FROM 
    KPCL_REPORTING.KPC_FK_DOCKET_IDLE_REPORT
WHERE 
   RESOURCE_CODE LIKE '%{resource_code}%'
 AND (IDLE_REASON) LIKE ('Operator Absent')
GROUP BY 
    RESOURCE_CODE,
    RESOURCE_DESC;</t>
  </si>
  <si>
    <t>View present minutes for employee {employee}.</t>
  </si>
  <si>
    <t>Show present minutes for /employee {employee}.</t>
  </si>
  <si>
    <t>present minutes for employee</t>
  </si>
  <si>
    <t>SELECT
    ITEM_CODE,
    ITEM_DESCRIPTION,
    TOTAL_DEMAND,
    STOCK_GENERAL_STORE
FROM
    KPCL_REPORTING.DERIVED_PO_BOARD
WHERE
    TOTAL_DEMAND &gt; STOCK_GENERAL_STORE AND REQ_QTY_MONTH = UPPER(TO_CHAR(SYSDATE, 'MON-YYYY'));</t>
  </si>
  <si>
    <t>SELECT 
    TNO,
    ENAME,
    SUM(PRESENT) AS TOTAL_PRESENT_minutes
FROM 
    KPCL_REPORTING.KPC_FULL_KIT_DOCKET_EMP
WHERE 
    ENAME LIKE '%{employee}%'
GROUP BY 
    TNO,
    ENAME;</t>
  </si>
  <si>
    <t>Show development time during month_period {month_period}.</t>
  </si>
  <si>
    <t>Show development time during /month_period {month_period}.</t>
  </si>
  <si>
    <t>development time during month period</t>
  </si>
  <si>
    <t>SELECT 
    RESOURCE_CODE,
    RESOURCE_DESC,
    SUM(NVL(DEVELOPMENT_DOCKET_TIME, 0)) AS TOTAL_DEVELOPMENT_TIME
FROM 
    KPCL_REPORTING.KPC_FK_DOCKET_IDLE_REPORT
WHERE 
    (
        MONTH_PERIOD LIKE '%{month_period}%'
        AND (IDLE_REASON) LIKE ('Operator Absent')
    )
GROUP BY 
    RESOURCE_CODE,
    RESOURCE_DESC
ORDER BY 
    TOTAL_DEVELOPMENT_TIME DESC;</t>
  </si>
  <si>
    <t>Show production bonus by department.</t>
  </si>
  <si>
    <t>production bonus by employee department</t>
  </si>
  <si>
    <t>SELECT 
    EMP_DEPT,
    SUM(PRODBON) AS TOTAL_PRODUCTION_BONUS
FROM 
    KPCL_REPORTING.KPC_FULL_KIT_DOCKET_EMP
GROUP BY 
    EMP_DEPT
ORDER BY 
    TOTAL_PRODUCTION_BONUS DESC;</t>
  </si>
  <si>
    <t>Show development time during week_period {week_period}.</t>
  </si>
  <si>
    <t>SELECT
    ITEM_CODE,
    ITEM_DESCRIPTION,
    TOTAL_DEMAND,
    SAFETY_STOCK
FROM
    KPCL_REPORTING.DERIVED_PO_BOARD
WHERE
    TOTAL_DEMAND &gt; SAFETY_STOCK AND REQ_QTY_MONTH = UPPER(TO_CHAR(SYSDATE, 'MON-YYYY'));</t>
  </si>
  <si>
    <t>Show development time during /week_period {week_period}.</t>
  </si>
  <si>
    <t>development time during week period</t>
  </si>
  <si>
    <t>SELECT 
    RESOURCE_CODE,
    RESOURCE_DESC,
    SUM(NVL(DEVELOPMENT_DOCKET_TIME, 0)) AS TOTAL_DEVELOPMENT_TIME
FROM 
    KPCL_REPORTING.KPC_FK_DOCKET_IDLE_REPORT
WHERE 
    (
        WEEK_PERIOD LIKE '%{week_period}%'
        AND (IDLE_REASON) LIKE ('Operator Absent')
    )
GROUP BY 
    RESOURCE_CODE,
    RESOURCE_DESC
ORDER BY 
    TOTAL_DEVELOPMENT_TIME DESC;</t>
  </si>
  <si>
    <t>Display production bonus by employee.</t>
  </si>
  <si>
    <t>Show production bonus by employee.</t>
  </si>
  <si>
    <t>production bonus by employee</t>
  </si>
  <si>
    <t>SELECT 
    TNO,
    ENAME,
    SUM(PRODBON) AS TOTAL_PRODUCTION_BONUS
FROM 
    KPCL_REPORTING.KPC_FULL_KIT_DOCKET_EMP
GROUP BY 
    TNO,
    ENAME
ORDER BY 
    TOTAL_PRODUCTION_BONUS DESC;</t>
  </si>
  <si>
    <t>Show development time during year_period {year_period}.</t>
  </si>
  <si>
    <t>SELECT
    SUPPLIER,
    PO_NUM,
    ITEM_CODE,
    ITEM_DESCRIPTION,
    DUE_QTY,
    DUE_AMT
FROM
    KPCL_REPORTING.DERIVED_PO_BOARD
WHERE
    DUE_AMT &gt; {amount} AND REQ_QTY_MONTH = UPPER(TO_CHAR(SYSDATE, 'MON-YYYY'))
ORDER BY
    DUE_AMT DESC;</t>
  </si>
  <si>
    <t>Show development time during /year_period {year_period}.</t>
  </si>
  <si>
    <t xml:space="preserve">development time during year period </t>
  </si>
  <si>
    <t>SELECT 
    RESOURCE_CODE,
    RESOURCE_DESC,
    SUM(NVL(DEVELOPMENT_DOCKET_TIME, 0)) AS TOTAL_DEVELOPMENT_TIME
FROM 
    KPCL_REPORTING.KPC_FK_DOCKET_IDLE_REPORT
WHERE 
    (
        YEAR_PERIOD LIKE '%{year_period}%'
         AND (IDLE_REASON) LIKE ('Operator Absent')
    )
GROUP BY 
    RESOURCE_CODE,
    RESOURCE_DESC
ORDER BY 
    TOTAL_DEVELOPMENT_TIME DESC;</t>
  </si>
  <si>
    <t>View production bonus by organization.</t>
  </si>
  <si>
    <t>Show production bonus by organization.</t>
  </si>
  <si>
    <t>production bonus by organization</t>
  </si>
  <si>
    <t>SELECT 
    EMP_ORG_NAME,
    SUM(PRODBON) AS TOTAL_PRODUCTION_BONUS
FROM 
    KPCL_REPORTING.KPC_FULL_KIT_DOCKET_EMP
GROUP BY 
    EMP_ORG_NAME;</t>
  </si>
  <si>
    <t>Display machines with development time above minutes {minutes}.</t>
  </si>
  <si>
    <t>Show machines with development time above /minutes {minutes}.</t>
  </si>
  <si>
    <t>machines with development time above minutes</t>
  </si>
  <si>
    <t>Display production bonus for employee {employee}.</t>
  </si>
  <si>
    <t>Show production bonus for /employee {employee}.</t>
  </si>
  <si>
    <t>SELECT 
    RESOURCE_CODE,
    RESOURCE_DESC,
    SUM(NVL(DEVELOPMENT_DOCKET_TIME, 0)) AS TOTAL_DEVELOPMENT_DOCKET_TIME
FROM 
    KPCL_REPORTING.KPC_FK_DOCKET_IDLE_REPORT
WHERE (IDLE_REASON) LIKE ('Operator Absent')
GROUP BY 
    RESOURCE_CODE,
    RESOURCE_DESC
HAVING 
    SUM(NVL(DEVELOPMENT_DOCKET_TIME, 0)) &gt; %{minutes}%
ORDER BY 
    TOTAL_DEVELOPMENT_DOCKET_TIME DESC;</t>
  </si>
  <si>
    <t>production bonus for employee</t>
  </si>
  <si>
    <t>SELECT 
    TNO,
    ENAME,
    SUM(PRODBON) AS TOTAL_PRODUCTION_BONUS
FROM 
    KPCL_REPORTING.KPC_FULL_KIT_DOCKET_EMP
WHERE 
    ENAME LIKE '%{employee}%'
GROUP BY 
    TNO,
    ENAME;</t>
  </si>
  <si>
    <t>View comparison of development and production time.</t>
  </si>
  <si>
    <t>Display production by department.</t>
  </si>
  <si>
    <t>Compare development and production time.</t>
  </si>
  <si>
    <t>Show production by department.</t>
  </si>
  <si>
    <t>development and production time</t>
  </si>
  <si>
    <t>production by employee department</t>
  </si>
  <si>
    <t>SELECT 
    EMP_DEPT,
    SUM(PRODUCED) AS TOTAL_PRODUCED,
    SUM(STD_PRODN) AS TOTAL_STANDARD_PRODUCTION
FROM 
    KPCL_REPORTING.KPC_FULL_KIT_DOCKET_EMP
GROUP BY 
    EMP_DEPT
ORDER BY 
    TOTAL_PRODUCED DESC;</t>
  </si>
  <si>
    <t>SELECT 
    RESOURCE_CODE,
    RESOURCE_DESC,
    SUM(NVL(DEVELOPMENT_DOCKET_TIME, 0)) AS TOTAL_DEVELOPMENT_DOCKET_TIME,
    SUM(NVL(MAINTAINCE_DOCKET_TIME, 0)) AS TOTAL_MAINTENANCE_TIME,
    SUM(NVL(TOTAL_IDLE, 0)) AS TOTAL_IDLE_TIME
FROM 
    KPCL_REPORTING.KPC_FK_DOCKET_IDLE_REPORT
WHERE (IDLE_REASON) LIKE ('Operator Absent')
GROUP BY 
    RESOURCE_CODE,
    RESOURCE_DESC
ORDER BY 
    TOTAL_DEVELOPMENT_DOCKET_TIME DESC;</t>
  </si>
  <si>
    <t>View production by employee.</t>
  </si>
  <si>
    <t>Show production by employee.</t>
  </si>
  <si>
    <t>Show total jobwork time.</t>
  </si>
  <si>
    <t>production by employee</t>
  </si>
  <si>
    <t>total jobwork time</t>
  </si>
  <si>
    <t>SELECT 
    TNO,
    ENAME,
    SUM(PRODUCED) AS TOTAL_PRODUCED,
    SUM(STD_PRODN) AS TOTAL_STANDARD_PRODUCTION
FROM 
    KPCL_REPORTING.KPC_FULL_KIT_DOCKET_EMP
GROUP BY 
    TNO,
    ENAME
ORDER BY 
    TOTAL_PRODUCED DESC;</t>
  </si>
  <si>
    <t>SELECT 
    SUM(NVL(JOBWORK_DOCKET_TIME, 0)) AS TOTAL_JOBWORK_TIME
FROM 
    KPCL_REPORTING.KPC_FK_DOCKET_IDLE_REPORT
WHERE (IDLE_REASON) LIKE ('Operator Absent');</t>
  </si>
  <si>
    <t>Display production by organization.</t>
  </si>
  <si>
    <t>Show production by organization.</t>
  </si>
  <si>
    <t>Show jobwork time by machine.</t>
  </si>
  <si>
    <t>View jobwork time by machine.</t>
  </si>
  <si>
    <t>SELECT 
    EMP_ORG_NAME,
    SUM(PRODUCED) AS TOTAL_PRODUCED,
    SUM(STD_PRODN) AS TOTAL_STANDARD_PRODUCTION
FROM 
    KPCL_REPORTING.KPC_FULL_KIT_DOCKET_EMP
GROUP BY 
    EMP_ORG_NAME
ORDER BY 
    TOTAL_PRODUCED DESC;</t>
  </si>
  <si>
    <t>jobwork time by machine</t>
  </si>
  <si>
    <t>SELECT
    SUPPLIER,
    PO_NUM,
    ITEM_CODE,
    ITEM_DESCRIPTION,
    LEAD_TIME
FROM
    KPCL_REPORTING.DERIVED_PO_BOARD
WHERE
    LEAD_TIME &gt; {days} AND REQ_QTY_MONTH = UPPER(TO_CHAR(SYSDATE, 'MON-YYYY'))
ORDER BY
    LEAD_TIME DESC;</t>
  </si>
  <si>
    <t>SELECT 
    RESOURCE_CODE,
    RESOURCE_DESC,
    SUM(NVL(JOBWORK_DOCKET_TIME, 0)) AS TOTAL_JOBWORK_TIME
FROM 
    KPCL_REPORTING.KPC_FK_DOCKET_IDLE_REPORT
WHERE (IDLE_REASON) LIKE ('Operator Absent')
GROUP BY 
    RESOURCE_CODE,
    RESOURCE_DESC
ORDER BY 
    TOTAL_JOBWORK_TIME DESC;</t>
  </si>
  <si>
    <t>View production during month_period {month_period}.</t>
  </si>
  <si>
    <t>Show production during /month_period {month_period}.</t>
  </si>
  <si>
    <t xml:space="preserve">production during month period </t>
  </si>
  <si>
    <t>Display jobwork time by organization.</t>
  </si>
  <si>
    <t>SELECT 
    MONTH_PERIOD,
    SUM(PRODUCED) AS TOTAL_PRODUCED,
    SUM(STD_PRODN) AS TOTAL_STANDARD_PRODUCTION
FROM 
    KPCL_REPORTING.KPC_FULL_KIT_DOCKET_EMP
WHERE 
    MONTH_PERIOD LIKE '%{month_period }%'
GROUP BY 
    MONTH_PERIOD;</t>
  </si>
  <si>
    <t>Show jobwork time by organization.</t>
  </si>
  <si>
    <t>jobwork time by organization</t>
  </si>
  <si>
    <t>Display purchase orders with quantity above quantity {quantity}.</t>
  </si>
  <si>
    <t>SELECT 
    ORG_NAME,
    SUM(NVL(JOBWORK_DOCKET_TIME, 0)) AS TOTAL_JOBWORK_TIME
FROM 
    KPCL_REPORTING.KPC_FK_DOCKET_IDLE_REPORT
WHERE (IDLE_REASON) LIKE ('Operator Absent')
GROUP BY 
    ORG_NAME
ORDER BY 
    TOTAL_JOBWORK_TIME DESC;</t>
  </si>
  <si>
    <t>Show purchase orders with quantity above /quantity {quantity}.</t>
  </si>
  <si>
    <t>purchase orders with quantity above quantity</t>
  </si>
  <si>
    <t>SELECT
    PO_NUM,
    LINE_NUM,
    ITEM_CODE,
    ITEM_DESCRIPTION,
    QUANTITY,
    UOM,
    SUPPLIER
FROM
    KPCL_REPORTING.DERIVED_PO_BOARD
WHERE
    QUANTITY &gt; {quantity} AND REQ_QTY_MONTH = UPPER(TO_CHAR(SYSDATE, 'MON-YYYY'))
ORDER BY
    QUANTITY DESC;</t>
  </si>
  <si>
    <t>Show production during week_period {week_period }.</t>
  </si>
  <si>
    <t>Show production during /week_period {week_period }.</t>
  </si>
  <si>
    <t xml:space="preserve">production during week period </t>
  </si>
  <si>
    <t>SELECT 
    WEEK_PERIOD,
    SUM(PRODUCED) AS TOTAL_PRODUCED,
    SUM(STD_PRODN) AS TOTAL_STANDARD_PRODUCTION
FROM 
    KPCL_REPORTING.KPC_FULL_KIT_DOCKET_EMP
WHERE 
    WEEK_PERIOD LIKE '%{week_period }%'
GROUP BY 
    WEEK_PERIOD;</t>
  </si>
  <si>
    <t>Show jobwork time by division.</t>
  </si>
  <si>
    <t>View jobwork time by division.</t>
  </si>
  <si>
    <t>jobwork time by division</t>
  </si>
  <si>
    <t>SELECT 
    DIV_CODE,
    SUM(NVL(JOBWORK_DOCKET_TIME, 0)) AS TOTAL_JOBWORK_TIME
FROM 
    KPCL_REPORTING.KPC_FK_DOCKET_IDLE_REPORT
WHERE (IDLE_REASON) LIKE ('Operator Absent')
GROUP BY 
    DIV_CODE
ORDER BY 
    TOTAL_JOBWORK_TIME DESC;</t>
  </si>
  <si>
    <t>View purchase orders with value above amount {amount}.</t>
  </si>
  <si>
    <t>Show purchase orders with value above /amount {amount}.</t>
  </si>
  <si>
    <t>purchase orders with value above amount</t>
  </si>
  <si>
    <t>SELECT
    PO_NUM,
    LINE_NUM,
    ITEM_CODE,
    ITEM_DESCRIPTION,
    QUANTITY,
    UNIT_PRICE,
    LINE_AMOUNT,
    SUPPLIER
FROM
    KPCL_REPORTING.DERIVED_PO_BOARD
WHERE
    LINE_AMOUNT &gt; {amount} AND REQ_QTY_MONTH = UPPER(TO_CHAR(SYSDATE, 'MON-YYYY'))
ORDER BY
    LINE_AMOUNT DESC;</t>
  </si>
  <si>
    <t>Show production during month_period {month_period }.</t>
  </si>
  <si>
    <t>Show production during /month_period {month_period }.</t>
  </si>
  <si>
    <t>View month wise jobwork trend.</t>
  </si>
  <si>
    <t>Show jobwork trend.</t>
  </si>
  <si>
    <t>jobwork trend</t>
  </si>
  <si>
    <t>SELECT 
    TRUNC(UTILIZATION_DATE, 'MM') AS TREND_MONTH,
    SUM(NVL(JOBWORK_DOCKET_TIME, 0)) AS TOTAL_JOBWORK_TIME
FROM 
    KPCL_REPORTING.KPC_FK_DOCKET_IDLE_REPORT
WHERE (IDLE_REASON) LIKE ('Operator Absent')
GROUP BY 
    TRUNC(UTILIZATION_DATE, 'MM')
ORDER BY 
    TREND_MONTH ASC;</t>
  </si>
  <si>
    <t>Show production during year_period {year_period }.</t>
  </si>
  <si>
    <t>Show items with pending requisition above quantity {quantity}.</t>
  </si>
  <si>
    <t>Show production during /year_period {year_period}.</t>
  </si>
  <si>
    <t>Show items with pending requisition above /quantity {quantity}.</t>
  </si>
  <si>
    <t xml:space="preserve">production during year period </t>
  </si>
  <si>
    <t>items with pending requisition above quantity</t>
  </si>
  <si>
    <t>SELECT 
    YEAR_PERIOD,
    SUM(PRODUCED) AS TOTAL_PRODUCED,
    SUM(STD_PRODN) AS TOTAL_STANDARD_PRODUCTION
FROM 
    KPCL_REPORTING.KPC_FULL_KIT_DOCKET_EMP
WHERE 
    YEAR_PERIOD LIKE '%{year_period }%'
GROUP BY 
    YEAR_PERIOD;</t>
  </si>
  <si>
    <t>SELECT
    ITEM_CODE,
    ITEM_DESCRIPTION,
    PENDING_REQUISITION
FROM
    KPCL_REPORTING.DERIVED_PO_BOARD
WHERE
    PENDING_REQUISITION &gt; {quantity} AND REQ_QTY_MONTH = UPPER(TO_CHAR(SYSDATE, 'MON-YYYY'))
ORDER BY
    PENDING_REQUISITION DESC;</t>
  </si>
  <si>
    <t>Display jobwork time for machine resource_code {resource_code}.</t>
  </si>
  <si>
    <t>Show jobwork time for machine /resource_code {resource_code}.</t>
  </si>
  <si>
    <t>jobwork time for machine resource code</t>
  </si>
  <si>
    <t>SELECT 
    RESOURCE_CODE,
    RESOURCE_DESC,
    SUM(NVL(JOBWORK_DOCKET_TIME, 0)) AS TOTAL_JOBWORK_TIME
FROM 
    KPCL_REPORTING.KPC_FK_DOCKET_IDLE_REPORT
WHERE 
    RESOURCE_CODE LIKE '%{resource_code}%'
AND (IDLE_REASON) LIKE ('Operator Absent')
GROUP BY 
    RESOURCE_CODE,
    RESOURCE_DESC
ORDER BY 
    TOTAL_JOBWORK_TIME DESC;</t>
  </si>
  <si>
    <t>View production for employee_department {employee_department}.</t>
  </si>
  <si>
    <t>Show production for /employee_department {employee_department}.</t>
  </si>
  <si>
    <t>production for employee department</t>
  </si>
  <si>
    <t>SELECT 
    EMP_DEPT,
    SUM(PRODUCED) AS TOTAL_PRODUCED,
    SUM(STD_PRODN) AS TOTAL_STANDARD_PRODUCTION
FROM 
    KPCL_REPORTING.KPC_FULL_KIT_DOCKET_EMP
WHERE 
    EMP_DEPT LIKE '%{employee_department}%'
GROUP BY 
    EMP_DEPT;</t>
  </si>
  <si>
    <t>Show items with pending PO above quantity {quantity}.</t>
  </si>
  <si>
    <t>Show items with pending PO above /quantity {quantity}.</t>
  </si>
  <si>
    <t>View jobwork time during month_period {month_period}.</t>
  </si>
  <si>
    <t>items with pending PO above quantity</t>
  </si>
  <si>
    <t>View jobwork time during /month_period {month_period}.</t>
  </si>
  <si>
    <t xml:space="preserve">jobwork time during month period </t>
  </si>
  <si>
    <t>SELECT
    ITEM_CODE,
    ITEM_DESCRIPTION,
    PENDING_PO
FROM
    KPCL_REPORTING.DERIVED_PO_BOARD
WHERE
    PENDING_PO &gt; {quantity} AND REQ_QTY_MONTH = UPPER(TO_CHAR(SYSDATE, 'MON-YYYY'))
ORDER BY
    PENDING_PO DESC;</t>
  </si>
  <si>
    <t>SELECT 
    RESOURCE_CODE,
    RESOURCE_DESC,
    SUM(NVL(JOBWORK_DOCKET_TIME, 0)) AS TOTAL_JOBWORK_TIME
FROM 
    KPCL_REPORTING.KPC_FK_DOCKET_IDLE_REPORT
WHERE 
    (
        MONTH_PERIOD LIKE '%{month_period}%'
       AND (IDLE_REASON) LIKE ('Operator Absent')
    )
GROUP BY 
    RESOURCE_CODE,
    RESOURCE_DESC
ORDER BY 
    TOTAL_JOBWORK_TIME DESC;</t>
  </si>
  <si>
    <t>Display production for employee {employee}.</t>
  </si>
  <si>
    <t>Show production for /employee {employee}.</t>
  </si>
  <si>
    <t>production for employee</t>
  </si>
  <si>
    <t>View jobwork time during week_period {week_period}.</t>
  </si>
  <si>
    <t>View jobwork time during /week_period {week_period}.</t>
  </si>
  <si>
    <t>SELECT 
    TNO,
    ENAME,
    SUM(PRODUCED) AS TOTAL_PRODUCED,
    SUM(STD_PRODN) AS TOTAL_STANDARD_PRODUCTION
FROM 
    KPCL_REPORTING.KPC_FULL_KIT_DOCKET_EMP
WHERE 
    ENAME LIKE '%{employee}%'
GROUP BY 
    TNO,
    ENAME;</t>
  </si>
  <si>
    <t>jobwork time during week period</t>
  </si>
  <si>
    <t>SELECT 
    RESOURCE_CODE,
    RESOURCE_DESC,
    SUM(NVL(JOBWORK_DOCKET_TIME, 0)) AS TOTAL_JOBWORK_TIME
FROM 
    KPCL_REPORTING.KPC_FK_DOCKET_IDLE_REPORT
WHERE 
    (
        WEEK_PERIOD LIKE '%{week_period}%'
    )
GROUP BY 
    RESOURCE_CODE,
    RESOURCE_DESC
ORDER BY 
    TOTAL_JOBWORK_TIME DESC;</t>
  </si>
  <si>
    <t>Display items with pending ASN above quantity {quantity}.</t>
  </si>
  <si>
    <t>Show items with pending ASN above /quantity {quantity}.</t>
  </si>
  <si>
    <t>items with pending ASN above quantity</t>
  </si>
  <si>
    <t>SELECT 
    ITEM_CODE,
    SUM(PENDING_ASN) AS TOTAL_PENDING_ASN_QUANTITY
FROM 
    KPCL_REPORTING.DERIVED_PO_BOARD
WHERE REQ_QTY_MONTH = UPPER(TO_CHAR(SYSDATE, 'MON-YYYY'))
GROUP BY 
    ITEM_CODE
HAVING 
    SUM(PENDING_ASN) &gt; {quantity};</t>
  </si>
  <si>
    <t>View production for employee {employee} during month_period {month_period }.</t>
  </si>
  <si>
    <t>Show production for /employee {employee} during /month_period {month_period }.</t>
  </si>
  <si>
    <t>production for employee during month period</t>
  </si>
  <si>
    <t>View jobwork time during year_period {year_period}.</t>
  </si>
  <si>
    <t>SELECT 
    TNO,
    ENAME,
    MONTH_PERIOD ,
    SUM(PRODUCED) AS TOTAL_PRODUCED,
    SUM(STD_PRODN) AS TOTAL_STANDARD_PRODUCTION
FROM 
    KPCL_REPORTING.KPC_FULL_KIT_DOCKET_EMP
WHERE 
    ENAME LIKE '%{employee}%'
    AND MONTH_PERIOD LIKE '%{month_period }%'
GROUP BY 
    TNO,
    ENAME,
    MONTH_PERIOD;</t>
  </si>
  <si>
    <t>View jobwork time during /year_period {year_period}.</t>
  </si>
  <si>
    <t xml:space="preserve">jobwork time during year period </t>
  </si>
  <si>
    <t>SELECT 
    RESOURCE_CODE,
    RESOURCE_DESC,
    SUM(NVL(JOBWORK_DOCKET_TIME, 0)) AS TOTAL_JOBWORK_TIME
FROM 
    KPCL_REPORTING.KPC_FK_DOCKET_IDLE_REPORT
WHERE 
    (
        YEAR_PERIOD LIKE '%{year_period}%'
       AND (IDLE_REASON) LIKE ('Operator Absent')
    )
GROUP BY 
    RESOURCE_CODE,
    RESOURCE_DESC
ORDER BY 
    TOTAL_JOBWORK_TIME DESC;</t>
  </si>
  <si>
    <t>Show items with rejected stock above quantity {quantity}.</t>
  </si>
  <si>
    <t>Show items with rejected stock above /quantity {quantity}.</t>
  </si>
  <si>
    <t>items with rejected stock above quantity</t>
  </si>
  <si>
    <t>Display production for fin_year {fin_year}.</t>
  </si>
  <si>
    <t>Show production during /fin_year {fin_year}.</t>
  </si>
  <si>
    <t>SELECT 
    ITEM_CODE,
    ITEM_DESCRIPTION,
    ITEM_CATEGORY,
    SUPPLIER,
    STOCK_REJ_SUB_INV AS REJECTED_STOCK_QTY,
    UOM
FROM 
    KPCL_REPORTING.DERIVED_PO_BOARD
WHERE 
    STOCK_REJ_SUB_INV &gt; {quantity} AND REQ_QTY_MONTH = UPPER(TO_CHAR(SYSDATE, 'MON-YYYY'))
GROUP BY 
    ITEM_CODE,
    ITEM_DESCRIPTION,
    ITEM_CATEGORY,
    SUPPLIER,
    STOCK_REJ_SUB_INV,
    UOM
ORDER BY 
    STOCK_REJ_SUB_INV DESC;</t>
  </si>
  <si>
    <t>production during fin year</t>
  </si>
  <si>
    <t>SELECT 
    PERIOD_NAME,
    ORG_NAME,
    SUM(PRODUCED) AS TOTAL_PRODUCED,
    SUM(STD_PRODN) AS TOTAL_STANDARD_PRODUCTION
FROM 
    KPCL_REPORTING.KPC_FULL_KIT_DOCKET_EMP
WHERE 
    PERIOD_NAME LIKE '%{fin_year}%'
GROUP BY 
    PERIOD_NAME,
    ORG_NAME
ORDER BY 
    PERIOD_NAME ASC;</t>
  </si>
  <si>
    <t>View total rework time.</t>
  </si>
  <si>
    <t>Show total rework time.</t>
  </si>
  <si>
    <t>total rework time</t>
  </si>
  <si>
    <t>SELECT 
    SUM(NVL(REWORK_DOCKET_TIME, 0)) AS TOTAL_REWORK_TIME
FROM 
    KPCL_REPORTING.KPC_FK_DOCKET_IDLE_REPORT
WHERE (IDLE_REASON) LIKE ('Operator Absent');</t>
  </si>
  <si>
    <t>Display production trend.</t>
  </si>
  <si>
    <t>Display items with WIP quantity above quantity {quantity}.</t>
  </si>
  <si>
    <t>Show production trend.</t>
  </si>
  <si>
    <t>production trend</t>
  </si>
  <si>
    <t>Show items with WIP quantity above /quantity {quantity}.</t>
  </si>
  <si>
    <t>items with WIP quantity above quantity</t>
  </si>
  <si>
    <t>SELECT 
    PERIOD_NAME,
    SUM(PRODUCED) AS TOTAL_PRODUCED,
    SUM(STD_PRODN) AS TOTAL_STANDARD_PRODUCTION
FROM 
    KPCL_REPORTING.KPC_FULL_KIT_DOCKET_EMP
GROUP BY 
    PERIOD_NAME
ORDER BY 
    PERIOD_NAME ASC;</t>
  </si>
  <si>
    <t>SELECT 
    ITEM_CODE,
    SUM(TO_NUMBER(WIP_QTY)) AS TOTAL_WIP_QUANTITY
FROM 
    KPCL_REPORTING.DERIVED_PO_BOARD
WHERE 
    REGEXP_LIKE(WIP_QTY, '^[0-9]+(\.[0-9]+)?$') AND REQ_QTY_MONTH = UPPER(TO_CHAR(SYSDATE, 'MON-YYYY'))
GROUP BY 
    ITEM_CODE
HAVING 
    SUM(TO_NUMBER(WIP_QTY)) &gt; {quantity};</t>
  </si>
  <si>
    <t>Show rework time by machine.</t>
  </si>
  <si>
    <t>View rework time by machine.</t>
  </si>
  <si>
    <t>rework time by machine</t>
  </si>
  <si>
    <t>SELECT 
    RESOURCE_CODE,
    RESOURCE_DESC,
    SUM(NVL(REWORK_DOCKET_TIME, 0)) AS TOTAL_REWORK_TIME
FROM 
    KPCL_REPORTING.KPC_FK_DOCKET_IDLE_REPORT
WHERE (IDLE_REASON) LIKE ('Operator Absent')
GROUP BY 
    RESOURCE_CODE,
    RESOURCE_DESC
ORDER BY 
    TOTAL_REWORK_TIME DESC;</t>
  </si>
  <si>
    <t>Display items with OSP quantity above quantity {quantity}.</t>
  </si>
  <si>
    <t>Show items with OSP quantity above /quantity {quantity}.</t>
  </si>
  <si>
    <t>items with OSP quantity above quantity</t>
  </si>
  <si>
    <t>SELECT 
    ITEM_CODE,
    SUM(TO_NUMBER(OSP_QTY)) AS TOTAL_OSP_QUANTITY
FROM 
    KPCL_REPORTING.DERIVED_PO_BOARD
WHERE 
    REGEXP_LIKE(OSP_QTY, '^[0-9]+(\.[0-9]+)?$') AND REQ_QTY_MONTH = UPPER(TO_CHAR(SYSDATE, 'MON-YYYY'))
GROUP BY 
    ITEM_CODE
HAVING 
    SUM(TO_NUMBER(OSP_QTY)) &gt; {quantity};</t>
  </si>
  <si>
    <t>Display rework time by organization.</t>
  </si>
  <si>
    <t>Show rework time by organization.</t>
  </si>
  <si>
    <t>rework time by organization</t>
  </si>
  <si>
    <t>Show production under incentive_scheme {incentive_scheme}.</t>
  </si>
  <si>
    <t>SELECT 
    ORG_NAME,
    SUM(NVL(REWORK_DOCKET_TIME, 0)) AS TOTAL_REWORK_TIME
FROM 
    KPCL_REPORTING.KPC_FK_DOCKET_IDLE_REPORT
WHERE (IDLE_REASON) LIKE ('Operator Absent')
GROUP BY 
    ORG_NAME
ORDER BY 
    TOTAL_REWORK_TIME DESC;</t>
  </si>
  <si>
    <t>Show production under /incentive_scheme {incentive_scheme}.</t>
  </si>
  <si>
    <t>production under incentive scheme</t>
  </si>
  <si>
    <t>SELECT 
    INCNSCHM,
    SUM(PRODUCED) AS TOTAL_PRODUCTION
FROM 
    KPCL_REPORTING.KPC_FULL_KIT_DOCKET_EMP
WHERE 
    INCNSCHM LIKE '%{incentive_scheme}%'
GROUP BY 
    INCNSCHM;</t>
  </si>
  <si>
    <t>View purchase orders for supplier {supplier} created by buyer {buyer}.</t>
  </si>
  <si>
    <t>Show purchase orders for /supplier {supplier} created by /buyer {buyer}.</t>
  </si>
  <si>
    <t>purchase orders for supplier created by buyer</t>
  </si>
  <si>
    <t>Show rework time by division.</t>
  </si>
  <si>
    <t>View rework time by division.</t>
  </si>
  <si>
    <t>SELECT 
    PO_NUM,
    LINE_NUM,
    SUPPLIER,
    BUYER_NAME,
    PO_CREATION_DATE,
    ITEM_CODE,
    QUANTITY,
    DUE_QTY,
    LINE_AMOUNT,
    CURRENCY
FROM 
    KPCL_REPORTING.DERIVED_PO_BOARD
WHERE 
    SUPPLIER LIKE '%{supplier}%'
    AND BUYER_NAME LIKE '%{buyer}%' AND REQ_QTY_MONTH = UPPER(TO_CHAR(SYSDATE, 'MON-YYYY'))
ORDER BY 
    PO_CREATION_DATE DESC,
    PO_NUM,
    LINE_NUM;</t>
  </si>
  <si>
    <t>rework time by division</t>
  </si>
  <si>
    <t>Show SBU wise employee count.</t>
  </si>
  <si>
    <t>SELECT 
    DIV_CODE,
    SUM(NVL(REWORK_DOCKET_TIME, 0)) AS TOTAL_REWORK_TIME
FROM 
    KPCL_REPORTING.KPC_FK_DOCKET_IDLE_REPORT
WHERE (IDLE_REASON) LIKE ('Operator Absent')
GROUP BY 
    DIV_CODE
ORDER BY 
    TOTAL_REWORK_TIME DESC;</t>
  </si>
  <si>
    <t>SBU wise employee count</t>
  </si>
  <si>
    <t>SELECT 
    EMP_ORG_NAME AS SBU, 
    COUNT(DISTINCT TNO) AS EMPLOYEE_COUNT
FROM 
    KPCL_REPORTING.KPC_FULL_KIT_DOCKET_EMP
GROUP BY 
    EMP_ORG_NAME
ORDER BY 
    EMPLOYEE_COUNT DESC;</t>
  </si>
  <si>
    <t>Display due amount for supplier {supplier} handled by buyer {buyer}.</t>
  </si>
  <si>
    <t>View rework trend.</t>
  </si>
  <si>
    <t>Show due amount for /supplier {supplier} handled by /buyer {buyer}.</t>
  </si>
  <si>
    <t>Show rework trend.</t>
  </si>
  <si>
    <t>Show SBU wise incentive.</t>
  </si>
  <si>
    <t>due amount for supplier handled by buyer</t>
  </si>
  <si>
    <t>rework trend</t>
  </si>
  <si>
    <t>SBU wise incentive</t>
  </si>
  <si>
    <t>SELECT 
    SUPPLIER,
    BUYER_NAME,
    SUM(DUE_AMT) AS TOTAL_DUE_AMOUNT,
    CURRENCY
FROM 
    KPCL_REPORTING.DERIVED_PO_BOARD
WHERE 
    SUPPLIER LIKE '%{supplier}%'
    AND BUYER_NAME LIKE '%{buyer}%' AND REQ_QTY_MONTH = UPPER(TO_CHAR(SYSDATE, 'MON-YYYY'))
GROUP BY 
    SUPPLIER,
    BUYER_NAME,
    CURRENCY;</t>
  </si>
  <si>
    <t>SELECT 
    TRUNC(UTILIZATION_DATE, 'MM') AS TREND_MONTH,
    SUM(NVL(REWORK_DOCKET_TIME, 0)) AS TOTAL_REWORK_TIME
FROM 
    KPCL_REPORTING.KPC_FK_DOCKET_IDLE_REPORT
WHERE (IDLE_REASON) LIKE ('Operator Absent')
GROUP BY 
    TRUNC(UTILIZATION_DATE, 'MM')
ORDER BY 
    TREND_MONTH ASC;</t>
  </si>
  <si>
    <t>SELECT 
    EMP_ORG_NAME AS SBU, 
    SUM(INCENTIVE) AS TOTAL_INCENTIVE
FROM 
    KPCL_REPORTING.KPC_FULL_KIT_DOCKET_EMP
GROUP BY 
    EMP_ORG_NAME
ORDER BY 
    TOTAL_INCENTIVE DESC;</t>
  </si>
  <si>
    <t>View SBU wise performance.</t>
  </si>
  <si>
    <t>Display pending quantity for supplier {supplier} and buyer {buyer}.</t>
  </si>
  <si>
    <t>Show rework time for machine resource_code {resource_code}.</t>
  </si>
  <si>
    <t>Show SBU wise performance.</t>
  </si>
  <si>
    <t>Show pending quantity for /supplier {supplier} and /buyer {buyer}.</t>
  </si>
  <si>
    <t>Show rework time for machine /resource_code {resource_code}.</t>
  </si>
  <si>
    <t>SBU wise performance</t>
  </si>
  <si>
    <t>pending quantity for supplier and buyer</t>
  </si>
  <si>
    <t>rework time for machine resource code</t>
  </si>
  <si>
    <t>SELECT 
    EMP_ORG_NAME AS SBU, 
    COUNT(DISTINCT TNO) AS TOTAL_EMPLOYEES,
    SUM(PRODUCED) AS TOTAL_PRODUCTION,
    SUM(WORKED) AS TOTAL_WORKED_minutes,
    ROUND(AVG(PERFORMANCE_INDEX), 4) AS AVG_PERFORMANCE_INDEX
FROM 
    KPCL_REPORTING.KPC_FULL_KIT_DOCKET_EMP
GROUP BY 
    EMP_ORG_NAME
ORDER BY 
    AVG_PERFORMANCE_INDEX DESC;</t>
  </si>
  <si>
    <t>SELECT 
    SUPPLIER,
    BUYER_NAME,
    SUM(DUE_QTY) AS TOTAL_PENDING_QUANTITY
FROM 
    KPCL_REPORTING.DERIVED_PO_BOARD
WHERE 
    SUPPLIER LIKE '%{supplier}%'
    AND BUYER_NAME LIKE '%{buyer}%' AND REQ_QTY_MONTH = UPPER(TO_CHAR(SYSDATE, 'MON-YYYY'))
GROUP BY 
    SUPPLIER,
    BUYER_NAME;</t>
  </si>
  <si>
    <t>SELECT 
    RESOURCE_CODE,
    RESOURCE_DESC,
    SUM(NVL(REWORK_DOCKET_TIME, 0)) AS TOTAL_REWORK_TIME
FROM 
    KPCL_REPORTING.KPC_FK_DOCKET_IDLE_REPORT
WHERE 
    RESOURCE_CODE LIKE '%{resource_code}%'
AND (IDLE_REASON) LIKE ('Operator Absent')
GROUP BY 
    RESOURCE_CODE,
    RESOURCE_DESC;</t>
  </si>
  <si>
    <t>Display approved purchase orders for supplier {supplier} and buyer {buyer}.</t>
  </si>
  <si>
    <t>View SBU wise production.</t>
  </si>
  <si>
    <t>Show rework time during month_period {month_period}.</t>
  </si>
  <si>
    <t>Show approved purchase orders for /supplier {supplier} and /buyer {buyer}.</t>
  </si>
  <si>
    <t>Show SBU wise production.</t>
  </si>
  <si>
    <t>Show rework time during /month_period {month_period}.</t>
  </si>
  <si>
    <t>SBU wise production</t>
  </si>
  <si>
    <t>approved purchase orders for supplier and buyer</t>
  </si>
  <si>
    <t xml:space="preserve">rework time during month period </t>
  </si>
  <si>
    <t>SELECT 
    EMP_ORG_NAME AS SBU, 
    SUM(PRODUCED) AS TOTAL_PRODUCTION
FROM 
    KPCL_REPORTING.KPC_FULL_KIT_DOCKET_EMP
GROUP BY 
    EMP_ORG_NAME
ORDER BY 
    TOTAL_PRODUCTION DESC;</t>
  </si>
  <si>
    <t>SELECT 
    PO_NUM,
    LINE_NUM,
    SUPPLIER,
    BUYER_NAME,
    APPROVAL_STATUS,
    PO_CREATION_DATE,
    ITEM_CODE,
    QUANTITY,
    LINE_AMOUNT,
    CURRENCY
FROM 
    KPCL_REPORTING.DERIVED_PO_BOARD
WHERE 
    SUPPLIER LIKE '%{supplier}%'
    AND BUYER_NAME LIKE '%{buyer}%'
    AND APPROVAL_STATUS = 'APPROVED' AND REQ_QTY_MONTH = UPPER(TO_CHAR(SYSDATE, 'MON-YYYY'))
ORDER BY 
    PO_CREATION_DATE DESC, 
    PO_NUM, 
    LINE_NUM;</t>
  </si>
  <si>
    <t>SELECT 
    RESOURCE_CODE,
    RESOURCE_DESC,
    SUM(NVL(REWORK_DOCKET_TIME, 0)) AS TOTAL_REWORK_TIME
FROM 
    KPCL_REPORTING.KPC_FK_DOCKET_IDLE_REPORT
WHERE 
    (
        MONTH_PERIOD LIKE '%{month_period}%'
        AND (IDLE_REASON) LIKE ('Operator Absent')
  )
GROUP BY 
    RESOURCE_CODE,
    RESOURCE_DESC
ORDER BY 
    TOTAL_REWORK_TIME DESC;</t>
  </si>
  <si>
    <t>View SBU wise total incentive.</t>
  </si>
  <si>
    <t>Show SBU wise total incentive.</t>
  </si>
  <si>
    <t>View overdue purchase orders for supplier {supplier} handled by buyer {buyer}.</t>
  </si>
  <si>
    <t>SBU wise total incentive</t>
  </si>
  <si>
    <t>Show rework time during week_period {week_period}.</t>
  </si>
  <si>
    <t>Show overdue purchase orders for /supplier {supplier} handled by /buyer {buyer}.</t>
  </si>
  <si>
    <t>SELECT 
    EMP_ORG_NAME AS SBU, 
    SUM(TOTINCN) AS TOTAL_INCENTIVE
FROM 
    KPCL_REPORTING.KPC_FULL_KIT_DOCKET_EMP
GROUP BY 
    EMP_ORG_NAME
ORDER BY 
    TOTAL_INCENTIVE DESC;</t>
  </si>
  <si>
    <t>Show rework time during /week_period {week_period}.</t>
  </si>
  <si>
    <t>overdue purchase orders for supplier handled by buyer</t>
  </si>
  <si>
    <t xml:space="preserve">rework time during week period </t>
  </si>
  <si>
    <t>SELECT 
    PO_NUM,
    LINE_NUM,
    SUPPLIER,
    BUYER_NAME,
    EXPECTED_DATE,
    DUE_QTY,
    DUE_AMT,
    CURRENCY
FROM 
    KPCL_REPORTING.DERIVED_PO_BOARD
WHERE 
    SUPPLIER LIKE '%{supplier}%'
    AND BUYER_NAME LIKE '%{buyer}%'
    AND DUE_QTY &gt; 0
    AND EXPECTED_DATE &lt; TRUNC(SYSDATE) AND REQ_QTY_MONTH = UPPER(TO_CHAR(SYSDATE, 'MON-YYYY'))
ORDER BY 
    EXPECTED_DATE ASC;</t>
  </si>
  <si>
    <t>SELECT 
    RESOURCE_CODE,
    RESOURCE_DESC,
    SUM(NVL(REWORK_DOCKET_TIME, 0)) AS TOTAL_REWORK_TIME
FROM 
    KPCL_REPORTING.KPC_FK_DOCKET_IDLE_REPORT
WHERE 
    (
        WEEK_PERIOD  LIKE '%{week_period}%'
         AND (IDLE_REASON) LIKE ('Operator Absent')
  )
GROUP BY 
    RESOURCE_CODE,
    RESOURCE_DESC
ORDER BY 
    TOTAL_REWORK_TIME DESC;</t>
  </si>
  <si>
    <t>Display standard production by department.</t>
  </si>
  <si>
    <t>Show standard production by department.</t>
  </si>
  <si>
    <t>standard production by employee department</t>
  </si>
  <si>
    <t>View supplier remarks for supplier {supplier} handled by buyer {buyer}.</t>
  </si>
  <si>
    <t>SELECT 
    EMP_DEPT AS DEPARTMENT, 
    SUM(PRODUCED) AS TOTAL_PRODUCED,
    SUM(STD_PRODN) AS TOTAL_STANDARD_PRODUCTION
FROM 
    KPCL_REPORTING.KPC_FULL_KIT_DOCKET_EMP
GROUP BY 
    EMP_DEPT
ORDER BY 
    TOTAL_STANDARD_PRODUCTION DESC;</t>
  </si>
  <si>
    <t>Show supplier remarks for /supplier {supplier} handled by /buyer {buyer}.</t>
  </si>
  <si>
    <t>Show rework time during year_period {year_period}.</t>
  </si>
  <si>
    <t>supplier remarks for supplier handled by buyer</t>
  </si>
  <si>
    <t>Show rework time during /year_period {year_period}.</t>
  </si>
  <si>
    <t xml:space="preserve">rework time during year period </t>
  </si>
  <si>
    <t>SELECT 
    PO_NUM,
    LINE_NUM,
    SUPPLIER,
    BUYER_NAME,
    SUPPLIER_REMARK,
    EXPECTED_DATE
FROM 
    KPCL_REPORTING.DERIVED_PO_BOARD
WHERE 
    SUPPLIER LIKE '%{supplier}%'
    AND BUYER_NAME LIKE '%{buyer}%' AND REQ_QTY_MONTH = UPPER(TO_CHAR(SYSDATE, 'MON-YYYY'))
ORDER BY 
    EXPECTED_DATE DESC, 
    PO_NUM, 
    LINE_NUM;</t>
  </si>
  <si>
    <t>SELECT 
    RESOURCE_CODE,
    RESOURCE_DESC,
    SUM(NVL(REWORK_DOCKET_TIME, 0)) AS TOTAL_REWORK_TIME
FROM 
    KPCL_REPORTING.KPC_FK_DOCKET_IDLE_REPORT
WHERE 
    (
        YEAR_PERIOD LIKE '%{year_period}%'
        AND (IDLE_REASON) LIKE ('Operator Absent')
  )
GROUP BY 
    RESOURCE_CODE,
    RESOURCE_DESC
ORDER BY 
    TOTAL_REWORK_TIME DESC;</t>
  </si>
  <si>
    <t>Show standard production by employee.</t>
  </si>
  <si>
    <t>standard production by employee</t>
  </si>
  <si>
    <t>SELECT 
    TNO,
    ENAME,
    SUM(STD_PRODN) AS TOTAL_STANDARD_PRODUCTION
FROM 
    KPCL_REPORTING.KPC_FULL_KIT_DOCKET_EMP
GROUP BY 
    TNO,
    ENAME
ORDER BY 
    TOTAL_STANDARD_PRODUCTION DESC;</t>
  </si>
  <si>
    <t>View buyer remarks for supplier {supplier} handled by buyer {buyer}.</t>
  </si>
  <si>
    <t>Show buyer remarks for /supplier {supplier} handled by /buyer {buyer}.</t>
  </si>
  <si>
    <t>Show machines with rework time above minutes {minutes}.</t>
  </si>
  <si>
    <t>buyer remarks for supplier handled by buyer</t>
  </si>
  <si>
    <t>Show machines with rework time above /minutes {minutes}.</t>
  </si>
  <si>
    <t>SELECT 
    PO_NUM,
    LINE_NUM,
    SUPPLIER,
    BUYER_NAME,
    BUYER_REMARK,
    EXPECTED_DATE
FROM 
    KPCL_REPORTING.DERIVED_PO_BOARD
WHERE 
    SUPPLIER LIKE '%{supplier}%'
    AND BUYER_NAME LIKE '%{buyer}%' AND REQ_QTY_MONTH = UPPER(TO_CHAR(SYSDATE, 'MON-YYYY'))
ORDER BY 
    EXPECTED_DATE DESC, 
    PO_NUM, 
    LINE_NUM;</t>
  </si>
  <si>
    <t>machines with rework time above minutes</t>
  </si>
  <si>
    <t>SELECT 
    RESOURCE_CODE,
    RESOURCE_DESC,
    SUM(NVL(REWORK_DOCKET_TIME, 0)) AS TOTAL_REWORK_TIME
FROM 
    KPCL_REPORTING.KPC_FK_DOCKET_IDLE_REPORT
WHERE (IDLE_REASON) LIKE ('Operator Absent')
GROUP BY 
    RESOURCE_CODE,
    RESOURCE_DESC
HAVING 
    SUM(NVL(REWORK_DOCKET_TIME, 0)) &gt; %{minutes}%
ORDER BY 
    TOTAL_REWORK_TIME DESC;</t>
  </si>
  <si>
    <t>SELECT 
    ORG_NAME AS ORGANIZATION, 
    SUM(PRODUCED) AS TOTAL_PRODUCED,
    SUM(STD_PRODN) AS TOTAL_STANDARD_PRODUCTION
FROM 
    KPCL_REPORTING.KPC_FULL_KIT_DOCKET_EMP
GROUP BY 
    ORG_NAME
ORDER BY 
    TOTAL_STANDARD_PRODUCTION DESC;</t>
  </si>
  <si>
    <t>Display comparison of suppliers managed by buyer {buyer} by PO value.</t>
  </si>
  <si>
    <t>Compare suppliers managed by /buyer {buyer} by PO value.</t>
  </si>
  <si>
    <t>suppliers managed by buyer by PO value</t>
  </si>
  <si>
    <t>View comparison of rework time between machine resource_code {resource_code} and resource_code {resource_code}.</t>
  </si>
  <si>
    <t>SELECT 
    SUPPLIER,
    BUYER_NAME,
    SUM(LINE_AMOUNT) AS TOTAL_PO_VALUE,
    CURRENCY
FROM 
    KPCL_REPORTING.DERIVED_PO_BOARD
WHERE 
    BUYER_NAME LIKE '%{buyer}%' AND REQ_QTY_MONTH = UPPER(TO_CHAR(SYSDATE, 'MON-YYYY'))
GROUP BY 
    SUPPLIER,
    BUYER_NAME,
    CURRENCY
ORDER BY 
    TOTAL_PO_VALUE DESC;</t>
  </si>
  <si>
    <t>Compare rework time between machine /resource_code {resource_code} and /resource_code {resource_code}.</t>
  </si>
  <si>
    <t>rework time between machine resource code and resource code</t>
  </si>
  <si>
    <t>SELECT 
    RESOURCE_CODE,
    RESOURCE_DESC,
    SUM(NVL(REWORK_DOCKET_TIME, 0)) AS TOTAL_REWORK_TIME,
    COUNT(*) AS DOCKET_COUNT,
    ROUND(AVG(NVL(REWORK_DOCKET_TIME, 0)), 2) AS AVG_REWORK_TIME
FROM 
    KPCL_REPORTING.KPC_FK_DOCKET_IDLE_REPORT
WHERE 
    RESOURCE_CODE LIKE '%{resource_code}%' 
    AND (IDLE_REASON) LIKE ('Operator Absent')
GROUP BY 
    RESOURCE_CODE,
    RESOURCE_DESC
ORDER BY 
    TOTAL_REWORK_TIME DESC;</t>
  </si>
  <si>
    <t>Display standard production by supervisor.</t>
  </si>
  <si>
    <t>Show standard production by supervisor.</t>
  </si>
  <si>
    <t>standard production by supervisor</t>
  </si>
  <si>
    <t>SELECT 
    SUPV_ID,
    SUPV_NAME AS SUPERVISOR_NAME, 
    SUM(PRODUCED) AS TOTAL_PRODUCED,
    SUM(STD_PRODN) AS TOTAL_STANDARD_PRODUCTION
FROM 
    KPCL_REPORTING.KPC_FULL_KIT_DOCKET_EMP
GROUP BY 
    SUPV_ID,
    SUPV_NAME
ORDER BY 
    TOTAL_STANDARD_PRODUCTION DESC;</t>
  </si>
  <si>
    <t>Display comparison of rework time and rejection quantity.</t>
  </si>
  <si>
    <t>Compare rework time and rejection quantity.</t>
  </si>
  <si>
    <t>rework time and rejection quantity</t>
  </si>
  <si>
    <t>Show standard production for employee {employee}.</t>
  </si>
  <si>
    <t>SELECT 
    RESOURCE_CODE,
    RESOURCE_DESC,
    SUM(NVL(REWORK_DOCKET_TIME, 0)) AS TOTAL_REWORK_TIME,
    SUM(NVL(QUANTITY_REJ_MACHINE, 0)) AS TOTAL_REJECTION_QUANTITY
FROM 
    KPCL_REPORTING.KPC_FK_DOCKET_IDLE_REPORT
WHERE (IDLE_REASON) LIKE ('Operator Absent')
GROUP BY 
    RESOURCE_CODE,
    RESOURCE_DESC
ORDER BY 
    TOTAL_REWORK_TIME DESC, 
    TOTAL_REJECTION_QUANTITY DESC;</t>
  </si>
  <si>
    <t>Show standard production for /employee {employee}.</t>
  </si>
  <si>
    <t>standard production for employee</t>
  </si>
  <si>
    <t>SELECT 
    ENAME,
    EMP_DEPT,
    SUPV_NAME,
    SUM(STD_PRODN) AS TOTAL_STANDARD_PRODUCTION
FROM 
    KPCL_REPORTING.KPC_FULL_KIT_DOCKET_EMP
WHERE 
    (ENAME) LIKE ('%{employee}%')
GROUP BY 
    ENAME,
    EMP_ORG_NAME,
    EMP_DEPT,
    SUPV_NAME;</t>
  </si>
  <si>
    <t>Show miscellaneous docket time.</t>
  </si>
  <si>
    <t>miscellaneous docket time</t>
  </si>
  <si>
    <t>SELECT 
    SUM(NVL(MISCELLANEOUS_DOCKET_TIME, 0)) AS TOTAL_MISCELLANEOUS_TIME
FROM 
    KPCL_REPORTING.KPC_FK_DOCKET_IDLE_REPORT
WHERE (IDLE_REASON) LIKE ('Operator Absent');</t>
  </si>
  <si>
    <t>Display supervisor wise employee count.</t>
  </si>
  <si>
    <t>Show supervisor wise employee count.</t>
  </si>
  <si>
    <t>supervisor wise employee count</t>
  </si>
  <si>
    <t>SELECT 
    SUPV_ID,
    SUPV_NAME AS SUPERVISOR_NAME, 
    COUNT(DISTINCT TNO) AS EMPLOYEE_COUNT
FROM 
    KPCL_REPORTING.KPC_FULL_KIT_DOCKET_EMP
GROUP BY 
    SUPV_ID,
    SUPV_NAME
ORDER BY 
    EMPLOYEE_COUNT DESC;</t>
  </si>
  <si>
    <t>Show miscellaneous time by machine.</t>
  </si>
  <si>
    <t>View miscellaneous time by machine.</t>
  </si>
  <si>
    <t>miscellaneous time by machine</t>
  </si>
  <si>
    <t>Display supervisor wise incentive.</t>
  </si>
  <si>
    <t>SELECT 
    RESOURCE_CODE,
    RESOURCE_DESC,
    SUM(NVL(MISCELLANEOUS_DOCKET_TIME, 0)) AS TOTAL_MISCELLANEOUS_TIME
FROM 
    KPCL_REPORTING.KPC_FK_DOCKET_IDLE_REPORT
WHERE (IDLE_REASON) LIKE ('Operator Absent')
GROUP BY 
    RESOURCE_CODE,
    RESOURCE_DESC
ORDER BY 
    TOTAL_MISCELLANEOUS_TIME DESC;</t>
  </si>
  <si>
    <t>Show supervisor wise incentive.</t>
  </si>
  <si>
    <t>supervisor wise incentive</t>
  </si>
  <si>
    <t>SELECT 
    SUPV_ID,
    SUPV_NAME AS SUPERVISOR_NAME, 
    SUM(TOTINCN) AS TOTAL_INCENTIVE
FROM 
    KPCL_REPORTING.KPC_FULL_KIT_DOCKET_EMP
GROUP BY 
    SUPV_ID,
    SUPV_NAME
ORDER BY 
    TOTAL_INCENTIVE DESC;</t>
  </si>
  <si>
    <t>Show miscellaneous time by organization.</t>
  </si>
  <si>
    <t>miscellaneous time by organization</t>
  </si>
  <si>
    <t>Show supervisor wise performance.</t>
  </si>
  <si>
    <t>View purchase orders for supplier {supplier} and item_code {item_code}.</t>
  </si>
  <si>
    <t>SELECT 
    ORG_NAME,
    SUM(NVL(MISCELLANEOUS_DOCKET_TIME, 0)) AS TOTAL_MISCELLANEOUS_TIME
FROM 
    KPCL_REPORTING.KPC_FK_DOCKET_IDLE_REPORT
WHERE (IDLE_REASON) LIKE ('Operator Absent')
GROUP BY 
    ORG_NAME
ORDER BY 
    TOTAL_MISCELLANEOUS_TIME DESC;</t>
  </si>
  <si>
    <t>Show purchase orders for /supplier {supplier} and /item_code {item_code}.</t>
  </si>
  <si>
    <t>supervisor wise performance</t>
  </si>
  <si>
    <t>purchase orders for supplier and item code</t>
  </si>
  <si>
    <t>SELECT 
    SUPV_ID,
    SUPV_NAME AS SUPERVISOR_NAME, 
    COUNT(DISTINCT TNO) AS TOTAL_EMPLOYEES,
    SUM(PRODUCED) AS TOTAL_PRODUCTION,
    SUM(WORKED) AS TOTAL_WORKED_minutes,
    ROUND(AVG(PERFORMANCE_INDEX), 4) AS AVG_PERFORMANCE_INDEX
FROM 
    KPCL_REPORTING.KPC_FULL_KIT_DOCKET_EMP
GROUP BY 
    SUPV_ID,
    SUPV_NAME
ORDER BY 
    AVG_PERFORMANCE_INDEX DESC;</t>
  </si>
  <si>
    <t>SELECT 
    PO_NUM,
    LINE_NUM,
    SUPPLIER,
    ITEM_CODE,
    ITEM_DESCRIPTION,
    BUYER_NAME,
    PO_CREATION_DATE,
    EXPECTED_DATE,
    QUANTITY,
    DUE_QTY,
    LINE_AMOUNT,
    CURRENCY
FROM 
    KPCL_REPORTING.DERIVED_PO_BOARD
WHERE 
    SUPPLIER LIKE '%{supplier}%'
    AND ITEM_CODE LIKE '%{item_code}%' AND REQ_QTY_MONTH = UPPER(TO_CHAR(SYSDATE, 'MON-YYYY'))
ORDER BY 
    PO_CREATION_DATE DESC,
    PO_NUM,
    LINE_NUM;</t>
  </si>
  <si>
    <t>supplier, item_code</t>
  </si>
  <si>
    <t>View miscellaneous time by division.</t>
  </si>
  <si>
    <t>miscellaneous time by division</t>
  </si>
  <si>
    <t>Display supervisor wise present minutes.</t>
  </si>
  <si>
    <t>SELECT 
    DIV_CODE,
    SUM(NVL(MISCELLANEOUS_DOCKET_TIME, 0)) AS TOTAL_MISCELLANEOUS_TIME
FROM 
    KPCL_REPORTING.KPC_FK_DOCKET_IDLE_REPORT
WHERE (IDLE_REASON) LIKE ('Operator Absent')
GROUP BY 
    DIV_CODE
ORDER BY 
    TOTAL_MISCELLANEOUS_TIME DESC;</t>
  </si>
  <si>
    <t>Show supervisor wise present minutes.</t>
  </si>
  <si>
    <t>Display due quantity for supplier {supplier} and item_code {item_code}.</t>
  </si>
  <si>
    <t>Show due quantity for /supplier {supplier} and /item_code {item_code}.</t>
  </si>
  <si>
    <t>due quantity for supplier and item code</t>
  </si>
  <si>
    <t>SELECT 
    SUPPLIER,
    ITEM_CODE,
    SUM(DUE_QTY) AS TOTAL_DUE_QUANTITY
FROM 
    KPCL_REPORTING.DERIVED_PO_BOARD
WHERE 
    SUPPLIER LIKE '%{supplier}%'
    AND ITEM_CODE LIKE '%{item_code}%' AND REQ_QTY_MONTH = UPPER(TO_CHAR(SYSDATE, 'MON-YYYY'))
GROUP BY 
    SUPPLIER,
    ITEM_CODE;</t>
  </si>
  <si>
    <t>supervisor wise present minutes</t>
  </si>
  <si>
    <t>SELECT 
    SUPV_ID,
    SUPV_NAME AS SUPERVISOR_NAME, 
    SUM(PRESENT) AS TOTAL_PRESENT_minutes
FROM 
    KPCL_REPORTING.KPC_FULL_KIT_DOCKET_EMP
GROUP BY 
    SUPV_ID,
    SUPV_NAME
ORDER BY 
    TOTAL_PRESENT_minutes DESC;</t>
  </si>
  <si>
    <t>View machines with highest miscellaneous time.</t>
  </si>
  <si>
    <t>Show machines with highest miscellaneous time.</t>
  </si>
  <si>
    <t>machines with highest miscellaneous time</t>
  </si>
  <si>
    <t>View due amount for supplier {supplier} and item_code {item_code}.</t>
  </si>
  <si>
    <t>Show due amount for /supplier {supplier} and /item_code {item_code}.</t>
  </si>
  <si>
    <t>Display supervisor wise production.</t>
  </si>
  <si>
    <t>due amount for supplier and item code</t>
  </si>
  <si>
    <t>Show supervisor wise production.</t>
  </si>
  <si>
    <t>supervisor wise production</t>
  </si>
  <si>
    <t>SELECT 
    SUPPLIER,
    ITEM_CODE,
    SUM(DUE_AMT) AS TOTAL_DUE_AMOUNT,
    CURRENCY
FROM 
    KPCL_REPORTING.DERIVED_PO_BOARD
WHERE 
    SUPPLIER LIKE '%{supplier}%'
    AND ITEM_CODE LIKE '%{item_code}%' AND REQ_QTY_MONTH = UPPER(TO_CHAR(SYSDATE, 'MON-YYYY'))
GROUP BY 
    SUPPLIER,
    ITEM_CODE,
    CURRENCY
ORDER BY 
    TOTAL_DUE_AMOUNT DESC;</t>
  </si>
  <si>
    <t>SELECT 
    SUPV_ID,
    SUPV_NAME AS SUPERVISOR_NAME, 
    SUM(PRODUCED) AS TOTAL_PRODUCTION
FROM 
    KPCL_REPORTING.KPC_FULL_KIT_DOCKET_EMP
GROUP BY 
    SUPV_ID,
    SUPV_NAME
ORDER BY 
    TOTAL_PRODUCTION DESC;</t>
  </si>
  <si>
    <t>Display total measurement time.</t>
  </si>
  <si>
    <t>Show total measurement time.</t>
  </si>
  <si>
    <t>total measurement time</t>
  </si>
  <si>
    <t>SELECT 
    SUM(NVL(MEASURED, 0)) AS TOTAL_MEASUREMENT_TIME
FROM 
    KPCL_REPORTING.KPC_FK_DOCKET_IDLE_REPORT
WHERE (IDLE_REASON) LIKE ('Operator Absent');</t>
  </si>
  <si>
    <t>Display lead time for supplier {supplier} and item_code {item_code}.</t>
  </si>
  <si>
    <t>Show supervisor wise total incentive.</t>
  </si>
  <si>
    <t>Show lead time for /supplier {supplier} and /item_code {item_code}.</t>
  </si>
  <si>
    <t>lead time for supplier and item code</t>
  </si>
  <si>
    <t>supervisor wise total incentive</t>
  </si>
  <si>
    <t>SELECT 
    SUPPLIER,
    ITEM_CODE,
    LEAD_TIME
FROM 
    KPCL_REPORTING.DERIVED_PO_BOARD
WHERE 
    SUPPLIER LIKE '%{supplier}%'
    AND ITEM_CODE LIKE '%{item_code}%' AND REQ_QTY_MONTH = UPPER(TO_CHAR(SYSDATE, 'MON-YYYY'))
GROUP BY 
    SUPPLIER,
    ITEM_CODE,
    LEAD_TIME;</t>
  </si>
  <si>
    <t>Display supervisor wise worked minutes.</t>
  </si>
  <si>
    <t>View stock status for item_code {item_code} supplied by {supplier}.</t>
  </si>
  <si>
    <t>Show supervisor wise worked minutes.</t>
  </si>
  <si>
    <t>Show stock status for /item_code {item_code} supplied by {supplier}.</t>
  </si>
  <si>
    <t>supervisor wise worked minutes</t>
  </si>
  <si>
    <t>stock status for item code supplied by</t>
  </si>
  <si>
    <t>SELECT 
    SUPV_ID,
    SUPV_NAME AS SUPERVISOR_NAME, 
    SUM(WORKED) AS TOTAL_WORKED_minutes
FROM 
    KPCL_REPORTING.KPC_FULL_KIT_DOCKET_EMP
GROUP BY 
    SUPV_ID,
    SUPV_NAME
ORDER BY 
    TOTAL_WORKED_minutes DESC;</t>
  </si>
  <si>
    <t>SELECT 
    ITEM_CODE,
    SUPPLIER,
    SUM(STOCK_GENERAL_STORE) AS TOTAL_GENERAL_STORE_STOCK,
    SUM(STOCK_SUP_SUB_INV) AS TOTAL_WIP_STOCK,
    SUM(STOCK_REJ_SUB_INV) AS TOTAL_REJECTION_STOCK,
    SUM(STOCK_PENDING_INSP) AS PENDING_INSPECTION,
    SUM(STOCK_PEND_IN_POSTING) AS PENDING_DELIVERY
FROM 
    KPCL_REPORTING.DERIVED_PO_BOARD
WHERE 
    ITEM_CODE LIKE '%{item_code}%'
    AND SUPPLIER LIKE '%{supplier}%' AND REQ_QTY_MONTH = UPPER(TO_CHAR(SYSDATE, 'MON-YYYY'))
GROUP BY 
    ITEM_CODE,
    SUPPLIER;</t>
  </si>
  <si>
    <t>View measurement time by machine.</t>
  </si>
  <si>
    <t>measurement time by machine</t>
  </si>
  <si>
    <t>SELECT 
    RESOURCE_CODE,
    RESOURCE_DESC,
    SUM(NVL(MEASURED, 0)) AS TOTAL_MEASUREMENT_TIME
FROM 
    KPCL_REPORTING.KPC_FK_DOCKET_IDLE_REPORT
WHERE (IDLE_REASON) LIKE ('Operator Absent')
GROUP BY 
    RESOURCE_CODE,
    RESOURCE_DESC
ORDER BY 
    TOTAL_MEASUREMENT_TIME DESC;</t>
  </si>
  <si>
    <t>View top employees in incentive_scheme {incentive_scheme}.</t>
  </si>
  <si>
    <t>Show top employees in /incentive_scheme {incentive_scheme}.</t>
  </si>
  <si>
    <t>top employees in incentive scheme</t>
  </si>
  <si>
    <t>Show pending ASN for supplier {supplier} and item_code {item_code}.</t>
  </si>
  <si>
    <t>SELECT 
    TNO,
    ENAME
FROM 
    KPCL_REPORTING.KPC_FULL_KIT_DOCKET_EMP
WHERE 
    INCNSCHM LIKE '%{incentive_scheme}%'
GROUP BY 
    TNO,
    ENAME;</t>
  </si>
  <si>
    <t>Show pending ASN for /supplier {supplier} and /item_code {item_code}.</t>
  </si>
  <si>
    <t>pending ASN for supplier and item code</t>
  </si>
  <si>
    <t>SELECT 
    SUPPLIER,
    ITEM_CODE,
    SUM(PENDING_ASN) AS TOTAL_PENDING_ASN_QTY
FROM 
    KPCL_REPORTING.DERIVED_PO_BOARD
WHERE 
    SUPPLIER LIKE '%{supplier}%'
    AND ITEM_CODE LIKE '%{item_code}%' AND REQ_QTY_MONTH = UPPER(TO_CHAR(SYSDATE, 'MON-YYYY'))
GROUP BY 
    SUPPLIER,
    ITEM_CODE;</t>
  </si>
  <si>
    <t>View measurement time by organization.</t>
  </si>
  <si>
    <t>Show measurement time by organization.</t>
  </si>
  <si>
    <t>measurement time by organization</t>
  </si>
  <si>
    <t>SELECT 
    ORG_NAME,
    SUM(NVL(MEASURED, 0)) AS TOTAL_MEASUREMENT_TIME
FROM 
    KPCL_REPORTING.KPC_FK_DOCKET_IDLE_REPORT
WHERE (IDLE_REASON) LIKE ('Operator Absent')
GROUP BY 
    ORG_NAME
ORDER BY 
    TOTAL_MEASUREMENT_TIME DESC;</t>
  </si>
  <si>
    <t>Display total external gratia.</t>
  </si>
  <si>
    <t>Show total external gratia.</t>
  </si>
  <si>
    <t>total external gratia</t>
  </si>
  <si>
    <t>SELECT 
    SUM(EXGRT) AS TOTAL_EXTERNAL_GRATIA
FROM 
    KPCL_REPORTING.KPC_FULL_KIT_DOCKET_EMP;</t>
  </si>
  <si>
    <t>View purchase history of item_code {item_code} from supplier {supplier}.</t>
  </si>
  <si>
    <t>Show purchase history of /item_code {item_code} from /supplier {supplier}.</t>
  </si>
  <si>
    <t>purchase history of item code from supplier</t>
  </si>
  <si>
    <t>SELECT 
    PO_NUM,
    LINE_NUM,
    SUPPLIER,
    ITEM_CODE,
    ITEM_DESCRIPTION,
    PO_CREATION_DATE,
    QUANTITY,
    UNIT_PRICE,
    LINE_AMOUNT,
    CURRENCY,
    APPROVAL_STATUS
FROM 
    KPCL_REPORTING.DERIVED_PO_BOARD
WHERE 
    ITEM_CODE LIKE '%{item_code}%'
    AND SUPPLIER LIKE '%{supplier}%' AND REQ_QTY_MONTH = UPPER(TO_CHAR(SYSDATE, 'MON-YYYY'))
ORDER BY 
    PO_CREATION_DATE DESC, 
    PO_NUM, 
    LINE_NUM;</t>
  </si>
  <si>
    <t>Display comparison of measurement time and production time.</t>
  </si>
  <si>
    <t>Display employeewise total incentive.</t>
  </si>
  <si>
    <t>Compare measurement time and production time.</t>
  </si>
  <si>
    <t>Show employeewise total incentive.</t>
  </si>
  <si>
    <t>employeewise total incentive</t>
  </si>
  <si>
    <t>measurement time and production time</t>
  </si>
  <si>
    <t>SELECT 
    TNO,
    ENAME,
    SUM(TOTINCN) AS TOTAL_INCENTIVE
FROM 
    KPCL_REPORTING.KPC_FULL_KIT_DOCKET_EMP
GROUP BY 
    TNO,
    ENAME
ORDER BY 
    TOTAL_INCENTIVE DESC;</t>
  </si>
  <si>
    <t>SELECT 
    RESOURCE_CODE,
    RESOURCE_DESC,
    SUM(NVL(MEASURED, 0)) AS TOTAL_MEASUREMENT_TIME,
    SUM(NVL(OPERATION_TIME, 0)) AS TOTAL_PRODUCTION_TIME
FROM 
    KPCL_REPORTING.KPC_FK_DOCKET_IDLE_REPORT
WHERE (IDLE_REASON) LIKE ('Operator Absent')
GROUP BY 
    RESOURCE_CODE,
    RESOURCE_DESC
ORDER BY 
    TOTAL_PRODUCTION_TIME DESC, 
    TOTAL_MEASUREMENT_TIME DESC;</t>
  </si>
  <si>
    <t>SELECT 
    PO_NUM,
    LINE_NUM,
    SUPPLIER,
    ORG_NAME,
    PO_CREATION_DATE,
    ITEM_CODE,
    QUANTITY,
    DUE_QTY,
    LINE_AMOUNT,
    CURRENCY
FROM 
    KPCL_REPORTING.DERIVED_PO_BOARD
WHERE 
    SUPPLIER LIKE '%{supplier}%' AND REQ_QTY_MONTH = UPPER(TO_CHAR(SYSDATE, 'MON-YYYY'))
ORDER BY 
    PO_CREATION_DATE DESC,
    PO_NUM,
    LINE_NUM;</t>
  </si>
  <si>
    <t>View total incentive by department.</t>
  </si>
  <si>
    <t>Show total incentive by department.</t>
  </si>
  <si>
    <t>Show machines spending most time in inspection.</t>
  </si>
  <si>
    <t>total incentive by employee department</t>
  </si>
  <si>
    <t>machines spending most time in inspection</t>
  </si>
  <si>
    <t>View PO value for supplier {supplier}.</t>
  </si>
  <si>
    <t>SELECT 
    RESOURCE_CODE,
    RESOURCE_DESC,
    SUM(NVL(MEASURED, 0)) AS TOTAL_INSPECTION_TIME
FROM 
    KPCL_REPORTING.KPC_FK_DOCKET_IDLE_REPORT
WHERE (IDLE_REASON) LIKE ('Operator Absent')
GROUP BY 
    RESOURCE_CODE,
    RESOURCE_DESC
ORDER BY 
    TOTAL_INSPECTION_TIME DESC;</t>
  </si>
  <si>
    <t>SELECT 
    SUPPLIER,
    ORG_NAME,
    SUM(LINE_AMOUNT) AS TOTAL_PO_VALUE,
    CURRENCY
FROM 
    KPCL_REPORTING.DERIVED_PO_BOARD
WHERE 
    SUPPLIER LIKE '%{supplier}%' AND REQ_QTY_MONTH = UPPER(TO_CHAR(SYSDATE, 'MON-YYYY'))
GROUP BY 
    SUPPLIER,
    ORG_NAME,
    CURRENCY;</t>
  </si>
  <si>
    <t>Show total incentive by employee.</t>
  </si>
  <si>
    <t>total incentive by employee</t>
  </si>
  <si>
    <t>Show underutilized machines.</t>
  </si>
  <si>
    <t>underutilized machines</t>
  </si>
  <si>
    <t>Display due quantity for supplier {supplier}.</t>
  </si>
  <si>
    <t>SELECT 
    RESOURCE_CODE,
    RESOURCE_DESC,
    SUM(NVL(AVAILABLE_TIME, 0)) AS TOTAL_AVAILABLE_TIME,
    SUM(NVL(OPERATION_TIME, 0)) AS TOTAL_PRODUCTION_TIME,
    CASE 
        WHEN SUM(NVL(AVAILABLE_TIME, 0)) &gt; 0 
        THEN ROUND((SUM(NVL(OPERATION_TIME, 0)) / SUM(NVL(AVAILABLE_TIME, 0))) * 100, 2)
        ELSE 0 
    END AS UTILIZATION_PERCENTAGE
FROM 
    KPCL_REPORTING.KPC_FK_DOCKET_IDLE_REPORT
WHERE (IDLE_REASON) LIKE ('Operator Absent')
GROUP BY 
    RESOURCE_CODE,
    RESOURCE_DESC
ORDER BY 
    UTILIZATION_PERCENTAGE ASC,
    TOTAL_AVAILABLE_TIME DESC;</t>
  </si>
  <si>
    <t>SELECT 
    SUPPLIER,
    ORG_NAME,
    SUM(DUE_QTY) AS TOTAL_DUE_QUANTITY
FROM 
    KPCL_REPORTING.DERIVED_PO_BOARD
WHERE 
    SUPPLIER LIKE '%{supplier}%' AND REQ_QTY_MONTH = UPPER(TO_CHAR(SYSDATE, 'MON-YYYY'))
GROUP BY 
    SUPPLIER,
    ORG_NAME;</t>
  </si>
  <si>
    <t>Show total incentive by organization.</t>
  </si>
  <si>
    <t>total incentive by organization</t>
  </si>
  <si>
    <t>SELECT 
    ORG_NAME AS ORGANIZATION, 
    SUM(TOTINCN) AS TOTAL_INCENTIVE
FROM 
    KPCL_REPORTING.KPC_FULL_KIT_DOCKET_EMP
GROUP BY 
    ORG_NAME
ORDER BY 
    TOTAL_INCENTIVE DESC;</t>
  </si>
  <si>
    <t>Show pending PO for supplier {supplier}.</t>
  </si>
  <si>
    <t>Show pending PO for /supplier {supplier}.</t>
  </si>
  <si>
    <t>Show overutilized machines.</t>
  </si>
  <si>
    <t>pending PO for supplier</t>
  </si>
  <si>
    <t>overutilized machines</t>
  </si>
  <si>
    <t>SELECT 
    PO_NUM,
    LINE_NUM,
    SUPPLIER,
    ORG_NAME,
    ITEM_CODE,
    ITEM_DESCRIPTION,
    SUM(PENDING_PO) AS TOTAL_PENDING_PO_QTY,
    DUE_QTY,
    EXPECTED_DATE
FROM 
    KPCL_REPORTING.DERIVED_PO_BOARD
WHERE 
    SUPPLIER LIKE '%{supplier}%' AND REQ_QTY_MONTH = UPPER(TO_CHAR(SYSDATE, 'MON-YYYY'))
GROUP BY 
    PO_NUM,
    LINE_NUM,
    SUPPLIER,
    ORG_NAME,
    ITEM_CODE,
    ITEM_DESCRIPTION,
    DUE_QTY,
    EXPECTED_DATE
ORDER BY 
    EXPECTED_DATE ASC, 
    PO_NUM, 
    LINE_NUM;</t>
  </si>
  <si>
    <t>SELECT 
    RESOURCE_CODE,
    RESOURCE_DESC,
    SUM(NVL(AVAILABLE_TIME, 0)) AS TOTAL_AVAILABLE_TIME,
    SUM(NVL(OPERATION_TIME, 0)) AS TOTAL_PRODUCTION_TIME,
    CASE 
        WHEN SUM(NVL(AVAILABLE_TIME, 0)) &gt; 0 
        THEN ROUND((SUM(NVL(OPERATION_TIME, 0)) / SUM(NVL(AVAILABLE_TIME, 0))) * 100, 2)
        ELSE 0 
    END AS UTILIZATION_PERCENTAGE
FROM 
    KPCL_REPORTING.KPC_FK_DOCKET_IDLE_REPORT
WHERE (IDLE_REASON) LIKE ('Operator Absent')
GROUP BY 
    RESOURCE_CODE,
    RESOURCE_DESC
HAVING 
    CASE 
        WHEN SUM(NVL(AVAILABLE_TIME, 0)) &gt; 0 
        THEN (SUM(NVL(OPERATION_TIME, 0)) / SUM(NVL(AVAILABLE_TIME, 0))) * 100
        ELSE 0 
    END &gt;= 100.00
ORDER BY 
    UTILIZATION_PERCENTAGE DESC,
    TOTAL_PRODUCTION_TIME DESC;</t>
  </si>
  <si>
    <t>View total incentive by supervisor.</t>
  </si>
  <si>
    <t>Show total incentive by supervisor.</t>
  </si>
  <si>
    <t>total incentive by supervisor</t>
  </si>
  <si>
    <t>Show lead time of supplier {supplier}.</t>
  </si>
  <si>
    <t>Show lead time of /supplier {supplier}.</t>
  </si>
  <si>
    <t>lead time of supplier</t>
  </si>
  <si>
    <t>SELECT 
    SUPPLIER,
    ORG_NAME,
    LEAD_TIME,
    COUNT(ITEM_CODE) AS DISTINCT_ITEMS_COUNT
FROM 
    KPCL_REPORTING.DERIVED_PO_BOARD
WHERE 
    SUPPLIER LIKE '%{supplier}%'   AND REQ_QTY_MONTH = UPPER(TO_CHAR(SYSDATE, 'MON-YYYY')) 
GROUP BY 
    SUPPLIER,
    ORG_NAME,
    LEAD_TIME;</t>
  </si>
  <si>
    <t>View machine capacity utilization.</t>
  </si>
  <si>
    <t>Show total incentive for employee {employee}.</t>
  </si>
  <si>
    <t>Show total incentive for /employee {employee}.</t>
  </si>
  <si>
    <t>machine capacity utilization</t>
  </si>
  <si>
    <t>total incentive for employee</t>
  </si>
  <si>
    <t>SELECT 
    TNO, 
    ENAME, 
    SUM(INCENTIVE) AS TOTAL_INCENTIVES_PAID
FROM 
    KPCL_REPORTING.KPC_FULL_KIT_DOCKET_EMP 
WHERE 
    ENAME LIKE '%{employee}%'
GROUP BY 
    TNO, 
    ENAME;</t>
  </si>
  <si>
    <t>SELECT 
    RESOURCE_CODE,
    RESOURCE_DESC,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WHERE (IDLE_REASON) LIKE ('Operator Absent')
GROUP BY 
    RESOURCE_CODE,
    RESOURCE_DESC
ORDER BY 
    CAPACITY_UTILIZATION_PCT DESC;</t>
  </si>
  <si>
    <t>Display purchase orders handled by buyer {buyer}.</t>
  </si>
  <si>
    <t>Show purchase orders handled by /buyer {buyer}.</t>
  </si>
  <si>
    <t>purchase orders handled by buyer</t>
  </si>
  <si>
    <t>View total incentives paid.</t>
  </si>
  <si>
    <t>Show total incentives paid.</t>
  </si>
  <si>
    <t>Show unused capacity.</t>
  </si>
  <si>
    <t>total incentives paid</t>
  </si>
  <si>
    <t>SELECT
    SUM(TOTINCN) AS TOTAL_INCENTIVE
FROM KPCL_REPORTING.KPC_FULL_KIT_DOCKET_EMP;</t>
  </si>
  <si>
    <t>unused capacity</t>
  </si>
  <si>
    <t>SELECT 
    RESOURCE_CODE,
    RESOURCE_DESC,
    SUM(NVL(AVAILABLE_TIME, 0)) AS TOTAL_AVAILABLE_TIME,
    SUM(NVL(OPERATION_TIME, 0)) AS TOTAL_PRODUCTION_TIME,
    SUM(NVL(AVAILABLE_TIME, 0)) - SUM(NVL(OPERATION_TIME, 0)) AS UNUSED_CAPACITY_HOURS,
    CASE 
        WHEN SUM(NVL(AVAILABLE_TIME, 0)) &gt; 0 
        THEN ROUND(((SUM(NVL(AVAILABLE_TIME, 0)) - SUM(NVL(OPERATION_TIME, 0))) / SUM(NVL(AVAILABLE_TIME, 0))) * 100, 2)
        ELSE 0 
    END AS UNUSED_CAPACITY_PCT
FROM 
    KPCL_REPORTING.KPC_FK_DOCKET_IDLE_REPORT
WHERE (IDLE_REASON) LIKE ('Operator Absent')
GROUP BY 
    RESOURCE_CODE,
    RESOURCE_DESC
ORDER BY 
    UNUSED_CAPACITY_HOURS DESC;</t>
  </si>
  <si>
    <t>Show PO value handled by buyer {buyer}.</t>
  </si>
  <si>
    <t>SELECT 
    BUYER_NAME,
    ORG_NAME,
    SUM(LINE_AMOUNT) AS TOTAL_PO_VALUE,
    CURRENCY
FROM 
    KPCL_REPORTING.DERIVED_PO_BOARD
WHERE 
    BUYER_NAME LIKE '%{buyer}%' AND REQ_QTY_MONTH = UPPER(TO_CHAR(SYSDATE, 'MON-YYYY'))
GROUP BY 
    BUYER_NAME,
    ORG_NAME,
    CURRENCY;</t>
  </si>
  <si>
    <t>Display total measured minutes.</t>
  </si>
  <si>
    <t>Show total measured minutes.</t>
  </si>
  <si>
    <t>total measured minutes</t>
  </si>
  <si>
    <t>SELECT 
    SUM(MEASURED) AS TOTAL_MEASURED_minutes 
FROM 
    KPCL_REPORTING.KPC_FULL_KIT_DOCKET_EMP;</t>
  </si>
  <si>
    <t>Show capacity utilization by organization.</t>
  </si>
  <si>
    <t>View capacity utilization by organization.</t>
  </si>
  <si>
    <t>capacity utilization by organization</t>
  </si>
  <si>
    <t>SELECT 
    ORG_NAME,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WHERE (IDLE_REASON) LIKE ('Operator Absent')
GROUP BY 
    ORG_NAME
ORDER BY 
    CAPACITY_UTILIZATION_PCT DESC;</t>
  </si>
  <si>
    <t>Display due amount handled by buyer {buyer}.</t>
  </si>
  <si>
    <t>Show due amount handled by /buyer {buyer}.</t>
  </si>
  <si>
    <t xml:space="preserve">due amount handled by buyer </t>
  </si>
  <si>
    <t>SELECT 
    BUYER_NAME,
    ORG_NAME,
    SUM(DUE_AMT) AS TOTAL_DUE_AMOUNT,
    CURRENCY
FROM 
    KPCL_REPORTING.DERIVED_PO_BOARD
WHERE 
    BUYER_NAME LIKE '%{buyer}%' AND REQ_QTY_MONTH = UPPER(TO_CHAR(SYSDATE, 'MON-YYYY'))
GROUP BY 
    BUYER_NAME,
    ORG_NAME,
    CURRENCY;</t>
  </si>
  <si>
    <t>Show total present minutes.</t>
  </si>
  <si>
    <t>total present minutes</t>
  </si>
  <si>
    <t>SELECT SUM(PRESENT) AS TOTAL_PRESENT_minutes
FROM KPCL_REPORTING.KPC_FULL_KIT_DOCKET_EMP;</t>
  </si>
  <si>
    <t>View capacity utilization by division.</t>
  </si>
  <si>
    <t>Show capacity utilization by division.</t>
  </si>
  <si>
    <t>capacity utilization by division</t>
  </si>
  <si>
    <t>SELECT 
    DIV_CODE,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WHERE (IDLE_REASON) LIKE ('Operator Absent')
GROUP BY 
    DIV_CODE
ORDER BY 
    CAPACITY_UTILIZATION_PCT DESC;</t>
  </si>
  <si>
    <t>View overdue purchase orders handled by buyer {buyer}.</t>
  </si>
  <si>
    <t>Show overdue purchase orders handled by /buyer {buyer}.</t>
  </si>
  <si>
    <t>overdue purchase orders handled by buyer</t>
  </si>
  <si>
    <t>Show total production.</t>
  </si>
  <si>
    <t>SELECT 
    PO_NUM,
    LINE_NUM,
    BUYER_NAME,
    ORG_NAME,
    SUPPLIER,
    ITEM_CODE,
    EXPECTED_DATE,
    DUE_QTY,
    DUE_AMT,
    CURRENCY
FROM 
    KPCL_REPORTING.DERIVED_PO_BOARD
WHERE 
    BUYER_NAME LIKE '%{buyer}%' AND REQ_QTY_MONTH = UPPER(TO_CHAR(SYSDATE, 'MON-YYYY'))
     AND DUE_QTY &gt; 0
    AND EXPECTED_DATE &lt; TRUNC(SYSDATE)
ORDER BY 
    EXPECTED_DATE ASC,
    PO_NUM,
    LINE_NUM;</t>
  </si>
  <si>
    <t>total production</t>
  </si>
  <si>
    <t>SELECT 
    SUM(PRODUCED) AS TOTAL_PRODUCTION 
FROM 
    KPCL_REPORTING.KPC_FULL_KIT_DOCKET_EMP;</t>
  </si>
  <si>
    <t>Display machines utilizing less than percentage {percentage}.</t>
  </si>
  <si>
    <t>Show machines utilizing less than /percentage {percentage}.</t>
  </si>
  <si>
    <t>machines utilizing less than percentage</t>
  </si>
  <si>
    <t>View purchase orders for customer {customer} and item_code {item_code}.</t>
  </si>
  <si>
    <t>SELECT 
    RESOURCE_CODE,
    RESOURCE_DESC,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WHERE (IDLE_REASON) LIKE ('Operator Absent')
GROUP BY 
    RESOURCE_CODE,
    RESOURCE_DESC
HAVING 
    CASE 
        WHEN SUM(NVL(AVAILABLE_TIME, 0)) &gt; 0 
        THEN (SUM(NVL(OPERATION_TIME, 0)) / SUM(NVL(AVAILABLE_TIME, 0))) * 100
        ELSE 0 
    END &lt; {percentage}
ORDER BY 
    CAPACITY_UTILIZATION_PCT ASC;</t>
  </si>
  <si>
    <t>Show purchase orders for /customer {customer} and /item_code {item_code}.</t>
  </si>
  <si>
    <t>Display employee wise total production bonus.</t>
  </si>
  <si>
    <t>purchase orders for customer and item code</t>
  </si>
  <si>
    <t>Show employee wise total production bonus.</t>
  </si>
  <si>
    <t>employee wise total production bonus</t>
  </si>
  <si>
    <t>SELECT 
    PO_NUM,
    LINE_NUM,
    CUSTOMER,
    ITEM_CODE,
    ITEM_DESCRIPTION,
    SUPPLIER,
    BUYER_NAME,
    PO_CREATION_DATE,
    EXPECTED_DATE,
    QUANTITY,
    DUE_QTY,
    LINE_AMOUNT,
    CURRENCY
FROM 
    KPCL_REPORTING.DERIVED_PO_BOARD
WHERE 
    CUSTOMER LIKE '%{customer}%'
    AND ITEM_CODE LIKE '%{item_code}%' AND REQ_QTY_MONTH = UPPER(TO_CHAR(SYSDATE, 'MON-YYYY'))
ORDER BY  
    PO_CREATION_DATE DESC,
    PO_NUM,
    LINE_NUM;</t>
  </si>
  <si>
    <t>SELECT 
    TNO,
    ENAME,
    SUM(PRODBON) AS TOTAL_PRODUCTION_BONUS 
FROM 
    KPCL_REPORTING.KPC_FULL_KIT_DOCKET_EMP
GROUP BY 
    TNO,
    ENAME
ORDER BY 
    TOTAL_PRODUCTION_BONUS DESC;</t>
  </si>
  <si>
    <t>customer, item_code</t>
  </si>
  <si>
    <t>Show machines utilizing more than percentage {percentage}.</t>
  </si>
  <si>
    <t>Show machines utilizing more than /percentage {percentage}.</t>
  </si>
  <si>
    <t>machines utilizing more than percentage</t>
  </si>
  <si>
    <t>Display demand for customer {customer} and item_code {item_code}.</t>
  </si>
  <si>
    <t>View total standard production.</t>
  </si>
  <si>
    <t>Show demand for /customer {customer} and /item_code {item_code}.</t>
  </si>
  <si>
    <t>SELECT 
    RESOURCE_CODE,
    RESOURCE_DESC,
    SUM(NVL(AVAILABLE_TIME, 0)) AS TOTAL_CAPACITY_HOURS,
    SUM(NVL(OPERATION_TIME, 0)) AS TOTAL_UTILIZED_HOURS,
    CASE 
        WHEN SUM(NVL(AVAILABLE_TIME, 0)) &gt; 0 
        THEN ROUND((SUM(NVL(OPERATION_TIME, 0)) / SUM(NVL(AVAILABLE_TIME, 0))) * 100, 2)
        ELSE 0 
    END AS CAPACITY_UTILIZATION_PCT
FROM 
    KPCL_REPORTING.KPC_FK_DOCKET_IDLE_REPORT
WHERE (IDLE_REASON) LIKE ('Operator Absent')
GROUP BY 
    RESOURCE_CODE,
    RESOURCE_DESC
HAVING 
    CASE 
        WHEN SUM(NVL(AVAILABLE_TIME, 0)) &gt; 0 
        THEN (SUM(NVL(OPERATION_TIME, 0)) / SUM(NVL(AVAILABLE_TIME, 0))) * 100
        ELSE 0 
    END &gt; {percentage}
ORDER BY 
    CAPACITY_UTILIZATION_PCT DESC;</t>
  </si>
  <si>
    <t>Show total standard production.</t>
  </si>
  <si>
    <t>demand for customer and item code</t>
  </si>
  <si>
    <t>total standard production</t>
  </si>
  <si>
    <t>SELECT 
    SUM(STD_PRODN) AS TOTAL_STANDARD_PRODUCTION 
FROM 
    KPCL_REPORTING.KPC_FULL_KIT_DOCKET_EMP;</t>
  </si>
  <si>
    <t>SELECT 
    CUSTOMER,
    ITEM_CODE,
    ITEM_DESCRIPTION,
    SUM(MRP_DEMAND) AS TOTAL_MRP_DEMAND,
    SUM(TOTAL_DEMAND) AS OVERALL_DEMAND
FROM 
    KPCL_REPORTING.DERIVED_PO_BOARD
WHERE 
    CUSTOMER LIKE '%{customer}%'
    AND ITEM_CODE LIKE '%{item_code}%' AND REQ_QTY_MONTH = UPPER(TO_CHAR(SYSDATE, 'MON-YYYY'))
GROUP BY 
    CUSTOMER,
    ITEM_CODE,
    ITEM_DESCRIPTION;</t>
  </si>
  <si>
    <t>Display idle capacity by machine.</t>
  </si>
  <si>
    <t>Show idle capacity by machine.</t>
  </si>
  <si>
    <t>Display total worked minutes.</t>
  </si>
  <si>
    <t>View due quantity for customer {customer} and item_code {item_code}.</t>
  </si>
  <si>
    <t>idle capacity by machine</t>
  </si>
  <si>
    <t>Show total worked minutes.</t>
  </si>
  <si>
    <t>Show due quantity for /customer {customer} and /item_code {item_code}.</t>
  </si>
  <si>
    <t>total worked minutes</t>
  </si>
  <si>
    <t>due quantity for customer and item code</t>
  </si>
  <si>
    <t>SELECT 
    SUM(WORKED) AS TOTAL_WORKED_minutes 
FROM 
    KPCL_REPORTING.KPC_FULL_KIT_DOCKET_EMP;</t>
  </si>
  <si>
    <t>SELECT 
    RESOURCE_CODE,
    RESOURCE_DESC,
    SUM(NVL(AVAILABLE_TIME, 0)) AS TOTAL_AVAILABLE_HOURS,
    SUM(NVL(OPERATION_TIME, 0)) AS TOTAL_PRODUCTION_HOURS,
    SUM(NVL(AVAILABLE_TIME, 0)) - SUM(NVL(OPERATION_TIME, 0)) AS IDLE_CAPACITY_HOURS,
    CASE 
        WHEN SUM(NVL(AVAILABLE_TIME, 0)) &gt; 0 
        THEN ROUND(((SUM(NVL(AVAILABLE_TIME, 0)) - SUM(NVL(OPERATION_TIME, 0))) / SUM(NVL(AVAILABLE_TIME, 0))) * 100, 2)
        ELSE 0 
    END AS IDLE_CAPACITY_PCT
FROM 
    KPCL_REPORTING.KPC_FK_DOCKET_IDLE_REPORT
WHERE (IDLE_REASON) LIKE ('Operator Absent')
GROUP BY 
    RESOURCE_CODE,
    RESOURCE_DESC
ORDER BY 
    IDLE_CAPACITY_HOURS DESC;</t>
  </si>
  <si>
    <t>SELECT 
    CUSTOMER,
    ITEM_CODE,
    SUM(DUE_QTY) AS TOTAL_DUE_QUANTITY
FROM 
    KPCL_REPORTING.DERIVED_PO_BOARD
WHERE 
    CUSTOMER LIKE '%{customer}%'
    AND ITEM_CODE LIKE '%{item_code}%' AND REQ_QTY_MONTH = UPPER(TO_CHAR(SYSDATE, 'MON-YYYY'))
GROUP BY 
    CUSTOMER,
    ITEM_CODE;</t>
  </si>
  <si>
    <t>Display worked minutes by department.</t>
  </si>
  <si>
    <t>Show worked minutes by department.</t>
  </si>
  <si>
    <t>View monthly utilization trend.</t>
  </si>
  <si>
    <t>worked minutes by employee department</t>
  </si>
  <si>
    <t>Show PO value for customer {customer} and item_code {item_code}.</t>
  </si>
  <si>
    <t>Show monthly utilization trend.</t>
  </si>
  <si>
    <t>SELECT 
    EMP_DEPT, 
    SUM(WORKED) AS TOTAL_WORKED_minutes
FROM 
    KPCL_REPORTING.KPC_FULL_KIT_DOCKET_EMP 
GROUP BY 
    EMP_DEPT 
ORDER BY 
    TOTAL_WORKED_minutes DESC;</t>
  </si>
  <si>
    <t>monthly utilization trend</t>
  </si>
  <si>
    <t>Show PO value for /customer {customer} and /item_code {item_code}.</t>
  </si>
  <si>
    <t>PO value for customer and item code</t>
  </si>
  <si>
    <t>SELECT 
    TO_CHAR(UTILIZATION_DATE, 'YYYY-MM') AS MONTH_YEAR,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
FROM 
    KPCL_REPORTING.KPC_FK_DOCKET_IDLE_REPORT
WHERE (IDLE_REASON) LIKE ('Operator Absent')
GROUP BY 
    TO_CHAR(UTILIZATION_DATE, 'YYYY-MM')
ORDER BY 
    MONTH_YEAR ASC;</t>
  </si>
  <si>
    <t>SELECT 
    CUSTOMER,
    ITEM_CODE,
    SUM(LINE_AMOUNT) AS TOTAL_PO_VALUE,
    CURRENCY
FROM 
    KPCL_REPORTING.DERIVED_PO_BOARD
WHERE 
    CUSTOMER LIKE '%{customer}%'
    AND ITEM_CODE LIKE '%{item_code}%' AND REQ_QTY_MONTH = UPPER(TO_CHAR(SYSDATE, 'MON-YYYY'))
GROUP BY 
    CUSTOMER,
    ITEM_CODE,
    CURRENCY;</t>
  </si>
  <si>
    <t>Display worked minutes by employee.</t>
  </si>
  <si>
    <t>Show worked minutes by employee.</t>
  </si>
  <si>
    <t>worked minutes by employee</t>
  </si>
  <si>
    <t>SELECT 
    TNO, 
    ENAME, 
    SUM(WORKED) AS TOTAL_WORKED_MINUTES
FROM 
    KPCL_REPORTING.KPC_FULL_KIT_DOCKET_EMP 
GROUP BY 
    TNO, 
    ENAME 
ORDER BY 
    TOTAL_WORKED_MINUTES DESC;</t>
  </si>
  <si>
    <t>View yearly utilization trend.</t>
  </si>
  <si>
    <t>Show yearly utilization trend.</t>
  </si>
  <si>
    <t>yearly utilization trend</t>
  </si>
  <si>
    <t>SELECT 
    FIN_YEAR,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
FROM 
    KPCL_REPORTING.KPC_FK_DOCKET_IDLE_REPORT
WHERE (IDLE_REASON) LIKE ('Operator Absent')
GROUP BY 
    FIN_YEAR
ORDER BY 
    FIN_YEAR ASC;</t>
  </si>
  <si>
    <t>View pending quantity for customer {customer} and item_code {item_code}.</t>
  </si>
  <si>
    <t>Show pending quantity for /customer {customer} and /item_code {item_code}.</t>
  </si>
  <si>
    <t>pending quantity for customer and item code</t>
  </si>
  <si>
    <t>Show worked minutes by organization.</t>
  </si>
  <si>
    <t>SELECT 
    CUSTOMER,
    ITEM_CODE,
    SUM(PENDING_PO) AS TOTAL_PENDING_PO_QTY,
    SUM(DUE_QTY) AS TOTAL_DUE_QUANTITY
FROM 
    KPCL_REPORTING.DERIVED_PO_BOARD
WHERE 
    CUSTOMER LIKE '%{customer}%'
    AND ITEM_CODE LIKE '%{item_code}%' AND REQ_QTY_MONTH = UPPER(TO_CHAR(SYSDATE, 'MON-YYYY'))
GROUP BY 
    CUSTOMER,
    ITEM_CODE;</t>
  </si>
  <si>
    <t>worked minutes by organization</t>
  </si>
  <si>
    <t>SELECT 
    ORG_NAME, 
    SUM(WORKED) AS TOTAL_WORKED_minutes
FROM 
    KPCL_REPORTING.KPC_FULL_KIT_DOCKET_EMP 
GROUP BY 
    ORG_NAME 
ORDER BY 
    TOTAL_WORKED_minutes DESC;</t>
  </si>
  <si>
    <t>View purchase orders for customer {customer} and product_model {product_model}.</t>
  </si>
  <si>
    <t>Show purchase orders for /customer {customer} and /product_model {product_model}.</t>
  </si>
  <si>
    <t>Show worked minutes by supervisor.</t>
  </si>
  <si>
    <t>purchase orders for customer and product model</t>
  </si>
  <si>
    <t>worked minutes by supervisor</t>
  </si>
  <si>
    <t>View yearly production trend.</t>
  </si>
  <si>
    <t>SELECT 
    PO_NUM,
    LINE_NUM,
    CUSTOMER,
    MODEL,
    ITEM_CODE,
    ITEM_DESCRIPTION,
    SUPPLIER,
    PO_CREATION_DATE,
    EXPECTED_DATE,
    QUANTITY,
    DUE_QTY,
    LINE_AMOUNT,
    CURRENCY
FROM 
    KPCL_REPORTING.DERIVED_PO_BOARD
WHERE 
    CUSTOMER LIKE '%{customer}%'
    AND MODEL LIKE '%{product_model}%' AND REQ_QTY_MONTH = UPPER(TO_CHAR(SYSDATE, 'MON-YYYY'))
ORDER BY 
    PO_CREATION_DATE DESC,
    PO_NUM,
    LINE_NUM;</t>
  </si>
  <si>
    <t>SELECT 
    SUPV_NAME, 
    SUM(WORKED) AS TOTAL_WORKED_minutes
FROM 
    KPCL_REPORTING.KPC_FULL_KIT_DOCKET_EMP 
GROUP BY 
    SUPV_NAME 
ORDER BY 
    TOTAL_WORKED_minutes DESC;</t>
  </si>
  <si>
    <t>Show yearly production trend.</t>
  </si>
  <si>
    <t>yearly production trend</t>
  </si>
  <si>
    <t>SELECT 
    FIN_YEAR,
    SUM(NVL(OPERATION_TIME, 0)) AS TOTAL_PRODUCTION_HOURS
FROM 
    KPCL_REPORTING.KPC_FK_DOCKET_IDLE_REPORT
WHERE (IDLE_REASON) LIKE ('Operator Absent')
GROUP BY 
    FIN_YEAR
ORDER BY 
    FIN_YEAR ASC;</t>
  </si>
  <si>
    <t>Display worked minutes during week_period {week_period }.</t>
  </si>
  <si>
    <t>Show demand for customer {customer} and product_model {product_model}.</t>
  </si>
  <si>
    <t>Show worked minutes during /week_period {week_period }.</t>
  </si>
  <si>
    <t>Show demand for /customer {customer} and /product_model {product_model}.</t>
  </si>
  <si>
    <t xml:space="preserve">worked minutes during week period </t>
  </si>
  <si>
    <t>demand for customer and product model</t>
  </si>
  <si>
    <t>SELECT 
    WEEK_PERIOD,
    SUM(WORKED) AS TOTAL_WORKED_MINUTES,
    COUNT(DISTINCT TNO) AS TOTAL_EMPLOYEES_TRACKED
FROM 
    KPCL_REPORTING.KPC_FULL_KIT_DOCKET_EMP
WHERE 
    (WEEK_PERIOD) LIKE ('%{week_period }%')
GROUP BY 
    WEEK_PERIOD
ORDER BY 
    WEEK_PERIOD DESC;</t>
  </si>
  <si>
    <t>Show monthly downtime trend.</t>
  </si>
  <si>
    <t>SELECT 
    CUSTOMER,
    MODEL,
    SUM(MRP_DEMAND) AS TOTAL_MRP_DEMAND,
    SUM(TOTAL_DEMAND) AS OVERALL_DEMAND
FROM 
    KPCL_REPORTING.DERIVED_PO_BOARD
WHERE 
    CUSTOMER LIKE '%{customer}%'
    AND MODEL LIKE '%{product_model}%' AND REQ_QTY_MONTH = UPPER(TO_CHAR(SYSDATE, 'MON-YYYY'))
GROUP BY 
    CUSTOMER,
    MODEL;</t>
  </si>
  <si>
    <t>monthly downtime trend</t>
  </si>
  <si>
    <t>SELECT 
    TO_CHAR(UTILIZATION_DATE, 'YYYY-MM') AS MONTH_YEAR,
    SUM(
        NVL(SETTING_TIME, 0) + 
        NVL(MAINTAINCE_DOCKET_TIME, 0) + 
        NVL(REWORK_DOCKET_TIME, 0) + 
        NVL(MEASURED, 0) + 
        NVL(MISCELLANEOUS_DOCKET_TIME, 0)
    ) AS TOTAL_DOWNTIME_HOURS,
    SUM(NVL(MAINTAINCE_DOCKET_TIME, 0)) AS MAINTENANCE_HOURS,
    SUM(NVL(SETTING_TIME, 0)) AS SETTING_HOURS,
    SUM(NVL(REWORK_DOCKET_TIME, 0)) AS REWORK_HOURS,
    SUM(NVL(MEASURED, 0)) AS INSPECTION_HOURS,
    SUM(NVL(MISCELLANEOUS_DOCKET_TIME, 0)) AS MISCELLANEOUS_HOURS
FROM KPCL_REPORTING.KPC_FK_DOCKET_IDLE_REPORT
WHERE UTILIZATION_DATE &gt;= TRUNC(TO_DATE('{month}', 'DD-MM-RR'), 'MM')
  AND UTILIZATION_DATE &lt; ADD_MONTHS(
        TRUNC(TO_DATE('{month}', 'DD-MM-RR'), 'MM'), 
        1
      )
AND (IDLE_REASON) LIKE ('Operator Absent')
GROUP BY TO_CHAR(UTILIZATION_DATE, 'YYYY-MM')
ORDER BY MONTH_YEAR ASC;</t>
  </si>
  <si>
    <t>Display worked minutes during month_period {month_period }.</t>
  </si>
  <si>
    <t>Display PO value for customer {customer} and product_model {product_model}.</t>
  </si>
  <si>
    <t>Show worked minutes during /month_period {month_period }.</t>
  </si>
  <si>
    <t>Show PO value for /customer {customer} and /product_model {product_model}.</t>
  </si>
  <si>
    <t xml:space="preserve">worked minutes during month period </t>
  </si>
  <si>
    <t>PO value for customer and product model</t>
  </si>
  <si>
    <t>SELECT 
    MONTH_PERIOD,
    SUM(WORKED) AS TOTAL_WORKED_MINUTES
FROM 
    KPCL_REPORTING.KPC_FULL_KIT_DOCKET_EMP
WHERE 
    (MONTH_PERIOD) LIKE ('%{month_period }%')
GROUP BY 
    MONTH_PERIOD
ORDER BY 
    MONTH_PERIOD DESC;</t>
  </si>
  <si>
    <t>SELECT 
    CUSTOMER,
    MODEL,
    SUM(LINE_AMOUNT) AS TOTAL_PO_VALUE,
    CURRENCY
FROM 
    KPCL_REPORTING.DERIVED_PO_BOARD
WHERE 
    CUSTOMER LIKE '%{customer}%'
    AND MODEL LIKE '%{product_model}%' AND REQ_QTY_MONTH = UPPER(TO_CHAR(SYSDATE, 'MON-YYYY'))
GROUP BY 
    CUSTOMER,
    MODEL,
    CURRENCY;</t>
  </si>
  <si>
    <t>Display yearly downtime trend.</t>
  </si>
  <si>
    <t>Show yearly downtime trend.</t>
  </si>
  <si>
    <t>yearly downtime trend</t>
  </si>
  <si>
    <t>SELECT 
    FIN_YEAR,
    SUM(
        NVL(SETTING_TIME, 0) + 
        NVL(MAINTAINCE_DOCKET_TIME, 0) + 
        NVL(REWORK_DOCKET_TIME, 0) + 
        NVL(MEASURED, 0) + 
        NVL(MISCELLANEOUS_DOCKET_TIME, 0)
    ) AS TOTAL_DOWNTIME_HOURS,
    SUM(NVL(MAINTAINCE_DOCKET_TIME, 0)) AS MAINTENANCE_HOURS,
    SUM(NVL(SETTING_TIME, 0)) AS SETTING_HOURS,
    SUM(NVL(REWORK_DOCKET_TIME, 0)) AS REWORK_HOURS,
    SUM(NVL(MEASURED, 0)) AS INSPECTION_HOURS,
    SUM(NVL(MISCELLANEOUS_DOCKET_TIME, 0)) AS MISCELLANEOUS_HOURS
FROM 
    KPCL_REPORTING.KPC_FK_DOCKET_IDLE_REPORT
WHERE (IDLE_REASON) LIKE ('Operator Absent')
GROUP BY 
    FIN_YEAR
ORDER BY 
    FIN_YEAR ASC;</t>
  </si>
  <si>
    <t>Display worked minutes during year_period {year_period }.</t>
  </si>
  <si>
    <t>Show worked minutes during /year_period {year_period }.</t>
  </si>
  <si>
    <t>Display due quantity for customer {customer} and product_model {product_model}.</t>
  </si>
  <si>
    <t xml:space="preserve">worked minutes during year period </t>
  </si>
  <si>
    <t>Show due quantity for /customer {customer} and /product_model {product_model}.</t>
  </si>
  <si>
    <t>SELECT 
    YEAR_PERIOD,
    SUM(WORKED) AS TOTAL_WORKED_MINUTES
FROM 
    KPCL_REPORTING.KPC_FULL_KIT_DOCKET_EMP
WHERE 
    YEAR_PERIOD LIKE '%year_period%'
GROUP BY 
    YEAR_PERIOD
ORDER BY 
    YEAR_PERIOD DESC;</t>
  </si>
  <si>
    <t>due quantity for customer and product model</t>
  </si>
  <si>
    <t>SELECT 
    CUSTOMER,
    MODEL,
    SUM(DUE_QTY) AS TOTAL_DUE_QUANTITY
FROM 
    KPCL_REPORTING.DERIVED_PO_BOARD
WHERE 
    CUSTOMER LIKE '%{customer}%'
    AND MODEL LIKE '%{product_model}%' AND REQ_QTY_MONTH = UPPER(TO_CHAR(SYSDATE, 'MON-YYYY'))
GROUP BY 
    CUSTOMER,
    MODEL;</t>
  </si>
  <si>
    <t>View monthly rejection trend.</t>
  </si>
  <si>
    <t>Show monthly rejection trend.</t>
  </si>
  <si>
    <t>monthly rejection trend</t>
  </si>
  <si>
    <t>SELECT 
    TO_CHAR(UTILIZATION_DATE, 'YYYY-MM') AS MONTH_YEAR,
    SUM(NVL(QUANTITY_REJ_MACHINE, 0)) AS TOTAL_REJECTED_QUANTITY
FROM 
    KPCL_REPORTING.KPC_FK_DOCKET_IDLE_REPORT
WHERE (IDLE_REASON) LIKE ('Operator Absent')
GROUP BY 
    TO_CHAR(UTILIZATION_DATE, 'YYYY-MM')
ORDER BY 
    MONTH_YEAR ASC;</t>
  </si>
  <si>
    <t>View worked minutes for employee {employee}.</t>
  </si>
  <si>
    <t>Show worked minutes for /employee {employee}.</t>
  </si>
  <si>
    <t>Display purchase orders for product_group {product_group} and product_model {product_model}.</t>
  </si>
  <si>
    <t>worked minutes for employee</t>
  </si>
  <si>
    <t>Show purchase orders for /product_group {product_group} and /product_model {product_model}.</t>
  </si>
  <si>
    <t>SELECT 
    TNO, 
    ENAME, 
    SUM(WORKED) AS TOTAL_WORKED_MINUTES
FROM 
    KPCL_REPORTING.KPC_FULL_KIT_DOCKET_EMP 
WHERE 
    ENAME LIKE '%{employee}%'
GROUP BY 
    TNO, 
    ENAME;</t>
  </si>
  <si>
    <t>purchase orders for product group and product model</t>
  </si>
  <si>
    <t>SELECT 
    PO_NUM,
    LINE_NUM,
    PG,
    MODEL,
    ITEM_CODE,
    ITEM_DESCRIPTION,
    SUPPLIER,
    PO_CREATION_DATE,
    EXPECTED_DATE,
    QUANTITY,
    DUE_QTY,
    LINE_AMOUNT,
    CURRENCY
FROM 
    KPCL_REPORTING.DERIVED_PO_BOARD
WHERE 
    PG LIKE '%{product_group}%'
    AND MODEL LIKE '%{product_model}%' AND REQ_QTY_MONTH = UPPER(TO_CHAR(SYSDATE, 'MON-YYYY'))
ORDER BY 
    PO_CREATION_DATE DESC,
    PO_NUM,
    LINE_NUM;</t>
  </si>
  <si>
    <t>product_group, product_model</t>
  </si>
  <si>
    <t>Show yearly rejection trend.</t>
  </si>
  <si>
    <t>yearly rejection trend</t>
  </si>
  <si>
    <t>SELECT 
    FIN_YEAR,
    SUM(NVL(QUANTITY_REJ_MACHINE, 0)) AS TOTAL_REJECTED_QUANTITY
FROM 
    KPCL_REPORTING.KPC_FK_DOCKET_IDLE_REPORT
WHERE (IDLE_REASON) LIKE ('Operator Absent')
GROUP BY 
    FIN_YEAR
ORDER BY 
    FIN_YEAR ASC;</t>
  </si>
  <si>
    <t>Show yearly incentive trend.</t>
  </si>
  <si>
    <t>yearly incentive trend</t>
  </si>
  <si>
    <t>SELECT 
    EXTRACT(YEAR FROM PI_DATE) AS TREND_YEAR,
    SUM(INCENTIVE) AS TOTAL_INCENTIVE,
    ROUND(AVG(INCENTIVE), 4) AS AVG_INCENTIVE
FROM 
    KPCL_REPORTING.KPC_FULL_KIT_DOCKET_EMP 
GROUP BY 
    EXTRACT(YEAR FROM PI_DATE)
ORDER BY 
    TREND_YEAR ASC;</t>
  </si>
  <si>
    <t>Show demand for product_group {product_group} and product_model {product_model}.</t>
  </si>
  <si>
    <t>Show demand for /product_group {product_group} and /product_model {product_model}.</t>
  </si>
  <si>
    <t>demand for product group and product model</t>
  </si>
  <si>
    <t>SELECT 
    PG,
    MODEL,
    SUM(MRP_DEMAND) AS TOTAL_MRP_DEMAND,
    SUM(TOTAL_DEMAND) AS OVERALL_DEMAND
FROM 
    KPCL_REPORTING.DERIVED_PO_BOARD
WHERE 
    PG LIKE '%{product_group}%'
    AND MODEL LIKE '%{product_model}%' AND REQ_QTY_MONTH = UPPER(TO_CHAR(SYSDATE, 'MON-YYYY'))
GROUP BY 
    PG,
    MODEL;</t>
  </si>
  <si>
    <t>Display monthly maintenance trend.</t>
  </si>
  <si>
    <t>Show monthly maintenance trend.</t>
  </si>
  <si>
    <t>monthly maintenance trend</t>
  </si>
  <si>
    <t>View yearly performance trend.</t>
  </si>
  <si>
    <t>Show yearly performance trend.</t>
  </si>
  <si>
    <t>SELECT 
    TO_CHAR(UTILIZATION_DATE, 'YYYY-MM') AS MONTH_YEAR,
    SUM(NVL(MAINTAINCE_DOCKET_TIME, 0)) AS TOTAL_MAINTENANCE_HOURS,
    COUNT(DISTINCT RESOURCE_CODE) AS ACTIVE_MACHINES_MAINTAINED
FROM KPCL_REPORTING.KPC_FK_DOCKET_IDLE_REPORT
WHERE UTILIZATION_DATE &gt;= TRUNC(TO_DATE('{month}', 'DD-MM-YY'), 'MM')
  AND UTILIZATION_DATE &lt; ADD_MONTHS(
        TRUNC(TO_DATE('{month}', 'DD-MM-YY'), 'MM'), 
        1
      )
AND (IDLE_REASON) LIKE ('Operator Absent')
GROUP BY TO_CHAR(UTILIZATION_DATE, 'YYYY-MM')
ORDER BY MONTH_YEAR ASC;</t>
  </si>
  <si>
    <t>yearly performance trend</t>
  </si>
  <si>
    <t xml:space="preserve">SELECT 
    YEAR_PERIOD,
    ROUND(AVG(PERFORMANCE_INDEX), 4) AS AVG_PERFORMANCE_INDEX
FROM 
    KPCL_REPORTING.KPC_FULL_KIT_DOCKET_EMP 
GROUP BY 
   YEAR_PERIOD;
</t>
  </si>
  <si>
    <t>Show PO value for product_group {product_group} and product_model {product_model}.</t>
  </si>
  <si>
    <t>Show PO value for /product_group {product_group} and /product_model {product_model}.</t>
  </si>
  <si>
    <t>PO value for product group and product model</t>
  </si>
  <si>
    <t>SELECT 
    PG,
    MODEL,
    SUM(LINE_AMOUNT) AS TOTAL_PO_VALUE,
    CURRENCY
FROM 
    KPCL_REPORTING.DERIVED_PO_BOARD
WHERE 
    PG LIKE '%{product_group}%'
    AND MODEL LIKE '%{product_model}%' AND REQ_QTY_MONTH = UPPER(TO_CHAR(SYSDATE, 'MON-YYYY'))
GROUP BY 
    PG,
    MODEL,
    CURRENCY;</t>
  </si>
  <si>
    <t>View yearly production.</t>
  </si>
  <si>
    <t>View yearly maintenance trend.</t>
  </si>
  <si>
    <t>Show yearly production.</t>
  </si>
  <si>
    <t>Show yearly maintenance trend.</t>
  </si>
  <si>
    <t>yearly production</t>
  </si>
  <si>
    <t>yearly maintenance trend</t>
  </si>
  <si>
    <t>SELECT 
    YEAR_PERIOD,
    SUM(PRODUCED) AS TOTAL_PRODUCTION
FROM 
    KPCL_REPORTING.KPC_FULL_KIT_DOCKET_EMP 
GROUP BY 
    YEAR_PERIOD;</t>
  </si>
  <si>
    <t>SELECT 
    FIN_YEAR,
    SUM(NVL(MAINTAINCE_DOCKET_TIME, 0)) AS TOTAL_MAINTENANCE_HOURS,
    COUNT(DISTINCT RESOURCE_CODE) AS UNIQUE_MACHINES_MAINTAINED
FROM 
    KPCL_REPORTING.KPC_FK_DOCKET_IDLE_REPORT
WHERE (IDLE_REASON) LIKE ('Operator Absent')
GROUP BY 
    FIN_YEAR
ORDER BY 
    FIN_YEAR ASC;</t>
  </si>
  <si>
    <t>View pending quantity for product_group {product_group} and product_model {product_model}.</t>
  </si>
  <si>
    <t>Show pending quantity for /product_group {product_group} and /product_model {product_model}.</t>
  </si>
  <si>
    <t>pending quantity for product group and product model</t>
  </si>
  <si>
    <t>SELECT 
    PG,
    MODEL,
    SUM(PENDING_PO) AS TOTAL_PENDING_PO_QTY,
    SUM(DUE_QTY) AS TOTAL_DUE_QUANTITY
FROM 
    KPCL_REPORTING.DERIVED_PO_BOARD
WHERE 
    PG LIKE '%{product_group}%'
    AND MODEL LIKE '%{product_model}%' AND REQ_QTY_MONTH = UPPER(TO_CHAR(SYSDATE, 'MON-YYYY'))
GROUP BY 
    PG,
    MODEL;</t>
  </si>
  <si>
    <t>Show yearly total incentive trend.</t>
  </si>
  <si>
    <t>Display performance index trend.</t>
  </si>
  <si>
    <t>yearly total incentive trend</t>
  </si>
  <si>
    <t>SELECT 
    TO_CHAR(UTILIZATION_DATE, 'YYYY-MM') AS MONTH_YEAR,
    SUM(NVL(AVAILABLE_TIME, 0)) AS TOTAL_AVAILABLE_HOURS,
    SUM(NVL(OPERATION_TIME, 0)) AS TOTAL_PRODUCTION_HOURS,
    CASE 
        WHEN SUM(NVL(AVAILABLE_TIME, 0)) &gt; 0 
        THEN ROUND(
            (SUM(NVL(OPERATION_TIME, 0)) / SUM(NVL(AVAILABLE_TIME, 0))) * 100, 
            2
        )
        ELSE 0 
    END AS PERFORMANCE_INDEX_PCT
FROM KPCL_REPORTING.KPC_FK_DOCKET_IDLE_REPORT
WHERE UTILIZATION_DATE &gt;= TRUNC(TO_DATE('{month}', 'DD-MM-YY'), 'MM')
  AND UTILIZATION_DATE &lt; ADD_MONTHS(
        TRUNC(TO_DATE('{month}', 'DD-MM-YY'), 'MM'), 
        1
      )
AND (IDLE_REASON) LIKE ('Operator Absent')
GROUP BY TO_CHAR(UTILIZATION_DATE, 'YYYY-MM')
ORDER BY MONTH_YEAR ASC;</t>
  </si>
  <si>
    <t>Show purchase orders for item_category {item_category} and item_code {item_code}.</t>
  </si>
  <si>
    <t>Show purchase orders for /item_category {item_category} and /item_code {item_code}.</t>
  </si>
  <si>
    <t>purchase orders for item category and item code</t>
  </si>
  <si>
    <t>SELECT 
    PO_NUM,
    LINE_NUM,
    ITEM_CATEGORY,
    ITEM_CODE,
    ITEM_DESCRIPTION,
    SUPPLIER,
    BUYER_NAME,
    PO_CREATION_DATE,
    QUANTITY,
    DUE_QTY,
    LINE_AMOUNT,
    CURRENCY
FROM 
    KPCL_REPORTING.DERIVED_PO_BOARD
WHERE 
    ITEM_CATEGORY LIKE '%{item_category}%'
    AND ITEM_CODE LIKE '%{item_code}%' AND REQ_QTY_MONTH = UPPER(TO_CHAR(SYSDATE, 'MON-YYYY'))
ORDER BY 
    PO_CREATION_DATE DESC,
    PO_NUM,
    LINE_NUM;</t>
  </si>
  <si>
    <t>item_category, item_code</t>
  </si>
  <si>
    <t>Show yearly worked minutes trend.</t>
  </si>
  <si>
    <t>yearly worked minutes trend</t>
  </si>
  <si>
    <t xml:space="preserve">SELECT
    YEAR_PERIOD,
    SUM(WORKED) AS TOTAL_WORKED_minutes
FROM KPCL_REPORTING.KPC_FULL_KIT_DOCKET_EMP
GROUP BY YEAR_PERIOD
ORDER BY YEAR_PERIOD ASC;
</t>
  </si>
  <si>
    <t>Display stock for item_code {item_code} in item_category {item_category}.</t>
  </si>
  <si>
    <t>SELECT 
    TO_CHAR(UTILIZATION_DATE, 'YYYY-MM') AS MONTH_YEAR,
    SUM(NVL(AVAILABLE_TIME, 0)) AS TOTAL_AVAILABLE_HOURS,
    SUM(NVL(OPERATION_TIME, 0)) AS TOTAL_PRODUCTION_HOURS,
    SUM(NVL(REWORK_DOCKET_TIME, 0)) AS TOTAL_REWORK_HOURS,
    CASE 
        WHEN SUM(NVL(AVAILABLE_TIME, 0)) &gt; 0 
        THEN ROUND(
            (
                (SUM(NVL(OPERATION_TIME, 0)) - SUM(NVL(REWORK_DOCKET_TIME, 0)))
                / SUM(NVL(AVAILABLE_TIME, 0))
            ) * 100,
            2
        )
        ELSE 0 
    END AS EFFECTIVE_UTILIZATION_PCT
FROM KPCL_REPORTING.KPC_FK_DOCKET_IDLE_REPORT
WHERE UTILIZATION_DATE &gt;= TRUNC(TO_DATE('{month}', 'DD-MM-YY'), 'MM')
  AND UTILIZATION_DATE &lt; ADD_MONTHS(
        TRUNC(TO_DATE('{month}', 'DD-MM-YY'), 'MM'), 
        1
      )
AND (IDLE_REASON) LIKE ('Operator Absent')
GROUP BY TO_CHAR(UTILIZATION_DATE, 'YYYY-MM')
ORDER BY MONTH_YEAR ASC;</t>
  </si>
  <si>
    <t>Show comparison of utilization between organizations.</t>
  </si>
  <si>
    <t>Compare utilization between organizations.</t>
  </si>
  <si>
    <t>utilization between organizations</t>
  </si>
  <si>
    <t>SELECT 
    ORG_NAME,
    COUNT(DISTINCT RESOURCE_CODE) AS TOTAL_MACHINES,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UTILIZATION_PERCENTAGE,
    SUM(NVL(AVAILABLE_TIME, 0)) - SUM(NVL(OPERATION_TIME, 0)) AS TOTAL_IDLE_HOURS
FROM 
    KPCL_REPORTING.KPC_FK_DOCKET_IDLE_REPORT
WHERE (IDLE_REASON) LIKE ('Operator Absent')
GROUP BY 
    ORG_NAME
ORDER BY 
    UTILIZATION_PERCENTAGE DESC;</t>
  </si>
  <si>
    <t>Show stock for /item_code {item_code} in /item_category {item_category}.</t>
  </si>
  <si>
    <t>View comparison of utilization between divisions.</t>
  </si>
  <si>
    <t>Compare utilization between divisions.</t>
  </si>
  <si>
    <t>utilization between divisions</t>
  </si>
  <si>
    <t>SELECT 
    DIV_CODE,
    COUNT(DISTINCT RESOURCE_CODE) AS TOTAL_MACHINES,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UTILIZATION_PERCENTAGE,
    SUM(NVL(AVAILABLE_TIME, 0)) - SUM(NVL(OPERATION_TIME, 0)) AS TOTAL_IDLE_HOURS
FROM 
    KPCL_REPORTING.KPC_FK_DOCKET_IDLE_REPORT
WHERE (IDLE_REASON) LIKE ('Operator Absent')
GROUP BY 
    DIV_CODE
ORDER BY 
    UTILIZATION_PERCENTAGE DESC;</t>
  </si>
  <si>
    <t>stock for item code in item category</t>
  </si>
  <si>
    <t>SELECT 
    ITEM_CODE,
    ITEM_CATEGORY,
    SUM(STOCK_GENERAL_STORE) AS TOTAL_GENERAL_STORE_STOCK,
    SUM(STOCK_SUP_SUB_INV) AS TOTAL_WIP_STOCK,
    SUM(STOCK_REJ_SUB_INV) AS TOTAL_REJECTION_STOCK
FROM 
    KPCL_REPORTING.DERIVED_PO_BOARD
WHERE 
    ITEM_CODE LIKE '%{item_code}%'
    AND ITEM_CATEGORY LIKE '%{item_category}%' AND REQ_QTY_MONTH = UPPER(TO_CHAR(SYSDATE, 'MON-YYYY'))
GROUP BY 
    ITEM_CODE,
    ITEM_CATEGORY;</t>
  </si>
  <si>
    <t>View comparison of utilization between machines.</t>
  </si>
  <si>
    <t>Compare utilization between machines.</t>
  </si>
  <si>
    <t>utilization between machines</t>
  </si>
  <si>
    <t>SELECT 
    RESOURCE_CODE,
    RESOURCE_DESC,
    MAX(ORG_NAME) AS ORGANIZATION,
    MAX(DIV_CODE) AS DIVISION,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MACHINE_UTILIZATION_PCT,
    SUM(NVL(AVAILABLE_TIME, 0)) - SUM(NVL(OPERATION_TIME, 0)) AS TOTAL_IDLE_HOURS
FROM 
    KPCL_REPORTING.KPC_FK_DOCKET_IDLE_REPORT
WHERE (IDLE_REASON) LIKE ('Operator Absent')
GROUP BY 
    RESOURCE_CODE,
    RESOURCE_DESC
ORDER BY 
    MACHINE_UTILIZATION_PCT DESC;</t>
  </si>
  <si>
    <t>View comparison of production between organizations.</t>
  </si>
  <si>
    <t>Compare production between organizations.</t>
  </si>
  <si>
    <t>production between organizations</t>
  </si>
  <si>
    <t>View due quantity for item_code {item_code} in item_category {item_category}.</t>
  </si>
  <si>
    <t>Show due quantity for /item_code {item_code} in /item_category {item_category}.</t>
  </si>
  <si>
    <t>SELECT 
    ORG_NAME,
    COUNT(DISTINCT RESOURCE_CODE) AS TOTAL_ACTIVE_MACHINES,
    SUM(NVL(OPERATION_TIME, 0)) AS TOTAL_PRODUCTION_HOURS,
    SUM(NVL(QUANTITY_REJ_MACHINE, 0)) AS TOTAL_REJECTED_QUANTITY,
    SUM(NVL(OPERATION_TIME, 0)) - SUM(NVL(REWORK_DOCKET_TIME, 0)) AS VALUE_ADD_PRODUCTION_HOURS
FROM 
    KPCL_REPORTING.KPC_FK_DOCKET_IDLE_REPORT
WHERE (IDLE_REASON) LIKE ('Operator Absent')
GROUP BY 
    ORG_NAME
ORDER BY 
    TOTAL_PRODUCTION_HOURS DESC;</t>
  </si>
  <si>
    <t>due quantity for item code in item category</t>
  </si>
  <si>
    <t>SELECT 
    ITEM_CODE,
    ITEM_CATEGORY,
    SUM(DUE_QTY) AS TOTAL_DUE_QUANTITY
FROM 
    KPCL_REPORTING.DERIVED_PO_BOARD
WHERE 
    ITEM_CODE LIKE '%{item_code}%'
    AND ITEM_CATEGORY LIKE '%{item_category}%' AND REQ_QTY_MONTH = UPPER(TO_CHAR(SYSDATE, 'MON-YYYY'))
GROUP BY 
    ITEM_CODE,
    ITEM_CATEGORY;</t>
  </si>
  <si>
    <t>View comparison of production between divisions.</t>
  </si>
  <si>
    <t>Compare production between divisions.</t>
  </si>
  <si>
    <t>production between divisions</t>
  </si>
  <si>
    <t>SELECT 
    DIV_CODE,
    COUNT(DISTINCT RESOURCE_CODE) AS TOTAL_ACTIVE_MACHINES,
    SUM(NVL(OPERATION_TIME, 0)) AS TOTAL_PRODUCTION_HOURS,
    SUM(NVL(OPERATION_TIME, 0)) - SUM(NVL(REWORK_DOCKET_TIME, 0)) AS VALUE_ADD_PRODUCTION_HOURS,
    SUM(NVL(QUANTITY_REJ_MACHINE, 0)) AS TOTAL_REJECTED_QUANTITY
FROM 
    KPCL_REPORTING.KPC_FK_DOCKET_IDLE_REPORT
WHERE (IDLE_REASON) LIKE ('Operator Absent')
GROUP BY 
    DIV_CODE
ORDER BY 
    TOTAL_PRODUCTION_HOURS DESC;</t>
  </si>
  <si>
    <t>Display lead time for item_code {item_code} in item_category {item_category}.</t>
  </si>
  <si>
    <t>Show lead time for /item_code {item_code} in /item_category {item_category}.</t>
  </si>
  <si>
    <t>lead time for item code in item category</t>
  </si>
  <si>
    <t>SELECT 
    ITEM_CODE,
    ITEM_CATEGORY,
    LEAD_TIME
FROM 
    KPCL_REPORTING.DERIVED_PO_BOARD
WHERE 
    ITEM_CODE LIKE '%{item_code}%'
    AND ITEM_CATEGORY LIKE '%{item_category}%' AND REQ_QTY_MONTH = UPPER(TO_CHAR(SYSDATE, 'MON-YYYY'))
GROUP BY 
    ITEM_CODE,
    ITEM_CATEGORY,
    LEAD_TIME;</t>
  </si>
  <si>
    <t>Display comparison of production between machines.</t>
  </si>
  <si>
    <t>Compare production between machines.</t>
  </si>
  <si>
    <t>production between machines</t>
  </si>
  <si>
    <t>SELECT
RESOURCE_CODE,
MAX(RESOURCE_DESC) AS MACHINE_NAME,
MAX(ORG_NAME) AS ORGANIZATION,
MAX(DIV_CODE) AS DIVISION,
SUM(NVL(OPERATION_TIME, 0)) AS TOTAL_PRODUCTION_HOURS,
SUM(NVL(OPERATION_TIME, 0)) - SUM(NVL(REWORK_DOCKET_TIME, 0)) AS VALUE_ADD_PRODUCTION_HOURS,
SUM(NVL(QUANTITY_REJ_MACHINE, 0)) AS TOTAL_REJECTED_QUANTITY
FROM
KPCL_REPORTING.KPC_FK_DOCKET_IDLE_REPORT
WHERE (IDLE_REASON) LIKE ('Operator Absent')
GROUP BY
RESOURCE_CODE
ORDER BY
TOTAL_PRODUCTION_HOURS DESC;</t>
  </si>
  <si>
    <t>Display purchase orders for item_code {item_code} during month {month}.</t>
  </si>
  <si>
    <t>Display comparison of downtime between organizations.</t>
  </si>
  <si>
    <t>Compare downtime between organizations.</t>
  </si>
  <si>
    <t>Show purchase orders for /item_code {item_code} during /month {month}.</t>
  </si>
  <si>
    <t>downtime between organizations</t>
  </si>
  <si>
    <t>purchase orders for item code during month</t>
  </si>
  <si>
    <t>SELECT
ORG_NAME,
COUNT(DISTINCT RESOURCE_CODE) AS TOTAL_MACHINES,
SUM(
    NVL(SETTING_TIME, 0) + 
    NVL(MAINTAINCE_DOCKET_TIME, 0) + 
    NVL(REWORK_DOCKET_TIME, 0) + 
    NVL(MEASURED, 0) + 
    NVL(MISCELLANEOUS_DOCKET_TIME, 0)
) AS TOTAL_DOWNTIME_HOURS,
SUM(NVL(MAINTAINCE_DOCKET_TIME, 0)) AS MAINTENANCE_HOURS,
SUM(NVL(SETTING_TIME, 0)) AS SETUP_SETTING_HOURS,
SUM(NVL(REWORK_DOCKET_TIME, 0)) AS REWORK_LOOPS_HOURS,
SUM(NVL(MEASURED, 0)) AS INSPECTION_HOURS,
SUM(NVL(MISCELLANEOUS_DOCKET_TIME, 0)) AS MISC_DOWNTIME_HOURS
FROM
KPCL_REPORTING.KPC_FK_DOCKET_IDLE_REPORT
WHERE (IDLE_REASON) LIKE ('Operator Absent')
GROUP BY
ORG_NAME
ORDER BY
TOTAL_DOWNTIME_HOURS DESC;</t>
  </si>
  <si>
    <t>SELECT 
    PO_NUM,
    LINE_NUM,
    SUPPLIER,
    BUYER_NAME,
    ITEM_CODE,
    ITEM_DESCRIPTION,
    EXPECTED_DATE,
    QUANTITY,
    DUE_QTY,
    LINE_AMOUNT,
    CURRENCY
FROM KPCL_REPORTING.DERIVED_PO_BOARD
WHERE ITEM_CODE LIKE '%{item_code}%'
  AND EXPECTED_DATE IS NOT NULL
  AND TO_CHAR(EXPECTED_DATE, 'MON', 'NLS_DATE_LANGUAGE = American') = SUBSTR(UPPER('{month}'), 1, 3)
AND REQ_QTY_MONTH = UPPER(TO_CHAR(SYSDATE, 'MON-YYYY'))
ORDER BY 
    EXPECTED_DATE ASC, 
    PO_NUM, 
    LINE_NUM;</t>
  </si>
  <si>
    <t>item_code, month</t>
  </si>
  <si>
    <t>Display comparison of downtime between divisions.</t>
  </si>
  <si>
    <t>Compare downtime between divisions.</t>
  </si>
  <si>
    <t>downtime between divisions</t>
  </si>
  <si>
    <t>SELECT
DIV_CODE,
COUNT(DISTINCT RESOURCE_CODE) AS TOTAL_MACHINES,
SUM(
NVL(SETTING_TIME, 0) +
NVL(MAINTAINCE_DOCKET_TIME, 0) +
NVL(REWORK_DOCKET_TIME, 0) +
NVL(MEASURED, 0) +
NVL(MISCELLANEOUS_DOCKET_TIME, 0)
) AS TOTAL_DOWNTIME_HOURS,
SUM(NVL(MAINTAINCE_DOCKET_TIME, 0)) AS MAINTENANCE_HOURS,
SUM(NVL(SETTING_TIME, 0)) AS SETUP_SETTING_HOURS,
SUM(NVL(REWORK_DOCKET_TIME, 0)) AS REWORK_LOOPS_HOURS,
SUM(NVL(MEASURED, 0)) AS INSPECTION_HOURS,
SUM(NVL(MISCELLANEOUS_DOCKET_TIME, 0)) AS MISC_DOWNTIME_HOURS
FROM
KPCL_REPORTING.KPC_FK_DOCKET_IDLE_REPORT
WHERE (IDLE_REASON) LIKE ('Operator Absent')
GROUP BY
DIV_CODE
ORDER BY
TOTAL_DOWNTIME_HOURS DESC;</t>
  </si>
  <si>
    <t>Show due quantity for item_code {item_code} during month {month}.</t>
  </si>
  <si>
    <t>Show due quantity for /item_code {item_code} during /month {month}.</t>
  </si>
  <si>
    <t>due quantity for item code during month</t>
  </si>
  <si>
    <t>SELECT 
    ITEM_CODE,
    SUM(DUE_QTY) AS TOTAL_DUE_QUANTITY
FROM KPCL_REPORTING.DERIVED_PO_BOARD
WHERE ITEM_CODE LIKE '%{item_code}%'
  AND EXPECTED_DATE IS NOT NULL
  AND TO_CHAR(EXPECTED_DATE, 'MON', 'NLS_DATE_LANGUAGE = American') = SUBSTR(UPPER('{month}'), 1, 3)
AND REQ_QTY_MONTH = UPPER(TO_CHAR(SYSDATE, 'MON-YYYY'))
GROUP BY ITEM_CODE;</t>
  </si>
  <si>
    <t>SELECT
RESOURCE_CODE,
MAX(RESOURCE_DESC) AS MACHINE_NAME,
MAX(ORG_NAME) AS ORGANIZATION,
MAX(DIV_CODE) AS DIVISION,
SUM(
NVL(SETTING_TIME, 0) +
NVL(MAINTAINCE_DOCKET_TIME, 0) +
NVL(REWORK_DOCKET_TIME, 0) +
NVL(MEASURED, 0) +
NVL(MISCELLANEOUS_DOCKET_TIME, 0)
) AS TOTAL_DOWNTIME_HOURS,
SUM(NVL(MAINTAINCE_DOCKET_TIME, 0)) AS MAINTENANCE_HOURS,
SUM(NVL(SETTING_TIME, 0)) AS SETUP_SETTING_HOURS,
SUM(NVL(REWORK_DOCKET_TIME, 0)) AS REWORK_LOOPS_HOURS,
SUM(NVL(MEASURED, 0)) AS INSPECTION_HOURS,
SUM(NVL(MISCELLANEOUS_DOCKET_TIME, 0)) AS MISC_DOWNTIME_HOURS
FROM
KPCL_REPORTING.KPC_FK_DOCKET_IDLE_REPORT
WHERE (IDLE_REASON) LIKE ('Operator Absent')
GROUP BY
RESOURCE_CODE
ORDER BY
TOTAL_DOWNTIME_HOURS DESC;</t>
  </si>
  <si>
    <t>View PO value for item_code {item_code} during month {month}.</t>
  </si>
  <si>
    <t>Display comparison of rejection percentages across organizations.</t>
  </si>
  <si>
    <t>Show PO value for /item_code {item_code} during /month {month}.</t>
  </si>
  <si>
    <t>Compare rejection percentages across organizations.</t>
  </si>
  <si>
    <t>rejection percentages across organizations</t>
  </si>
  <si>
    <t>PO value for item code during month</t>
  </si>
  <si>
    <t>SELECT 
    ORG_NAME,
    SUM(NVL(TOTAL_QUANTITY, 0)) AS TOTAL_GOOD_QTY,
    SUM(NVL(QUANTITY_REJ_MATERIAL, 0)) AS MATERIAL_REJECT_QTY,
    SUM(NVL(QUANTITY_REJ_MACHINE, 0)) AS MACHINE_REJECT_QTY,
    SUM(NVL(QUANTITY_REJ_MATERIAL, 0) + NVL(QUANTITY_REJ_MACHINE, 0)) AS TOTAL_REJECT_QTY,
    CASE 
        WHEN SUM(NVL(TOTAL_QUANTITY, 0) + NVL(QUANTITY_REJ_MATERIAL, 0) + NVL(QUANTITY_REJ_MACHINE, 0)) &gt; 0 
        THEN ROUND(
            (SUM(NVL(QUANTITY_REJ_MATERIAL, 0) + NVL(QUANTITY_REJ_MACHINE, 0)) / 
             SUM(NVL(TOTAL_QUANTITY, 0) + NVL(QUANTITY_REJ_MATERIAL, 0) + NVL(QUANTITY_REJ_MACHINE, 0))) * 100, 
            2
        )
        ELSE 0 
    END AS TOTAL_REJECTION_PERCENTAGE
FROM 
    KPCL_REPORTING.KPC_FK_DOCKET_IDLE_REPORT
WHERE (IDLE_REASON) LIKE ('Operator Absent')
GROUP BY 
    ORG_NAME
ORDER BY 
    TOTAL_REJECTION_PERCENTAGE DESC;</t>
  </si>
  <si>
    <t>SELECT 
    ITEM_CODE,
    SUM(LINE_AMOUNT) AS TOTAL_PO_VALUE,
    CURRENCY
FROM 
    KPCL_REPORTING.DERIVED_PO_BOARD
WHERE 
    ITEM_CODE LIKE '%{item_code}%' AND REQ_QTY_MONTH = UPPER(TO_CHAR(SYSDATE, 'MON-YYYY'))
    AND EXPECTED_DATE IS NOT NULL
    AND TO_CHAR(EXPECTED_DATE, 'MON', 'NLS_DATE_LANGUAGE = American') = SUBSTR(UPPER('{month}'), 1, 3)
GROUP BY 
    ITEM_CODE,
    CURRENCY;</t>
  </si>
  <si>
    <t>Display comparison of maintenance times across divisions.</t>
  </si>
  <si>
    <t>Compare maintenance times across divisions.</t>
  </si>
  <si>
    <t>maintenance times across divisions</t>
  </si>
  <si>
    <t>SELECT 
    DIV_CODE,
    SUM(MAINTAINCE_DOCKET_TIME) AS TOTAL_MAINTENANCE_TIME,
    ROUND(AVG(MAINTAINCE_DOCKET_TIME), 2) AS AVG_MAINTENANCE_TIME,
    MAX(MAINTAINCE_DOCKET_TIME) AS MAX_MAINTENANCE_TIME,
    ROUND(SUM(MAINTAINCE_DOCKET_TIME) / NULLIF(SUM(AVAILABLE_TIME), 0) * 100, 2) AS MAINTENANCE_PCT_OF_AVAILABLE
FROM 
    KPCL_REPORTING.KPC_FK_DOCKET_IDLE_REPORT
WHERE (IDLE_REASON) LIKE ('Operator Absent')
GROUP BY 
    DIV_CODE
ORDER BY 
    TOTAL_MAINTENANCE_TIME DESC;</t>
  </si>
  <si>
    <t>Show deliveries for item_code {item_code} during month {month}.</t>
  </si>
  <si>
    <t>Show deliveries for /item_code {item_code} during /month {month}.</t>
  </si>
  <si>
    <t>deliveries for item code during month</t>
  </si>
  <si>
    <t>SELECT 
    PO_NUM,
    LINE_NUM,
    ITEM_CODE,
    ITEM_DESCRIPTION,
    SUPPLIER,
    EXPECTED_DATE,
    QUANTITY,
    DUE_QTY,
    CURRENCY,
    LINE_AMOUNT
FROM KPCL_REPORTING.DERIVED_PO_BOARD
WHERE ITEM_CODE LIKE '%{item_code}%' AND REQ_QTY_MONTH = UPPER(TO_CHAR(SYSDATE, 'MON-YYYY'))
  AND EXPECTED_DATE IS NOT NULL
  AND TO_CHAR(EXPECTED_DATE, 'MON', 'NLS_DATE_LANGUAGE = American') = SUBSTR(UPPER('{month}'), 1, 3)
ORDER BY EXPECTED_DATE ASC;</t>
  </si>
  <si>
    <t>SELECT 
    ORG_ID,
    ORG_NAME,
    ROUND(AVG(PERFORMANCE_INDEX), 4) AS AVG_PERFORMANCE_INDEX,
    MAX(PERFORMANCE_INDEX) AS MAX_PERFORMANCE_INDEX,
    MIN(PERFORMANCE_INDEX) AS MIN_PERFORMANCE_INDEX,
    SUM(PRODUCED) AS TOTAL_PRODUCED_TIME_VAL,
    SUM(PRESENT) AS TOTAL_PRESENT_TIME,
    ROUND(SUM(PRODUCED) / NULLIF(SUM(PRESENT), 0), 4) AS WEIGHTED_PERFORMANCE_INDEX
FROM 
    KPCL_REPORTING.KPC_FK_DOCKET_IDLE_REPORT
WHERE (IDLE_REASON) LIKE ('Operator Absent')
GROUP BY 
    ORG_ID,
    ORG_NAME
ORDER BY 
    WEIGHTED_PERFORMANCE_INDEX DESC;</t>
  </si>
  <si>
    <t>View purchase orders for supplier {supplier} during month {month}.</t>
  </si>
  <si>
    <t>Show purchase orders for /supplier {supplier} during /month {month}.</t>
  </si>
  <si>
    <t>purchase orders for supplier during month</t>
  </si>
  <si>
    <t>View machines with zero production.</t>
  </si>
  <si>
    <t>SELECT 
    PO_NUM,
    LINE_NUM,
    SUPPLIER,
    ITEM_CODE,
    EXPECTED_DATE,
    QUANTITY,
    DUE_QTY,
    LINE_AMOUNT,
    CURRENCY
FROM KPCL_REPORTING.DERIVED_PO_BOARD
WHERE SUPPLIER LIKE '%{supplier}%' AND REQ_QTY_MONTH = UPPER(TO_CHAR(SYSDATE, 'MON-YYYY'))
  AND EXPECTED_DATE IS NOT NULL
  AND TO_CHAR(EXPECTED_DATE, 'MON', 'NLS_DATE_LANGUAGE = American') = SUBSTR(UPPER('{month}'), 1, 3)
ORDER BY EXPECTED_DATE ASC;</t>
  </si>
  <si>
    <t>SELECT 
    RESOURCE_CODE,
    RESOURCE_DESC,
    RES_DIV,
    DIV_CODE,
    ORG_NAME,
    SUM(AVAILABLE_TIME) AS TOTAL_AVAILABLE_TIME,
    SUM(TOTAL_IDLE) AS TOTAL_IDLE_TIME,
    SUM(STAND_BY_DOCKETS) AS STANDBY_DOCKETS_LOGGED,
    REMARK_1,
    REMARK_DESC
FROM 
    KPCL_REPORTING.KPC_FK_DOCKET_IDLE_REPORT
WHERE 
    TOTAL_QUANTITY = 0 
    AND PRODUCED = 0
 AND (IDLE_REASON) LIKE ('Operator Absent')
GROUP BY 
    RESOURCE_CODE,
    RESOURCE_DESC,
    RES_DIV,
    DIV_CODE,
    ORG_NAME,
    REMARK_1,
    REMARK_DESC
ORDER BY 
    TOTAL_IDLE_TIME DESC;</t>
  </si>
  <si>
    <t>supplier, month</t>
  </si>
  <si>
    <t>Show machines with zero worked time.</t>
  </si>
  <si>
    <t>Display due amount for supplier {supplier} during month {month}.</t>
  </si>
  <si>
    <t>Show due amount for /supplier {supplier} during /month {month}.</t>
  </si>
  <si>
    <t>machines with zero worked time</t>
  </si>
  <si>
    <t>due amount for supplier during month</t>
  </si>
  <si>
    <t>SELECT 
    RESOURCE_CODE,
    RESOURCE_DESC,
    RES_DIV,
    DIV_CODE,
    ORG_NAME,
    SUM(AVAILABLE_TIME) AS TOTAL_AVAILABLE_TIME,
    SUM(SETTING_TIME) AS TOTAL_SETTING_TIME,
    SUM(OPERATION_TIME) AS TOTAL_OPERATION_TIME,
    SUM(WORKED) AS TOTAL_WORKED_TIME,
    SUM(TOTAL_IDLE) AS TOTAL_IDLE_TIME,
    REMARK_1,
    REMARK_DESC
FROM 
    KPCL_REPORTING.KPC_FK_DOCKET_IDLE_REPORT
WHERE 
    WORKED = 0 AND (IDLE_REASON) LIKE ('Operator Absent')
GROUP BY 
    RESOURCE_CODE,
    RESOURCE_DESC,
    RES_DIV,
    DIV_CODE,
    ORG_NAME,
    REMARK_1,
    REMARK_DESC
ORDER BY 
    TOTAL_AVAILABLE_TIME DESC;</t>
  </si>
  <si>
    <t>SELECT 
    SUPPLIER,
    SUM(DUE_AMT) AS TOTAL_DUE_AMOUNT,
    CURRENCY
FROM 
    KPCL_REPORTING.DERIVED_PO_BOARD
WHERE 
    SUPPLIER LIKE '%{supplier}%'
    AND EXPECTED_DATE IS NOT NULL AND REQ_QTY_MONTH = UPPER(TO_CHAR(SYSDATE, 'MON-YYYY'))
    AND TO_CHAR(EXPECTED_DATE, 'MON', 'NLS_DATE_LANGUAGE = American') = SUBSTR(UPPER('{month}'), 1, 3)
GROUP BY 
    SUPPLIER,
    CURRENCY;</t>
  </si>
  <si>
    <t>Show machines with zero utilization.</t>
  </si>
  <si>
    <t>machines with zero utilization</t>
  </si>
  <si>
    <t>View deliveries expected from supplier {supplier} during month {month}.</t>
  </si>
  <si>
    <t>Show deliveries expected from /supplier {supplier} during /month {month}.</t>
  </si>
  <si>
    <t>SELECT 
    RESOURCE_CODE,
    RESOURCE_DESC,
    RES_DIV,
    DIV_CODE,
    ORG_NAME,
    SUM(AVAILABLE_TIME) AS TOTAL_AVAILABLE_TIME,
    SUM(WORKED) AS TOTAL_WORKED_TIME,
    SUM(TOTAL_IDLE) AS TOTAL_IDLE_TIME,
    ROUND(AVG(EFFECTIVE_UTILIZATION), 2) AS AVG_EFFECTIVE_UTILIZATION,
    REMARK_1,
    REMARK_DESC
FROM 
    KPCL_REPORTING.KPC_FK_DOCKET_IDLE_REPORT
WHERE 
    EFFECTIVE_UTILIZATION = 0
AND (IDLE_REASON) LIKE ('Operator Absent')
GROUP BY 
    RESOURCE_CODE,
    RESOURCE_DESC,
    RES_DIV,
    DIV_CODE,
    ORG_NAME,
    REMARK_1,
    REMARK_DESC
ORDER BY 
    TOTAL_AVAILABLE_TIME DESC;</t>
  </si>
  <si>
    <t>deliveries expected from supplier during month</t>
  </si>
  <si>
    <t>SELECT 
    PO_NUM,
    LINE_NUM,
    SUPPLIER,
    ITEM_CODE,
    EXPECTED_DATE,
    QUANTITY,
    DUE_QTY,
    LINE_AMOUNT,
    CURRENCY
FROM KPCL_REPORTING.DERIVED_PO_BOARD
WHERE SUPPLIER LIKE '%{supplier}%'
  AND EXPECTED_DATE IS NOT NULL AND REQ_QTY_MONTH = UPPER(TO_CHAR(SYSDATE, 'MON-YYYY'))
  AND TO_CHAR(EXPECTED_DATE, 'MON', 'NLS_DATE_LANGUAGE = American') = SUBSTR(UPPER('{month}'), 1, 3)
ORDER BY EXPECTED_DATE ASC;</t>
  </si>
  <si>
    <t>Display machines with no downtime.</t>
  </si>
  <si>
    <t>Show machines with no downtime.</t>
  </si>
  <si>
    <t>machines with no downtime</t>
  </si>
  <si>
    <t>SELECT 
    RESOURCE_CODE,
    RESOURCE_DESC,
    RES_DIV,
    DIV_CODE,
    ORG_NAME,
    SUM(AVAILABLE_TIME) AS TOTAL_AVAILABLE_TIME,
    SUM(WORKED) AS TOTAL_WORKED_TIME,
    SUM(TOTAL_IDLE) AS ACCUMULATED_IDLE_TIME,
    ROUND(AVG(EFFECTIVE_UTILIZATION), 2) AS AVG_UTILIZATION_PCT,
    ROUND(AVG(PERFORMANCE_INDEX), 4) AS AVG_PERFORMANCE_IDX
FROM 
    KPCL_REPORTING.KPC_FK_DOCKET_IDLE_REPORT
WHERE 
    TOTAL_IDLE = 0
AND (IDLE_REASON) LIKE ('Operator Absent')
GROUP BY 
    RESOURCE_CODE,
    RESOURCE_DESC,
    RES_DIV,
    DIV_CODE,
    ORG_NAME
ORDER BY 
    TOTAL_WORKED_TIME DESC;</t>
  </si>
  <si>
    <t>View supplier-wise pending quantity during month {month}.</t>
  </si>
  <si>
    <t>Show supplier-wise pending quantity during /month {month}.</t>
  </si>
  <si>
    <t>supplier-wise pending quantity during month</t>
  </si>
  <si>
    <t>SELECT 
    SUPPLIER,
    SUM(DUE_QTY) AS TOTAL_PENDING_QUANTITY
FROM KPCL_REPORTING.DERIVED_PO_BOARD
WHERE EXPECTED_DATE IS NOT NULL AND REQ_QTY_MONTH = UPPER(TO_CHAR(SYSDATE, 'MON-YYYY'))
  AND TO_CHAR(EXPECTED_DATE, 'MON', 'NLS_DATE_LANGUAGE = American') = SUBSTR(UPPER('{month}'), 1, 3)
GROUP BY SUPPLIER
ORDER BY TOTAL_PENDING_QUANTITY DESC;</t>
  </si>
  <si>
    <t>View machines with no maintenance activity.</t>
  </si>
  <si>
    <t>Show machines with no maintenance activity.</t>
  </si>
  <si>
    <t>machines with no maintenance activity</t>
  </si>
  <si>
    <t>Display employee count for employee_department {employee_department}.</t>
  </si>
  <si>
    <t>SELECT 
    RESOURCE_CODE,
    RESOURCE_DESC,
    RES_DIV,
    DIV_CODE,
    ORG_NAME,
    SUM(AVAILABLE_TIME) AS TOTAL_AVAILABLE_TIME,
    SUM(WORKED) AS TOTAL_WORKED_TIME,
    SUM(TOTAL_IDLE) AS TOTAL_IDLE_TIME,
    SUM(MAINTAINCE_DOCKET_TIME) AS ACCUMULATED_MAINTENANCE_TIME,
    ROUND(AVG(EFFECTIVE_UTILIZATION), 2) AS AVG_UTILIZATION_PCT
FROM 
    KPCL_REPORTING.KPC_FK_DOCKET_IDLE_REPORT
WHERE 
    MAINTAINCE_DOCKET_TIME = 0
AND (IDLE_REASON) LIKE ('Operator Absent')
GROUP BY 
    RESOURCE_CODE,
    RESOURCE_DESC,
    RES_DIV,
    DIV_CODE,
    ORG_NAME
ORDER BY 
    TOTAL_WORKED_TIME DESC;</t>
  </si>
  <si>
    <t>Show employee count for /employee_department {employee_department}.</t>
  </si>
  <si>
    <t>employee count for employee department</t>
  </si>
  <si>
    <t>Display machines with utilization below percentage {percentage}.</t>
  </si>
  <si>
    <t>Show machines with utilization below /percentage {percentage}.</t>
  </si>
  <si>
    <t>machines with utilization below percentage</t>
  </si>
  <si>
    <t>SELECT 
    EMP_DEPT AS DEPARTMENT,
    COUNT(DISTINCT TNO) AS TOTAL_EMPLOYEES
FROM 
    KPCL_REPORTING.KPC_FULL_KIT_DOCKET_EMP
WHERE 
    (EMP_DEPT) LIKE ('%{employee_department}%')
GROUP BY 
    EMP_DEPT;</t>
  </si>
  <si>
    <t>SELECT 
    RESOURCE_CODE,
    RESOURCE_DESC,
    RES_DIV,
    DIV_CODE,
    ORG_NAME,
    ROUND(AVG(EFFECTIVE_UTILIZATION), 2) AS AVG_UTILIZATION_PCT,
    SUM(AVAILABLE_TIME) AS TOTAL_AVAILABLE_TIME,
    SUM(WORKED) AS TOTAL_WORKED_TIME,
    SUM(TOTAL_IDLE) AS TOTAL_IDLE_TIME,
    ROUND(SUM(WORKED) / NULLIF(SUM(AVAILABLE_TIME), 0) * 100, 2) AS WEIGHTED_UTILIZATION_PCT
FROM 
    KPCL_REPORTING.KPC_FK_DOCKET_IDLE_REPORT
WHERE (IDLE_REASON) LIKE ('Operator Absent')
GROUP BY 
    RESOURCE_CODE,
    RESOURCE_DESC,
    RES_DIV,
    DIV_CODE,
    ORG_NAME
HAVING 
    AVG(EFFECTIVE_UTILIZATION) &lt; %{percentage}%
ORDER BY 
    AVG_UTILIZATION_PCT ASC;</t>
  </si>
  <si>
    <t>Display machines with utilization above percentage {percentage}.</t>
  </si>
  <si>
    <t>Show machines with utilization above /percentage {percentage}.</t>
  </si>
  <si>
    <t>machines with utilization above percentage</t>
  </si>
  <si>
    <t>SELECT 
    RESOURCE_CODE,
    RESOURCE_DESC,
    RES_DIV,
    DIV_CODE,
    ORG_NAME,
    ROUND(AVG(EFFECTIVE_UTILIZATION), 2) AS AVG_UTILIZATION_PCT,
    SUM(AVAILABLE_TIME) AS TOTAL_AVAILABLE_TIME,
    SUM(WORKED) AS TOTAL_WORKED_TIME,
    SUM(TOTAL_IDLE) AS TOTAL_IDLE_TIME,
   ROUND(SUM(WORKED) / NULLIF(SUM(AVAILABLE_TIME), 0) * 100, 2) AS WEIGHTED_UTILIZATION_PCT
FROM 
    KPCL_REPORTING.KPC_FK_DOCKET_IDLE_REPORT
WHERE (IDLE_REASON) LIKE ('Operator Absent')
GROUP BY 
    RESOURCE_CODE,
    RESOURCE_DESC,
    RES_DIV,
    DIV_CODE,
    ORG_NAME
HAVING 
    AVG(EFFECTIVE_UTILIZATION) &gt; %{percentage}%
ORDER BY 
    AVG_UTILIZATION_PCT DESC;</t>
  </si>
  <si>
    <t>View employees under supervisor {supervisor} in employee_department {employee_department}.</t>
  </si>
  <si>
    <t>Show machines with downtime above minutes {minutes}.</t>
  </si>
  <si>
    <t>Show machines with downtime above /minutes {minutes}.</t>
  </si>
  <si>
    <t>machines with downtime above minutes</t>
  </si>
  <si>
    <t>SELECT 
    RESOURCE_CODE,
    RESOURCE_DESC,
    RES_DIV,
    DIV_CODE,
    ORG_NAME,
    SUM(TOTAL_IDLE) AS ACCUMULATED_IDLE_MINUTES,
    SUM(AVAILABLE_TIME) AS TOTAL_AVAILABLE_TIME,
    SUM(WORKED) AS TOTAL_WORKED_TIME,
    ROUND(AVG(EFFECTIVE_UTILIZATION), 2) AS AVG_UTILIZATION_PCT
FROM 
    KPCL_REPORTING.KPC_FK_DOCKET_IDLE_REPORT
WHERE (IDLE_REASON) LIKE ('Operator Absent')
GROUP BY 
    RESOURCE_CODE,
    RESOURCE_DESC,
    RES_DIV,
    DIV_CODE,
    ORG_NAME
HAVING 
    SUM(TOTAL_IDLE) &gt; '%{minutes}%'
ORDER BY 
    ACCUMULATED_IDLE_MINUTES DESC;</t>
  </si>
  <si>
    <t>SELECT DISTINCT
    TNO,
    ENAME,
    EMP_ORG_NAME,
    EMP_DEPT,
    SUPV_NAME,
    PERIOD_NAME
FROM 
    KPCL_REPORTING.KPC_FULL_KIT_DOCKET_EMP
WHERE 
    (SUPV_NAME) LIKE ('%{supervisor}%')
    AND (EMP_DEPT) LIKE ('%{employee_department}%');</t>
  </si>
  <si>
    <t>View machines with downtime below minutes {minutes}.</t>
  </si>
  <si>
    <t>Show machines with downtime below /minutes {minutes}.</t>
  </si>
  <si>
    <t>machines with downtime below minutes</t>
  </si>
  <si>
    <t>SELECT 
    RESOURCE_CODE,
    RESOURCE_DESC,
    RES_DIV,
    DIV_CODE,
    ORG_NAME,
    SUM(TOTAL_IDLE) AS ACCUMULATED_IDLE_MINUTES,
    SUM(AVAILABLE_TIME) AS TOTAL_AVAILABLE_TIME,
    SUM(WORKED) AS TOTAL_WORKED_TIME,
    ROUND(AVG(EFFECTIVE_UTILIZATION), 2) AS AVG_UTILIZATION_PCT
FROM 
    KPCL_REPORTING.KPC_FK_DOCKET_IDLE_REPORT
WHERE (IDLE_REASON) LIKE ('Operator Absent')
GROUP BY 
    RESOURCE_CODE,
    RESOURCE_DESC,
    RES_DIV,
    DIV_CODE,
    ORG_NAME
HAVING 
    SUM(TOTAL_IDLE) &lt; '%{minutes}%'
ORDER BY 
    ACCUMULATED_IDLE_MINUTES ASC;</t>
  </si>
  <si>
    <t>Show machines with production above quantity {quantity}.</t>
  </si>
  <si>
    <t>Show machines with production above /quantity {quantity}.</t>
  </si>
  <si>
    <t>machines with production above quantity</t>
  </si>
  <si>
    <t>SELECT 
    RESOURCE_CODE,
    RESOURCE_DESC,
    RES_DIV,
    DIV_CODE,
    ORG_NAME,
    SUM(TOTAL_QUANTITY) AS ACCUMULATED_PRODUCTION,
    SUM(QUANTITY_REJ_MACHINE + QUANTITY_REJ_MATERIAL) AS TOTAL_REJECTIONS,
    ROUND((SUM(TOTAL_QUANTITY) - SUM(QUANTITY_REJ_MACHINE + QUANTITY_REJ_MATERIAL)) / NULLIF(SUM(TOTAL_QUANTITY), 0) * 100, 2) AS QUALITY_YIELD_PCT,
    SUM(WORKED) AS TOTAL_WORKED_TIME
FROM 
    KPCL_REPORTING.KPC_FK_DOCKET_IDLE_REPORT
WHERE (IDLE_REASON) LIKE ('Operator Absent')
GROUP BY 
    RESOURCE_CODE,
    RESOURCE_DESC,
    RES_DIV,
    DIV_CODE,
    ORG_NAME
HAVING 
    SUM(TOTAL_QUANTITY) &gt; '{quantity}'
ORDER BY 
    ACCUMULATED_PRODUCTION DESC;</t>
  </si>
  <si>
    <t>Show machines with production below quantity {quantity}.</t>
  </si>
  <si>
    <t>Show machines with production below /quantity {quantity}.</t>
  </si>
  <si>
    <t>machines with production below quantity</t>
  </si>
  <si>
    <t>SELECT 
    RESOURCE_CODE,
    RESOURCE_DESC,
    RES_DIV,
    DIV_CODE,
    ORG_NAME,
    SUM(TOTAL_QUANTITY) AS ACCUMULATED_PRODUCTION,
    SUM(QUANTITY_REJ_MACHINE + QUANTITY_REJ_MATERIAL) AS TOTAL_REJECTIONS,
    SUM(WORKED) AS TOTAL_WORKED_TIME,
    ROUND(AVG(EFFECTIVE_UTILIZATION), 2) AS AVG_UTILIZATION_PCT
FROM 
    KPCL_REPORTING.KPC_FK_DOCKET_IDLE_REPORT
WHERE (IDLE_REASON) LIKE ('Operator Absent')
GROUP BY 
    RESOURCE_CODE,
    RESOURCE_DESC,
    RES_DIV,
    DIV_CODE,
    ORG_NAME
HAVING 
    SUM(TOTAL_QUANTITY) &lt; '{quantity}'
ORDER BY 
    ACCUMULATED_PRODUCTION ASC;</t>
  </si>
  <si>
    <t>Display machines with rejection above quantity {quantity}.</t>
  </si>
  <si>
    <t>Show machines with rejection above /quantity {quantity}.</t>
  </si>
  <si>
    <t>machines with rejection above quantity</t>
  </si>
  <si>
    <t>SELECT 
    RESOURCE_CODE,
    RESOURCE_DESC,
    RES_DIV,
    DIV_CODE,
    ORG_NAME,
    SUM(QUANTITY_REJ_MACHINE) AS MACHINE_REJECTIONS,
    SUM(QUANTITY_REJ_MATERIAL) AS MATERIAL_REJECTIONS,
    SUM(QUANTITY_REJ_MACHINE + QUANTITY_REJ_MATERIAL) AS TOTAL_REJECTIONS_LOGGED,
    SUM(TOTAL_QUANTITY) AS TOTAL_PRODUCTION,
    ROUND(SUM(QUANTITY_REJ_MACHINE + QUANTITY_REJ_MATERIAL) / NULLIF(SUM(TOTAL_QUANTITY), 0) * 100, 2) AS REJECTION_RATE_PCT
FROM 
    KPCL_REPORTING.KPC_FK_DOCKET_IDLE_REPORT
WHERE (IDLE_REASON) LIKE ('Operator Absent')
GROUP BY 
    RESOURCE_CODE,
    RESOURCE_DESC,
    RES_DIV,
    DIV_CODE,
    ORG_NAME
HAVING 
    SUM(QUANTITY_REJ_MACHINE + QUANTITY_REJ_MATERIAL) &gt; '{quantity}'
ORDER BY 
    TOTAL_REJECTIONS_LOGGED DESC;</t>
  </si>
  <si>
    <t>Display machines with rejection below quantity {quantity}.</t>
  </si>
  <si>
    <t>Show machines with rejection below /quantity {quantity}.</t>
  </si>
  <si>
    <t>machines with rejection below quantity</t>
  </si>
  <si>
    <t>Display purchase order approval_status {approval_status} for supplier {supplier}.</t>
  </si>
  <si>
    <t>SELECT 
    RESOURCE_CODE,
    RESOURCE_DESC,
    RES_DIV,
    DIV_CODE,
    ORG_NAME,
    SUM(QUANTITY_REJ_MACHINE) AS MACHINE_REJECTIONS,
    SUM(QUANTITY_REJ_MATERIAL) AS MATERIAL_REJECTIONS,
    SUM(QUANTITY_REJ_MACHINE + QUANTITY_REJ_MATERIAL) AS TOTAL_REJECTIONS_LOGGED,
    SUM(TOTAL_QUANTITY) AS TOTAL_PRODUCTION,
    ROUND(SUM(QUANTITY_REJ_MACHINE + QUANTITY_REJ_MATERIAL) / NULLIF(SUM(TOTAL_QUANTITY), 0) * 100, 2) AS REJECTION_RATE_PCT
FROM 
    KPCL_REPORTING.KPC_FK_DOCKET_IDLE_REPORT
WHERE (IDLE_REASON) LIKE ('Operator Absent')
GROUP BY 
    RESOURCE_CODE,
    RESOURCE_DESC,
    RES_DIV,
    DIV_CODE,
    ORG_NAME
HAVING 
    SUM(QUANTITY_REJ_MACHINE + QUANTITY_REJ_MATERIAL) &lt; '{quantity}'
ORDER BY 
    TOTAL_REJECTIONS_LOGGED ASC;</t>
  </si>
  <si>
    <t>Show purchase order /approval_status {approval_status} for /supplier {supplier}.</t>
  </si>
  <si>
    <t>purchase order approval status for supplier</t>
  </si>
  <si>
    <t>SELECT 
    PO_NUM,
    PO_TYPE,
    PO_STATUS,
    APPROVAL_STATUS,
    PO_CREATION_DATE,
    SUPPLIER,
    VENDOR_CODE,
    BUYER_NAME,
    SUM(LINE_AMOUNT) AS TOTAL_PO_AMOUNT,
    SUM(DUE_QTY) AS TOTAL_DUE_QTY,
    SUM(DUE_AMT) AS TOTAL_DUE_AMT,
    CURRENCY
FROM 
    KPCL_REPORTING.DERIVED_PO_BOARD
WHERE 
    SUPPLIER IS NOT NULL AND REQ_QTY_MONTH = UPPER(TO_CHAR(SYSDATE, 'MON-YYYY'))
    AND (SUPPLIER) LIKE ('%{supplier}%')
    AND APPROVAL_STATUS IS NOT NULL
    AND (APPROVAL_STATUS) LIKE ('%{approval_status}%')
GROUP BY 
    PO_NUM,
    PO_TYPE,
    PO_STATUS,
    APPROVAL_STATUS,
    PO_CREATION_DATE,
    SUPPLIER,
    VENDOR_CODE,
    BUYER_NAME,
    CURRENCY
ORDER BY 
    PO_CREATION_DATE DESC, 
    PO_NUM ASC;</t>
  </si>
  <si>
    <t>supplier, approval_status</t>
  </si>
  <si>
    <t>Show machines with maintenance above minutes {minutes}.</t>
  </si>
  <si>
    <t>Show machines with maintenance above /minutes {minutes}.</t>
  </si>
  <si>
    <t>machines with maintenance above minutes</t>
  </si>
  <si>
    <t>SELECT 
    RESOURCE_CODE,
    RESOURCE_DESC,
    RES_DIV,
    DIV_CODE,
    ORG_NAME,
    SUM(MAINTAINCE_DOCKET_TIME) AS TOTAL_MAINTENANCE_TIME,
    SUM(AVAILABLE_TIME) AS TOTAL_AVAILABLE_TIME,
    SUM(WORKED) AS TOTAL_WORKED_TIME,
    ROUND(SUM(MAINTAINCE_DOCKET_TIME) / NULLIF(SUM(AVAILABLE_TIME), 0) * 100, 2) AS MAINTENANCE_PCT_OF_AVAILABLE
FROM 
    KPCL_REPORTING.KPC_FK_DOCKET_IDLE_REPORT
WHERE (IDLE_REASON) LIKE ('Operator Absent')
GROUP BY 
    RESOURCE_CODE,
    RESOURCE_DESC,
    RES_DIV,
    DIV_CODE,
    ORG_NAME
HAVING 
    SUM(MAINTAINCE_DOCKET_TIME) &gt; '%{minutes}%'
ORDER BY 
    TOTAL_MAINTENANCE_TIME DESC;</t>
  </si>
  <si>
    <t>Display approval_status {approval_status} purchase orders for buyer {buyer}.</t>
  </si>
  <si>
    <t>Show machines with performance index below performance_index {performance_index}.</t>
  </si>
  <si>
    <t>Show /approval_status {approval_status} purchase orders for /buyer {buyer}.</t>
  </si>
  <si>
    <t>approval status purchase orders for buyer</t>
  </si>
  <si>
    <t>SELECT 
    RESOURCE_CODE,
    RESOURCE_DESC,
    RES_DIV,
    DIV_CODE,
    ORG_NAME,
    ROUND(AVG(PERFORMANCE_INDEX), 4) AS AVG_PERFORMANCE_INDEX,
    SUM(PRODUCED) AS TOTAL_PRODUCED_TIME,
    SUM(PRESENT) AS TOTAL_PRESENT_TIME,
    ROUND(SUM(PRODUCED) / NULLIF(SUM(PRESENT), 0), 4) AS WEIGHTED_PERFORMANCE_INDEX
FROM 
    KPCL_REPORTING.KPC_FK_DOCKET_IDLE_REPORT
WHERE (IDLE_REASON) LIKE ('Operator Absent')
GROUP BY 
    RESOURCE_CODE,
    RESOURCE_DESC,
    RES_DIV,
    DIV_CODE,
    ORG_NAME
HAVING 
    AVG(PERFORMANCE_INDEX) &lt; '{performance_index}'
ORDER BY 
    AVG_PERFORMANCE_INDEX ASC;</t>
  </si>
  <si>
    <t>Display machines with performance index above performance_index {performance_index}.</t>
  </si>
  <si>
    <t>SELECT 
    RESOURCE_CODE,
    RESOURCE_DESC,
    RES_DIV,
    DIV_CODE,
    ORG_NAME,
    ROUND(AVG(PERFORMANCE_INDEX), 4) AS AVG_PERFORMANCE_INDEX,
    SUM(PRODUCED) AS TOTAL_PRODUCED_TIME,
    SUM(PRESENT) AS TOTAL_PRESENT_TIME,
    ROUND(SUM(PRODUCED) / NULLIF(SUM(PRESENT), 0), 4) AS WEIGHTED_PERFORMANCE_INDEX
FROM 
    KPCL_REPORTING.KPC_FK_DOCKET_IDLE_REPORT
WHERE (IDLE_REASON) LIKE ('Operator Absent')
GROUP BY 
    RESOURCE_CODE,
    RESOURCE_DESC,
    RES_DIV,
    DIV_CODE,
    ORG_NAME
HAVING 
    AVG(PERFORMANCE_INDEX) &gt; '{performance_index}'
ORDER BY 
    AVG_PERFORMANCE_INDEX DESC;</t>
  </si>
  <si>
    <t>SELECT 
    PO_NUM,
    PO_TYPE,
    PO_STATUS,
    APPROVAL_STATUS,
    PO_CREATION_DATE,
    SUPPLIER,
    BUYER_NAME,
    SUM(LINE_AMOUNT) AS TOTAL_PO_AMOUNT,
    SUM(DUE_QTY) AS TOTAL_DUE_QTY,
    SUM(DUE_AMT) AS TOTAL_DUE_AMT,
    CURRENCY
FROM 
    KPCL_REPORTING.DERIVED_PO_BOARD
WHERE 
    BUYER_NAME IS NOT NULL AND REQ_QTY_MONTH = UPPER(TO_CHAR(SYSDATE, 'MON-YYYY'))
    AND (BUYER_NAME) LIKE ('%{buyer}%')
    AND APPROVAL_STATUS IS NOT NULL
    AND (APPROVAL_STATUS) LIKE ('%{approval_status}%')
GROUP BY 
    PO_NUM,
    PO_TYPE,
    PO_STATUS,
    APPROVAL_STATUS,
    PO_CREATION_DATE,
    SUPPLIER,
    BUYER_NAME,
    CURRENCY
ORDER BY 
    PO_CREATION_DATE DESC, 
    PO_NUM ASC;</t>
  </si>
  <si>
    <t>buyer, approval_status</t>
  </si>
  <si>
    <t>Display machines with effective utilization below percentage {percentage}.</t>
  </si>
  <si>
    <t>Show machines with effective utilization below /percentage {percentage}.</t>
  </si>
  <si>
    <t>machines with effective utilization below percentage</t>
  </si>
  <si>
    <t>View rejected purchase orders for supplier {supplier}.</t>
  </si>
  <si>
    <t>Show rejected purchase orders for /supplier {supplier}.</t>
  </si>
  <si>
    <t>rejected purchase orders for supplier</t>
  </si>
  <si>
    <t>Display machines with effective utilization above percentage {percentage}.</t>
  </si>
  <si>
    <t>SELECT 
    PO_NUM,
    LINE_NUM,
    SUPPLIER,
    ITEM_CODE,
    APPROVAL_STATUS,
    QUANTITY,
    LINE_AMOUNT
FROM 
    KPCL_REPORTING.DERIVED_PO_BOARD
WHERE 
    SUPPLIER LIKE '%{supplier}%' AND REQ_QTY_MONTH = UPPER(TO_CHAR(SYSDATE, 'MON-YYYY'))
    AND APPROVAL_STATUS = 'REJECTED'
ORDER BY 
    PO_NUM, 
    LINE_NUM;</t>
  </si>
  <si>
    <t>Show machines with effective utilization above /percentage {percentage}.</t>
  </si>
  <si>
    <t>machines with effective utilization above percentage</t>
  </si>
  <si>
    <t>SELECT 
    RESOURCE_CODE,
    RESOURCE_DESC,
    RES_DIV,
    DIV_CODE,
    ORG_NAME,
    ROUND(AVG(EFFECTIVE_UTILIZATION), 2) AS AVG_UTILIZATION_PCT,
    SUM(AVAILABLE_TIME) AS TOTAL_AVAILABLE_TIME,
    SUM(WORKED) AS TOTAL_WORKED_TIME,
    SUM(TOTAL_IDLE) AS TOTAL_IDLE_TIME,
    ROUND(SUM(WORKED) / NULLIF(SUM(AVAILABLE_TIME), 0) * 100, 2) AS WEIGHTED_UTILIZATION_PCT
FROM 
    KPCL_REPORTING.KPC_FK_DOCKET_IDLE_REPORT
WHERE (IDLE_REASON) LIKE ('Operator Absent')
GROUP BY 
    RESOURCE_CODE,
    RESOURCE_DESC,
    RES_DIV,
    DIV_CODE,
    ORG_NAME
HAVING 
    AVG(EFFECTIVE_UTILIZATION) &gt; %{percentage}%
ORDER BY 
    AVG_UTILIZATION_PCT DESC;</t>
  </si>
  <si>
    <t>Show machines with available time but no production.</t>
  </si>
  <si>
    <t>machines with available time but no production</t>
  </si>
  <si>
    <t>SELECT 
    RESOURCE_CODE,
    RESOURCE_DESC,
    RES_DIV,
    DIV_CODE,
    ORG_NAME,
    SUM(AVAILABLE_TIME) AS TOTAL_AVAILABLE_MINUTES,
    SUM(TOTAL_QUANTITY) AS TOTAL_QUANTITY_PRODUCED,
    SUM(WORKED) AS TOTAL_WORKED_MINUTES,
    SUM(TOTAL_IDLE) AS TOTAL_IDLE_MINUTES,
    SUM(MAINTAINCE_DOCKET_TIME) AS TOTAL_MAINTENANCE_MINUTES
FROM 
    KPCL_REPORTING.KPC_FK_DOCKET_IDLE_REPORT
WHERE (IDLE_REASON) LIKE ('Operator Absent')
GROUP BY 
    RESOURCE_CODE,
    RESOURCE_DESC,
    RES_DIV,
    DIV_CODE,
    ORG_NAME
HAVING 
    SUM(AVAILABLE_TIME) &gt; 0 
    AND (SUM(TOTAL_QUANTITY) = 0 OR SUM(TOTAL_QUANTITY) IS NULL)
ORDER BY 
    TOTAL_AVAILABLE_MINUTES DESC;</t>
  </si>
  <si>
    <t>Show machines with high rejection and low production.</t>
  </si>
  <si>
    <t>machines with high rejection and low production</t>
  </si>
  <si>
    <t>SELECT 
    RESOURCE_CODE,
    RESOURCE_DESC,
    RES_DIV,
    DIV_CODE,
    ORG_NAME,
    SUM(TOTAL_QUANTITY) AS TOTAL_OUTPUT_PRODUCED,
    SUM(QUANTITY_REJ_MACHINE + QUANTITY_REJ_MATERIAL) AS TOTAL_REJECTIONS,
    ROUND(SUM(QUANTITY_REJ_MACHINE + QUANTITY_REJ_MATERIAL) / NULLIF(SUM(TOTAL_QUANTITY), 0) * 100, 2) AS REJECTION_RATE_PCT,
    SUM(WORKED) AS TOTAL_WORKED_TIME,
    ROUND(AVG(EFFECTIVE_UTILIZATION), 2) AS AVG_UTILIZATION_PCT
FROM 
    KPCL_REPORTING.KPC_FK_DOCKET_IDLE_REPORT
WHERE (IDLE_REASON) LIKE ('Operator Absent')
GROUP BY 
    RESOURCE_CODE,
    RESOURCE_DESC,
    RES_DIV,
    DIV_CODE,
    ORG_NAME
HAVING 
    SUM(TOTAL_QUANTITY) &gt; 0  
    AND ROUND(SUM(QUANTITY_REJ_MACHINE + QUANTITY_REJ_MATERIAL) / NULLIF(SUM(TOTAL_QUANTITY), 0) * 100, 2) &gt; 50.00
ORDER BY 
    REJECTION_RATE_PCT DESC,
    TOTAL_OUTPUT_PRODUCED ASC;</t>
  </si>
  <si>
    <t>Display machines with high maintenance and low utilization.</t>
  </si>
  <si>
    <t>Show machines with high maintenance and low utilization.</t>
  </si>
  <si>
    <t>machines with high maintenance and low utilization</t>
  </si>
  <si>
    <t>SELECT 
    RESOURCE_CODE,
    RESOURCE_DESC,
    RES_DIV,
    DIV_CODE,
    ORG_NAME,
    SUM(TOTAL_QUANTITY) AS TOTAL_OUTPUT_PRODUCED,
    SUM(QUANTITY_REJ_MACHINE + QUANTITY_REJ_MATERIAL) AS TOTAL_REJECTIONS,
    ROUND(SUM(QUANTITY_REJ_MACHINE + QUANTITY_REJ_MATERIAL) / NULLIF(SUM(TOTAL_QUANTITY), 0) * 100, 2) AS REJECTION_RATE_PCT,
    SUM(WORKED) AS TOTAL_WORKED_TIME,
    ROUND(AVG(EFFECTIVE_UTILIZATION), 2) AS AVG_UTILIZATION_PCT
FROM 
    KPCL_REPORTING.KPC_FK_DOCKET_IDLE_REPORT
WHERE (IDLE_REASON) LIKE ('Operator Absent')
GROUP BY 
    RESOURCE_CODE,
    RESOURCE_DESC,
    RES_DIV,
    DIV_CODE,
    ORG_NAME
HAVING 
    SUM(TOTAL_QUANTITY) &gt; 0  -- Ensures the machine actually ran
    AND ROUND(SUM(QUANTITY_REJ_MACHINE + QUANTITY_REJ_MATERIAL) / NULLIF(SUM(TOTAL_QUANTITY), 0) * 100, 2) &gt; 50.00
ORDER BY 
    REJECTION_RATE_PCT DESC,
    TOTAL_OUTPUT_PRODUCED ASC;</t>
  </si>
  <si>
    <t>SELECT 
    RESOURCE_CODE,
    MAX(RESOURCE_DESC) AS MACHINE_NAME,
    ORG_NAME,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
FROM 
    KPCL_REPORTING.KPC_FK_DOCKET_IDLE_REPORT
WHERE 
   RESOURCE_CODE LIKE '%{resource_code}%'
AND (IDLE_REASON) LIKE ('Operator Absent')
GROUP BY 
    RESOURCE_CODE,
    ORG_NAME;</t>
  </si>
  <si>
    <t>View production for machine resource_code {resource_code}.</t>
  </si>
  <si>
    <t>Show production for machine /resource_code {resource_code}.</t>
  </si>
  <si>
    <t>production for machine resource code</t>
  </si>
  <si>
    <t>SELECT 
    RESOURCE_CODE,
    RESOURCE_DESC,
    ORG_NAME,
    SUM(NVL(TOTAL_QUANTITY, 0)) AS TOTAL_PRODUCTION_QUANTITY,
    SUM(NVL(STD_PRODUCTION, 0)) AS STANDARD_PRODUCTION_OUTPUT
FROM 
    KPCL_REPORTING.KPC_FK_DOCKET_IDLE_REPORT
WHERE 
    RESOURCE_CODE LIKE '%{resource_code}%'    AND 
(IDLE_REASON) LIKE ('Operator Absent')
GROUP BY 
    RESOURCE_CODE,
    RESOURCE_DESC,
    ORG_NAME;</t>
  </si>
  <si>
    <t>View downtime for machine resource_code {resource_code}.</t>
  </si>
  <si>
    <t>Show downtime for machine /resource_code {resource_code}.</t>
  </si>
  <si>
    <t>downtime for machine resource code</t>
  </si>
  <si>
    <t>SELECT 
    RESOURCE_CODE,
    RESOURCE_DESC,
    ORG_NAME,
    SUM(NVL(TOTAL_IDLE, 0)) AS TOTAL_IDLE_TIME,
    SUM(NVL(MAINTAINCE_DOCKET_TIME, 0)) AS TOTAL_MAINTENANCE_TIME,
    SUM(NVL(TOTAL_IDLE, 0) + NVL(MAINTAINCE_DOCKET_TIME, 0)) AS COMBINED_DOWNTIME
FROM 
    KPCL_REPORTING.KPC_FK_DOCKET_IDLE_REPORT
WHERE 
    RESOURCE_CODE LIKE '%{resource_code}%'
AND (IDLE_REASON) LIKE ('Operator Absent')
GROUP BY 
    RESOURCE_CODE,
    RESOURCE_DESC,
    ORG_NAME
ORDER BY 
    COMBINED_DOWNTIME DESC;</t>
  </si>
  <si>
    <t>Display items required before expected date for date {date} from supplier {supplier}.</t>
  </si>
  <si>
    <t>Display rejection for machine resource_code {resource_code}.</t>
  </si>
  <si>
    <t>Show items required before expected date for /date {date} from /supplier {supplier}.</t>
  </si>
  <si>
    <t>Show rejection for machine /resource_code {resource_code}.</t>
  </si>
  <si>
    <t>items required before expected date for date from supplier</t>
  </si>
  <si>
    <t>rejection for machine resource code</t>
  </si>
  <si>
    <t>SELECT 
    RESOURCE_CODE,
    RESOURCE_DESC,
    ORG_NAME,
    SUM(NVL(QUANTITY_REJ_MACHINE, 0)) AS MACHINE_REJECTION_QTY,
    SUM(NVL(QUANTITY_REJ_MATERIAL, 0)) AS MATERIAL_REJECTION_QTY,
    SUM(NVL(QUANTITY_REJ_MACHINE, 0) + NVL(QUANTITY_REJ_MATERIAL, 0)) AS TOTAL_REJECTION_QTY
FROM 
    KPCL_REPORTING.KPC_FK_DOCKET_IDLE_REPORT
WHERE 
    RESOURCE_CODE LIKE '%{resource_code}%'
AND (IDLE_REASON) LIKE ('Operator Absent')
GROUP BY 
    RESOURCE_CODE,
    RESOURCE_DESC,
    ORG_NAME
ORDER BY 
    TOTAL_REJECTION_QTY DESC;</t>
  </si>
  <si>
    <t>SELECT 
    ITEM_CODE,
    ITEM_DESCRIPTION,
    SUPPLIER,
    PO_NUM,
    LINE_NUM,
    EXPECTED_DATE,
    DUE_QTY
FROM 
    KPCL_REPORTING.DERIVED_PO_BOARD
WHERE 
    SUPPLIER LIKE '%{supplier}%' AND REQ_QTY_MONTH = UPPER(TO_CHAR(SYSDATE, 'MON-YYYY'))
    AND EXPECTED_DATE &lt; TO_DATE('{date}', 'DD-MM-YY')
    AND DUE_QTY &gt; 0
ORDER BY 
    EXPECTED_DATE ASC;</t>
  </si>
  <si>
    <t>supplier, date</t>
  </si>
  <si>
    <t>Display maintenance time for machine resource_code {resource_code}.</t>
  </si>
  <si>
    <t>SELECT DISTINCT
    TNO,
    ENAME,
    EMP_ORG_NAME,
    EMP_DEPT,
    SUPV_NAME,
    PERIOD_NAME
FROM 
    KPCL_REPORTING.KPC_FULL_KIT_DOCKET_EMP
WHERE 
    (SUPV_NAME) LIKE ('%{supervisor}%')
ORDER BY 
    PERIOD_NAME DESC,
    ENAME ASC;</t>
  </si>
  <si>
    <t>SELECT 
    RESOURCE_CODE,
    RESOURCE_DESC,
    ORG_NAME,
    SUM(NVL(MAINTAINCE_DOCKET_TIME, 0)) AS TOTAL_MAINTENANCE_TIME
FROM 
    KPCL_REPORTING.KPC_FK_DOCKET_IDLE_REPORT
WHERE 
    RESOURCE_CODE LIKE '%{resource_code}%'
AND (IDLE_REASON) LIKE ('Operator Absent')
GROUP BY 
    RESOURCE_CODE,
    RESOURCE_DESC,
    ORG_NAME
ORDER BY 
    TOTAL_MAINTENANCE_TIME DESC;</t>
  </si>
  <si>
    <t>Show due quantity for supplier {supplier} before expected date for date {date}.</t>
  </si>
  <si>
    <t>Show due quantity for /supplier {supplier} before expected date for /date {date}.</t>
  </si>
  <si>
    <t>due quantity for supplier expected date for before date</t>
  </si>
  <si>
    <t>SELECT 
    SUPPLIER,
    SUM(DUE_QTY) AS TOTAL_DUE_QUANTITY
FROM 
    KPCL_REPORTING.DERIVED_PO_BOARD
WHERE 
    SUPPLIER LIKE '%{supplier}%' AND REQ_QTY_MONTH = UPPER(TO_CHAR(SYSDATE, 'MON-YYYY'))
    AND EXPECTED_DATE &lt; TO_DATE('{date}', 'DD-MM-YY')
GROUP BY 
    SUPPLIER;</t>
  </si>
  <si>
    <t>Show utilization for machine resource_code {resource_code} during month_period {month_period}.</t>
  </si>
  <si>
    <t>Show utilization for machine /resource_code {resource_code} during /month_period {month_period}.</t>
  </si>
  <si>
    <t>Display incentive for employee_department {employee_department}.</t>
  </si>
  <si>
    <t xml:space="preserve">utilization for machine resource code during month period </t>
  </si>
  <si>
    <t>SELECT 
    RESOURCE_CODE,
    RESOURCE_DESC,
    ROUND(AVG(NVL(EFFECTIVE_UTILIZATION, 0)), 2) AS AVG_EFFECTIVE_UTILIZATION,
    ROUND(AVG(NVL(BUDGETED_UTILIZATION, 0)), 2) AS AVG_BUDGETED_UTILIZATION,
    ROUND(AVG(NVL(PERFORMANCE_INDEX, 0)), 2) AS AVG_PERFORMANCE_INDEX
FROM 
    KPCL_REPORTING.KPC_FK_DOCKET_IDLE_REPORT
WHERE 
    RESOURCE_CODE LIKE '%{resource_code}%'
    AND (
        MONTH_PERIOD LIKE '%{month_period}%'
    )
AND (IDLE_REASON) LIKE ('Operator Absent')
GROUP BY 
    RESOURCE_CODE,
    RESOURCE_DESC;</t>
  </si>
  <si>
    <t>SELECT 
    EMP_DEPT AS DEPARTMENT,
    SUM(TOTINCN) AS TOTAL_INCENTIVE,
    AVG(TOTINCN) AS AVG_INCENTIVE_PER_EMP,
    COUNT(DISTINCT TNO) AS TOTAL_EMPLOYEES
FROM 
    KPCL_REPORTING.KPC_FULL_KIT_DOCKET_EMP
WHERE 
    (EMP_DEPT) LIKE ('%{employee_department}%')
GROUP BY 
    EMP_DEPT;</t>
  </si>
  <si>
    <t>View overdue purchase orders for supplier {supplier} before expected date for date {date}.</t>
  </si>
  <si>
    <t>Show overdue purchase orders for /supplier {supplier} before expected date for /date {date}.</t>
  </si>
  <si>
    <t>Show utilization for machine resource_code {resource_code} during week_period {week_period}.</t>
  </si>
  <si>
    <t>overdue purchase orders for supplier before expected date for date</t>
  </si>
  <si>
    <t>Show utilization for machine /resource_code {resource_code} during /week_period {week_period}.</t>
  </si>
  <si>
    <t xml:space="preserve">utilization for machine resource code during week period </t>
  </si>
  <si>
    <t>SELECT 
    PO_NUM,
    LINE_NUM,
    SUPPLIER,
    EXPECTED_DATE,
    DUE_QTY,
    DUE_AMT
FROM 
    KPCL_REPORTING.DERIVED_PO_BOARD
WHERE 
    SUPPLIER LIKE '%{supplier}%'
    AND EXPECTED_DATE &lt; TO_DATE('{date}', 'DD-MM-YY')
    AND DUE_QTY &gt; 0 AND REQ_QTY_MONTH = UPPER(TO_CHAR(SYSDATE, 'MON-YYYY'))
    AND EXPECTED_DATE &lt; TRUNC(SYSDATE)
ORDER BY 
    EXPECTED_DATE ASC;</t>
  </si>
  <si>
    <t>View incentive for employee {employee} in employee_department {employee_department}.</t>
  </si>
  <si>
    <t>SELECT 
    RESOURCE_CODE,
    RESOURCE_DESC,
    ROUND(AVG(NVL(EFFECTIVE_UTILIZATION, 0)), 2) AS AVG_EFFECTIVE_UTILIZATION,
    ROUND(AVG(NVL(BUDGETED_UTILIZATION, 0)), 2) AS AVG_BUDGETED_UTILIZATION,
    ROUND(AVG(NVL(PERFORMANCE_INDEX, 0)), 2) AS AVG_PERFORMANCE_INDEX
FROM 
    KPCL_REPORTING.KPC_FK_DOCKET_IDLE_REPORT
WHERE 
    RESOURCE_CODE LIKE '%{resource_code}%'
    AND (
        WEEK_PERIOD LIKE '%{week_period}%'
    )
AND (IDLE_REASON) LIKE ('Operator Absent')
GROUP BY 
    RESOURCE_CODE,
    RESOURCE_DESC;</t>
  </si>
  <si>
    <t>Show incentive for /employee {employee} in /employee_department {employee_department}.</t>
  </si>
  <si>
    <t>incentive for employee in employee department</t>
  </si>
  <si>
    <t>SELECT 
    PERIOD_NAME,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(EMP_DEPT) LIKE ('%{employee_department}%')
GROUP BY 
    PERIOD_NAME,
    TNO,
    ENAME,
    EMP_ORG_NAME,
    EMP_DEPT,
    SUPV_NAME
ORDER BY 
    PERIOD_NAME DESC;</t>
  </si>
  <si>
    <t>Show utilization for machine resource_code {resource_code} during year_period {year_period}.</t>
  </si>
  <si>
    <t>Show utilization for machine /resource_code {resource_code} during /year_period {year_period}.</t>
  </si>
  <si>
    <t xml:space="preserve">utilization for machine resource code during year period </t>
  </si>
  <si>
    <t>Show purchase orders for supplier {supplier}, buyer {buyer}.</t>
  </si>
  <si>
    <t>SELECT 
    RESOURCE_CODE,
    RESOURCE_DESC,
    ROUND(AVG(NVL(EFFECTIVE_UTILIZATION, 0)), 2) AS AVG_EFFECTIVE_UTILIZATION,
    ROUND(AVG(NVL(BUDGETED_UTILIZATION, 0)), 2) AS AVG_BUDGETED_UTILIZATION,
    ROUND(AVG(NVL(PERFORMANCE_INDEX, 0)), 2) AS AVG_PERFORMANCE_INDEX
FROM 
    KPCL_REPORTING.KPC_FK_DOCKET_IDLE_REPORT
WHERE 
    RESOURCE_CODE LIKE '%{resource_code}%'
    AND (YEAR_PERIOD LIKE '%{year_period}%')
AND (IDLE_REASON) LIKE ('Operator Absent') 
GROUP BY 
    RESOURCE_CODE,
    RESOURCE_DESC;</t>
  </si>
  <si>
    <t>Show purchase orders for /supplier {supplier}, /buyer {buyer}.</t>
  </si>
  <si>
    <t>purchase orders for supplier , buyer</t>
  </si>
  <si>
    <t>SELECT 
    PO_NUM,
    LINE_NUM,
    SUPPLIER,
    BUYER_NAME,
    ORG_NAME,
    PO_CREATION_DATE,
    ITEM_CODE,
    QUANTITY,
    DUE_QTY,
    DUE_AMT
FROM 
    KPCL_REPORTING.DERIVED_PO_BOARD
WHERE 
    SUPPLIER LIKE '%{supplier}%' AND REQ_QTY_MONTH = UPPER(TO_CHAR(SYSDATE, 'MON-YYYY'))
    AND BUYER_NAME LIKE '%{buyer}%'
ORDER BY 
    PO_CREATION_DATE DESC, 
    PO_NUM, 
    LINE_NUM;</t>
  </si>
  <si>
    <t>View production for machine resource_code {resource_code} during month_period {month_period}.</t>
  </si>
  <si>
    <t>View production for machine /resource_code {resource_code} during /month_period {month_period}.</t>
  </si>
  <si>
    <t xml:space="preserve">production for machine resource code during month period </t>
  </si>
  <si>
    <t>SELECT 
    RESOURCE_CODE,
    RESOURCE_DESC,
    SUM(NVL(TOTAL_QUANTITY, 0)) AS TOTAL_PRODUCTION_QUANTITY,
    SUM(NVL(STD_PRODUCTION, 0)) AS STANDARD_PRODUCTION_OUTPUT
FROM 
    KPCL_REPORTING.KPC_FK_DOCKET_IDLE_REPORT
WHERE 
    RESOURCE_CODE LIKE '%{resource_code}%'
    AND (
        MONTH_PERIOD LIKE '%{month_period}%'
    )
AND (IDLE_REASON) LIKE ('Operator Absent')
GROUP BY 
    RESOURCE_CODE,
    RESOURCE_DESC;</t>
  </si>
  <si>
    <t>Display PO value for supplier {supplier}, buyer {buyer}.</t>
  </si>
  <si>
    <t xml:space="preserve">PO value for supplier , buyer </t>
  </si>
  <si>
    <t>View production for machine resource_code {resource_code} during week_period {week_period}.</t>
  </si>
  <si>
    <t>SELECT 
    SUPPLIER,
    BUYER_NAME,
    ORG_NAME,
    SUM(LINE_AMOUNT) AS TOTAL_PO_VALUE,
    CURRENCY
FROM 
    KPCL_REPORTING.DERIVED_PO_BOARD
WHERE 
    SUPPLIER LIKE '%{supplier}%' AND REQ_QTY_MONTH = UPPER(TO_CHAR(SYSDATE, 'MON-YYYY'))
    AND BUYER_NAME LIKE '%{buyer}%'
GROUP BY 
    SUPPLIER,
    BUYER_NAME,
    ORG_NAME,
    CURRENCY;</t>
  </si>
  <si>
    <t>View production for machine /resource_code {resource_code} during /week_period {week_period}.</t>
  </si>
  <si>
    <t xml:space="preserve">production for machine resource code during week period </t>
  </si>
  <si>
    <t>SELECT 
    RESOURCE_CODE,
    RESOURCE_DESC,
    SUM(NVL(TOTAL_QUANTITY, 0)) AS TOTAL_PRODUCTION_QUANTITY,
    SUM(NVL(STD_PRODUCTION, 0)) AS STANDARD_PRODUCTION_OUTPUT
FROM 
    KPCL_REPORTING.KPC_FK_DOCKET_IDLE_REPORT
WHERE 
    RESOURCE_CODE LIKE '%{resource_code}%'
    AND (
        WEEK_PERIOD LIKE '%{week_period}%'
    )
AND (IDLE_REASON) LIKE ('Operator Absent')
GROUP BY 
    RESOURCE_CODE,
    RESOURCE_DESC;</t>
  </si>
  <si>
    <t>Show due quantity for supplier {supplier}, item_code {item_code}.</t>
  </si>
  <si>
    <t>Show due quantity for /supplier {supplier}, /item_code {item_code}.</t>
  </si>
  <si>
    <t>due quantity for supplier , item code</t>
  </si>
  <si>
    <t>SELECT 
    SUPPLIER,
    ITEM_CODE,
    ORG_NAME,
    SUM(DUE_QTY) AS TOTAL_DUE_QUANTITY
FROM 
    KPCL_REPORTING.DERIVED_PO_BOARD
WHERE 
    SUPPLIER LIKE '%{supplier}%' AND REQ_QTY_MONTH = UPPER(TO_CHAR(SYSDATE, 'MON-YYYY'))
    AND ITEM_CODE LIKE '%{item_code}%'
GROUP BY 
    SUPPLIER,
    ITEM_CODE,
    ORG_NAME;</t>
  </si>
  <si>
    <t>View production for machine resource_code {resource_code} during year_period {year_period}.</t>
  </si>
  <si>
    <t>View production for machine /resource_code {resource_code} during /year_period {year_period}.</t>
  </si>
  <si>
    <t xml:space="preserve">production for machine resource code during year period </t>
  </si>
  <si>
    <t>SELECT 
    RESOURCE_CODE,
    RESOURCE_DESC,
    SUM(NVL(TOTAL_QUANTITY, 0)) AS TOTAL_PRODUCTION_QUANTITY,
    SUM(NVL(STD_PRODUCTION, 0)) AS STANDARD_PRODUCTION_OUTPUT
FROM 
    KPCL_REPORTING.KPC_FK_DOCKET_IDLE_REPORT
WHERE 
    RESOURCE_CODE LIKE '%{resource_code}%'
    AND (
        YEAR_PERIOD LIKE '%{year_period}%'
    )
AND (IDLE_REASON) LIKE ('Operator Absent')
GROUP BY 
    RESOURCE_CODE,
    RESOURCE_DESC;</t>
  </si>
  <si>
    <t>Display pending PO for supplier {supplier}, item_code {item_code}, and buyer {buyer}.</t>
  </si>
  <si>
    <t>Show pending PO for /supplier {supplier}, /item_code {item_code}, and /buyer {buyer}.</t>
  </si>
  <si>
    <t>pending PO for supplier , item code , and buyer</t>
  </si>
  <si>
    <t>SELECT 
    SUPPLIER,
    ITEM_CODE,
    BUYER_NAME,
    SUM(PENDING_PO) AS TOTAL_PENDING_PO_QTY
FROM 
    KPCL_REPORTING.DERIVED_PO_BOARD
WHERE 
    SUPPLIER LIKE '%{supplier}%'
    AND ITEM_CODE LIKE '%{item_code}%'
    AND BUYER_NAME LIKE '%{buyer}%' AND REQ_QTY_MONTH = UPPER(TO_CHAR(SYSDATE, 'MON-YYYY'))
GROUP BY 
    SUPPLIER,
    ITEM_CODE,
    BUYER_NAME;</t>
  </si>
  <si>
    <t>supplier, item_code, buyer</t>
  </si>
  <si>
    <t>Display downtime for machine resource_code {resource_code} during month_period {month_period}.</t>
  </si>
  <si>
    <t>Display downtime for machine /resource_code {resource_code} during /month_period {month_period}.</t>
  </si>
  <si>
    <t xml:space="preserve">downtime for machine resource code during month period </t>
  </si>
  <si>
    <t>SELECT 
    RESOURCE_CODE,
    RESOURCE_DESC,
    SUM(NVL(TOTAL_IDLE, 0)) AS TOTAL_IDLE_TIME,
    SUM(NVL(MAINTAINCE_DOCKET_TIME, 0)) AS TOTAL_MAINTENANCE_TIME,
    SUM(NVL(TOTAL_IDLE, 0) + NVL(MAINTAINCE_DOCKET_TIME, 0)) AS COMBINED_DOWNTIME
FROM 
    KPCL_REPORTING.KPC_FK_DOCKET_IDLE_REPORT
WHERE 
    RESOURCE_CODE LIKE '%{resource_code}%'
    AND (
        MONTH_PERIOD LIKE '%{month_period}%'
    )
AND (IDLE_REASON) LIKE ('Operator Absent')
GROUP BY 
    RESOURCE_CODE,
    RESOURCE_DESC
ORDER BY 
    COMBINED_DOWNTIME DESC;</t>
  </si>
  <si>
    <t>Show purchase orders for customer {customer}, product_model {product_model}, and product_group {product_group}.</t>
  </si>
  <si>
    <t>Show purchase orders for /customer {customer}, /product_model {product_model}, and /product_group {product_group}.</t>
  </si>
  <si>
    <t>purchase orders for customer , product model , and product group</t>
  </si>
  <si>
    <t>SELECT 
    PO_NUM,
    LINE_NUM,
    CUSTOMER,
    MODEL,
    PG AS PRODUCT_GROUP,
    SUPPLIER,
    ITEM_CODE,
    QUANTITY,
    DUE_QTY,
    DUE_AMT
FROM 
    KPCL_REPORTING.DERIVED_PO_BOARD
WHERE 
    CUSTOMER LIKE '%{customer}%'
    AND MODEL LIKE '%{product_model}%'
    AND PG LIKE '%{product_group}%' AND REQ_QTY_MONTH = UPPER(TO_CHAR(SYSDATE, 'MON-YYYY'))
ORDER BY 
    PO_NUM, 
    LINE_NUM;</t>
  </si>
  <si>
    <t>customer, product_model, product_group</t>
  </si>
  <si>
    <t>Display downtime for machine resource_code {resource_code} during week_period {week_period}.</t>
  </si>
  <si>
    <t>Display downtime for machine /resource_code {resource_code} during /week_period {week_period}.</t>
  </si>
  <si>
    <t xml:space="preserve">downtime for machine resource code during week period </t>
  </si>
  <si>
    <t>SELECT 
    RESOURCE_CODE,
    RESOURCE_DESC,
    SUM(NVL(TOTAL_IDLE, 0)) AS TOTAL_IDLE_TIME,
    SUM(NVL(MAINTAINCE_DOCKET_TIME, 0)) AS TOTAL_MAINTENANCE_TIME,
    SUM(NVL(TOTAL_IDLE, 0) + NVL(MAINTAINCE_DOCKET_TIME, 0)) AS COMBINED_DOWNTIME
FROM 
    KPCL_REPORTING.KPC_FK_DOCKET_IDLE_REPORT
WHERE 
    RESOURCE_CODE LIKE '%{resource_code}%'
    AND (
        WEEK_PERIOD LIKE '%{week_period}%'
    )
AND (IDLE_REASON) LIKE ('Operator Absent')
GROUP BY 
    RESOURCE_CODE,
    RESOURCE_DESC
ORDER BY 
    COMBINED_DOWNTIME DESC;</t>
  </si>
  <si>
    <t>Display demand for customer {customer}, product_model {product_model}, and item_code {item_code}.</t>
  </si>
  <si>
    <t>Show demand for /customer {customer}, /product_model {product_model}, and /item_code {item_code}.</t>
  </si>
  <si>
    <t>demand for customer , product model , and item code</t>
  </si>
  <si>
    <t>SELECT 
    CUSTOMER,
    MODEL,
    ITEM_CODE,
    SUM(MRP_DEMAND) AS TOTAL_MRP_DEMAND,
    SUM(TOTAL_DEMAND) AS TOTAL_OVERALL_DEMAND
FROM 
    KPCL_REPORTING.DERIVED_PO_BOARD
WHERE 
    CUSTOMER LIKE '%{customer}%'
    AND MODEL LIKE '%{product_model}%'
    AND ITEM_CODE LIKE '%{item_code}%' AND REQ_QTY_MONTH = UPPER(TO_CHAR(SYSDATE, 'MON-YYYY'))
GROUP BY 
    CUSTOMER,
    MODEL,
    ITEM_CODE;</t>
  </si>
  <si>
    <t>customer, product_model, item_code</t>
  </si>
  <si>
    <t>Display downtime for machine resource_code {resource_code} during year_period {year_period}.</t>
  </si>
  <si>
    <t>Display downtime for machine /resource_code {resource_code} during /year_period {year_period}.</t>
  </si>
  <si>
    <t xml:space="preserve">downtime for machine resource code during year period </t>
  </si>
  <si>
    <t>SELECT 
    RESOURCE_CODE,
    RESOURCE_DESC,
    SUM(NVL(TOTAL_IDLE, 0)) AS TOTAL_IDLE_TIME,
    SUM(NVL(MAINTAINCE_DOCKET_TIME, 0)) AS TOTAL_MAINTENANCE_TIME,
    SUM(NVL(TOTAL_IDLE, 0) + NVL(MAINTAINCE_DOCKET_TIME, 0)) AS COMBINED_DOWNTIME
FROM 
    KPCL_REPORTING.KPC_FK_DOCKET_IDLE_REPORT
WHERE 
    RESOURCE_CODE LIKE '%{resource_code}%'
    AND (
        YEAR_PERIOD LIKE '%{year_period}%'
    )
AND (IDLE_REASON) LIKE ('Operator Absent')
GROUP BY 
    RESOURCE_CODE,
    RESOURCE_DESC
ORDER BY 
    COMBINED_DOWNTIME DESC;</t>
  </si>
  <si>
    <t>Display overdue purchase orders for supplier {supplier}, buyer {buyer}, and month {month}.</t>
  </si>
  <si>
    <t>Show overdue purchase orders for /supplier {supplier}, /buyer {buyer}, and /month {month}.</t>
  </si>
  <si>
    <t>overdue purchase orders for supplier , buyer , and month</t>
  </si>
  <si>
    <t>SELECT 
    PO_NUM,
    LINE_NUM,
    SUPPLIER,
    BUYER_NAME,
    EXPECTED_DATE,
    DUE_QTY,
    DUE_AMT
FROM KPCL_REPORTING.DERIVED_PO_BOARD
WHERE SUPPLIER LIKE '%{supplier}%'
  AND BUYER_NAME LIKE '%{buyer}%'
  AND EXPECTED_DATE IS NOT NULL
  AND UPPER(TO_CHAR(EXPECTED_DATE, 'MON', 'NLS_DATE_LANGUAGE = American')) = 
      UPPER(SUBSTR('{month}', 1, 3))
  AND DUE_QTY &gt; 0
  AND EXPECTED_DATE &lt; TRUNC(SYSDATE) AND REQ_QTY_MONTH = UPPER(TO_CHAR(SYSDATE, 'MON-YYYY'))
ORDER BY EXPECTED_DATE ASC;</t>
  </si>
  <si>
    <t>supplier, buyer, month</t>
  </si>
  <si>
    <t>View maintenance time for machine resource_code {resource_code} during month_period {month_period}.</t>
  </si>
  <si>
    <t>View maintenance time for machine /resource_code {resource_code} during /month_period {month_period}.</t>
  </si>
  <si>
    <t xml:space="preserve">maintenance time for machine resource code during month period </t>
  </si>
  <si>
    <t>SELECT 
    RESOURCE_CODE,
    RESOURCE_DESC,
    SUM(NVL(MAINTAINCE_DOCKET_TIME, 0)) AS TOTAL_MAINTENANCE_TIME
FROM 
    KPCL_REPORTING.KPC_FK_DOCKET_IDLE_REPORT
WHERE 
    RESOURCE_CODE LIKE '%{resource_code}%'
    AND (
        MONTH_PERIOD LIKE '%{month_period}%'
    )
AND (IDLE_REASON) LIKE ('Operator Absent')
GROUP BY 
    RESOURCE_CODE,
    RESOURCE_DESC;</t>
  </si>
  <si>
    <t>Display deliveries expected from supplier {supplier} for item_code {item_code} during month {month}.</t>
  </si>
  <si>
    <t>Show deliveries expected from /supplier {supplier} for /item_code {item_code} during /month {month}.</t>
  </si>
  <si>
    <t>deliveries expected from supplier for item code during month</t>
  </si>
  <si>
    <t>SELECT 
    SUPPLIER,
    ITEM_CODE,
    PO_NUM,
    LINE_NUM,
    EXPECTED_DATE,
    DUE_QTY,
    DUE_AMT
FROM KPCL_REPORTING.DERIVED_PO_BOARD
WHERE SUPPLIER LIKE '%{supplier}%'
  AND ITEM_CODE LIKE '%{item_code}%'
  AND EXPECTED_DATE IS NOT NULL
  AND UPPER(TO_CHAR(EXPECTED_DATE, 'MON', 'NLS_DATE_LANGUAGE = American')) = 
      UPPER(SUBSTR('{month}', 1, 3)) AND REQ_QTY_MONTH = UPPER(TO_CHAR(SYSDATE, 'MON-YYYY'))
ORDER BY EXPECTED_DATE ASC;</t>
  </si>
  <si>
    <t>supplier, item_code, month</t>
  </si>
  <si>
    <t>View maintenance time for machine resource_code {resource_code} during week_period {week_period}.</t>
  </si>
  <si>
    <t>View maintenance time for machine /resource_code {resource_code} during /week_period {week_period}.</t>
  </si>
  <si>
    <t xml:space="preserve">maintenance time for machine resource code during week period </t>
  </si>
  <si>
    <t>SELECT 
    RESOURCE_CODE,
    RESOURCE_DESC,
    SUM(NVL(MAINTAINCE_DOCKET_TIME, 0)) AS TOTAL_MAINTENANCE_TIME
FROM 
    KPCL_REPORTING.KPC_FK_DOCKET_IDLE_REPORT
WHERE 
    RESOURCE_CODE LIKE '%{resource_code}%'
    AND (
        WEEK_PERIOD LIKE '%{week_period}%'
     )
AND (IDLE_REASON) LIKE ('Operator Absent')
GROUP BY 
    RESOURCE_CODE,
    RESOURCE_DESC;</t>
  </si>
  <si>
    <t>Show due amount for supplier {supplier} and currency {currency}.</t>
  </si>
  <si>
    <t>Show due amount for /supplier {supplier}and /currency {currency}.</t>
  </si>
  <si>
    <t>due amount for supplier and currency</t>
  </si>
  <si>
    <t>SELECT 
    SUPPLIER,
    SHIPMENT_ORG_NAME AS ORGANIZATION_NAME,
    CURRENCY,
    SUM(DUE_AMT) AS TOTAL_DUE_AMOUNT
FROM 
    KPCL_REPORTING.DERIVED_PO_BOARD
WHERE 
    SUPPLIER LIKE '%{supplier}%'
    AND CURRENCY LIKE '%{currency}%' AND REQ_QTY_MONTH = UPPER(TO_CHAR(SYSDATE, 'MON-YYYY'))
GROUP BY 
    SUPPLIER,
    SHIPMENT_ORG_NAME,
    CURRENCY;</t>
  </si>
  <si>
    <t>supplier, currency</t>
  </si>
  <si>
    <t>View maintenance time for machine resource_code {resource_code} during year_period {year_period}.</t>
  </si>
  <si>
    <t>View maintenance time for machine /resource_code {resource_code} during /year_period {year_period}.</t>
  </si>
  <si>
    <t xml:space="preserve">maintenance time for machine resource code during year period </t>
  </si>
  <si>
    <t>SELECT 
    RESOURCE_CODE,
    RESOURCE_DESC,
    SUM(NVL(MAINTAINCE_DOCKET_TIME, 0)) AS TOTAL_MAINTENANCE_TIME
FROM 
    KPCL_REPORTING.KPC_FK_DOCKET_IDLE_REPORT
WHERE 
    RESOURCE_CODE LIKE '%{resource_code}%'
    AND (
        YEAR_PERIOD LIKE '%{year_period}%'
    )
AND (IDLE_REASON) LIKE ('Operator Absent')
GROUP BY 
    RESOURCE_CODE,
    RESOURCE_DESC;</t>
  </si>
  <si>
    <t>Display approved purchase orders for buyer {buyer}, supplier {supplier}.</t>
  </si>
  <si>
    <t>Show approved purchase orders for /buyer {buyer}, /supplier {supplier}.</t>
  </si>
  <si>
    <t>approved purchase orders for buyer,supplier</t>
  </si>
  <si>
    <t>SELECT 
    PO_NUM,
    BUYER_NAME,
    SUPPLIER,
    SHIPMENT_ORG_NAME AS ORGANIZATION_NAME,
    PO_CREATION_DATE,
    PO_TYPE,
    PO_STATUS,
    APPROVAL_STATUS,
    SUM(LINE_AMOUNT) AS TOTAL_PO_AMOUNT,
    SUM(DUE_AMT) AS TOTAL_DUE_AMOUNT
FROM 
    KPCL_REPORTING.DERIVED_PO_BOARD
WHERE 
    APPROVAL_STATUS = 'APPROVED'
    AND BUYER_NAME LIKE '%{buyer}%'
    AND SUPPLIER LIKE '%{supplier}%' AND REQ_QTY_MONTH = UPPER(TO_CHAR(SYSDATE, 'MON-YYYY'))
GROUP BY 
    PO_NUM,
    BUYER_NAME,
    SUPPLIER,
    SHIPMENT_ORG_NAME,
    PO_CREATION_DATE,
    PO_TYPE,
    PO_STATUS,
    APPROVAL_STATUS;</t>
  </si>
  <si>
    <t>Show production and utilization for machine resource_code {resource_code} during month_period {month_period}.</t>
  </si>
  <si>
    <t>Show production and utilization for machine /resource_code {resource_code} during /month_period {month_period}.</t>
  </si>
  <si>
    <t>production and utilization for machine resource code during month period</t>
  </si>
  <si>
    <t>SELECT 
    RESOURCE_CODE,
    RESOURCE_DESC,
    SUM(NVL(TOTAL_QUANTITY, 0)) AS TOTAL_PRODUCTION_QUANTITY,
    SUM(NVL(STD_PRODUCTION, 0)) AS STANDARD_PRODUCTION_OUTPUT,
    ROUND(AVG(NVL(EFFECTIVE_UTILIZATION, 0)), 2) AS AVG_EFFECTIVE_UTILIZATION
FROM 
    KPCL_REPORTING.KPC_FK_DOCKET_IDLE_REPORT
WHERE 
    RESOURCE_CODE LIKE '%{resource_code}%'
    AND (
        MONTH_PERIOD LIKE '%{month_period}%'
             )
AND (IDLE_REASON) LIKE ('Operator Absent')
GROUP BY 
    RESOURCE_CODE,
    RESOURCE_DESC;</t>
  </si>
  <si>
    <t>View stock for item_code {item_code} and supplier {supplier}.</t>
  </si>
  <si>
    <t>Show stock for /item_code {item_code} and /supplier {supplier}.</t>
  </si>
  <si>
    <t>stock for item code and supplier</t>
  </si>
  <si>
    <t>Show production and utilization for machine /resource_code {resource_code} during /week_period {week_period}.</t>
  </si>
  <si>
    <t>SELECT 
    ITEM_CODE,
    SHIPMENT_ORG_NAME AS ORGANIZATION_NAME,
    SUPPLIER,
    SUM(STOCK_GENERAL_STORE) AS STOCK_GENERAL_STORE,
    SUM(STOCK_SUP_SUB_INV) AS STOCK_WIP_SUB_INV,
    SUM(STOCK_GENERAL_STORE + STOCK_SUP_SUB_INV) AS TOTAL_AVAILABLE_STOCK
FROM 
    KPCL_REPORTING.DERIVED_PO_BOARD
WHERE 
    ITEM_CODE LIKE '%{item_code}%'
    AND SUPPLIER LIKE  '%{supplier}%' AND REQ_QTY_MONTH = UPPER(TO_CHAR(SYSDATE, 'MON-YYYY'))
GROUP BY 
    ITEM_CODE,
    SHIPMENT_ORG_NAME,
    SUPPLIER;</t>
  </si>
  <si>
    <t>item_code,supplier</t>
  </si>
  <si>
    <t>production and utilization for machine resource code during week period</t>
  </si>
  <si>
    <t>SELECT 
    RESOURCE_CODE,
    RESOURCE_DESC,
    SUM(NVL(TOTAL_QUANTITY, 0)) AS TOTAL_PRODUCTION_QUANTITY,
    SUM(NVL(STD_PRODUCTION, 0)) AS STANDARD_PRODUCTION_OUTPUT,
    ROUND(AVG(NVL(EFFECTIVE_UTILIZATION, 0)), 2) AS AVG_EFFECTIVE_UTILIZATION
FROM 
    KPCL_REPORTING.KPC_FK_DOCKET_IDLE_REPORT
WHERE 
    RESOURCE_CODE LIKE '%{resource_code}%'
    AND (
        WEEK_PERIOD LIKE '%{week_period}%'
             )
AND (IDLE_REASON) LIKE ('Operator Absent')
GROUP BY 
    RESOURCE_CODE,
    RESOURCE_DESC;</t>
  </si>
  <si>
    <t>View lead time for supplier {supplier}, item_code {item_code}, and buyer {buyer}.</t>
  </si>
  <si>
    <t>Show lead time for /supplier {supplier}, /item_code {item_code}, and /buyer {buyer}.</t>
  </si>
  <si>
    <t>lead time for supplier , item code , and buyer</t>
  </si>
  <si>
    <t>Show production and utilization for machine resource_code {resource_code} during year_period {year_period}.</t>
  </si>
  <si>
    <t>Show production and utilization for machine /resource_code {resource_code} during /year_period {year_period}.</t>
  </si>
  <si>
    <t>SELECT 
    SUPPLIER,
    ITEM_CODE,
    BUYER_NAME,
    AVG(LEAD_TIME) AS AVERAGE_LEAD_TIME
FROM 
    KPCL_REPORTING.DERIVED_PO_BOARD
WHERE 
    SUPPLIER LIKE '%{supplier}%'
    AND ITEM_CODE LIKE '%{item_code}%'
    AND BUYER_NAME LIKE '%{buyer}%' AND REQ_QTY_MONTH = UPPER(TO_CHAR(SYSDATE, 'MON-YYYY'))
GROUP BY 
    SUPPLIER,
    ITEM_CODE,
    BUYER_NAME;</t>
  </si>
  <si>
    <t>production and utilization for machine resource code during year period</t>
  </si>
  <si>
    <t>SELECT 
    RESOURCE_CODE,
    RESOURCE_DESC,
    SUM(NVL(TOTAL_QUANTITY, 0)) AS TOTAL_PRODUCTION_QUANTITY,
    SUM(NVL(STD_PRODUCTION, 0)) AS STANDARD_PRODUCTION_OUTPUT,
    ROUND(AVG(NVL(EFFECTIVE_UTILIZATION, 0)), 2) AS AVG_EFFECTIVE_UTILIZATION
FROM 
    KPCL_REPORTING.KPC_FK_DOCKET_IDLE_REPORT
WHERE 
    RESOURCE_CODE LIKE '%{resource_code}%'
    AND (
        YEAR_PERIOD LIKE '%{year_period}%'
             )
AND (IDLE_REASON) LIKE ('Operator Absent')
GROUP BY 
    RESOURCE_CODE,
    RESOURCE_DESC;</t>
  </si>
  <si>
    <t>Show pending ASN for supplier {supplier}, item_code {item_code}.</t>
  </si>
  <si>
    <t>Show pending ASN for /supplier {supplier}, /item_code {item_code}.</t>
  </si>
  <si>
    <t>pending ASN for supplier , item code</t>
  </si>
  <si>
    <t>Show utilization and downtime for machine resource_code {resource_code}.</t>
  </si>
  <si>
    <t>Show utilization and downtime for machine /resource_code {resource_code}.</t>
  </si>
  <si>
    <t>SELECT 
    SUPPLIER,
    ITEM_CODE,
    SHIPMENT_ORG_NAME AS ORGANIZATION_NAME,
    SUM(CASE WHEN REGEXP_LIKE(PENDING_ASN, '^[0-9]+(\.[0-9]+)?$') THEN TO_NUMBER(PENDING_ASN) ELSE 0 END) AS TOTAL_PENDING_ASN
FROM 
    KPCL_REPORTING.DERIVED_PO_BOARD
WHERE 
    SUPPLIER LIKE '%{supplier}%'
    AND ITEM_CODE LIKE '%{item_code}%' AND REQ_QTY_MONTH = UPPER(TO_CHAR(SYSDATE, 'MON-YYYY'))
GROUP BY 
    SUPPLIER,
    ITEM_CODE,
    SHIPMENT_ORG_NAME;</t>
  </si>
  <si>
    <t>utilization and downtime for machine resource code</t>
  </si>
  <si>
    <t>SELECT 
    RESOURCE_CODE,
    MAX(RESOURCE_DESC) AS MACHINE_NAME,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UTILIZATION_PERCENTAGE,
    SUM(
        NVL(SETTING_TIME, 0) + 
        NVL(MAINTAINCE_DOCKET_TIME, 0) + 
        NVL(REWORK_DOCKET_TIME, 0) + 
        NVL(MEASURED, 0) + 
        NVL(MISCELLANEOUS_DOCKET_TIME, 0)
    ) AS TOTAL_DOWNTIME_HOURS,
    SUM(NVL(MAINTAINCE_DOCKET_TIME, 0)) AS MAINTENANCE_HOURS,
    SUM(NVL(SETTING_TIME, 0)) AS SETUP_SETTING_HOURS,
    SUM(NVL(REWORK_DOCKET_TIME, 0)) AS REWORK_HOURS,
    SUM(NVL(MEASURED, 0)) AS INSPECTION_HOURS,
    SUM(NVL(MISCELLANEOUS_DOCKET_TIME, 0)) AS MISCELLANEOUS_HOURS
FROM 
    KPCL_REPORTING.KPC_FK_DOCKET_IDLE_REPORT
WHERE 
   RESOURCE_CODE LIKE '%{resource_code}%'
AND (IDLE_REASON) LIKE ('Operator Absent')
GROUP BY 
    RESOURCE_CODE;</t>
  </si>
  <si>
    <t>Show purchase quantity for customer {customer}, supplier {supplier}, and product_model {product_model}.</t>
  </si>
  <si>
    <t>Show incentive for employee {employee} in employee_department {employee_department} during month_period {month_period}.</t>
  </si>
  <si>
    <t>Show purchase quantity for /customer {customer}, /supplier {supplier}, and /product_model {product_model}.</t>
  </si>
  <si>
    <t>purchase quantity for customer , supplier , and product model</t>
  </si>
  <si>
    <t>Show incentive for /employee {employee} in /employee_department {employee_department} during /month_period {month_period}.</t>
  </si>
  <si>
    <t>Show production and rejection for machine resource_code {resource_code}.</t>
  </si>
  <si>
    <t>incentive for employee in employee department during month period</t>
  </si>
  <si>
    <t>SELECT 
    CUSTOMER,
    SUPPLIER,
    MODEL,
    SUM(CASE WHEN REGEXP_LIKE(TOTAL_DEMAND, '^[0-9]+(\.[0-9]+)?$') THEN TO_NUMBER(TOTAL_DEMAND) ELSE 0 END) AS TOTAL_PURCHASE_QUANTITY
FROM 
    KPCL_REPORTING.DERIVED_PO_BOARD
WHERE 
    CUSTOMER LIKE '%{customer}%'
    AND SUPPLIER LIKE '%{supplier}%'
    AND MODEL LIKE '%{product_model}%' AND REQ_QTY_MONTH = UPPER(TO_CHAR(SYSDATE, 'MON-YYYY'))
GROUP BY 
    CUSTOMER,
    SUPPLIER,
    MODEL;</t>
  </si>
  <si>
    <t>Show production and rejection for machine /resource_code {resource_code}.</t>
  </si>
  <si>
    <t>customer, supplier, product_model</t>
  </si>
  <si>
    <t>production and rejection for machine resource code</t>
  </si>
  <si>
    <t>SELECT 
    MONTH_PERIOD,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(EMP_DEPT) LIKE ('%{employee_department}%')
    AND (MONTH_PERIOD) LIKE ('%{month_period }%')
GROUP BY 
    MONTH_PERIOD,
    TNO,
    ENAME,
    EMP_ORG_NAME,
    EMP_DEPT,
    SUPV_NAME
ORDER BY 
    MONTH_PERIOD DESC;</t>
  </si>
  <si>
    <t>SELECT 
    RESOURCE_CODE,
    MAX(RESOURCE_DESC) AS MACHINE_NAME,
    SUM(NVL(OPERATION_TIME, 0)) AS TOTAL_PRODUCTION_HOURS,
    SUM(NVL(QUANTITY_REJ_MACHINE, 0)) AS TOTAL_REJECTED_QUANTITY
FROM 
    KPCL_REPORTING.KPC_FK_DOCKET_IDLE_REPORT
WHERE 
   RESOURCE_CODE LIKE '%{resource_code}%'
AND (IDLE_REASON) LIKE ('Operator Absent')
GROUP BY 
    RESOURCE_CODE;</t>
  </si>
  <si>
    <t xml:space="preserve">employee, employee_department, month_period </t>
  </si>
  <si>
    <t>Display PO value for item_code {item_code}, supplier {supplier}, and customer {customer}.</t>
  </si>
  <si>
    <t>Show PO value for /item_code {item_code}, /supplier {supplier}, and /customer {customer}.</t>
  </si>
  <si>
    <t>PO value for item code , supplier , and customer</t>
  </si>
  <si>
    <t>View KPI summary for machine resource_code {resource_code}.</t>
  </si>
  <si>
    <t>SELECT 
    ITEM_CODE,
    SUPPLIER,
    CUSTOMER,
    SUM(DUE_AMT) AS TOTAL_DUE_AMOUNT
FROM 
    KPCL_REPORTING.DERIVED_PO_BOARD
WHERE 
    ITEM_CODE LIKE '%{item_code}%'
    AND SUPPLIER LIKE '%{supplier}%'
    AND CUSTOMER LIKE '%{customer}%' AND REQ_QTY_MONTH = UPPER(TO_CHAR(SYSDATE, 'MON-YYYY'))
GROUP BY 
    ITEM_CODE,
    SUPPLIER,
    CUSTOMER;</t>
  </si>
  <si>
    <t>Show KPI summary for machine /resource_code {resource_code}.</t>
  </si>
  <si>
    <t>item_code, supplier, customer</t>
  </si>
  <si>
    <t>KPI summary for machine resource code</t>
  </si>
  <si>
    <t>Show incentive for employee {employee} under incentive_scheme {incentive_scheme}.</t>
  </si>
  <si>
    <t>Show incentive for /employee {employee} under /incentive_scheme {incentive_scheme}.</t>
  </si>
  <si>
    <t>SELECT 
    RESOURCE_CODE,
    MAX(RESOURCE_DESC) AS MACHINE_NAME,
    MAX(ORG_NAME) AS ORGANIZATION,
    MAX(DIV_CODE) AS DIVISION,
    SUM(NVL(AVAILABLE_TIME, 0)) AS TOTAL_CAPACITY_HOURS,
    SUM(NVL(OPERATION_TIME, 0)) AS PRODUCTIVE_HOURS,
    CASE 
        WHEN SUM(NVL(AVAILABLE_TIME, 0)) &gt; 0 
        THEN ROUND((SUM(NVL(OPERATION_TIME, 0)) / SUM(NVL(AVAILABLE_TIME, 0))) * 100, 2)
        ELSE 0 
    END AS MACHINE_UTILIZATION_RATE,
    SUM(NVL(MAINTAINCE_DOCKET_TIME, 0)) AS MAINTENANCE_LOSS_HOURS,
    SUM(NVL(SETTING_TIME, 0)) AS SETUP_SETTING_HOURS,
    SUM(NVL(REWORK_DOCKET_TIME, 0)) AS REWORK_LOSS_HOURS,
    SUM(NVL(MEASURED, 0)) AS INSPECTION_HOURS,
    SUM(NVL(DEVELOPMENT_DOCKET_TIME, 0)) AS DEVELOPMENT_HOURS,
    SUM(NVL(JOBWORK_DOCKET_TIME, 0)) AS JOBWORK_HOURS,
    SUM(NVL(MISCELLANEOUS_DOCKET_TIME, 0)) AS MISC_DOWNTIME_HOURS,
    SUM(NVL(QUANTITY_REJ_MACHINE, 0)) AS TOTAL_REJECTIONS
FROM 
    KPCL_REPORTING.KPC_FK_DOCKET_IDLE_REPORT
WHERE 
   RESOURCE_CODE LIKE '%{resource_code}%'
AND (IDLE_REASON) LIKE ('Operator Absent')
GROUP BY 
    RESOURCE_CODE;</t>
  </si>
  <si>
    <t>incentive for employee under incentive scheme</t>
  </si>
  <si>
    <t>SELECT 
    PERIOD_NAME,
    TNO,
    ENAME,
    EMP_ORG_NAME,
    EMP_DEPT,
    SUPV_NAME,
    INCNSCHM AS INCENTIVE_SCHEME,
    SUM(TOTINCN) AS TOTAL_INCENTIVE,
    SUM(PRODBON) AS TOTAL_PRODUCTION_BONUS,
    SUM(EXGRT) AS TOTAL_EXTERNAL_GRATIA
FROM 
    KPCL_REPORTING.KPC_FULL_KIT_DOCKET_EMP
WHERE 
    (ENAME) LIKE ('%{employee}%')
    AND TO_CHAR(INCNSCHM) LIKE ('%{incentive_scheme}%')
GROUP BY 
    PERIOD_NAME,
    TNO,
    ENAME,
    EMP_ORG_NAME,
    EMP_DEPT,
    SUPV_NAME,
    INCNSCHM
ORDER BY 
    PERIOD_NAME DESC;</t>
  </si>
  <si>
    <t>View KPI summary for div_code {div_code}.</t>
  </si>
  <si>
    <t>Show KPI summary for /div_code {div_code}.</t>
  </si>
  <si>
    <t>KPI summary for div code</t>
  </si>
  <si>
    <t>SELECT 
    DIV_CODE,
    SUM(NVL(AVAILABLE_TIME, 0)) AS TOTAL_CAPACITY_HOURS,
    SUM(NVL(OPERATION_TIME, 0)) AS PRODUCTIVE_HOURS,
    CASE 
        WHEN SUM(NVL(AVAILABLE_TIME, 0)) &gt; 0 
        THEN ROUND((SUM(NVL(OPERATION_TIME, 0)) / SUM(NVL(AVAILABLE_TIME, 0))) * 100, 2)
        ELSE 0 
    END AS DIVISION_UTILIZATION_RATE,
    SUM(NVL(MAINTAINCE_DOCKET_TIME, 0)) AS MAINTENANCE_LOSS_HOURS,
    SUM(NVL(SETTING_TIME, 0)) AS SETUP_SETTING_HOURS,
    SUM(NVL(REWORK_DOCKET_TIME, 0)) AS REWORK_LOSS_HOURS,
    SUM(NVL(MEASURED, 0)) AS INSPECTION_HOURS,
    SUM(NVL(DEVELOPMENT_DOCKET_TIME, 0)) AS DEVELOPMENT_HOURS,
    SUM(NVL(JOBWORK_DOCKET_TIME, 0)) AS JOBWORK_HOURS,
    SUM(NVL(MISCELLANEOUS_DOCKET_TIME, 0)) AS MISC_DOWNTIME_HOURS,
    SUM(NVL(QUANTITY_REJ_MACHINE, 0)) AS TOTAL_REJECTIONS
FROM 
    KPCL_REPORTING.KPC_FK_DOCKET_IDLE_REPORT
WHERE 
    DIV_CODE LIKE '%{div_code}%'
AND (IDLE_REASON) LIKE ('Operator Absent')
GROUP BY 
    DIV_CODE;</t>
  </si>
  <si>
    <t>Show machine performance dashboard for machine resource_code {resource_code}.</t>
  </si>
  <si>
    <t>Show machine performance dashboard for machine /resource_code {resource_code}.</t>
  </si>
  <si>
    <t>machine performance dashboard for machine resource code</t>
  </si>
  <si>
    <t>SELECT 
    RESOURCE_CODE,
    MAX(RESOURCE_DESC) AS MACHINE_NAME,
    MAX(ORG_NAME) AS ASSIGNED_ORGANIZATION,
    MAX(DIV_CODE) AS DIVISION_CODE,
    SUM(NVL(AVAILABLE_TIME, 0)) AS TOTAL_AVAILABLE_HOURS,
    SUM(NVL(OPERATION_TIME, 0)) AS ACTIVE_PRODUCTION_HOURS,
    CASE 
        WHEN SUM(NVL(AVAILABLE_TIME, 0)) &gt; 0 
        THEN ROUND((SUM(NVL(OPERATION_TIME, 0)) / SUM(NVL(AVAILABLE_TIME, 0))) * 100, 2)
        ELSE 0 
    END AS MACHINE_UTILIZATION_PCT,
    SUM(NVL(SETTING_TIME, 0)) AS SETUP_SETTING_HOURS,
    SUM(NVL(MAINTAINCE_DOCKET_TIME, 0)) AS MAINTENANCE_DOWNTIME_HOURS,
    SUM(NVL(MEASURED, 0)) AS QUALITY_INSPECTION_HOURS,
    SUM(NVL(MISCELLANEOUS_DOCKET_TIME, 0)) AS MISCELLANEOUS_HOURS,
    SUM(NVL(REWORK_DOCKET_TIME, 0)) AS REWORK_RUN_HOURS,
    SUM(NVL(DEVELOPMENT_DOCKET_TIME, 0)) AS R_D_DEVELOPMENT_HOURS,
    SUM(NVL(JOBWORK_DOCKET_TIME, 0)) AS EXTERNAL_JOBWORK_HOURS,
    SUM(NVL(QUANTITY_REJ_MACHINE, 0)) AS PIECES_REJECTED
FROM 
    KPCL_REPORTING.KPC_FK_DOCKET_IDLE_REPORT
WHERE 
   RESOURCE_CODE LIKE '%{resource_code}%'
AND (IDLE_REASON) LIKE ('Operator Absent')
GROUP BY 
    RESOURCE_CODE;</t>
  </si>
  <si>
    <t>Show overall shop floor performance.</t>
  </si>
  <si>
    <t>overall shop floor performance</t>
  </si>
  <si>
    <t>SELECT 
    SUM(NVL(AVAILABLE_TIME, 0)) AS TOTAL_AVAILABLE_HOURS,
    SUM(NVL(OPERATION_TIME, 0)) AS TOTAL_PRODUCTION_HOURS,
    CASE 
        WHEN SUM(NVL(AVAILABLE_TIME, 0)) &gt; 0 
        THEN ROUND((SUM(NVL(OPERATION_TIME, 0)) / SUM(NVL(AVAILABLE_TIME, 0))) * 100, 2)
        ELSE 0 
    END AS SHOP_FLOOR_UTILIZATION_PCT,
    SUM(NVL(QUANTITY_REJ_MACHINE, 0)) AS TOTAL_REJECTED_QUANTITY,
    SUM(NVL(MAINTAINCE_DOCKET_TIME, 0)) AS TOTAL_MAINTENANCE_HOURS,
    SUM(NVL(SETTING_TIME, 0)) AS TOTAL_SETTING_HOURS,
    SUM(NVL(REWORK_DOCKET_TIME, 0)) AS TOTAL_REWORK_HOURS,
    SUM(NVL(MEASURED, 0)) AS TOTAL_INSPECTION_HOURS,
    SUM(NVL(DEVELOPMENT_DOCKET_TIME, 0)) AS TOTAL_DEVELOPMENT_HOURS,
    SUM(NVL(JOBWORK_DOCKET_TIME, 0)) AS TOTAL_JOBWORK_HOURS,
    SUM(NVL(MISCELLANEOUS_DOCKET_TIME, 0)) AS TOTAL_MISCELLANEOUS_HOURS
FROM 
    KPCL_REPORTING.KPC_FK_DOCKET_IDLE_REPORT
WHERE (IDLE_REASON) LIKE ('Operator Absent');</t>
  </si>
  <si>
    <t>Show overall machine efficiency.</t>
  </si>
  <si>
    <t>overall machine efficiency</t>
  </si>
  <si>
    <t>SELECT 
    RESOURCE_CODE,
    RESOURCE_DESC,
    SUM(NVL(AVAILABLE_TIME, 0)) AS TOTAL_AVAILABLE_TIME,
    SUM(NVL(OPERATION_TIME, 0)) AS TOTAL_PRODUCTION_TIME,
    CASE 
        WHEN SUM(NVL(AVAILABLE_TIME, 0)) &gt; 0 
        THEN ROUND((SUM(NVL(OPERATION_TIME, 0)) / SUM(NVL(AVAILABLE_TIME, 0))) * 100, 2)
        ELSE 0 
    END AS EFFICIENCY_PERCENTAGE,
    SUM(NVL(SETTING_TIME, 0)) AS TOTAL_SETTING_TIME,
    SUM(NVL(MAINTAINCE_DOCKET_TIME, 0)) AS TOTAL_MAINTENANCE_TIME,
    SUM(NVL(REWORK_DOCKET_TIME, 0)) AS TOTAL_REWORK_TIME,
    SUM(NVL(MEASURED, 0)) AS TOTAL_INSPECTION_TIME,
    SUM(NVL(MISCELLANEOUS_DOCKET_TIME, 0)) AS TOTAL_MISCELLANEOUS_TIME
FROM 
    KPCL_REPORTING.KPC_FK_DOCKET_IDLE_REPORT
WHERE (IDLE_REASON) LIKE ('Operator Absent')
GROUP BY 
    RESOURCE_CODE,
    RESOURCE_DESC
ORDER BY 
    EFFICIENCY_PERCENTAGE DESC;</t>
  </si>
  <si>
    <t>View manufacturing performance summary for fin_year {fin_year}.</t>
  </si>
  <si>
    <t>Show manufacturing performance summary for /fin_year {fin_year}.</t>
  </si>
  <si>
    <t>manufacturing performance summary for fin year</t>
  </si>
  <si>
    <t>SELECT 
    FIN_YEAR,
    SUM(NVL(AVAILABLE_TIME, 0)) AS TOTAL_AVAILABLE_TIME,
    SUM(NVL(OPERATION_TIME, 0)) AS TOTAL_PRODUCTION_TIME,
    CASE 
        WHEN SUM(NVL(AVAILABLE_TIME, 0)) &gt; 0 
        THEN ROUND((SUM(NVL(OPERATION_TIME, 0)) / SUM(NVL(AVAILABLE_TIME, 0))) * 100, 2)
        ELSE 0 
    END AS UTILIZATION_PERCENTAGE,
    SUM(NVL(SETTING_TIME, 0)) AS TOTAL_SETTING_TIME,
    SUM(NVL(MAINTAINCE_DOCKET_TIME, 0)) AS TOTAL_MAINTENANCE_TIME,
    SUM(NVL(REWORK_DOCKET_TIME, 0)) AS TOTAL_REWORK_TIME,
    SUM(NVL(MEASURED, 0)) AS TOTAL_INSPECTION_TIME,
    SUM(NVL(DEVELOPMENT_DOCKET_TIME, 0)) AS TOTAL_DEVELOPMENT_TIME,
    SUM(NVL(JOBWORK_DOCKET_TIME, 0)) AS TOTAL_JOBWORK_TIME,
    SUM(NVL(MISCELLANEOUS_DOCKET_TIME, 0)) AS TOTAL_MISCELLANEOUS_TIME,
    SUM(NVL(QUANTITY_REJ_MACHINE, 0)) AS TOTAL_REJECTIONS
FROM 
    KPCL_REPORTING.KPC_FK_DOCKET_IDLE_REPORT
WHERE 
    FIN_YEAR LIKE '%{fin_year}%'
AND (IDLE_REASON) LIKE ('Operator Absent')
GROUP BY 
    FIN_YEAR;</t>
  </si>
  <si>
    <t>View executive summary of machine utilization.</t>
  </si>
  <si>
    <t>Show executive summary of machine utilization.</t>
  </si>
  <si>
    <t>executive summary of machine utilization</t>
  </si>
  <si>
    <t>SELECT 
    SUM(NVL(AVAILABLE_TIME, 0)) AS TOTAL_AVAILABLE_HOURS,
    SUM(NVL(OPERATION_TIME, 0)) AS TOTAL_PRODUCTION_HOURS,
       CASE 
        WHEN SUM(NVL(AVAILABLE_TIME, 0)) &gt; 0 
        THEN ROUND((SUM(NVL(OPERATION_TIME, 0)) / SUM(NVL(AVAILABLE_TIME, 0))) * 100, 2)
        ELSE 0 
    END AS GLOBAL_UTILIZATION_PCT,
    SUM(NVL(SETTING_TIME, 0)) AS TOTAL_SETTING_HOURS,
    SUM(NVL(MAINTAINCE_DOCKET_TIME, 0)) AS TOTAL_MAINTENANCE_HOURS,
    SUM(NVL(REWORK_DOCKET_TIME, 0)) AS TOTAL_REWORK_HOURS,
    SUM(NVL(MEASURED, 0)) AS TOTAL_INSPECTION_HOURS,
    SUM(NVL(DEVELOPMENT_DOCKET_TIME, 0)) AS TOTAL_DEVELOPMENT_HOURS,
    SUM(NVL(JOBWORK_DOCKET_TIME, 0)) AS TOTAL_JOBWORK_HOURS,
    SUM(NVL(MISCELLANEOUS_DOCKET_TIME, 0)) AS TOTAL_MISCELLANEOUS_HOURS,
    SUM(NVL(QUANTITY_REJ_MACHINE, 0)) AS TOTAL_REJECT_QUANTITY
FROM 
    KPCL_REPORTING.KPC_FK_DOCKET_IDLE_REPORT
WHERE (IDLE_REASON) LIKE ('Operator Absent');</t>
  </si>
  <si>
    <t>Show machines with effective utilization below percentage {percentage} during month_period {month_period}.</t>
  </si>
  <si>
    <t>Show machines with effective utilization below /percentage {percentage} during /month_period {month_period}.</t>
  </si>
  <si>
    <t xml:space="preserve">machines with effective utilization below percentage during month period </t>
  </si>
  <si>
    <t>SELECT 
    RESOURCE_CODE,
    RESOURCE_DESC,
    AVG(NVL(EFFECTIVE_UTILIZATION, 0)) AS AVG_EFFECTIVE_UTILIZATION
FROM 
    KPCL_REPORTING.KPC_FK_DOCKET_IDLE_REPORT
WHERE 
    MONTH_PERIOD LIKE '%{month_period}%'           
AND (IDLE_REASON) LIKE ('Operator Absent')
GROUP BY 
    RESOURCE_CODE,
    RESOURCE_DESC
HAVING 
    AVG(NVL(EFFECTIVE_UTILIZATION, 0)) &lt; %{percentage}%
ORDER BY 
    AVG_EFFECTIVE_UTILIZATION ASC;</t>
  </si>
  <si>
    <t>month_period, percentage</t>
  </si>
  <si>
    <t>Show machines with effective utilization below percentage {percentage} during week_period {week_period}.</t>
  </si>
  <si>
    <t>Show machines with effective utilization below /percentage {percentage} during /week_period {week_period}.</t>
  </si>
  <si>
    <t xml:space="preserve">machines with effective utilization below percentage during week period </t>
  </si>
  <si>
    <t>SELECT 
    RESOURCE_CODE,
    RESOURCE_DESC,
    AVG(NVL(EFFECTIVE_UTILIZATION, 0)) AS AVG_EFFECTIVE_UTILIZATION
FROM 
    KPCL_REPORTING.KPC_FK_DOCKET_IDLE_REPORT
WHERE 
    WEEK_PERIOD LIKE '%{week_period}%'        
AND (IDLE_REASON) LIKE ('Operator Absent')   
GROUP BY 
    RESOURCE_CODE,
    RESOURCE_DESC
HAVING 
    AVG(NVL(EFFECTIVE_UTILIZATION, 0)) &lt; %{percentage}%
ORDER BY 
    AVG_EFFECTIVE_UTILIZATION ASC;</t>
  </si>
  <si>
    <t>week_period, percentage</t>
  </si>
  <si>
    <t>Show machines with effective utilization below percentage {percentage} during year_period {year_period}.</t>
  </si>
  <si>
    <t>Show machines with effective utilization below /percentage {percentage} during /year_period {year_period}.</t>
  </si>
  <si>
    <t xml:space="preserve">machines with effective utilization below percentage during year period </t>
  </si>
  <si>
    <t>SELECT 
    RESOURCE_CODE,
    RESOURCE_DESC,
    AVG(NVL(EFFECTIVE_UTILIZATION, 0)) AS AVG_EFFECTIVE_UTILIZATION
FROM 
    KPCL_REPORTING.KPC_FK_DOCKET_IDLE_REPORT
WHERE 
    YEAR_PERIOD LIKE '%{year_period}%'           
AND (IDLE_REASON) LIKE ('Operator Absent')
GROUP BY 
    RESOURCE_CODE,
    RESOURCE_DESC
HAVING 
    AVG(NVL(EFFECTIVE_UTILIZATION, 0)) &lt; %{percentage}%
ORDER BY 
    AVG_EFFECTIVE_UTILIZATION ASC;</t>
  </si>
  <si>
    <t>year_period, percentage</t>
  </si>
  <si>
    <t>View machines with performance index above performance_index {performance_index} during month_period {month_period}.</t>
  </si>
  <si>
    <t>View machines with performance index above /perfromance_index {performance_index} during /month_period {month_period}.</t>
  </si>
  <si>
    <t xml:space="preserve">machines with performance index above perfromance index  during month period 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</si>
  <si>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PERFORMANCE_INDEX
FROM 
    KPCL_REPORTING.KPC_FK_DOCKET_IDLE_REPORT
WHERE 
    MONTH_PERIOD LIKE '%{month_period}%'
AND (IDLE_REASON) LIKE ('Operator Absent')
GROUP BY 
    RESOURCE_CODE,
    RESOURCE_DESC
HAVING 
    CASE 
        WHEN SUM(NVL(WORKED, 0)) &gt; 0 
        THEN (SUM(NVL(TOTAL_QUANTITY, 0)) / SUM(NVL(WORKED, 0))) * 60 
        ELSE 0 
    END &gt; '{performance_index}'
ORDER BY 
    PERFORMANCE_INDEX DESC;</t>
  </si>
  <si>
    <t>month_period, performance_index</t>
  </si>
  <si>
    <t>View machines with performance index above performance_index {performance_index} during week_period {week_period}.</t>
  </si>
  <si>
    <t>View machines with performance index above /performance_index {performance_index} during /week_period {week_period}.</t>
  </si>
  <si>
    <t xml:space="preserve">machines with performance index above performance index during week period 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</si>
  <si>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PERFORMANCE_INDEX
FROM 
    KPCL_REPORTING.KPC_FK_DOCKET_IDLE_REPORT
WHERE 
    WEEK_PERIOD LIKE '%{week_period}%'
AND (IDLE_REASON) LIKE ('Operator Absent')
GROUP BY 
    RESOURCE_CODE,
    RESOURCE_DESC
HAVING 
    CASE 
        WHEN SUM(NVL(WORKED, 0)) &gt; 0 
        THEN (SUM(NVL(TOTAL_QUANTITY, 0)) / SUM(NVL(WORKED, 0))) * 60 
        ELSE 0 
    END &gt; '{performance_index}'
ORDER BY 
    PERFORMANCE_INDEX DESC;</t>
  </si>
  <si>
    <t>week_period, performance_index</t>
  </si>
  <si>
    <t>Show incentive under supervisor {supervisor} in employee_department {employee_department}.</t>
  </si>
  <si>
    <t>Show incentive under /supervisor {supervisor} in /employee_department {employee_department}.</t>
  </si>
  <si>
    <t>View machines with performance index above performance_index {performance_index} during year_period {year_period}.</t>
  </si>
  <si>
    <t>incentive under supervisor  in employee department</t>
  </si>
  <si>
    <t>View machines with performance index above /performance_index {performance_index} during /year_period {year_period}.</t>
  </si>
  <si>
    <t xml:space="preserve">machines with performance index above performance index during year period </t>
  </si>
  <si>
    <t>SELECT 
    PERIOD_NAME,
    SUPV_NAME,
    EMP_DEPT AS DEPARTMENT,
    EMP_ORG_NAME AS ORGANIZATION,
    SUM(TOTINCN) AS TOTAL_INCENTIVE,
    SUM(PRODBON) AS TOTAL_PRODUCTION_BONUS,
    SUM(EXGRT) AS TOTAL_EXTERNAL_GRATIA,
    COUNT(DISTINCT TNO) AS TOTAL_EMPLOYEES
FROM 
    KPCL_REPORTING.KPC_FULL_KIT_DOCKET_EMP
WHERE 
    (SUPV_NAME) LIKE ('%{supervisor}%')
    AND (EMP_DEPT) LIKE ('%{employee_department}%')
GROUP BY 
    PERIOD_NAME,
    SUPV_NAME,
    EMP_DEPT,
    EMP_ORG_NAME
ORDER BY 
    PERIOD_NAME DESC,
    TOTAL_INCENTIVE DESC;</t>
  </si>
  <si>
    <t>SELECT 
    RESOURCE_CODE,
    RESOURCE_DESC,
    SUM(NVL(TOTAL_QUANTITY, 0)) AS TOTAL_PRODUCTION,
    SUM(NVL(WORKED, 0)) AS TOTAL_WORKED_MINUTES,
    ROUND(CASE 
        WHEN SUM(NVL(WORKED, 0)) &gt; 0 
        THEN (SUM(NVL(TOTAL_QUANTITY, 0)) / SUM(NVL(WORKED, 0))) * 60 
        ELSE 0 
    END, 2) AS PERFORMANCE_INDEX
FROM 
    KPCL_REPORTING.KPC_FK_DOCKET_IDLE_REPORT
WHERE 
    YEAR_PERIOD LIKE '%{year_period}%'
AND (IDLE_REASON) LIKE ('Operator Absent')
GROUP BY 
    RESOURCE_CODE,
    RESOURCE_DESC
HAVING 
    CASE 
        WHEN SUM(NVL(WORKED, 0)) &gt; 0 
        THEN (SUM(NVL(TOTAL_QUANTITY, 0)) / SUM(NVL(WORKED, 0))) * 60 
        ELSE 0 
    END &gt; '{performance_index}'
ORDER BY 
    PERFORMANCE_INDEX DESC;</t>
  </si>
  <si>
    <t>year_period, performance_index</t>
  </si>
  <si>
    <t>Display production and idle time for machine resource_code {resource_code} during month_period {month_period}.</t>
  </si>
  <si>
    <t>Display production and idle time for machine /resource_code {resource_code} during /month_period {month_period}.</t>
  </si>
  <si>
    <t xml:space="preserve">production and idle time for machine resource code during month period </t>
  </si>
  <si>
    <t>SELECT 
    RESOURCE_CODE,
    RESOURCE_DESC,
    SUM(NVL(TOTAL_QUANTITY, 0)) AS TOTAL_PRODUCTION,
    SUM(NVL(AVAILABLE_TIME, 0) - NVL(WORKED, 0)) AS TOTAL_IDLE_MINUTES,
    ROUND(SUM(NVL(AVAILABLE_TIME, 0) - NVL(WORKED, 0)) / 60, 2) AS TOTAL_IDLE_HOURS
FROM 
    KPCL_REPORTING.KPC_FK_DOCKET_IDLE_REPORT
WHERE 
    RESOURCE_CODE LIKE '%{resource_code}%'
    AND MONTH_PERIOD LIKE '%{month_period}%'
AND (IDLE_REASON) LIKE ('Operator Absent')
GROUP BY 
    RESOURCE_CODE,
    RESOURCE_DESC;</t>
  </si>
  <si>
    <t>Display incentive under supervisor {supervisor}.</t>
  </si>
  <si>
    <t>Show incentive under /supervisor {supervisor}.</t>
  </si>
  <si>
    <t>incentive under supervisor</t>
  </si>
  <si>
    <t>SELECT 
    PERIOD_NAME,
    SUPV_NAME,
    EMP_ORG_NAME AS ORGANIZATION,
    EMP_DEPT AS DEPARTMENT,
    SUM(TOTINCN) AS TOTAL_INCENTIVE,
    SUM(PRODBON) AS TOTAL_PRODUCTION_BONUS,
    SUM(EXGRT) AS TOTAL_EXTERNAL_GRATIA,
    COUNT(DISTINCT TNO) AS TOTAL_EMPLOYEES
FROM 
    KPCL_REPORTING.KPC_FULL_KIT_DOCKET_EMP
WHERE 
    (SUPV_NAME) LIKE ('%{supervisor}%')
GROUP BY 
    PERIOD_NAME,
    SUPV_NAME,
    EMP_ORG_NAME,
    EMP_DEPT
ORDER BY 
    PERIOD_NAME DESC,
    TOTAL_INCENTIVE DESC;</t>
  </si>
  <si>
    <t>Display production and idle time for machine resource_code {resource_code} during week_period {week_period}.</t>
  </si>
  <si>
    <t>Display production and idle time for machine /resource_code {resource_code} during /week_period {week_period}.</t>
  </si>
  <si>
    <t xml:space="preserve">production and idle time for machine resource code  during week period </t>
  </si>
  <si>
    <t>SELECT 
    RESOURCE_CODE,
    RESOURCE_DESC,
    SUM(NVL(TOTAL_QUANTITY, 0)) AS TOTAL_PRODUCTION,
    SUM(NVL(AVAILABLE_TIME, 0) - NVL(WORKED, 0)) AS TOTAL_IDLE_MINUTES,
    ROUND(SUM(NVL(AVAILABLE_TIME, 0) - NVL(WORKED, 0)) / 60, 2) AS TOTAL_IDLE_HOURS
FROM 
    KPCL_REPORTING.KPC_FK_DOCKET_IDLE_REPORT
WHERE 
    RESOURCE_CODE LIKE '%{resource_code}%'
    AND WEEK_PERIOD LIKE '%{week_period}%'
AND (IDLE_REASON) LIKE ('Operator Absent')
GROUP BY 
    RESOURCE_CODE,
    RESOURCE_DESC;</t>
  </si>
  <si>
    <t>Display measured hours for employee {employee} in employee_department {employee_department}.</t>
  </si>
  <si>
    <t>Show measured hours for /employee {employee} in /employee_department {employee_department}.</t>
  </si>
  <si>
    <t>measured hours for employee in employee department</t>
  </si>
  <si>
    <t>SELECT 
    ENAME,
    EMP_ORG_NAME,
    EMP_DEPT,
    SUM(MEASURED) AS TOTAL_MEASURED_HOURS
FROM 
    KPCL_REPORTING.KPC_FULL_KIT_DOCKET_EMP
WHERE 
    (ENAME) LIKE ('%{employee}%')
    AND (EMP_DEPT) LIKE ('%{employee_department}%')
GROUP BY 
    ENAME,
    EMP_ORG_NAME,
    EMP_DEPT ;</t>
  </si>
  <si>
    <t>Display production and idle time for machine resource_code {resource_code} during year_period {year_period}.</t>
  </si>
  <si>
    <t>Display production and idle time for machine /resource_code {resource_code} during /year_period {year_period}.</t>
  </si>
  <si>
    <t>production and idle time for machine resource code during year period</t>
  </si>
  <si>
    <t>SELECT 
    RESOURCE_CODE,
    RESOURCE_DESC,
    SUM(NVL(TOTAL_QUANTITY, 0)) AS TOTAL_PRODUCTION,
    SUM(NVL(AVAILABLE_TIME, 0) - NVL(WORKED, 0)) AS TOTAL_IDLE_MINUTES,
    ROUND(SUM(NVL(AVAILABLE_TIME, 0) - NVL(WORKED, 0)) / 60, 2) AS TOTAL_IDLE_HOURS
FROM 
    KPCL_REPORTING.KPC_FK_DOCKET_IDLE_REPORT
WHERE 
    RESOURCE_CODE LIKE '%{resource_code}%'
    AND YEAR_PERIOD LIKE '%{year_period}%'
AND (IDLE_REASON) LIKE ('Operator Absent')
GROUP BY 
    RESOURCE_CODE,
    RESOURCE_DESC;</t>
  </si>
  <si>
    <t>Display worked time and operation time for machine resource_code {resource_code} during month_period {month_period}.</t>
  </si>
  <si>
    <t>Display worked time and operation time for machine /resource_code {resource_code} during /month_period {month_period}.</t>
  </si>
  <si>
    <t xml:space="preserve">worked time and operation time for machine resource code during month period </t>
  </si>
  <si>
    <t>SELECT 
    RESOURCE_CODE,
    RESOURCE_DESC,
    SUM(NVL(WORKED, 0)) AS TOTAL_WORKED_TIME,
    SUM(NVL(OPERATION_TIME, 0)) AS TOTAL_OPERATION_TIME
FROM 
    KPCL_REPORTING.KPC_FK_DOCKET_IDLE_REPORT
WHERE 
    RESOURCE_CODE LIKE '%{resource_code}%'
    AND MONTH_PERIOD LIKE '%{month_period}%'
GROUP BY 
    RESOURCE_CODE,
    RESOURCE_DESC;</t>
  </si>
  <si>
    <t>Display worked time and operation time for machine resource_code {resource_code} during week_period {week_period}.</t>
  </si>
  <si>
    <t>Display worked time and operation time for machine /resource_code {resource_code} during /week_period {week_period}.</t>
  </si>
  <si>
    <t xml:space="preserve">worked time and operation time for machine resource code during week period </t>
  </si>
  <si>
    <t>SELECT 
    RESOURCE_CODE,
    RESOURCE_DESC,
    SUM(NVL(WORKED, 0)) AS TOTAL_WORKED_TIME,
    SUM(NVL(OPERATION_TIME, 0)) AS TOTAL_OPERATION_TIME
FROM 
    KPCL_REPORTING.KPC_FK_DOCKET_IDLE_REPORT
WHERE 
    RESOURCE_CODE LIKE '%{resource_code}%'
    AND WEEK_PERIOD LIKE '%{week_period}%'
AND (IDLE_REASON) LIKE ('Operator Absent')
GROUP BY 
    RESOURCE_CODE,
    RESOURCE_DESC;</t>
  </si>
  <si>
    <t>Display worked time and operation time for machine resource_code {resource_code} during year_period {year_period}.</t>
  </si>
  <si>
    <t>Display worked time and operation time for machine /resource_code {resource_code} during /year_period {year_period}.</t>
  </si>
  <si>
    <t xml:space="preserve">worked time and operation time for machine resource code during year period </t>
  </si>
  <si>
    <t>SELECT 
    RESOURCE_CODE,
    RESOURCE_DESC,
    SUM(NVL(WORKED, 0)) AS TOTAL_WORKED_TIME,
    SUM(NVL(OPERATION_TIME, 0)) AS TOTAL_OPERATION_TIME
FROM 
    KPCL_REPORTING.KPC_FK_DOCKET_IDLE_REPORT
WHERE 
    RESOURCE_CODE LIKE '%{resource_code}%'
    AND YEAR_PERIOD LIKE '%{year_period}%'
AND (IDLE_REASON) LIKE ('Operator Absent')
GROUP BY 
    RESOURCE_CODE,
    RESOURCE_DESC;</t>
  </si>
  <si>
    <t>View available time and effective utilization for machine resource_code {resource_code}.</t>
  </si>
  <si>
    <t>Show available time and effective utilization for machine /resource_code {resource_code}.</t>
  </si>
  <si>
    <t>available time and effective utilization for machine resource code</t>
  </si>
  <si>
    <t>SELECT 
    RESOURCE_CODE,
    RESOURCE_DESC,
    SUM(NVL(AVAILABLE_TIME, 0)) AS TOTAL_AVAILABLE_TIME,
    ROUND(CASE 
        WHEN SUM(NVL(AVAILABLE_TIME, 0)) &gt; 0 
        THEN (SUM(NVL(WORKED, 0)) / SUM(NVL(AVAILABLE_TIME, 0))) * 100 
        ELSE 0 
    END, 2) AS EFFECTIVE_UTILIZATION
FROM 
    KPCL_REPORTING.KPC_FK_DOCKET_IDLE_REPORT
WHERE 
    RESOURCE_CODE LIKE '%{resource_code}%'
AND (IDLE_REASON) LIKE ('Operator Absent')
GROUP BY 
    RESOURCE_CODE,
    RESOURCE_DESC;</t>
  </si>
  <si>
    <t>Show machine resource_code {resource_code} production achievement during month_period {month_period}.</t>
  </si>
  <si>
    <t>Show machine /resource_code {resource_code} production achievement during /month_period {month_period}.</t>
  </si>
  <si>
    <t xml:space="preserve">machine resource code production achievement during month period </t>
  </si>
  <si>
    <t>SELECT 
    RESOURCE_CODE,
    RESOURCE_DESC,
    SUM(NVL(TOTAL_QUANTITY, 0)) AS TOTAL_PRODUCTION
FROM 
    KPCL_REPORTING.KPC_FK_DOCKET_IDLE_REPORT
WHERE 
    RESOURCE_CODE LIKE '%{resource_code}%'
    AND MONTH_PERIOD LIKE '%{month_period}%'
AND (IDLE_REASON) LIKE ('Operator Absent')
GROUP BY 
    RESOURCE_CODE,
    RESOURCE_DESC;</t>
  </si>
  <si>
    <t>Show machine resource_code {resource_code} production achievement during week_period {week_period}.</t>
  </si>
  <si>
    <t>Show machine /resource_code {resource_code} production achievement during /week_period {week_period}.</t>
  </si>
  <si>
    <t xml:space="preserve">machine resource code production achievement during week period </t>
  </si>
  <si>
    <t>SELECT 
    RESOURCE_CODE,
    RESOURCE_DESC,
    SUM(NVL(TOTAL_QUANTITY, 0)) AS TOTAL_PRODUCTION
FROM 
    KPCL_REPORTING.KPC_FK_DOCKET_IDLE_REPORT
WHERE 
    RESOURCE_CODE LIKE '%{resource_code}%'
    AND WEEK_PERIOD LIKE '%{week_period}%'
AND (IDLE_REASON) LIKE ('Operator Absent')
GROUP BY 
    RESOURCE_CODE,
    RESOURCE_DESC;</t>
  </si>
  <si>
    <t>Show machine resource_code {resource_code} production achievement during year_period {year_period}.</t>
  </si>
  <si>
    <t>Show machine /resource_code {resource_code} production achievement during /year_period {year_period}.</t>
  </si>
  <si>
    <t>machine resource code production achievement during year period</t>
  </si>
  <si>
    <t>SELECT 
    RESOURCE_CODE,
    RESOURCE_DESC,
    SUM(NVL(TOTAL_QUANTITY, 0)) AS TOTAL_PRODUCTION
FROM 
    KPCL_REPORTING.KPC_FK_DOCKET_IDLE_REPORT
WHERE 
    RESOURCE_CODE LIKE '%{resource_code}%'
    AND YEAR_PERIOD LIKE '%{year_period}%'
AND (IDLE_REASON) LIKE ('Operator Absent')
GROUP BY 
    RESOURCE_CODE,
    RESOURCE_DESC;</t>
  </si>
  <si>
    <t>Display maintenance time and idle time for machine resource_code {resource_code} during month _period {month_period}.</t>
  </si>
  <si>
    <t>Display maintenance time and idle time for machine /resource_code {resource_code} during /month _period {month_period}.</t>
  </si>
  <si>
    <t xml:space="preserve">maintenance time and idle time for machine resource code during month  period </t>
  </si>
  <si>
    <t>SELECT 
    RESOURCE_CODE,
    RESOURCE_DESC,
    SUM(NVL(MAINTAINCE_DOCKET_TIME, 0)) AS TOTAL_MAINTENANCE_TIME,
    SUM(NVL(TOTAL_IDLE, 0)) AS TOTAL_IDLE_TIME
FROM 
    KPCL_REPORTING.KPC_FK_DOCKET_IDLE_REPORT
WHERE 
    RESOURCE_CODE LIKE '%{resource_code}%'
    AND MONTH_PERIOD LIKE '%{month_period}%'
AND (IDLE_REASON) LIKE ('Operator Absent')
GROUP BY 
    RESOURCE_CODE,
    RESOURCE_DESC;</t>
  </si>
  <si>
    <t>Display maintenance time and idle time for machine resource_code {resource_code} during week_period {week_period}.</t>
  </si>
  <si>
    <t>Display maintenance time and idle time for machine /resource_code {resource_code} during /week_period {week_period}.</t>
  </si>
  <si>
    <t xml:space="preserve">maintenance time and idle time for machine resource code during week period </t>
  </si>
  <si>
    <t>Show performance index for employee_department {employee_department}.</t>
  </si>
  <si>
    <t>SELECT 
    RESOURCE_CODE,
    RESOURCE_DESC,
    SUM(NVL(MAINTAINCE_DOCKET_TIME, 0)) AS TOTAL_MAINTENANCE_TIME,
    SUM(NVL(TOTAL_IDLE, 0)) AS TOTAL_IDLE_TIME
FROM 
    KPCL_REPORTING.KPC_FK_DOCKET_IDLE_REPORT
WHERE 
    RESOURCE_CODE LIKE '%{resource_code}%'
    AND WEEK_PERIOD LIKE '%{week_period}%'
AND (IDLE_REASON) LIKE ('Operator Absent')
GROUP BY 
    RESOURCE_CODE,
    RESOURCE_DESC;</t>
  </si>
  <si>
    <t>SELECT 
    PERIOD_NAME,
    EMP_ORG_NAME AS ORGANIZATION,
    EMP_DEPT AS DEPARTMENT,
    AVG(PERFORMANCE_INDEX) AS AVG_PERFORMANCE_INDEX,
    COUNT(DISTINCT TNO) AS TOTAL_EMPLOYEES
FROM 
    KPCL_REPORTING.KPC_FULL_KIT_DOCKET_EMP
WHERE 
    (EMP_DEPT) LIKE ('%{employee_department}%')
GROUP BY 
    PERIOD_NAME,
    EMP_ORG_NAME,
    EMP_DEPT
ORDER BY 
    PERIOD_NAME DESC, 
    AVG_PERFORMANCE_INDEX DESC;</t>
  </si>
  <si>
    <t>Display maintenance time and idle time for machine resource_code {resource_code} during year period {year_period}.</t>
  </si>
  <si>
    <t>Display maintenance time and idle time for machine /resource_code {resource_code} during /year period {year_period}.</t>
  </si>
  <si>
    <t xml:space="preserve">maintenance time and idle time for machine resource code during year period </t>
  </si>
  <si>
    <t>SELECT 
    RESOURCE_CODE,
    RESOURCE_DESC,
    SUM(NVL(MAINTAINCE_DOCKET_TIME, 0)) AS TOTAL_MAINTENANCE_TIME,
    SUM(NVL(TOTAL_IDLE, 0)) AS TOTAL_IDLE_TIME
FROM 
    KPCL_REPORTING.KPC_FK_DOCKET_IDLE_REPORT
WHERE 
    RESOURCE_CODE LIKE '%{resource_code}%'
    AND YEAR_PERIOD LIKE '%{year_period}%'
AND (IDLE_REASON) LIKE ('Operator Absent')
GROUP BY 
    RESOURCE_CODE,
    RESOURCE_DESC;</t>
  </si>
  <si>
    <t>Show performance index for employee {employee} during month_period {month_period}.</t>
  </si>
  <si>
    <t>Show performance index for /employee {employee} during /month_period {month_period}.</t>
  </si>
  <si>
    <t>performance index for employee during month period</t>
  </si>
  <si>
    <t>SELECT 
    MONTH_PERIOD,
    TNO,
    ENAME,
    EMP_ORG_NAME,
    EMP_DEPT,
    SUPV_NAME,
    AVG(PERFORMANCE_INDEX) AS AVG_PERFORMANCE_INDEX
FROM 
    KPCL_REPORTING.KPC_FULL_KIT_DOCKET_EMP
WHERE 
    (ENAME) LIKE ('%{employee}%')
    AND (MONTH_PERIOD) LIKE ('%{month_period}%')
GROUP BY 
    MONTH_PERIOD,
    TNO,
    ENAME,
    EMP_ORG_NAME,
    EMP_DEPT,
    SUPV_NAME
ORDER BY 
    MONTH_PERIOD DESC;</t>
  </si>
  <si>
    <t>Show rejection quantity and production quantity for machine resource_code {resource_code} during month_period {month_period}.</t>
  </si>
  <si>
    <t>Show rejection quantity and production quantity for machine /resource_code {resource_code} during /month_period {month_period}.</t>
  </si>
  <si>
    <t xml:space="preserve">rejection quantity and production quantity for machine resource code during month period </t>
  </si>
  <si>
    <t>SELECT 
    RESOURCE_CODE,
    RESOURCE_DESC,
    SUM(NVL(QUANTITY_REJ_MACHINE, 0) + NVL(QUANTITY_REJ_MATERIAL, 0)) AS TOTAL_REJECTION_QUANTITY,
    SUM(NVL(TOTAL_QUANTITY, 0)) AS TOTAL_PRODUCTION_QUANTITY
FROM 
    KPCL_REPORTING.KPC_FK_DOCKET_IDLE_REPORT
WHERE 
    RESOURCE_CODE LIKE '%{resource_code}%'
    AND MONTH_PERIOD LIKE '%{month_period}%'
AND (IDLE_REASON) LIKE ('Operator Absent')
GROUP BY 
    RESOURCE_CODE,
    RESOURCE_DESC;</t>
  </si>
  <si>
    <t>Show rejection quantity and production quantity for machine resource_code {resource_code} during week_period {week_period}.</t>
  </si>
  <si>
    <t>Show rejection quantity and production quantity for machine /resource_code {resource_code} during /week_period {week_period}.</t>
  </si>
  <si>
    <t xml:space="preserve">rejection quantity and production quantity for machine resource code during week period </t>
  </si>
  <si>
    <t>SELECT 
    RESOURCE_CODE,
    RESOURCE_DESC,
    SUM(NVL(QUANTITY_REJ_MACHINE, 0) + NVL(QUANTITY_REJ_MATERIAL, 0)) AS TOTAL_REJECTION_QUANTITY,
    SUM(NVL(TOTAL_QUANTITY, 0)) AS TOTAL_PRODUCTION_QUANTITY
FROM 
    KPCL_REPORTING.KPC_FK_DOCKET_IDLE_REPORT
WHERE 
    RESOURCE_CODE LIKE '%{resource_code}%'
    AND WEEK_PERIOD LIKE '%{week_period}%'
AND (IDLE_REASON) LIKE ('Operator Absent')
GROUP BY 
    RESOURCE_CODE,
    RESOURCE_DESC;</t>
  </si>
  <si>
    <t>Show rejection quantity and production quantity for machine resource_code {resource_code} during year_period {year_period}.</t>
  </si>
  <si>
    <t>Show rejection quantity and production quantity for machine /resource_code {resource_code} during /year_period {year_period}.</t>
  </si>
  <si>
    <t xml:space="preserve">rejection quantity and production quantity for machine resource code during year period </t>
  </si>
  <si>
    <t>SELECT 
    RESOURCE_CODE,
    RESOURCE_DESC,
    SUM(NVL(QUANTITY_REJ_MACHINE, 0) + NVL(QUANTITY_REJ_MATERIAL, 0)) AS TOTAL_REJECTION_QUANTITY,
    SUM(NVL(TOTAL_QUANTITY, 0)) AS TOTAL_PRODUCTION_QUANTITY
FROM 
    KPCL_REPORTING.KPC_FK_DOCKET_IDLE_REPORT
WHERE 
    RESOURCE_CODE LIKE '%{resource_code}%'
    AND YEAR_PERIOD LIKE '%{year_period}%'
AND (IDLE_REASON) LIKE ('Operator Absent')
GROUP BY 
    RESOURCE_CODE,
    RESOURCE_DESC;</t>
  </si>
  <si>
    <t>View operation time and setup time for machine resource_code {resource_code} during month_period {month_period}.</t>
  </si>
  <si>
    <t>View operation time and setup time for machine /resource_code {resource_code} during /month_period {month_period}.</t>
  </si>
  <si>
    <t xml:space="preserve">operation time and setup time for machine resource code during month period </t>
  </si>
  <si>
    <t>SELECT 
    RESOURCE_CODE,
    RESOURCE_DESC,
    SUM(NVL(OPERATION_TIME, 0)) AS TOTAL_OPERATION_TIME,
    SUM(NVL(SETTING_TIME, 0)) AS TOTAL_SETUP_TIME
FROM 
    KPCL_REPORTING.KPC_FK_DOCKET_IDLE_REPORT
WHERE 
    RESOURCE_CODE LIKE '%{resource_code}%'
    AND MONTH_PERIOD LIKE '%{month_period}%'
AND (IDLE_REASON) LIKE ('Operator Absent')
GROUP BY 
    RESOURCE_CODE,
    RESOURCE_DESC;</t>
  </si>
  <si>
    <t>View operation time and setup time for machine resource_code {resource_code} during week_period {week_period}.</t>
  </si>
  <si>
    <t>View operation time and setup time for machine /resource_code {resource_code} during /week_period {week_period}.</t>
  </si>
  <si>
    <t xml:space="preserve">operation time and setup time for machine resource code during week period </t>
  </si>
  <si>
    <t>SELECT 
    RESOURCE_CODE,
    RESOURCE_DESC,
    SUM(NVL(OPERATION_TIME, 0)) AS TOTAL_OPERATION_TIME,
    SUM(NVL(SETTING_TIME, 0)) AS TOTAL_SETUP_TIME
FROM 
    KPCL_REPORTING.KPC_FK_DOCKET_IDLE_REPORT
WHERE 
    RESOURCE_CODE LIKE '%{resource_code}%'
    AND WEEK_PERIOD LIKE '%{week_period}%'
AND (IDLE_REASON) LIKE ('Operator Absent')
GROUP BY 
    RESOURCE_CODE,
    RESOURCE_DESC;</t>
  </si>
  <si>
    <t>View operation time and setup time for machine resource_code {resource_code} during year_period {year_period}.</t>
  </si>
  <si>
    <t>View operation time and setup time for machine /resource_code {resource_code} during /year_period {year_period}.</t>
  </si>
  <si>
    <t xml:space="preserve">operation time and setup time for machine resource code during year period </t>
  </si>
  <si>
    <t>SELECT 
    RESOURCE_CODE,
    RESOURCE_DESC,
    SUM(NVL(OPERATION_TIME, 0)) AS TOTAL_OPERATION_TIME,
    SUM(NVL(SETTING_TIME, 0)) AS TOTAL_SETUP_TIME
FROM 
    KPCL_REPORTING.KPC_FK_DOCKET_IDLE_REPORT
WHERE 
    RESOURCE_CODE LIKE '%{resource_code}%'
    AND YEAR_PERIOD LIKE '%{year_period}%'
AND (IDLE_REASON) LIKE ('Operator Absent')
GROUP BY 
    RESOURCE_CODE,
    RESOURCE_DESC;</t>
  </si>
  <si>
    <t>Display total dockets and production quantity for machine resource_code {resource_code}.</t>
  </si>
  <si>
    <t>Show total dockets and production quantity for machine /resource_code {resource_code}.</t>
  </si>
  <si>
    <t>total dockets and production quantity for machine resource code</t>
  </si>
  <si>
    <t>SELECT 
    RESOURCE_CODE,
    RESOURCE_DESC,
    SUM(NVL(TOTAL_DOCKETS, 0)) AS TOTAL_DOCKETS,
    SUM(NVL(TOTAL_QUANTITY, 0)) AS TOTAL_PRODUCTION_QUANTITY
FROM 
    KPCL_REPORTING.KPC_FK_DOCKET_IDLE_REPORT
WHERE 
    RESOURCE_CODE LIKE '%{resource_code}%'
AND (IDLE_REASON) LIKE ('Operator Absent')
GROUP BY 
    RESOURCE_CODE,
    RESOURCE_DESC;</t>
  </si>
  <si>
    <t>Display div_code {div_code} with the highest production during month_period {month_period}.</t>
  </si>
  <si>
    <t>Display /div_code {div_code} with the highest production during /month_period {month_period}.</t>
  </si>
  <si>
    <t xml:space="preserve">div code with the highest production during month period </t>
  </si>
  <si>
    <t>SELECT 
    DIV_CODE,
    SUM(NVL(TOTAL_QUANTITY, 0)) AS TOTAL_PRODUCTION
FROM 
    KPCL_REPORTING.KPC_FK_DOCKET_IDLE_REPORT
WHERE 
    DIV_CODE LIKE '%{div_code}%'
    AND MONTH_PERIOD LIKE '%{month_period}%'
AND (IDLE_REASON) LIKE ('Operator Absent')
GROUP BY 
    DIV_CODE
ORDER BY 
    TOTAL_PRODUCTION DESC;</t>
  </si>
  <si>
    <t>div_code, month_period</t>
  </si>
  <si>
    <t>Display div_code {div_code} with the highest production during week_period {week_period}.</t>
  </si>
  <si>
    <t>Display /div_code {div_code} with the highest production during /week_period {week_period}.</t>
  </si>
  <si>
    <t xml:space="preserve">div code with the highest production during week period </t>
  </si>
  <si>
    <t>SELECT 
    DIV_CODE,
    SUM(NVL(TOTAL_QUANTITY, 0)) AS TOTAL_PRODUCTION
FROM 
    KPCL_REPORTING.KPC_FK_DOCKET_IDLE_REPORT
WHERE 
    DIV_CODE LIKE '%{div_code}%'
    AND WEEK_PERIOD LIKE '%{week_period}%'
AND (IDLE_REASON) LIKE ('Operator Absent')
GROUP BY 
    DIV_CODE
ORDER BY 
    TOTAL_PRODUCTION DESC;</t>
  </si>
  <si>
    <t>div_code, week_period</t>
  </si>
  <si>
    <t>Display div_code {div_code} with the highest production during year_period {year_period}.</t>
  </si>
  <si>
    <t>Display /div_code {div_code} with the highest production during /year_period {year_period}.</t>
  </si>
  <si>
    <t xml:space="preserve">div code with the highest production during year period </t>
  </si>
  <si>
    <t>SELECT 
    DIV_CODE,
    SUM(NVL(TOTAL_QUANTITY, 0)) AS TOTAL_PRODUCTION
FROM 
    KPCL_REPORTING.KPC_FK_DOCKET_IDLE_REPORT
WHERE 
    DIV_CODE LIKE '%{div_code}%'
    AND YEAR_PERIOD LIKE '%{year_period}%'
AND (IDLE_REASON) LIKE ('Operator Absent')
GROUP BY 
    DIV_CODE
ORDER BY 
    TOTAL_PRODUCTION DESC;</t>
  </si>
  <si>
    <t>div_code, year_period</t>
  </si>
  <si>
    <t>Show div_code {div_code} with the highest idle time during month_period {month_period}.</t>
  </si>
  <si>
    <t>Show /div_code {div_code} with the highest idle time during /month_period {month_period}.</t>
  </si>
  <si>
    <t xml:space="preserve">div code with the highest idle time during month period </t>
  </si>
  <si>
    <t>SELECT 
    DIV_CODE,
    SUM(NVL(TOTAL_IDLE, 0)) AS TOTAL_IDLE_TIME
FROM 
    KPCL_REPORTING.KPC_FK_DOCKET_IDLE_REPORT
WHERE 
    DIV_CODE LIKE '%{div_code}%'
    AND MONTH_PERIOD LIKE '%{month_period}%'
AND (IDLE_REASON) LIKE ('Operator Absent')
GROUP BY 
    DIV_CODE
ORDER BY 
    TOTAL_IDLE_TIME DESC;</t>
  </si>
  <si>
    <t>Show div_code {div_code} with the highest idle time during week_period {week_period}.</t>
  </si>
  <si>
    <t>View performance index for employee {employee} during fin_year {fin_year}.</t>
  </si>
  <si>
    <t>Show /div_code {div_code} with the highest idle time during /week_period {week_period}.</t>
  </si>
  <si>
    <t>Show performance index for /employee {employee} during /fin_year {fin_year}.</t>
  </si>
  <si>
    <t xml:space="preserve">div code with the highest idle time during week period </t>
  </si>
  <si>
    <t>performance index for employee during fin year</t>
  </si>
  <si>
    <t>SELECT 
    DIV_CODE,
    SUM(NVL(TOTAL_IDLE, 0)) AS TOTAL_IDLE_TIME
FROM 
    KPCL_REPORTING.KPC_FK_DOCKET_IDLE_REPORT
WHERE 
    DIV_CODE LIKE '%{div_code}%'
    AND WEEK_PERIOD LIKE '%{week_period}%'
AND (IDLE_REASON) LIKE ('Operator Absent')
GROUP BY 
    DIV_CODE
ORDER BY 
    TOTAL_IDLE_TIME DESC;</t>
  </si>
  <si>
    <t>SELECT 
    PERIOD_NAME,
    TNO,
    ENAME,
    EMP_ORG_NAME,
    EMP_DEPT,
    SUPV_NAME,
    AVG(PERFORMANCE_INDEX) AS AVG_PERFORMANCE_INDEX
FROM 
    KPCL_REPORTING.KPC_FULL_KIT_DOCKET_EMP
WHERE 
    (ENAME) LIKE ('%{employee}%')
    AND (PERIOD_NAME) LIKE ('%{fin_year}%')
GROUP BY 
    PERIOD_NAME,
    TNO,
    ENAME,
    EMP_ORG_NAME,
    EMP_DEPT,
    SUPV_NAME
ORDER BY 
    PERIOD_NAME DESC;</t>
  </si>
  <si>
    <t>Show div_code {div_code} with the highest idle time during year_period {year_period}.</t>
  </si>
  <si>
    <t>Show /div_code {div_code} with the highest idle time during /year_period {year_period}.</t>
  </si>
  <si>
    <t xml:space="preserve">div code with the highest idle time during year period </t>
  </si>
  <si>
    <t>SELECT 
    DIV_CODE,
    SUM(NVL(TOTAL_IDLE, 0)) AS TOTAL_IDLE_TIME
FROM 
    KPCL_REPORTING.KPC_FK_DOCKET_IDLE_REPORT
WHERE 
    DIV_CODE LIKE '%{div_code}%'
    AND YEAR_PERIOD LIKE '%{year_period}%'
AND (IDLE_REASON) LIKE ('Operator Absent')
GROUP BY 
    DIV_CODE
ORDER BY 
    TOTAL_IDLE_TIME DESC;</t>
  </si>
  <si>
    <t>Display performance index for employee {employee} in employee_department {employee_department}.</t>
  </si>
  <si>
    <t>Show performance index for /employee {employee} in /employee_department {employee_department}.</t>
  </si>
  <si>
    <t>performance index for employee in employee department</t>
  </si>
  <si>
    <t>SELECT 
    PERIOD_NAME,
    TNO,
    ENAME,
    EMP_ORG_NAME,
    EMP_DEPT,
    SUPV_NAME,
    AVG(PERFORMANCE_INDEX) AS AVG_PERFORMANCE_INDEX
FROM 
    KPCL_REPORTING.KPC_FULL_KIT_DOCKET_EMP
WHERE 
    (ENAME) LIKE ('%{employee}%')
    AND (EMP_DEPT) LIKE ('%{employee_department}%')
GROUP BY 
    PERIOD_NAME,
    TNO,
    ENAME,
    EMP_ORG_NAME,
    EMP_DEPT,
    SUPV_NAME
ORDER BY 
    PERIOD_NAME DESC;</t>
  </si>
  <si>
    <t>Display performance index for employee {employee} under incentive_scheme {incentive_scheme}.</t>
  </si>
  <si>
    <t>Show performance index for /employee {employee} under /incentive_scheme {incentive_scheme}.</t>
  </si>
  <si>
    <t>Display average effective utilization of div_code {div_code}.</t>
  </si>
  <si>
    <t>performance index for employee under incentive scheme</t>
  </si>
  <si>
    <t>Show average effective utilization of /div_code {div_code}.</t>
  </si>
  <si>
    <t>average effective utilization of div code</t>
  </si>
  <si>
    <t>SELECT 
    PERIOD_NAME,
    TNO,
    ENAME,
    EMP_ORG_NAME,
    EMP_DEPT,
    SUPV_NAME,
    INCNSCHM AS INCENTIVE_SCHEME,
    AVG(PERFORMANCE_INDEX) AS AVG_PERFORMANCE_INDEX
FROM 
    KPCL_REPORTING.KPC_FULL_KIT_DOCKET_EMP
WHERE 
    (ENAME) LIKE ('%{employee}%')
    AND TO_CHAR(INCNSCHM) LIKE ('%{incentive_scheme}%')
GROUP BY 
    PERIOD_NAME,
    TNO,
    ENAME,
    EMP_ORG_NAME,
    EMP_DEPT,
    SUPV_NAME,
    INCNSCHM
ORDER BY 
    PERIOD_NAME DESC;</t>
  </si>
  <si>
    <t>SELECT 
    DIV_CODE,
    AVG(NVL(EFFECTIVE_UTILIZATION, 0)) AS AVG_EFFECTIVE_UTILIZATION
FROM 
    KPCL_REPORTING.KPC_FK_DOCKET_IDLE_REPORT
WHERE 
    DIV_CODE LIKE '%{div_code}%'
AND (IDLE_REASON) LIKE ('Operator Absent')
GROUP BY 
    DIV_CODE;</t>
  </si>
  <si>
    <t>Display performance index for employee {employee} under incentive_scheme {incentive_scheme} during month_period {month_period}.</t>
  </si>
  <si>
    <t>Show average performance index of div_code {div_code} during month_period {month_period}.</t>
  </si>
  <si>
    <t>Show performance index for /employee {employee} under /incentive_scheme {incentive_scheme} during /month_period {month_period}.</t>
  </si>
  <si>
    <t>Show average performance index of /div_code {div_code} during /month_period {month_period}.</t>
  </si>
  <si>
    <t>performance index for employee  under incentive scheme during month period</t>
  </si>
  <si>
    <t>average performance index of div code during month period</t>
  </si>
  <si>
    <t>SELECT 
    DIV_CODE,
    AVG(NVL(PERFORMANCE_INDEX, 0)) AS AVG_PERFORMANCE_INDEX
FROM 
    KPCL_REPORTING.KPC_FK_DOCKET_IDLE_REPORT
WHERE 
    DIV_CODE LIKE '%{div_code}%'
    AND MONTH_PERIOD LIKE '%{month_period}%'
AND (IDLE_REASON) LIKE ('Operator Absent')
GROUP BY 
    DIV_CODE;</t>
  </si>
  <si>
    <t>SELECT 
    MONTH_PERIOD,
    TNO,
    ENAME,
    EMP_ORG_NAME,
    EMP_DEPT,
    SUPV_NAME,
    INCNSCHM AS INCENTIVE_SCHEME,
    AVG(PERFORMANCE_INDEX) AS AVG_PERFORMANCE_INDEX
FROM 
    KPCL_REPORTING.KPC_FULL_KIT_DOCKET_EMP
WHERE 
    (ENAME) LIKE ('%{employee}%')
    AND TO_CHAR(INCNSCHM) LIKE ('%{incentive_scheme}%')
    AND (MONTH_PERIOD) LIKE ('%{month_period }%')
GROUP BY 
    MONTH_PERIOD,
    TNO,
    ENAME,
    EMP_ORG_NAME,
    EMP_DEPT,
    SUPV_NAME,
    INCNSCHM
ORDER BY 
    MONTH_PERIOD DESC;</t>
  </si>
  <si>
    <t xml:space="preserve">employee, incentive_scheme, month_period </t>
  </si>
  <si>
    <t>Display performance index for employee {employee}.</t>
  </si>
  <si>
    <t>Show average performance index of div_code {div_code} during week_period {week_period}.</t>
  </si>
  <si>
    <t>Show average performance index of /div_code {div_code} during /week_period {week_period}.</t>
  </si>
  <si>
    <t xml:space="preserve">performance index for employee </t>
  </si>
  <si>
    <t>average performance index of div code during week period</t>
  </si>
  <si>
    <t>SELECT 
    DIV_CODE,
    AVG(NVL(PERFORMANCE_INDEX, 0)) AS AVG_PERFORMANCE_INDEX
FROM 
    KPCL_REPORTING.KPC_FK_DOCKET_IDLE_REPORT
WHERE 
    DIV_CODE LIKE '%{div_code}%'
    AND WEEK_PERIOD LIKE '%{week_period}%'
AND (IDLE_REASON) LIKE ('Operator Absent')
GROUP BY 
    DIV_CODE;</t>
  </si>
  <si>
    <t>SELECT 
    PERIOD_NAME,
    TNO,
    ENAME,
    EMP_ORG_NAME,
    EMP_DEPT,
    SUPV_NAME,
    AVG(PERFORMANCE_INDEX) AS AVG_PERFORMANCE_INDEX
FROM 
    KPCL_REPORTING.KPC_FULL_KIT_DOCKET_EMP
WHERE 
    (ENAME) LIKE ('%{employee}%')
GROUP BY 
    PERIOD_NAME,
    TNO,
    ENAME,
    EMP_ORG_NAME,
    EMP_DEPT,
    SUPV_NAME
ORDER BY 
    PERIOD_NAME DESC;</t>
  </si>
  <si>
    <t>Show performance index for employee {employee} during month_period {month_period }.</t>
  </si>
  <si>
    <t>Show average performance index of div_code {div_code} during year_period {year_period}.</t>
  </si>
  <si>
    <t>Show performance index for /employee {employee} during /month_period {month_period }.</t>
  </si>
  <si>
    <t>Show average performance index of /div_code {div_code} during /year_period {year_period}.</t>
  </si>
  <si>
    <t>average performance index of div code during year period</t>
  </si>
  <si>
    <t>SELECT 
    DIV_CODE,
    AVG(NVL(PERFORMANCE_INDEX, 0)) AS AVG_PERFORMANCE_INDEX
FROM 
    KPCL_REPORTING.KPC_FK_DOCKET_IDLE_REPORT
WHERE 
    DIV_CODE LIKE '%{div_code}%'
    AND YEAR_PERIOD LIKE '%{year_period}%'
AND (IDLE_REASON) LIKE ('Operator Absent')
GROUP BY 
    DIV_CODE;</t>
  </si>
  <si>
    <t>SELECT 
    MONTH_PERIOD,
    TNO,
    ENAME,
    EMP_ORG_NAME,
    EMP_DEPT,
    SUPV_NAME,
    AVG(PERFORMANCE_INDEX) AS AVG_PERFORMANCE_INDEX
FROM 
    KPCL_REPORTING.KPC_FULL_KIT_DOCKET_EMP
WHERE 
    (ENAME) LIKE ('%{employee}%')
    AND (MONTH_PERIOD) LIKE ('%{month_period }%')
GROUP BY 
    MONTH_PERIOD,
    TNO,
    ENAME,
    EMP_ORG_NAME,
    EMP_DEPT,
    SUPV_NAME
ORDER BY 
    MONTH_PERIOD DESC;</t>
  </si>
  <si>
    <t>Show production and rejection summary for div_code {div_code}.</t>
  </si>
  <si>
    <t>Show production and rejection summary for /div_code {div_code}.</t>
  </si>
  <si>
    <t>production and rejection summary for div code</t>
  </si>
  <si>
    <t>SELECT 
    DIV_CODE,
    SUM(NVL(TOTAL_QUANTITY, 0)) AS TOTAL_PRODUCTION_QUANTITY,
    SUM(NVL(QUANTITY_REJ_MACHINE, 0) + NVL(QUANTITY_REJ_MATERIAL, 0)) AS TOTAL_REJECTION_QUANTITY,
    SUM(NVL(QUANTITY_REJ_MACHINE, 0)) AS MACHINE_REJECTION_QUANTITY,
    SUM(NVL(QUANTITY_REJ_MATERIAL, 0)) AS MATERIAL_REJECTION_QUANTITY
FROM 
    KPCL_REPORTING.KPC_FK_DOCKET_IDLE_REPORT
WHERE 
    DIV_CODE LIKE '%{div_code}%'
AND (IDLE_REASON) LIKE ('Operator Absent')
GROUP BY 
    DIV_CODE;</t>
  </si>
  <si>
    <t>Show maintenance and jobwork time for div_code {div_code} during month_period {month_period}.</t>
  </si>
  <si>
    <t>Show maintenance and jobwork time for /div_code {div_code} during /month_period {month_period}.</t>
  </si>
  <si>
    <t>maintenance and jobwork time for div code during month period</t>
  </si>
  <si>
    <t>SELECT 
    DIV_CODE,
    SUM(NVL(MAINTAINCE_DOCKET_TIME, 0)) AS TOTAL_MAINTENANCE_TIME,
    SUM(NVL(JOBWORK_DOCKET_TIME, 0)) AS TOTAL_JOBWORK_TIME
FROM 
    KPCL_REPORTING.KPC_FK_DOCKET_IDLE_REPORT
WHERE 
    DIV_CODE LIKE '%{div_code}%'
    AND MONTH_PERIOD LIKE '%{month_period}%'
    AND (IDLE_REASON) LIKE ('Operator Absent')
GROUP BY 
    DIV_CODE;</t>
  </si>
  <si>
    <t>Show maintenance and jobwork time for div_code {div_code} during week_period {week_period}.</t>
  </si>
  <si>
    <t>Show maintenance and jobwork time for /div_code {div_code} during /week_period {week_period}.</t>
  </si>
  <si>
    <t>maintenance and jobwork time for div code during week period</t>
  </si>
  <si>
    <t>SELECT 
    DIV_CODE,
    SUM(NVL(MAINTAINCE_DOCKET_TIME, 0)) AS TOTAL_MAINTENANCE_TIME,
    SUM(NVL(JOBWORK_DOCKET_TIME, 0)) AS TOTAL_JOBWORK_TIME
FROM 
    KPCL_REPORTING.KPC_FK_DOCKET_IDLE_REPORT
WHERE 
    DIV_CODE LIKE '%{div_code}%'
    AND WEEK_PERIOD LIKE '%{week_period}%'
    AND (IDLE_REASON) LIKE ('Operator Absent')
GROUP BY 
    DIV_CODE;</t>
  </si>
  <si>
    <t>Show maintenance and jobwork time for div_code {div_code} during year_period {year_period}.</t>
  </si>
  <si>
    <t>Show maintenance and jobwork time for /div_code {div_code} during /year_period {year_period}.</t>
  </si>
  <si>
    <t>maintenance and jobwork time for div code during year period</t>
  </si>
  <si>
    <t>SELECT 
    DIV_CODE,
    SUM(NVL(MAINTAINCE_DOCKET_TIME, 0)) AS TOTAL_MAINTENANCE_TIME,
    SUM(NVL(JOBWORK_DOCKET_TIME, 0)) AS TOTAL_JOBWORK_TIME
FROM 
    KPCL_REPORTING.KPC_FK_DOCKET_IDLE_REPORT
WHERE 
    DIV_CODE LIKE '%{div_code}%'
    AND YEAR_PERIOD LIKE '%{year_period}%'
    AND (IDLE_REASON) LIKE ('Operator Absent')
GROUP BY 
    DIV_CODE;</t>
  </si>
  <si>
    <t>View development and rework time for div_code {div_code} during month_period {month_period}.</t>
  </si>
  <si>
    <t>View development and rework time for /div_code {div_code} during /month_period {month_period}.</t>
  </si>
  <si>
    <t>development and rework time for div code during month period</t>
  </si>
  <si>
    <t>SELECT 
    DIV_CODE,
    SUM(NVL(DEVELOPMENT_DOCKET_TIME, 0)) AS TOTAL_DEVELOPMENT_TIME,
    SUM(NVL(REWORK_DOCKET_TIME, 0)) AS TOTAL_REWORK_TIME
FROM 
    KPCL_REPORTING.KPC_FK_DOCKET_IDLE_REPORT
WHERE 
    DIV_CODE LIKE '%{div_code}%'
    AND MONTH_PERIOD LIKE '%{month_period}%'
    AND (IDLE_REASON) LIKE ('Operator Absent')
GROUP BY 
    DIV_CODE;</t>
  </si>
  <si>
    <t>View development and rework time for div_code {div_code} during week_period {week_period}.</t>
  </si>
  <si>
    <t>View development and rework time for /div_code {div_code} during /week_period {week_period}.</t>
  </si>
  <si>
    <t>development and rework time for div code during week period</t>
  </si>
  <si>
    <t>SELECT 
    DIV_CODE,
    SUM(NVL(DEVELOPMENT_DOCKET_TIME, 0)) AS TOTAL_DEVELOPMENT_TIME,
    SUM(NVL(REWORK_DOCKET_TIME, 0)) AS TOTAL_REWORK_TIME
FROM 
    KPCL_REPORTING.KPC_FK_DOCKET_IDLE_REPORT
WHERE 
    DIV_CODE LIKE '%{div_code}%'
    AND WEEK_PERIOD LIKE '%{week_period}%'
    AND (IDLE_REASON) LIKE ('Operator Absent')
GROUP BY 
    DIV_CODE;</t>
  </si>
  <si>
    <t>View development and rework time for div_code {div_code} during year period {year_period}.</t>
  </si>
  <si>
    <t>View development and rework time for /div_code {div_code} during /year period {year_period}.</t>
  </si>
  <si>
    <t>development and rework time for div code during year period</t>
  </si>
  <si>
    <t>SELECT 
    DIV_CODE,
    SUM(NVL(DEVELOPMENT_DOCKET_TIME, 0)) AS TOTAL_DEVELOPMENT_TIME,
    SUM(NVL(REWORK_DOCKET_TIME, 0)) AS TOTAL_REWORK_TIME
FROM 
    KPCL_REPORTING.KPC_FK_DOCKET_IDLE_REPORT
WHERE 
    DIV_CODE LIKE '%{div_code}%'
    AND YEAR_PERIOD LIKE '%{year_period}%'
    AND (IDLE_REASON) LIKE ('Operator Absent')
GROUP BY 
    DIV_CODE;</t>
  </si>
  <si>
    <t>Display available time versus worked time for div_code {div_code}.</t>
  </si>
  <si>
    <t>Show available time versus worked time for /div_code {div_code}.</t>
  </si>
  <si>
    <t>available time versus worked time for div code</t>
  </si>
  <si>
    <t>SELECT 
    DIV_CODE,
    SUM(NVL(AVAILABLE_TIME, 0)) AS TOTAL_AVAILABLE_TIME,
    SUM(NVL(WORKED, 0)) AS TOTAL_WORKED_TIME
FROM 
    KPCL_REPORTING.KPC_FK_DOCKET_IDLE_REPORT
WHERE 
    DIV_CODE LIKE '%{div_code}%'
    AND (IDLE_REASON) LIKE ('Operator Absent')
GROUP BY 
    DIV_CODE;</t>
  </si>
  <si>
    <t>View division wise budgeted utilization and effective utilization.</t>
  </si>
  <si>
    <t>Show division wise budgeted utilization and effective utilization.</t>
  </si>
  <si>
    <t>division wise budgeted utilization and effective utilization</t>
  </si>
  <si>
    <t>SELECT 
    DIV_CODE,
    AVG(NVL(BUDGETED_UTILIZATION, 0)) AS AVG_BUDGETED_UTILIZATION,
    AVG(NVL(EFFECTIVE_UTILIZATION, 0)) AS AVG_EFFECTIVE_UTILIZATION
FROM 
    KPCL_REPORTING.KPC_FK_DOCKET_IDLE_REPORT
WHERE (IDLE_REASON) LIKE ('Operator Absent')
GROUP BY 
    DIV_CODE;</t>
  </si>
  <si>
    <t>Display production summary for res_div {res_div} during month_period {month_period}.</t>
  </si>
  <si>
    <t>Display production summary for /res_div {res_div} during /month_period {month_period}.</t>
  </si>
  <si>
    <t xml:space="preserve">production summary for res div during month period </t>
  </si>
  <si>
    <t>SELECT 
    RES_DIV,
    SUM(NVL(TOTAL_QUANTITY, 0)) AS TOTAL_PRODUCTION_QUANTITY,
    SUM(NVL(STD_PRODUCTION, 0)) AS TOTAL_STANDARD_PRODUCTION,
    SUM(NVL(TOTAL_DOCKETS, 0)) AS TOTAL_DOCKETS_PUNCHED
FROM 
    KPCL_REPORTING.KPC_FK_DOCKET_IDLE_REPORT
WHERE 
    RES_DIV LIKE '%{res_div}%'
    AND MONTH_PERIOD LIKE '%{month_period}%'
    AND (IDLE_REASON) LIKE ('Operator Absent')
GROUP BY 
    RES_DIV;</t>
  </si>
  <si>
    <t>Display production summary for res_div {res_div} during week_period {week_period}.</t>
  </si>
  <si>
    <t>Display production summary for /res_div {res_div} during /week_period {week_period}.</t>
  </si>
  <si>
    <t xml:space="preserve">production summary for res div during week period </t>
  </si>
  <si>
    <t>SELECT 
    RES_DIV,
    SUM(NVL(TOTAL_QUANTITY, 0)) AS TOTAL_PRODUCTION_QUANTITY,
    SUM(NVL(STD_PRODUCTION, 0)) AS TOTAL_STANDARD_PRODUCTION,
    SUM(NVL(TOTAL_DOCKETS, 0)) AS TOTAL_DOCKETS_PUNCHED
FROM 
    KPCL_REPORTING.KPC_FK_DOCKET_IDLE_REPORT
WHERE 
    RES_DIV LIKE '%{res_div}%'
    AND WEEK_PERIOD LIKE '%{week_period}%'
    AND (IDLE_REASON) LIKE ('Operator Absent')
GROUP BY 
    RES_DIV;</t>
  </si>
  <si>
    <t>Display production summary for res_div {res_div} during year_period {year_period}.</t>
  </si>
  <si>
    <t>Display production summary for /res_div {res_div} during /year_period {year_period}.</t>
  </si>
  <si>
    <t>production summary fro res div during year period</t>
  </si>
  <si>
    <t>SELECT 
    RES_DIV,
    SUM(NVL(TOTAL_QUANTITY, 0)) AS TOTAL_PRODUCTION_QUANTITY,
    SUM(NVL(STD_PRODUCTION, 0)) AS TOTAL_STANDARD_PRODUCTION,
    SUM(NVL(TOTAL_DOCKETS, 0)) AS TOTAL_DOCKETS_PUNCHED
FROM 
    KPCL_REPORTING.KPC_FK_DOCKET_IDLE_REPORT
WHERE 
    RES_DIV LIKE '%{res_div}%'
    AND YEAR_PERIOD LIKE '%{year_period}%'
    AND (IDLE_REASON) LIKE ('Operator Absent')
GROUP BY 
    RES_DIV;</t>
  </si>
  <si>
    <t>View effective utilization of res_div {res_div}.</t>
  </si>
  <si>
    <t>Show effective utilization of /res_div {res_div}.</t>
  </si>
  <si>
    <t>effective utilization of res div</t>
  </si>
  <si>
    <t>SELECT 
    RES_DIV,
    AVG(NVL(EFFECTIVE_UTILIZATION, 0)) AS AVG_EFFECTIVE_UTILIZATION
FROM 
    KPCL_REPORTING.KPC_FK_DOCKET_IDLE_REPORT
WHERE 
    RES_DIV LIKE '%{res_div}%'
    AND (IDLE_REASON) LIKE ('Operator Absent')
GROUP BY 
    RES_DIV;</t>
  </si>
  <si>
    <t>Display idle time of res_div {res_div} during month_period {month_period}.</t>
  </si>
  <si>
    <t>Display idle time of /res_div {res_div} during /month_period {month_period}.</t>
  </si>
  <si>
    <t>idle time of res div during month period</t>
  </si>
  <si>
    <t>Display performance index for employee {employee} under supervisor {supervisor} during month_period {month_period}.</t>
  </si>
  <si>
    <t>SELECT 
    RES_DIV,
    SUM(NVL(TOTAL_IDLE, 0)) AS TOTAL_IDLE_TIME
FROM 
    KPCL_REPORTING.KPC_FK_DOCKET_IDLE_REPORT
WHERE 
    RES_DIV LIKE '%{res_div}%'
    AND MONTH_PERIOD LIKE '%{month_period}%'
    AND (IDLE_REASON) LIKE ('Operator Absent')
GROUP BY 
    RES_DIV;</t>
  </si>
  <si>
    <t>Show performance index for /employee {employee} under /supervisor {supervisor} during /month_period {month_period }.</t>
  </si>
  <si>
    <t>performance index for employee under supervisor during month period</t>
  </si>
  <si>
    <t>SELECT 
    ENAME,
    SUPV_NAME, MONTH_PERIOD,
    AVG(PERFORMANCE_INDEX) AS AVG_PERFORMANCE_INDEX
FROM 
    KPCL_REPORTING.KPC_FULL_KIT_DOCKET_EMP
WHERE 
    (ENAME) LIKE ('%{employee}%')
    AND (SUPV_NAME) LIKE ('%{supervisor}%')
    AND (MONTH_PERIOD) LIKE ('%{month_period}%')
GROUP BY 
    MONTH_PERIOD,
    TNO,
    ENAME,
    EMP_ORG_NAME,
    EMP_DEPT,
    SUPV_NAME
ORDER BY 
    MONTH_PERIOD DESC;</t>
  </si>
  <si>
    <t>employee, supervisor, month_period</t>
  </si>
  <si>
    <t>Display idle time of res_div {res_div} during week_period {week_period}.</t>
  </si>
  <si>
    <t>Display idle time of /res_div {res_div} during /week_period {week_period}.</t>
  </si>
  <si>
    <t>idle time of res div during week period</t>
  </si>
  <si>
    <t>Display present hours for employee {employee} during month_period {month_period }.</t>
  </si>
  <si>
    <t>SELECT 
    RES_DIV,
    SUM(NVL(TOTAL_IDLE, 0)) AS TOTAL_IDLE_TIME
FROM 
    KPCL_REPORTING.KPC_FK_DOCKET_IDLE_REPORT
WHERE 
    RES_DIV LIKE '%{res_div}%'
    AND WEEK_PERIOD LIKE '%{week_period}%'
    AND (IDLE_REASON) LIKE ('Operator Absent')
GROUP BY 
    RES_DIV;</t>
  </si>
  <si>
    <t>Show present hours for /employee {employee} during /month_period {month_period }.</t>
  </si>
  <si>
    <t>present hours for employee during month period</t>
  </si>
  <si>
    <t>SELECT 
    MONTH_PERIOD,
    TNO,
    ENAME,
    EMP_ORG_NAME,
    EMP_DEPT,
    SUPV_NAME,
    SUM(PRESENT) AS TOTAL_PRESENT_MINUTES
FROM 
    KPCL_REPORTING.KPC_FULL_KIT_DOCKET_EMP
WHERE 
    (ENAME) LIKE ('%{employee}%')
    AND (MONTH_PERIOD) LIKE ('%{month_period }%')
GROUP BY 
    MONTH_PERIOD,
    TNO,
    ENAME,
    EMP_ORG_NAME,
    EMP_DEPT,
    SUPV_NAME
ORDER BY 
    MONTH_PERIOD DESC;</t>
  </si>
  <si>
    <t>Display idle time of res_div {res_div} during year_period{year_period}.</t>
  </si>
  <si>
    <t>Display idle time of /res_div {res_div} during /year_period{year_period}.</t>
  </si>
  <si>
    <t>idle time of res div during year period</t>
  </si>
  <si>
    <t>SELECT 
    RES_DIV,
    SUM(NVL(TOTAL_IDLE, 0)) AS TOTAL_IDLE_TIME
FROM 
    KPCL_REPORTING.KPC_FK_DOCKET_IDLE_REPORT
WHERE 
    RES_DIV LIKE '%{res_div}%'
    AND YEAR_PERIOD LIKE '%{year_period}%'
    AND (IDLE_REASON) LIKE ('Operator Absent')
GROUP BY 
    RES_DIV;</t>
  </si>
  <si>
    <t>Display rejection quantity of res_div {res_div} during month_period{month_period}.</t>
  </si>
  <si>
    <t>Display rejection quantity of /res_div {res_div} during /month_period{month_period}.</t>
  </si>
  <si>
    <t>rejection quantity of res div during month period</t>
  </si>
  <si>
    <t>SELECT 
    RES_DIV,
    SUM(NVL(QUANTITY_REJ_MACHINE, 0) + NVL(QUANTITY_REJ_MATERIAL, 0)) AS TOTAL_REJECTION_QUANTITY,
    SUM(NVL(QUANTITY_REJ_MACHINE, 0)) AS MACHINE_REJECTION_QUANTITY,
    SUM(NVL(QUANTITY_REJ_MATERIAL, 0)) AS MATERIAL_REJECTION_QUANTITY
FROM 
    KPCL_REPORTING.KPC_FK_DOCKET_IDLE_REPORT
WHERE 
    RES_DIV LIKE '%{res_div}%'
    AND MONTH_PERIOD LIKE '%{month_period}%'
    AND (IDLE_REASON) LIKE ('Operator Absent')
GROUP BY 
    RES_DIV;</t>
  </si>
  <si>
    <t>Display rejection quantity of res_div {res_div} during week_period{week_period}.</t>
  </si>
  <si>
    <t>Display rejection quantity of /res_div {res_div} during /week_period{week_period}.</t>
  </si>
  <si>
    <t>rejection quantity of res div during week period</t>
  </si>
  <si>
    <t>SELECT 
    RES_DIV,
    SUM(NVL(QUANTITY_REJ_MACHINE, 0) + NVL(QUANTITY_REJ_MATERIAL, 0)) AS TOTAL_REJECTION_QUANTITY,
    SUM(NVL(QUANTITY_REJ_MACHINE, 0)) AS MACHINE_REJECTION_QUANTITY,
    SUM(NVL(QUANTITY_REJ_MATERIAL, 0)) AS MATERIAL_REJECTION_QUANTITY
FROM 
    KPCL_REPORTING.KPC_FK_DOCKET_IDLE_REPORT
WHERE 
    RES_DIV LIKE '%{res_div}%'
    AND WEEK_PERIOD LIKE '%{week_period}%'
    AND (IDLE_REASON) LIKE ('Operator Absent')
GROUP BY 
    RES_DIV;</t>
  </si>
  <si>
    <t>Display rejection quantity of res_div {res_div} during year_period{year_period}.</t>
  </si>
  <si>
    <t>Display rejection quantity of /res_div {res_div} during /year_period{year_period}.</t>
  </si>
  <si>
    <t>rejection quantity of res div during year period</t>
  </si>
  <si>
    <t>SELECT 
    RES_DIV,
    SUM(NVL(QUANTITY_REJ_MACHINE, 0) + NVL(QUANTITY_REJ_MATERIAL, 0)) AS TOTAL_REJECTION_QUANTITY,
    SUM(NVL(QUANTITY_REJ_MACHINE, 0)) AS MACHINE_REJECTION_QUANTITY,
    SUM(NVL(QUANTITY_REJ_MATERIAL, 0)) AS MATERIAL_REJECTION_QUANTITY
FROM 
    KPCL_REPORTING.KPC_FK_DOCKET_IDLE_REPORT
WHERE 
    RES_DIV LIKE '%{res_div}%'
    AND YEAR_PERIOD LIKE '%{year_period}%'
    AND (IDLE_REASON) LIKE ('Operator Absent')
GROUP BY 
    RES_DIV;</t>
  </si>
  <si>
    <t>Show maintenance time of res_div {res_div} during week_period{week_period}.</t>
  </si>
  <si>
    <t>Show maintenance time of /res_div {res_div} during /week_period{week_period}.</t>
  </si>
  <si>
    <t>maintenance time of res div during week period</t>
  </si>
  <si>
    <t>SELECT 
    RES_DIV,
    SUM(NVL(MAINTAINCE_DOCKET_TIME, 0)) AS TOTAL_MAINTENANCE_TIME
FROM 
    KPCL_REPORTING.KPC_FK_DOCKET_IDLE_REPORT
WHERE 
    RES_DIV LIKE '%{res_div}%'
    AND WEEK_PERIOD LIKE '%{week_period}%'
    AND (IDLE_REASON) LIKE ('Operator Absent')
GROUP BY 
    RES_DIV;</t>
  </si>
  <si>
    <t>Show maintenance time of res_div {res_div} during month_period{month_period}.</t>
  </si>
  <si>
    <t>Show maintenance time of /res_div {res_div} during /month_period{month_period}.</t>
  </si>
  <si>
    <t>maintenance time of res div during month period</t>
  </si>
  <si>
    <t>SELECT 
    RES_DIV,
    SUM(NVL(MAINTAINCE_DOCKET_TIME, 0)) AS TOTAL_MAINTENANCE_TIME
FROM 
    KPCL_REPORTING.KPC_FK_DOCKET_IDLE_REPORT
WHERE 
    RES_DIV LIKE '%{res_div}%'
    AND MONTH_PERIOD LIKE '%{month_period}%'
     AND (IDLE_REASON) LIKE ('Operator Absent')
GROUP BY 
    RES_DIV;</t>
  </si>
  <si>
    <t>Show maintenance time of res_div {res_div} during year_period {year_period}.</t>
  </si>
  <si>
    <t>Show maintenance time of /res_div {res_div} during /year_period {year_period}.</t>
  </si>
  <si>
    <t xml:space="preserve">maintenance time of res div during year period </t>
  </si>
  <si>
    <t>SELECT 
    RES_DIV,
    SUM(NVL(MAINTAINCE_DOCKET_TIME, 0)) AS TOTAL_MAINTENANCE_TIME
FROM 
    KPCL_REPORTING.KPC_FK_DOCKET_IDLE_REPORT
WHERE 
    RES_DIV LIKE '%{res_div}%'
    AND YEAR_PERIOD LIKE '%{year_period}%'
    AND (IDLE_REASON) LIKE ('Operator Absent')
GROUP BY 
    RES_DIV;</t>
  </si>
  <si>
    <t>Display operation time and setting time for res_div {res_div}.</t>
  </si>
  <si>
    <t>Show operation time and setting time for /res_div {res_div}.</t>
  </si>
  <si>
    <t>operation time and setting time for res div</t>
  </si>
  <si>
    <t>SELECT 
    RES_DIV,
    SUM(NVL(OPERATION_TIME, 0)) AS TOTAL_OPERATION_TIME,
    SUM(NVL(SETTING_TIME, 0)) AS TOTAL_SETTING_TIME
FROM 
    KPCL_REPORTING.KPC_FK_DOCKET_IDLE_REPORT
WHERE 
    RES_DIV LIKE '%{res_div}%'
    AND (IDLE_REASON) LIKE ('Operator Absent')
GROUP BY 
    RES_DIV;</t>
  </si>
  <si>
    <t>View top machines in res_div {res_div} by production.</t>
  </si>
  <si>
    <t>Show top machines in /res_div {res_div} by production.</t>
  </si>
  <si>
    <t>top machines in res div by production</t>
  </si>
  <si>
    <t>SELECT 
    RESOURCE_CODE,
    RESOURCE_DESC,
    SUM(NVL(TOTAL_QUANTITY, 0)) AS TOTAL_PRODUCTION_QUANTITY
FROM 
    KPCL_REPORTING.KPC_FK_DOCKET_IDLE_REPORT
WHERE 
    RES_DIV LIKE '%{res_div}%'
    AND (IDLE_REASON) LIKE ('Operator Absent')
GROUP BY 
    RESOURCE_CODE,
    RESOURCE_DESC
ORDER BY 
    TOTAL_PRODUCTION_QUANTITY DESC;</t>
  </si>
  <si>
    <t>View lowest performing machines in res_div {res_div}.</t>
  </si>
  <si>
    <t>Show lowest performing machines in /res_div {res_div}.</t>
  </si>
  <si>
    <t>lowest performing machines in res div</t>
  </si>
  <si>
    <t>SELECT 
    RESOURCE_CODE,
    RESOURCE_DESC,
    AVG(NVL(PERFORMANCE_INDEX, 0)) AS AVG_PERFORMANCE_INDEX
FROM 
    KPCL_REPORTING.KPC_FK_DOCKET_IDLE_REPORT
WHERE 
    RES_DIV LIKE '%{res_div}%'
    AND (IDLE_REASON) LIKE ('Operator Absent')
GROUP BY 
    RESOURCE_CODE,
    RESOURCE_DESC
ORDER BY 
    AVG_PERFORMANCE_INDEX ASC;</t>
  </si>
  <si>
    <t>View utilization trend of res_div {res_div} for fin_year {fin_year}.</t>
  </si>
  <si>
    <t>Show utilization trend of /res_div {res_div} for /fin_year {fin_year}.</t>
  </si>
  <si>
    <t>utilization trend of res div for fin year</t>
  </si>
  <si>
    <t>SELECT 
    PERIOD_NAME,
    AVG(NVL(EFFECTIVE_UTILIZATION, 0)) AS AVG_EFFECTIVE_UTILIZATION,
    AVG(NVL(BUDGETED_UTILIZATION, 0)) AS AVG_BUDGETED_UTILIZATION
FROM 
    KPCL_REPORTING.KPC_FK_DOCKET_IDLE_REPORT
WHERE 
    RES_DIV LIKE '%{res_div}%'
    AND FIN_YEAR LIKE '%{fin_year}%'
    AND (IDLE_REASON) LIKE ('Operator Absent')
GROUP BY 
    PERIOD_NAME,
    UTILIZATION_DATE
ORDER BY 
    UTILIZATION_DATE ASC;</t>
  </si>
  <si>
    <t>res_div, fin_year</t>
  </si>
  <si>
    <t>Show production trend of res_div {res_div} for fin_year {fin_year}.</t>
  </si>
  <si>
    <t>Show production trend of /res_div {res_div} for /fin_year {fin_year}.</t>
  </si>
  <si>
    <t>production trend of res div for fin year</t>
  </si>
  <si>
    <t>SELECT 
    PERIOD_NAME,
    SUM(NVL(TOTAL_QUANTITY, 0)) AS TOTAL_PRODUCTION_QUANTITY,
    SUM(NVL(STD_PRODUCTION, 0)) AS TOTAL_STANDARD_PRODUCTION
FROM 
    KPCL_REPORTING.KPC_FK_DOCKET_IDLE_REPORT
WHERE 
    RES_DIV LIKE '%{res_div}%'
    AND FIN_YEAR LIKE '%{fin_year}%'
    AND (IDLE_REASON) LIKE ('Operator Absent')
GROUP BY 
    PERIOD_NAME,
    UTILIZATION_DATE
ORDER BY 
    UTILIZATION_DATE ASC;</t>
  </si>
  <si>
    <t>View machines with high production and low effective utilization.</t>
  </si>
  <si>
    <t>Display production for employee_department {employee_department}.</t>
  </si>
  <si>
    <t>Show machines with high production and low effective utilization.</t>
  </si>
  <si>
    <t>machines with high production and low effective utilization</t>
  </si>
  <si>
    <t>SELECT 
    RESOURCE_CODE,
    RESOURCE_DESC,
    SUM(NVL(TOTAL_QUANTITY, 0)) AS TOTAL_PRODUCTION_QUANTITY,
    AVG(NVL(EFFECTIVE_UTILIZATION, 0)) AS AVG_EFFECTIVE_UTILIZATION
FROM 
    KPCL_REPORTING.KPC_FK_DOCKET_IDLE_REPORT
WHERE (IDLE_REASON) LIKE ('Operator Absent')
GROUP BY 
    RESOURCE_CODE,
    RESOURCE_DESC
ORDER BY 
    TOTAL_PRODUCTION_QUANTITY DESC, 
    AVG_EFFECTIVE_UTILIZATION ASC;</t>
  </si>
  <si>
    <t>SELECT 
    PERIOD_NAME,
    EMP_ORG_NAME AS ORGANIZATION,
    EMP_DEPT AS DEPARTMENT,
    SUM(PRODBON) AS TOTAL_PRODUCTION_BONUS,
    SUM(PRODUCED) AS TOTAL_PRODUCED
FROM 
    KPCL_REPORTING.KPC_FULL_KIT_DOCKET_EMP
WHERE 
    (EMP_DEPT) LIKE ('%{employee_department}%')
GROUP BY 
    PERIOD_NAME,
    EMP_ORG_NAME,
    EMP_DEPT
ORDER BY 
    PERIOD_NAME DESC,
    TOTAL_PRODUCTION_BONUS DESC;</t>
  </si>
  <si>
    <t>View production for employee {employee} during month_period {month_period}.</t>
  </si>
  <si>
    <t>Show production for /employee {employee} during /month_period {month_period}.</t>
  </si>
  <si>
    <t>SELECT 
    MONTH_PERIOD,
    TNO,
    ENAME,
    EMP_ORG_NAME,
    EMP_DEPT,
    SUPV_NAME,
    SUM(PRODUCED) AS TOTAL_PRODUCED,
    SUM(PRODBON) AS TOTAL_PRODUCTION_BONUS
FROM 
    KPCL_REPORTING.KPC_FULL_KIT_DOCKET_EMP
WHERE 
    (ENAME) LIKE ('%{employee}%')
    AND (MONTH_PERIOD) LIKE ('%{month_period}%')
GROUP BY 
    MONTH_PERIOD,
    TNO,
    ENAME,
    EMP_ORG_NAME,
    EMP_DEPT,
    SUPV_NAME
ORDER BY 
    MONTH_PERIOD DESC;</t>
  </si>
  <si>
    <t>Display machines with high idle time and low performance index.</t>
  </si>
  <si>
    <t>Show machines with high idle time and low performance index.</t>
  </si>
  <si>
    <t>machines with high idle time and low performance index</t>
  </si>
  <si>
    <t>SELECT 
    RESOURCE_CODE,
    RESOURCE_DESC,
    SUM(NVL(TOTAL_IDLE, 0)) AS TOTAL_IDLE_TIME,
    AVG(NVL(PERFORMANCE_INDEX, 0)) AS AVG_PERFORMANCE_INDEX
FROM 
    KPCL_REPORTING.KPC_FK_DOCKET_IDLE_REPORT
WHERE (IDLE_REASON) LIKE ('Operator Absent')
GROUP BY 
    RESOURCE_CODE,
    RESOURCE_DESC
ORDER BY 
    TOTAL_IDLE_TIME DESC, 
    AVG_PERFORMANCE_INDEX ASC;</t>
  </si>
  <si>
    <t>Show machines with high maintenance time and high idle time.</t>
  </si>
  <si>
    <t>machines with high maintenance time and high idle time</t>
  </si>
  <si>
    <t>SELECT 
    RESOURCE_CODE,
    RESOURCE_DESC,
    SUM(NVL(MAINTAINCE_DOCKET_TIME, 0)) AS TOTAL_MAINTENANCE_TIME,
    SUM(NVL(TOTAL_IDLE, 0)) AS TOTAL_IDLE_TIME
FROM 
    KPCL_REPORTING.KPC_FK_DOCKET_IDLE_REPORT
WHERE (IDLE_REASON) LIKE ('Operator Absent')
GROUP BY 
    RESOURCE_CODE,
    RESOURCE_DESC
ORDER BY 
    TOTAL_MAINTENANCE_TIME DESC, 
    TOTAL_IDLE_TIME DESC;</t>
  </si>
  <si>
    <t>View machines with high rejection and high rework time.</t>
  </si>
  <si>
    <t>Show machines with high rejection and high rework time.</t>
  </si>
  <si>
    <t>machines with high rejection and high rework time</t>
  </si>
  <si>
    <t>SELECT 
    RESOURCE_CODE,
    RESOURCE_DESC,
    SUM(NVL(QUANTITY_REJ_MACHINE, 0) + NVL(QUANTITY_REJ_MATERIAL, 0)) AS TOTAL_REJECTION_QUANTITY,
    SUM(NVL(REWORK_DOCKET_TIME, 0)) AS TOTAL_REWORK_TIME
FROM 
    KPCL_REPORTING.KPC_FK_DOCKET_IDLE_REPORT
WHERE (IDLE_REASON) LIKE ('Operator Absent')
GROUP BY 
    RESOURCE_CODE,
    RESOURCE_DESC
ORDER BY 
    TOTAL_REJECTION_QUANTITY DESC, 
    TOTAL_REWORK_TIME DESC;</t>
  </si>
  <si>
    <t>Display machines with high setup time and low production.</t>
  </si>
  <si>
    <t>Show machines with high setup time and low production.</t>
  </si>
  <si>
    <t>machines with high setup time and low production</t>
  </si>
  <si>
    <t>SELECT 
    RESOURCE_CODE,
    RESOURCE_DESC,
    SUM(NVL(SETTING_TIME, 0)) AS TOTAL_SETUP_TIME,
    SUM(NVL(TOTAL_QUANTITY, 0)) AS TOTAL_PRODUCTION_QUANTITY
FROM 
    KPCL_REPORTING.KPC_FK_DOCKET_IDLE_REPORT
WHERE (IDLE_REASON) LIKE ('Operator Absent')
GROUP BY 
    RESOURCE_CODE,
    RESOURCE_DESC
ORDER BY 
    TOTAL_SETUP_TIME DESC, 
    TOTAL_PRODUCTION_QUANTITY ASC;</t>
  </si>
  <si>
    <t>Display machines with high operation time and low performance index.</t>
  </si>
  <si>
    <t>Show machines with high operation time and low performance index.</t>
  </si>
  <si>
    <t>machines with high operation time and low performance index</t>
  </si>
  <si>
    <t>SELECT 
    RESOURCE_CODE,
    RESOURCE_DESC,
    SUM(NVL(OPERATION_TIME, 0)) AS TOTAL_OPERATION_TIME,
    AVG(NVL(PERFORMANCE_INDEX, 0)) AS AVG_PERFORMANCE_INDEX
FROM 
    KPCL_REPORTING.KPC_FK_DOCKET_IDLE_REPORT
WHERE (IDLE_REASON) LIKE ('Operator Absent')
GROUP BY 
    RESOURCE_CODE,
    RESOURCE_DESC
ORDER BY 
    TOTAL_OPERATION_TIME DESC, 
    AVG_PERFORMANCE_INDEX ASC;</t>
  </si>
  <si>
    <t>Show machines with high available time but low worked time.</t>
  </si>
  <si>
    <t>machines with high available time but low worked time</t>
  </si>
  <si>
    <t>SELECT 
    RESOURCE_CODE,
    RESOURCE_DESC,
    SUM(NVL(AVAILABLE_TIME, 0)) AS TOTAL_AVAILABLE_TIME,
    SUM(NVL(WORKED, 0)) AS TOTAL_WORKED_TIME
FROM 
    KPCL_REPORTING.KPC_FK_DOCKET_IDLE_REPORT
WHERE (IDLE_REASON) LIKE ('Operator Absent')
GROUP BY 
    RESOURCE_CODE,
    RESOURCE_DESC
ORDER BY 
    TOTAL_AVAILABLE_TIME DESC, 
    TOTAL_WORKED_TIME ASC;</t>
  </si>
  <si>
    <t>Display machines with high worked time but low effective utilization.</t>
  </si>
  <si>
    <t>Show machines with high worked time but low effective utilization.</t>
  </si>
  <si>
    <t>machines with high worked time but low effective utilization</t>
  </si>
  <si>
    <t>SELECT 
    RESOURCE_CODE,
    RESOURCE_DESC,
    SUM(NVL(WORKED, 0)) AS TOTAL_WORKED_TIME,
    AVG(NVL(EFFECTIVE_UTILIZATION, 0)) AS AVG_EFFECTIVE_UTILIZATION
FROM 
    KPCL_REPORTING.KPC_FK_DOCKET_IDLE_REPORT
WHERE (IDLE_REASON) LIKE ('Operator Absent')
GROUP BY 
    RESOURCE_CODE,
    RESOURCE_DESC
ORDER BY 
    TOTAL_WORKED_TIME DESC, 
    AVG_EFFECTIVE_UTILIZATION ASC;</t>
  </si>
  <si>
    <t>Display machines with low idle time and high production.</t>
  </si>
  <si>
    <t>Show machines with low idle time and high production.</t>
  </si>
  <si>
    <t>machines with low idle time and high production</t>
  </si>
  <si>
    <t>SELECT 
    RESOURCE_CODE,
    RESOURCE_DESC,
    SUM(NVL(TOTAL_IDLE, 0)) AS TOTAL_IDLE_TIME,
    SUM(NVL(TOTAL_QUANTITY, 0)) AS TOTAL_PRODUCTION_QUANTITY
FROM 
    KPCL_REPORTING.KPC_FK_DOCKET_IDLE_REPORT
WHERE (IDLE_REASON) LIKE ('Operator Absent')
GROUP BY 
    RESOURCE_CODE,
    RESOURCE_DESC
ORDER BY 
    TOTAL_IDLE_TIME ASC, 
    TOTAL_PRODUCTION_QUANTITY DESC;</t>
  </si>
  <si>
    <t>View machines with low rejection and high performance index.</t>
  </si>
  <si>
    <t>Show machines with low rejection and high performance index.</t>
  </si>
  <si>
    <t>machines with low rejection and high performance index</t>
  </si>
  <si>
    <t>SELECT 
    RESOURCE_CODE,
    RESOURCE_DESC,
    SUM(NVL(QUANTITY_REJ_MACHINE, 0) + NVL(QUANTITY_REJ_MATERIAL, 0)) AS TOTAL_REJECTION_QUANTITY,
    AVG(NVL(PERFORMANCE_INDEX, 0)) AS AVG_PERFORMANCE_INDEX
FROM 
    KPCL_REPORTING.KPC_FK_DOCKET_IDLE_REPORT
WHERE (IDLE_REASON) LIKE ('Operator Absent')
GROUP BY 
    RESOURCE_CODE,
    RESOURCE_DESC
ORDER BY 
    TOTAL_REJECTION_QUANTITY ASC, 
    AVG_PERFORMANCE_INDEX DESC;</t>
  </si>
  <si>
    <t>Display machines producing more than quantity {quantity} with idle time below minutes {minutes}.</t>
  </si>
  <si>
    <t>Show machines producing more than /quantity {quantity} with idle time below /minutes {minutes}.</t>
  </si>
  <si>
    <t>machines producing more than quantity with idle time below minutes</t>
  </si>
  <si>
    <t>SELECT 
    RESOURCE_CODE,
    RESOURCE_DESC,
    SUM(NVL(TOTAL_QUANTITY, 0)) AS TOTAL_PRODUCTION_QUANTITY,
    SUM(NVL(TOTAL_IDLE, 0)) AS TOTAL_IDLE_TIME
FROM 
    KPCL_REPORTING.KPC_FK_DOCKET_IDLE_REPORT
WHERE (IDLE_REASON) LIKE ('Operator Absent')
GROUP BY 
    RESOURCE_CODE,
    RESOURCE_DESC
HAVING 
    SUM(NVL(TOTAL_QUANTITY, 0)) &gt; {quantity}
    AND SUM(NVL(TOTAL_IDLE, 0)) &lt; %{minutes}%
ORDER BY 
    TOTAL_PRODUCTION_QUANTITY DESC, 
    TOTAL_IDLE_TIME ASC;</t>
  </si>
  <si>
    <t>quantity, minutes</t>
  </si>
  <si>
    <t>Display machines with rejection quantity above quantity {quantity} and performance index below performance_index {performance_index}.</t>
  </si>
  <si>
    <t>Show machines with rejection quantity above /quantity {quantity} and performance index below /performance_index {performance_index}.</t>
  </si>
  <si>
    <t>machines with rejection quantity above quantity and performance index below performance index</t>
  </si>
  <si>
    <t>Display production for employee {employee} during fin_year {fin_year}.</t>
  </si>
  <si>
    <t>SELECT 
    RESOURCE_CODE,
    RESOURCE_DESC,
    SUM(NVL(QUANTITY_REJ_MACHINE, 0) + NVL(QUANTITY_REJ_MATERIAL, 0)) AS TOTAL_REJECTION_QUANTITY,
    AVG(NVL(PERFORMANCE_INDEX, 0)) AS AVG_PERFORMANCE_INDEX
FROM 
    KPCL_REPORTING.KPC_FK_DOCKET_IDLE_REPORT
WHERE (IDLE_REASON) LIKE ('Operator Absent')
GROUP BY 
    RESOURCE_CODE,
    RESOURCE_DESC
HAVING 
    SUM(NVL(QUANTITY_REJ_MACHINE, 0) + NVL(QUANTITY_REJ_MATERIAL, 0)) &gt; {quantity}
    AND AVG(NVL(PERFORMANCE_INDEX, 0)) &lt; {performance_index}
ORDER BY 
    TOTAL_REJECTION_QUANTITY DESC, 
    AVG_PERFORMANCE_INDEX ASC;</t>
  </si>
  <si>
    <t>quantity, performance_index</t>
  </si>
  <si>
    <t>Show production for /employee {employee} during /fin_year {fin_year}.</t>
  </si>
  <si>
    <t>production for employee during fin year</t>
  </si>
  <si>
    <t>SELECT 
    PERIOD_NAME,
    TNO,
    ENAME,
    EMP_ORG_NAME,
    EMP_DEPT,
    SUPV_NAME,
    SUM(PRODUCED) AS TOTAL_PRODUCED,
    SUM(PRODBON) AS TOTAL_PRODUCTION_BONUS
FROM 
    KPCL_REPORTING.KPC_FULL_KIT_DOCKET_EMP
WHERE 
    (ENAME) LIKE ('%{employee}%')
    AND (PERIOD_NAME) LIKE ('%{fin_year}%')
GROUP BY 
    PERIOD_NAME,
    TNO,
    ENAME,
    EMP_ORG_NAME,
    EMP_DEPT,
    SUPV_NAME
ORDER BY 
    PERIOD_NAME DESC;</t>
  </si>
  <si>
    <t>View machines with effective utilization above percentage {percentage} and rejection below quantity {quantity}.</t>
  </si>
  <si>
    <t>Show machines with effective utilization above /percentage {percentage} and rejection below /quantity {quantity}.</t>
  </si>
  <si>
    <t>machines with effective utilization above percentage and rejection below quantity</t>
  </si>
  <si>
    <t>SELECT 
    RESOURCE_CODE,
    RESOURCE_DESC,
    AVG(NVL(EFFECTIVE_UTILIZATION, 0)) AS AVG_EFFECTIVE_UTILIZATION,
    SUM(NVL(QUANTITY_REJ_MACHINE, 0) + NVL(QUANTITY_REJ_MATERIAL, 0)) AS TOTAL_REJECTION_QUANTITY
FROM 
    KPCL_REPORTING.KPC_FK_DOCKET_IDLE_REPORT
WHERE (IDLE_REASON) LIKE ('Operator Absent')
GROUP BY 
    RESOURCE_CODE,
    RESOURCE_DESC
HAVING 
    AVG(NVL(EFFECTIVE_UTILIZATION, 0)) &gt; {percentage}
    AND SUM(NVL(QUANTITY_REJ_MACHINE, 0) + NVL(QUANTITY_REJ_MATERIAL, 0)) &lt; {quantity}
ORDER BY 
    AVG_EFFECTIVE_UTILIZATION DESC, 
    TOTAL_REJECTION_QUANTITY ASC;</t>
  </si>
  <si>
    <t>percentage, quantity</t>
  </si>
  <si>
    <t>Display production for employee {employee} in employee_department {employee_department}.</t>
  </si>
  <si>
    <t>Show production for /employee {employee} in /employee_department {employee_department}.</t>
  </si>
  <si>
    <t>production for employee in employee department</t>
  </si>
  <si>
    <t>SELECT 
    PERIOD_NAME,
    TNO,
    ENAME,
    EMP_ORG_NAME,
    EMP_DEPT,
    SUPV_NAME,
    SUM(PRODUCED) AS TOTAL_PRODUCED,
    SUM(PRODBON) AS TOTAL_PRODUCTION_BONUS
FROM 
    KPCL_REPORTING.KPC_FULL_KIT_DOCKET_EMP
WHERE 
    (ENAME) LIKE ('%{employee}%')
    AND (EMP_DEPT) LIKE ('%{employee_department}%')
GROUP BY 
    PERIOD_NAME,
    TNO,
    ENAME,
    EMP_ORG_NAME,
    EMP_DEPT,
    SUPV_NAME
ORDER BY 
    PERIOD_NAME DESC;</t>
  </si>
  <si>
    <t>Display machines with production below quantity {quantity} and maintenance time above minutes {minutes}.</t>
  </si>
  <si>
    <t>Show machines with production below /quantity {quantity} and maintenance time above /minutes {minutes}.</t>
  </si>
  <si>
    <t>machines with production below quantity and maintenance time above minutes</t>
  </si>
  <si>
    <t>SELECT 
    RESOURCE_CODE,
    RESOURCE_DESC,
    SUM(NVL(TOTAL_QUANTITY, 0)) AS TOTAL_PRODUCTION_QUANTITY,
    SUM(NVL(MAINTAINCE_DOCKET_TIME, 0)) AS TOTAL_MAINTENANCE_TIME
FROM 
    KPCL_REPORTING.KPC_FK_DOCKET_IDLE_REPORT
WHERE (IDLE_REASON) LIKE ('Operator Absent')
GROUP BY 
    RESOURCE_CODE,
    RESOURCE_DESC
HAVING 
    SUM(NVL(TOTAL_QUANTITY, 0)) &lt; {quantity}
    AND SUM(NVL(MAINTAINCE_DOCKET_TIME, 0)) &gt; %{minutes}%
ORDER BY 
    TOTAL_PRODUCTION_QUANTITY ASC, 
    TOTAL_MAINTENANCE_TIME DESC;</t>
  </si>
  <si>
    <t>Display production for employee {employee} in employee_department {employee_department} during month_period {month_period}.</t>
  </si>
  <si>
    <t>Show production for /employee {employee} in /employee_department {employee_department} during /month_period {month_period}.</t>
  </si>
  <si>
    <t>production for employee in employee department during month period</t>
  </si>
  <si>
    <t>View machines with standard production above quantity {quantity} and actual production below quantity {quantity}.</t>
  </si>
  <si>
    <t>SELECT 
    MONTH_PERIOD,
    TNO,
    ENAME,
    EMP_ORG_NAME,
    EMP_DEPT,
    SUPV_NAME,
    SUM(PRODUCED) AS TOTAL_PRODUCED,
    SUM(PRODBON) AS TOTAL_PRODUCTION_BONUS
FROM 
    KPCL_REPORTING.KPC_FULL_KIT_DOCKET_EMP
WHERE 
    (ENAME) LIKE ('%{employee}%')
    AND (EMP_DEPT) LIKE ('%{employee_department}%')
    AND (MONTH_PERIOD) LIKE ('%{month_period}%')
GROUP BY 
    MONTH_PERIOD,
    TNO,
    ENAME,
    EMP_ORG_NAME,
    EMP_DEPT,
    SUPV_NAME
ORDER BY 
    MONTH_PERIOD DESC;</t>
  </si>
  <si>
    <t>Show machines with standard production above /quantity {quantity} and actual production below /quantity {quantity}.</t>
  </si>
  <si>
    <t>machines with standard production above quantity and actual production below quantity</t>
  </si>
  <si>
    <t>SELECT 
    RESOURCE_CODE,
    RESOURCE_DESC,
    SUM(NVL(STD_PRODUCTION, 0)) AS TOTAL_STANDARD_PRODUCTION,
    SUM(NVL(TOTAL_QUANTITY, 0)) AS TOTAL_ACTUAL_PRODUCTION
FROM 
    KPCL_REPORTING.KPC_FK_DOCKET_IDLE_REPORT
WHERE (IDLE_REASON) LIKE ('Operator Absent')
GROUP BY 
    RESOURCE_CODE,
    RESOURCE_DESC
HAVING 
    SUM(NVL(STD_PRODUCTION, 0)) &gt; {quantity}
    AND SUM(NVL(TOTAL_QUANTITY, 0)) &lt; {quantity}
ORDER BY 
    TOTAL_STANDARD_PRODUCTION DESC, 
    TOTAL_ACTUAL_PRODUCTION ASC;</t>
  </si>
  <si>
    <t>Display production for employee {employee} under incentive_scheme {incentive_scheme}.</t>
  </si>
  <si>
    <t>Show production for /employee {employee} under /incentive_scheme {incentive_scheme}.</t>
  </si>
  <si>
    <t>production for employee under incentive scheme</t>
  </si>
  <si>
    <t>Show machines with available time above minutes {minutes} and performance index below performance_index {performance_index}.</t>
  </si>
  <si>
    <t>Show machines with available time above /minutes {minutes} and performance index below /performance_index {performance_index}.</t>
  </si>
  <si>
    <t>SELECT 
    PERIOD_NAME,
    TNO,
    ENAME,
    EMP_ORG_NAME,
    EMP_DEPT,
    SUPV_NAME,
    INCNSCHM AS INCENTIVE_SCHEME,
    SUM(PRODUCED) AS TOTAL_PRODUCED,
    SUM(PRODBON) AS TOTAL_PRODUCTION_BONUS
FROM 
    KPCL_REPORTING.KPC_FULL_KIT_DOCKET_EMP
WHERE 
    (ENAME) LIKE ('%{employee}%')
    AND TO_CHAR(INCNSCHM) LIKE ('%{incentive_scheme}%')
GROUP BY 
    PERIOD_NAME,
    TNO,
    ENAME,
    EMP_ORG_NAME,
    EMP_DEPT,
    SUPV_NAME,
    INCNSCHM
ORDER BY 
    PERIOD_NAME DESC;</t>
  </si>
  <si>
    <t>machines with available time above minutes and performance index below performance index</t>
  </si>
  <si>
    <t>SELECT 
    RESOURCE_CODE,
    RESOURCE_DESC,
    SUM(NVL(AVAILABLE_TIME, 0)) AS TOTAL_AVAILABLE_TIME,
    AVG(NVL(PERFORMANCE_INDEX, 0)) AS AVG_PERFORMANCE_INDEX
FROM 
    KPCL_REPORTING.KPC_FK_DOCKET_IDLE_REPORT
WHERE (IDLE_REASON) LIKE ('Operator Absent')
GROUP BY 
    RESOURCE_CODE,
    RESOURCE_DESC
HAVING 
    SUM(NVL(AVAILABLE_TIME, 0)) &gt; %{minutes}%
    AND AVG(NVL(PERFORMANCE_INDEX, 0)) &lt; {performance_index}
ORDER BY 
    TOTAL_AVAILABLE_TIME DESC, 
    AVG_PERFORMANCE_INDEX ASC;</t>
  </si>
  <si>
    <t>minutes, performance_index</t>
  </si>
  <si>
    <t>Show machines with effective utilization between percentage {percentage} and percentage {percentage}.</t>
  </si>
  <si>
    <t>Show machines with effective utilization between /percentage {percentage} and /percentage {percentage}.</t>
  </si>
  <si>
    <t>machines with effective utilization between percentage and percentage</t>
  </si>
  <si>
    <t>SELECT 
    RESOURCE_CODE,
    RESOURCE_DESC,
    AVG(NVL(EFFECTIVE_UTILIZATION, 0)) AS AVG_EFFECTIVE_UTILIZATION
FROM 
    KPCL_REPORTING.KPC_FK_DOCKET_IDLE_REPORT
WHERE (IDLE_REASON) LIKE ('Operator Absent')
GROUP BY 
    RESOURCE_CODE,
    RESOURCE_DESC
HAVING 
    AVG(NVL(EFFECTIVE_UTILIZATION, 0)) BETWEEN %{ percentage% AND %{ percentage}%
ORDER BY 
    AVG_EFFECTIVE_UTILIZATION DESC;</t>
  </si>
  <si>
    <t>Display machines with idle time between minutes {minutes} and minutes {minutes} during month_period {month_period}.</t>
  </si>
  <si>
    <t>Display machines with idle time between /minutes {minutes} and /minutes {minutes} during /month_period {month_period}.</t>
  </si>
  <si>
    <t xml:space="preserve">machines with idle time between minutes and minutes during month period </t>
  </si>
  <si>
    <t>SELECT 
    RESOURCE_CODE,
    RESOURCE_DESC,
    SUM(NVL(TOTAL_IDLE, 0)) AS TOTAL_IDLE_TIME
FROM 
    KPCL_REPORTING.KPC_FK_DOCKET_IDLE_REPORT
WHERE 
    MONTH_PERIOD LIKE '%{month_period}%'
AND (IDLE_REASON) LIKE ('Operator Absent')
GROUP BY 
    RESOURCE_CODE,
    RESOURCE_DESC
HAVING 
    SUM(NVL(TOTAL_IDLE, 0)) BETWEEN {minutes} AND {minutes}
ORDER BY 
    TOTAL_IDLE_TIME DESC;</t>
  </si>
  <si>
    <t>minutes, month_period</t>
  </si>
  <si>
    <t>Display machines with idle time between minutes {minutes} and minutes {minutes} during week_period {week_period}.</t>
  </si>
  <si>
    <t>Display machines with idle time between /minutes {minutes} and /minutes {minutes} during /week_period {week_period}.</t>
  </si>
  <si>
    <t xml:space="preserve">machines with idle time between minutes and minutes during week period </t>
  </si>
  <si>
    <t>SELECT 
    RESOURCE_CODE,
    RESOURCE_DESC,
    SUM(NVL(TOTAL_IDLE, 0)) AS TOTAL_IDLE_TIME
FROM 
    KPCL_REPORTING.KPC_FK_DOCKET_IDLE_REPORT
WHERE 
    WEEK_PERIOD LIKE '%{week_period}%'
AND (IDLE_REASON) LIKE ('Operator Absent')
GROUP BY 
    RESOURCE_CODE,
    RESOURCE_DESC
HAVING 
    SUM(NVL(TOTAL_IDLE, 0)) BETWEEN {minutes} AND {minutes}
ORDER BY 
    TOTAL_IDLE_TIME DESC;</t>
  </si>
  <si>
    <t>minutes, week_period</t>
  </si>
  <si>
    <t>Display machines with idle time between minutes {minutes} and minutes {minutes} during year_period {year_period}.</t>
  </si>
  <si>
    <t>Display machines with idle time between /minutes {minutes} and /minutes {minutes} during /year_period {year_period}.</t>
  </si>
  <si>
    <t xml:space="preserve">machines with idle time between minutes and minutes during year period </t>
  </si>
  <si>
    <t>SELECT 
    RESOURCE_CODE,
    RESOURCE_DESC,
    SUM(NVL(TOTAL_IDLE, 0)) AS TOTAL_IDLE_TIME
FROM 
    KPCL_REPORTING.KPC_FK_DOCKET_IDLE_REPORT
WHERE 
    YEAR_PERIOD LIKE '%{year_period}%'
AND (IDLE_REASON) LIKE ('Operator Absent')
GROUP BY 
    RESOURCE_CODE,
    RESOURCE_DESC
HAVING 
    SUM(NVL(TOTAL_IDLE, 0)) BETWEEN {minutes} AND {minutes}
ORDER BY 
    TOTAL_IDLE_TIME DESC;</t>
  </si>
  <si>
    <t>minutes, year_period</t>
  </si>
  <si>
    <t>Show the least common idle reason in div_code {div_code}.</t>
  </si>
  <si>
    <t>Show the least common idle reason in /div_code {div_code}.</t>
  </si>
  <si>
    <t>the least common idle reason in div code</t>
  </si>
  <si>
    <t>SELECT 
    IDLE_REASON,
    COUNT(*) AS OCCURRENCE_COUNT,
    SUM(NVL(TOTAL_IDLE, 0)) AS TOTAL_IDLE_TIME_MINS,
    ROUND(SUM(NVL(TOTAL_IDLE, 0)) / 60.0, 2) AS TOTAL_IDLE_TIME_HOURS
FROM 
    KPCL_REPORTING.KPC_FK_DOCKET_IDLE_REPORT
WHERE 
    (
        UPPER(RES_DIV) LIKE UPPER('%{res_div}%')
      )
    AND IDLE_REASON IS NOT NULL
    AND NVL(TOTAL_IDLE, 0) &gt; 0
AND (IDLE_REASON) LIKE ('Operator Absent')
GROUP BY 
    IDLE_REASON
ORDER BY 
    OCCURRENCE_COUNT DESC, 
    TOTAL_IDLE_TIME_MINS DESC
FETCH FIRST 1 ROWS ONLY;</t>
  </si>
  <si>
    <t>Display divisions with maximum downtime due to idle_reason {idle_reason}.</t>
  </si>
  <si>
    <t>Show divisions with maximum downtime due to /idle_reason {idle_reason}.</t>
  </si>
  <si>
    <t>divisions with maximum downtime due to idle reason</t>
  </si>
  <si>
    <t>SELECT 
    RES_DIV,
    SUM(NVL(TOTAL_IDLE, 0)) AS TOTAL_DOWNTIME_MINS,
    ROUND(SUM(NVL(TOTAL_IDLE, 0)) / 60.0, 2) AS TOTAL_DOWNTIME_HOURS,
    COUNT(*) AS DOCKET_COUNT
FROM 
    KPCL_REPORTING.KPC_FK_DOCKET_IDLE_REPORT
WHERE 
    UPPER(IDLE_REASON) LIKE UPPER('%{idle_reason}%')
    AND NVL(TOTAL_IDLE, 0) &gt; 0
GROUP BY 
    RES_DIV
ORDER BY 
    TOTAL_DOWNTIME_MINS DESC;</t>
  </si>
  <si>
    <t>View idle reasons contributing more than percentage {percentage} of total idle time.</t>
  </si>
  <si>
    <t>Show idle reasons contributing more than /percentage {percentage} of total idle time.</t>
  </si>
  <si>
    <t>idle reasons contributing more than percentage of total idle time</t>
  </si>
  <si>
    <t>SELECT 
    IDLE_REASON,
    IDLE_TIME,
    SUM(NVL(TOTAL_IDLE, 0)) AS REASON_IDLE_TIME
FROM (
    SELECT 
        IDLE_REASON,
        IDLE_TIME,
        TOTAL_IDLE,
        SUM(NVL(TOTAL_IDLE, 0)) OVER() AS TOTAL_ALL_IDLE
    FROM 
        KPCL_REPORTING.KPC_FK_DOCKET_IDLE_REPORT
    WHERE 
        IDLE_REASON LIKE 'Operator Absent'
)
GROUP BY 
    IDLE_REASON, 
    IDLE_TIME,
    TOTAL_ALL_IDLE
HAVING 
    SUM(NVL(TOTAL_IDLE, 0)) * 100.0 / NULLIF(TOTAL_ALL_IDLE, 0) &gt; {percentage}
ORDER BY 
    REASON_IDLE_TIME DESC;</t>
  </si>
  <si>
    <t>Show comparison of production of machine resource_code {resource_code} between month_period {month_period} and month_period {month_period}.</t>
  </si>
  <si>
    <t>Compare production of machine /resource_code {resource_code} between /month_period {month_period} and /month_period {month_period}.</t>
  </si>
  <si>
    <t>production of machine resource code between month period and month period</t>
  </si>
  <si>
    <t>SELECT 
    RESOURCE_CODE,
    RESOURCE_DESC,
    SUM(CASE WHEN MONTH_PERIOD LIKE '%{month_period}%' THEN NVL(TOTAL_IDLE, 0) ELSE 0 END) AS IDLE_TIME_month,
    SUM(CASE WHEN MONTH_PERIOD LIKE '%{month_period}%' THEN NVL(TOTAL_IDLE, 0) ELSE 0 END) AS IDLE_TIME_month,
    (SUM(CASE WHEN MONTH_PERIOD LIKE '%{month_period}%' THEN NVL(TOTAL_IDLE, 0) ELSE 0 END) - 
     SUM(CASE WHEN MONTH_PERIOD LIKE '%{month_period}%' THEN NVL(TOTAL_IDLE, 0) ELSE 0 END)) AS IDLE_TIME_VARIANCE
FROM 
    KPCL_REPORTING.KPC_FK_DOCKET_IDLE_REPORT
WHERE 
    RESOURCE_CODE LIKE '%{resource_code}%'
AND (IDLE_REASON) LIKE ('Operator Absent')
GROUP BY 
    RESOURCE_CODE,
    RESOURCE_DESC
ORDER BY 
    IDLE_TIME_VARIANCE DESC;</t>
  </si>
  <si>
    <t>View comparison of performance index of div_code {div_code} across fin_year {fin_year} and fin_year {fin_year}.</t>
  </si>
  <si>
    <t>Compare performance index of /div_code {div_code} across /fin_year {fin_year} and /fin_year {fin_year}.</t>
  </si>
  <si>
    <t>performance index of div code across fin year and fin year</t>
  </si>
  <si>
    <t>SELECT 
    RESOURCE_CODE,
    RESOURCE_DESC,
    AVG(CASE 
        WHEN FIN_YEAR LIKE '%{fin_year}%' THEN NVL(PERFORMANCE_INDEX, 0) 
        ELSE NULL 
    END) AS AVG_PERF_INDEX_YEAR_1,
    AVG(CASE 
        WHEN FIN_YEAR LIKE '%{fin_year}%' THEN NVL(PERFORMANCE_INDEX, 0) 
        ELSE NULL 
    END) AS AVG_PERF_INDEX_YEAR_2,
    (AVG(CASE 
        WHEN FIN_YEAR LIKE '%{fin_year}%' THEN NVL(PERFORMANCE_INDEX, 0) 
        ELSE NULL 
     END) - 
     AVG(CASE 
        WHEN FIN_YEAR LIKE '%{fin_year}%' THEN NVL(PERFORMANCE_INDEX, 0) 
        ELSE NULL 
     END)) AS PERF_INDEX_VARIANCE
FROM 
    KPCL_REPORTING.KPC_FK_DOCKET_IDLE_REPORT
WHERE 
    RES_DIV LIKE '%{res_div}%'
    AND (
        FIN_YEAR LIKE '%{fin_year}%'
    )
    AND (IDLE_REASON) LIKE ('Operator Absent')
GROUP BY 
    RESOURCE_CODE,
    RESOURCE_DESC
ORDER BY 
    PERF_INDEX_VARIANCE DESC;</t>
  </si>
  <si>
    <t>Show production for employee {employee} under incentive_scheme {incentive_scheme} during month_period {month_period}.</t>
  </si>
  <si>
    <t>Show production for /employee {employee} under /incentive_scheme {incentive_scheme} during /month_period {month_period}.</t>
  </si>
  <si>
    <t>production for employee under incentive scheme during month period</t>
  </si>
  <si>
    <t>SELECT 
    MONTH_PERIOD,
    TNO,
    ENAME,
    EMP_ORG_NAME,
    EMP_DEPT,
    SUPV_NAME,
    INCNSCHM AS INCENTIVE_SCHEME,
    SUM(PRODUCED) AS TOTAL_PRODUCED,
    SUM(PRODBON) AS TOTAL_PRODUCTION_BONUS
FROM 
    KPCL_REPORTING.KPC_FULL_KIT_DOCKET_EMP
WHERE 
    (ENAME) LIKE ('%{employee}%')
    AND TO_CHAR(INCNSCHM) LIKE ('%{incentive_scheme}%')
    AND (MONTH_PERIOD) LIKE ('%{month_period}%')
GROUP BY 
    MONTH_PERIOD,
    TNO,
    ENAME,
    EMP_ORG_NAME,
    EMP_DEPT,
    SUPV_NAME,
    INCNSCHM
ORDER BY 
    MONTH_PERIOD DESC;</t>
  </si>
  <si>
    <t>Show production for employee {employee} .</t>
  </si>
  <si>
    <t>SELECT 
    PERIOD_NAME,
    TNO,
    ENAME,
    EMP_ORG_NAME,
    EMP_DEPT,
    SUPV_NAME,
    SUM(PRODUCED) AS TOTAL_PRODUCED,
    SUM(PRODBON) AS TOTAL_PRODUCTION_BONUS
FROM 
    KPCL_REPORTING.KPC_FULL_KIT_DOCKET_EMP
WHERE 
    (ENAME) LIKE ('%{employee}%')
GROUP BY 
    PERIOD_NAME,
    TNO,
    ENAME,
    EMP_ORG_NAME,
    EMP_DEPT,
    SUPV_NAME
ORDER BY 
    PERIOD_NAME DESC;</t>
  </si>
  <si>
    <t>Display comparison of idle time of res_div {res_div} between month_period {month_period} and month_period{month_period}.</t>
  </si>
  <si>
    <t>Compare idle time of /res_div {res_div} between /month_period {month_period} and /month_period {month_period}.</t>
  </si>
  <si>
    <t>idle time of res div between month period and month period</t>
  </si>
  <si>
    <t>SELECT 
    MONTH_PERIOD,
    TNO,
    ENAME,
    EMP_ORG_NAME,
    EMP_DEPT,
    SUPV_NAME,
    SUM(PRODBON) AS TOTAL_PRODUCTION_BONUS
FROM 
    KPCL_REPORTING.KPC_FULL_KIT_DOCKET_EMP
WHERE 
    ENAME LIKE '%{employee}%'
    AND MONTH_PERIOD LIKE '%{month_period}%'
GROUP BY 
    MONTH_PERIOD,
    TNO,
    ENAME,
    EMP_ORG_NAME,
    EMP_DEPT,
    SUPV_NAME
ORDER BY 
    MONTH_PERIOD DESC;</t>
  </si>
  <si>
    <t>SELECT 
    RESOURCE_CODE,
    RESOURCE_DESC,
    SUM(CASE WHEN MONTH_PERIOD LIKE '%{month_period}%' THEN NVL(TOTAL_IDLE, 0) ELSE 0 END) AS IDLE_TIME_month,
    SUM(CASE WHEN MONTH_PERIOD LIKE '%{month_period}%' THEN NVL(TOTAL_IDLE, 0) ELSE 0 END) AS IDLE_TIME_month,
    (SUM(CASE WHEN MONTH_PERIOD LIKE '%{month_period}%' THEN NVL(TOTAL_IDLE, 0) ELSE 0 END) - 
     SUM(CASE WHEN MONTH_PERIOD LIKE '%{month_period}%' THEN NVL(TOTAL_IDLE, 0) ELSE 0 END)) AS IDLE_TIME_VARIANCE
FROM 
    KPCL_REPORTING.KPC_FK_DOCKET_IDLE_REPORT
WHERE 
    RES_DIV LIKE '%{res_div}%'
AND (IDLE_REASON) LIKE ('Operator Absent')
GROUP BY 
    RESOURCE_CODE,
    RESOURCE_DESC
ORDER BY 
    IDLE_TIME_VARIANCE DESC;</t>
  </si>
  <si>
    <t>Display comparison of available time and worked time between month_period {month_period} and month_period {month_period}.</t>
  </si>
  <si>
    <t>Compare available time and worked time between /month_period {month_period} and /month_period {month_period}.</t>
  </si>
  <si>
    <t>available time and worked time between month period and month period</t>
  </si>
  <si>
    <t>SELECT 
    RESOURCE_CODE,
    RESOURCE_DESC,
    ORG_NAME,
    SUM(CASE WHEN (MONTH_PERIOD) LIKE ('%{month_period}%') THEN NVL(AVAILABLE_TIME, 0) ELSE 0 END) AS M1_AVAILABLE_TIME_MINS,
    SUM(CASE WHEN (MONTH_PERIOD) LIKE ('%{month_period}%') THEN NVL(OPERATION_TIME, 0) ELSE 0 END) AS M1_WORKED_TIME_MINS,
    ROUND(
        SUM(CASE WHEN (MONTH_PERIOD) LIKE ('%{month_period}%') THEN NVL(OPERATION_TIME, 0) ELSE 0 END) / 
        NULLIF(SUM(CASE WHEN (MONTH_PERIOD) LIKE ('%{month_period}%') THEN NVL(AVAILABLE_TIME, 0) ELSE 0 END), 0) * 100, 
        2
    ) AS M1_WORK_UTILIZATION_PCT,
    SUM(CASE WHEN (MONTH_PERIOD) LIKE ('%{month_period}%') THEN NVL(AVAILABLE_TIME, 0) ELSE 0 END) AS M2_AVAILABLE_TIME_MINS,
    SUM(CASE WHEN (MONTH_PERIOD) LIKE ('%{month_period}%') THEN NVL(OPERATION_TIME, 0) ELSE 0 END) AS M2_WORKED_TIME_MINS,
    ROUND(
        SUM(CASE WHEN (MONTH_PERIOD) LIKE ('%{month_period}%') THEN NVL(OPERATION_TIME, 0) ELSE 0 END) / 
        NULLIF(SUM(CASE WHEN (MONTH_PERIOD) LIKE ('%{month_period}%') THEN NVL(AVAILABLE_TIME, 0) ELSE 0 END), 0) * 100, 
        2
    ) AS M2_WORK_UTILIZATION_PCT,
 (
        SUM(CASE WHEN (MONTH_PERIOD) LIKE ('%{month_period}%') THEN NVL(OPERATION_TIME, 0) ELSE 0 END) -
        SUM(CASE WHEN (MONTH_PERIOD) LIKE ('%{month_period}%') THEN NVL(OPERATION_TIME, 0) ELSE 0 END)
    ) AS WORKED_TIME_VARIANCE_MINS
FROM 
    KPCL_REPORTING.KPC_FK_DOCKET_IDLE_REPORT
WHERE 
    (MONTH_PERIOD) LIKE ('%{month_period}%')
    AND (IDLE_REASON) LIKE ('Operator Absent')
GROUP BY 
    RESOURCE_CODE,
    RESOURCE_DESC,
    ORG_NAME
ORDER BY 
    RESOURCE_CODE;</t>
  </si>
  <si>
    <t>Display comparison of standard production across two fin_year {fin_year} and fin_year {fin_year} .</t>
  </si>
  <si>
    <t>Compare standard production across /fin_year {fin_year} and /fin_year {fin_year}.</t>
  </si>
  <si>
    <t>standard production across fin year and fin year</t>
  </si>
  <si>
    <t>SELECT 
    RESOURCE_CODE,
    RESOURCE_DESC,
    SUM(CASE WHEN FIN_YEAR LIKE '%{fin_year}%' THEN NVL(STD_PRODUCTION, 0) ELSE 0 END) AS STD_PRODUCTION_YEAR_1,
    SUM(CASE WHEN FIN_YEAR LIKE '%{fin_year}%' THEN NVL(STD_PRODUCTION, 0) ELSE 0 END) AS STD_PRODUCTION_YEAR_2,
    (SUM(CASE WHEN FIN_YEAR LIKE '%{fin_year}%' THEN NVL(STD_PRODUCTION, 0) ELSE 0 END) - 
     SUM(CASE WHEN FIN_YEAR LIKE '%{fin_year}%' THEN NVL(STD_PRODUCTION, 0) ELSE 0 END)) AS PRODUCTION_VARIANCE
FROM 
    KPCL_REPORTING.KPC_FK_DOCKET_IDLE_REPORT
WHERE 
    FIN_YEAR LIKE '%{fin_year}%' 
    AND (IDLE_REASON) LIKE ('Operator Absent')
GROUP BY 
    RESOURCE_CODE,
    RESOURCE_DESC
ORDER BY 
    PRODUCTION_VARIANCE DESC;</t>
  </si>
  <si>
    <t>View machine-wise utilization, production during week_period {week_period}.</t>
  </si>
  <si>
    <t>View machine-wise utilization, production during /week_period {week_period}.</t>
  </si>
  <si>
    <t>machine-wise utilization, production during period name</t>
  </si>
  <si>
    <t>SELECT 
    RESOURCE_CODE,
    RESOURCE_DESC,
    AVG(NVL(EFFECTIVE_UTILIZATION, 0)) AS AVG_EFFECTIVE_UTILIZATION,
    SUM(NVL(TOTAL_QUANTITY, 0)) AS TOTAL_PRODUCTION_QUANTITY,
    SUM(NVL(QUANTITY_REJ_MACHINE, 0) + NVL(QUANTITY_REJ_MATERIAL, 0)) AS TOTAL_REJECTION_QUANTITY
FROM 
    KPCL_REPORTING.KPC_FK_DOCKET_IDLE_REPORT
WHERE 
    WEEK_PERIOD LIKE '%{week_period}%'
    AND (IDLE_REASON) LIKE ('Operator Absent')
GROUP BY 
    RESOURCE_CODE,
    RESOURCE_DESC
ORDER BY 
    AVG_EFFECTIVE_UTILIZATION DESC,
    TOTAL_PRODUCTION_QUANTITY DESC;</t>
  </si>
  <si>
    <t>View machine-wise utilization, production during month_period{month_period}.</t>
  </si>
  <si>
    <t>View machine-wise utilization, production during /month_period{month_period}.</t>
  </si>
  <si>
    <t>machine-wise utilization, production during month period</t>
  </si>
  <si>
    <t>SELECT 
    RESOURCE_CODE,
    RESOURCE_DESC,
    AVG(NVL(EFFECTIVE_UTILIZATION, 0)) AS AVG_EFFECTIVE_UTILIZATION,
    SUM(NVL(TOTAL_QUANTITY, 0)) AS TOTAL_PRODUCTION_QUANTITY,
    SUM(NVL(QUANTITY_REJ_MACHINE, 0) + NVL(QUANTITY_REJ_MATERIAL, 0)) AS TOTAL_REJECTION_QUANTITY
FROM 
    KPCL_REPORTING.KPC_FK_DOCKET_IDLE_REPORT
WHERE 
    MONTH_PERIOD LIKE '%{month_period}%'
    AND (IDLE_REASON) LIKE ('Operator Absent')
GROUP BY 
    RESOURCE_CODE,
    RESOURCE_DESC
ORDER BY 
    AVG_EFFECTIVE_UTILIZATION DESC,
    TOTAL_PRODUCTION_QUANTITY DESC;</t>
  </si>
  <si>
    <t>View machine-wise utilization, production during year_period {year_period}.</t>
  </si>
  <si>
    <t>View machine-wise utilization, production during /year_period {year_period}.</t>
  </si>
  <si>
    <t>machine-wise utilization, production during year period</t>
  </si>
  <si>
    <t>SELECT 
    RESOURCE_CODE,
    RESOURCE_DESC,
    AVG(NVL(EFFECTIVE_UTILIZATION, 0)) AS AVG_EFFECTIVE_UTILIZATION,
    SUM(NVL(TOTAL_QUANTITY, 0)) AS TOTAL_PRODUCTION_QUANTITY,
    SUM(NVL(QUANTITY_REJ_MACHINE, 0) + NVL(QUANTITY_REJ_MATERIAL, 0)) AS TOTAL_REJECTION_QUANTITY
FROM 
    KPCL_REPORTING.KPC_FK_DOCKET_IDLE_REPORT
WHERE 
    YEAR_PERIOD LIKE '%{year_period}%'
AND (IDLE_REASON) LIKE ('Operator Absent')
GROUP BY 
    RESOURCE_CODE,
    RESOURCE_DESC
ORDER BY 
    AVG_EFFECTIVE_UTILIZATION DESC,
    TOTAL_PRODUCTION_QUANTITY DESC;</t>
  </si>
  <si>
    <t>Display organization wise production, idle time, and maintenance summary.</t>
  </si>
  <si>
    <t>Show organization wise production, idle time, and maintenance summary.</t>
  </si>
  <si>
    <t>organization wise production, idle time, and maintenance summary</t>
  </si>
  <si>
    <t>SELECT 
    ORG_NAME,
    SUM(NVL(TOTAL_QUANTITY, 0)) AS TOTAL_PRODUCTION_QUANTITY,
    SUM(NVL(TOTAL_IDLE, 0)) AS TOTAL_IDLE_TIME,
    SUM(NVL(MAINTAINCE_DOCKET_TIME, 0)) AS TOTAL_MAINTENANCE_TIME
FROM 
    KPCL_REPORTING.KPC_FK_DOCKET_IDLE_REPORT
WHERE (IDLE_REASON) LIKE ('Operator Absent')
GROUP BY 
    ORG_NAME
ORDER BY 
    TOTAL_PRODUCTION_QUANTITY DESC;</t>
  </si>
  <si>
    <t>View production for employee {employee}  during fin_year {fin_year}.</t>
  </si>
  <si>
    <t>Show division wise worked time, available time, and utilization.</t>
  </si>
  <si>
    <t>division wise worked time, available time, and utilization</t>
  </si>
  <si>
    <t>SELECT 
    RES_DIV,
    SUM(NVL(WORKED, 0)) AS TOTAL_WORKED_TIME,
    SUM(NVL(AVAILABLE_TIME, 0)) AS TOTAL_AVAILABLE_TIME,
    AVG(NVL(EFFECTIVE_UTILIZATION, 0)) AS AVG_EFFECTIVE_UTILIZATION
FROM 
    KPCL_REPORTING.KPC_FK_DOCKET_IDLE_REPORT
WHERE (IDLE_REASON) LIKE ('Operator Absent')
GROUP BY 
    RES_DIV
ORDER BY 
    AVG_EFFECTIVE_UTILIZATION DESC;</t>
  </si>
  <si>
    <t>View production for employee {employee} under supervisor {supervisor} during month_period {month_period}.</t>
  </si>
  <si>
    <t>Show production for /employee {employee} under /supervisor {supervisor} during /month_period {month_period}.</t>
  </si>
  <si>
    <t>production for employee under supervisor  during month period</t>
  </si>
  <si>
    <t>SELECT 
    MONTH_PERIOD,
    TNO,
    ENAME,
    EMP_ORG_NAME,
    EMP_DEPT,
    SUPV_NAME,
    SUM(PRODUCED) AS TOTAL_PRODUCED,
    SUM(PRODBON) AS TOTAL_PRODUCTION_BONUS
FROM 
    KPCL_REPORTING.KPC_FULL_KIT_DOCKET_EMP
WHERE 
    (ENAME) LIKE ('%{employee}%')
    AND (SUPV_NAME) LIKE ('%{supervisor}%')
    AND (MONTH_PERIOD) LIKE ('%{month_period}%')
GROUP BY 
    MONTH_PERIOD,
    TNO,
    ENAME,
    EMP_ORG_NAME,
    EMP_DEPT,
    SUPV_NAME
ORDER BY 
    MONTH_PERIOD DESC;</t>
  </si>
  <si>
    <t xml:space="preserve">employee, supervisor, month_period </t>
  </si>
  <si>
    <t>View resource division wise production and performance summary.</t>
  </si>
  <si>
    <t>Show resource division wise production and performance summary.</t>
  </si>
  <si>
    <t>resource division wise production and performance summary</t>
  </si>
  <si>
    <t>SELECT 
    RES_DIV,
    SUM(NVL(TOTAL_QUANTITY, 0)) AS TOTAL_PRODUCTION_QUANTITY,
    SUM(NVL(STD_PRODUCTION, 0)) AS TOTAL_STANDARD_PRODUCTION,
    AVG(NVL(PERFORMANCE_INDEX, 0)) AS AVG_PERFORMANCE_INDEX
FROM 
    KPCL_REPORTING.KPC_FK_DOCKET_IDLE_REPORT
WHERE (IDLE_REASON) LIKE ('Operator Absent')
GROUP BY 
    RES_DIV
ORDER BY 
    TOTAL_PRODUCTION_QUANTITY DESC;</t>
  </si>
  <si>
    <t>Display production under supervisor {supervisor} in employee_department {employee_department}.</t>
  </si>
  <si>
    <t>Show production under /supervisor {supervisor} in /employee_department {employee_department}.</t>
  </si>
  <si>
    <t>production under supervisor in employee department</t>
  </si>
  <si>
    <t>SELECT 
    PERIOD_NAME,
    SUPV_NAME,
    EMP_DEPT AS DEPARTMENT,
    EMP_ORG_NAME AS ORGANIZATION,
    SUM(PRODBON) AS TOTAL_PRODUCTION_BONUS,
    COUNT(DISTINCT TNO) AS TOTAL_EMPLOYEES
FROM 
    KPCL_REPORTING.KPC_FULL_KIT_DOCKET_EMP
WHERE 
    (SUPV_NAME) LIKE ('%{supervisor}%')
    AND (EMP_DEPT) LIKE ('%{employee_department}%')
GROUP BY 
    PERIOD_NAME,
    SUPV_NAME,
    EMP_DEPT,
    EMP_ORG_NAME
ORDER BY 
    PERIOD_NAME DESC,
    TOTAL_PRODUCTION_BONUS DESC;</t>
  </si>
  <si>
    <t>Display machine efficiency summary during week_period {week_period}.</t>
  </si>
  <si>
    <t>Display machine efficiency summary during /week_period {week_period}.</t>
  </si>
  <si>
    <t xml:space="preserve">machine efficiency summary during week period </t>
  </si>
  <si>
    <t>SELECT 
    RESOURCE_CODE,
    RESOURCE_DESC,
    AVG(NVL(PERFORMANCE_INDEX, 0)) AS AVG_PERFORMANCE_INDEX,
    AVG(NVL(EFFECTIVE_UTILIZATION, 0)) AS AVG_EFFECTIVE_UTILIZATION,
    SUM(NVL(TOTAL_QUANTITY, 0)) AS TOTAL_PRODUCTION_QUANTITY
FROM 
    KPCL_REPORTING.KPC_FK_DOCKET_IDLE_REPORT
WHERE 
    WEEK_PERIOD LIKE '%{week_period}%'
AND (IDLE_REASON) LIKE ('Operator Absent')
GROUP BY 
    RESOURCE_CODE,
    RESOURCE_DESC
ORDER BY 
    AVG_PERFORMANCE_INDEX DESC, 
    AVG_EFFECTIVE_UTILIZATION DESC;</t>
  </si>
  <si>
    <t>Display machine efficiency summary during month_period {month_period}.</t>
  </si>
  <si>
    <t>Display machine efficiency summary during /month_period {month_period}.</t>
  </si>
  <si>
    <t xml:space="preserve">machine efficiency summary during month period </t>
  </si>
  <si>
    <t>SELECT 
    RESOURCE_CODE,
    RESOURCE_DESC,
    AVG(NVL(PERFORMANCE_INDEX, 0)) AS AVG_PERFORMANCE_INDEX,
    AVG(NVL(EFFECTIVE_UTILIZATION, 0)) AS AVG_EFFECTIVE_UTILIZATION,
    SUM(NVL(TOTAL_QUANTITY, 0)) AS TOTAL_PRODUCTION_QUANTITY
FROM 
    KPCL_REPORTING.KPC_FK_DOCKET_IDLE_REPORT
WHERE 
    MONTH_PERIOD LIKE '%{month_period}%'
AND (IDLE_REASON) LIKE ('Operator Absent')
GROUP BY 
    RESOURCE_CODE,
    RESOURCE_DESC
ORDER BY 
    AVG_PERFORMANCE_INDEX DESC, 
    AVG_EFFECTIVE_UTILIZATION DESC;</t>
  </si>
  <si>
    <t>Display machine efficiency summary during year_period {year_period}.</t>
  </si>
  <si>
    <t>Display machine efficiency summary during /year_period {year_period}.</t>
  </si>
  <si>
    <t xml:space="preserve">machine efficiency summary during year period </t>
  </si>
  <si>
    <t>SELECT 
    RESOURCE_CODE,
    RESOURCE_DESC,
    AVG(NVL(PERFORMANCE_INDEX, 0)) AS AVG_PERFORMANCE_INDEX,
    AVG(NVL(EFFECTIVE_UTILIZATION, 0)) AS AVG_EFFECTIVE_UTILIZATION,
    SUM(NVL(TOTAL_QUANTITY, 0)) AS TOTAL_PRODUCTION_QUANTITY
FROM 
    KPCL_REPORTING.KPC_FK_DOCKET_IDLE_REPORT
WHERE 
    YEAR_PERIOD LIKE '%{year_period}%'
AND (IDLE_REASON) LIKE ('Operator Absent')
GROUP BY 
    RESOURCE_CODE,
    RESOURCE_DESC
ORDER BY 
    AVG_PERFORMANCE_INDEX DESC, 
    AVG_EFFECTIVE_UTILIZATION DESC;</t>
  </si>
  <si>
    <t>Show production, rejection, and idle time summary for div_code {div_code}.</t>
  </si>
  <si>
    <t>Show production, rejection, and idle time summary for /div_code {div_code}.</t>
  </si>
  <si>
    <t>production, rejection, and idle time summary for div code</t>
  </si>
  <si>
    <t>SELECT 
    RES_DIV,
    SUM(NVL(TOTAL_QUANTITY, 0)) AS TOTAL_PRODUCTION_QUANTITY,
    SUM(NVL(QUANTITY_REJ_MACHINE, 0) + NVL(QUANTITY_REJ_MATERIAL, 0)) AS TOTAL_REJECTION_QUANTITY,
    SUM(NVL(TOTAL_IDLE, 0)) AS TOTAL_IDLE_TIME
FROM 
    KPCL_REPORTING.KPC_FK_DOCKET_IDLE_REPORT
WHERE 
    RES_DIV LIKE '%{res_div}%'
AND (IDLE_REASON) LIKE ('Operator Absent')
GROUP BY 
    RES_DIV;</t>
  </si>
  <si>
    <t>Display maintenance, development, and rework summary during week_period {week_period}.</t>
  </si>
  <si>
    <t>Display maintenance, development, and rework summary during /week_period {week_period}.</t>
  </si>
  <si>
    <t>maintenance, development, and rework summary during week period</t>
  </si>
  <si>
    <t>SELECT 
    ORG_NAME,
    SUM(NVL(MAINTAINCE_DOCKET_TIME, 0)) AS TOTAL_MAINTENANCE_TIME,
    SUM(NVL(DEVELOPMENT_DOCKET_TIME, 0)) AS TOTAL_DEVELOPMENT_TIME,
    SUM(NVL(REWORK_DOCKET_TIME, 0)) AS TOTAL_REWORK_TIME
FROM 
    KPCL_REPORTING.KPC_FK_DOCKET_IDLE_REPORT
WHERE 
    WEEK_PERIOD LIKE '%{week_period}%'
AND (IDLE_REASON) LIKE ('Operator Absent')
GROUP BY 
    ORG_NAME;</t>
  </si>
  <si>
    <t>Display maintenance, development, and rework summary during month_period {month_period}.</t>
  </si>
  <si>
    <t>Display maintenance, development, and rework summary during /month_period {month_period}.</t>
  </si>
  <si>
    <t xml:space="preserve">maintenance, development, and rework summary during month period </t>
  </si>
  <si>
    <t>SELECT 
    ORG_NAME,
    SUM(NVL(MAINTAINCE_DOCKET_TIME, 0)) AS TOTAL_MAINTENANCE_TIME,
    SUM(NVL(DEVELOPMENT_DOCKET_TIME, 0)) AS TOTAL_DEVELOPMENT_TIME,
    SUM(NVL(REWORK_DOCKET_TIME, 0)) AS TOTAL_REWORK_TIME
FROM 
    KPCL_REPORTING.KPC_FK_DOCKET_IDLE_REPORT
WHERE 
    MONTH_PERIOD LIKE '%{month_period}%'
AND (IDLE_REASON) LIKE ('Operator Absent')
GROUP BY 
    ORG_NAME;</t>
  </si>
  <si>
    <t>Display maintenance, development, and rework summary during year_period {year_period}.</t>
  </si>
  <si>
    <t>Display maintenance, development, and rework summary during /year_period {year_period}.</t>
  </si>
  <si>
    <t>maintenance, development, and rework summary during year period</t>
  </si>
  <si>
    <t>SELECT 
    ORG_NAME,
    SUM(NVL(MAINTAINCE_DOCKET_TIME, 0)) AS TOTAL_MAINTENANCE_TIME,
    SUM(NVL(DEVELOPMENT_DOCKET_TIME, 0)) AS TOTAL_DEVELOPMENT_TIME,
    SUM(NVL(REWORK_DOCKET_TIME, 0)) AS TOTAL_REWORK_TIME
FROM 
    KPCL_REPORTING.KPC_FK_DOCKET_IDLE_REPORT
WHERE 
    YEAR_PERIOD LIKE '%{year_period}%'
AND (IDLE_REASON) LIKE ('Operator Absent')
GROUP BY 
    ORG_NAME;</t>
  </si>
  <si>
    <t>View production under supervisor {supervisor}.</t>
  </si>
  <si>
    <t>Show production under /supervisor {supervisor}.</t>
  </si>
  <si>
    <t>production under supervisor</t>
  </si>
  <si>
    <t>Show overall on-time delivery percentage.</t>
  </si>
  <si>
    <t>SELECT 
    PERIOD_NAME,
    SUPV_NAME,
    EMP_ORG_NAME AS ORGANIZATION,
    EMP_DEPT AS DEPARTMENT,
    SUM(PRODBON) AS TOTAL_PRODUCTION_BONUS,
    COUNT(DISTINCT TNO) AS TOTAL_EMPLOYEES
FROM 
    KPCL_REPORTING.KPC_FULL_KIT_DOCKET_EMP
WHERE 
    (SUPV_NAME) LIKE ('%{supervisor}%')
GROUP BY 
    PERIOD_NAME,
    SUPV_NAME,
    EMP_ORG_NAME,
    EMP_DEPT
ORDER BY 
    PERIOD_NAME DESC,
    TOTAL_PRODUCTION_BONUS DESC;</t>
  </si>
  <si>
    <t>What is the overall on-time delivery percentage?</t>
  </si>
  <si>
    <t>overall on-time delivery percentage</t>
  </si>
  <si>
    <t>View overall production efficiency by organization and division during week_period {week_period}.</t>
  </si>
  <si>
    <t>View overall production efficiency by organization and division during /week_period {week_period}.</t>
  </si>
  <si>
    <t>overall production efficiency by organization and division during week period</t>
  </si>
  <si>
    <t>SELECT SUM(QTY_DESP) AS TOTAL_GLOBAL_DISPATCHED
     , SUM(QTY_ON) AS TOTAL_GLOBAL_ONTIME
     , ROUND(
         CASE 
           WHEN SUM(QTY_DESP) &gt; 0 
           THEN (SUM(QTY_ON) / SUM(QTY_DESP)) * 100
           ELSE 0 
         END, 2
       ) AS OVERALL_ONTIME_DELIVERY_PERCENTAGE
  FROM KPCL_REPORTING.KPC_FULL_KIT_ONTIME_DELIVERY_INDEX;</t>
  </si>
  <si>
    <t>SELECT 
    ORG_NAME,
    RES_DIV,
    SUM(NVL(TOTAL_QUANTITY, 0)) AS TOTAL_PRODUCTION_QUANTITY,
    SUM(NVL(STD_PRODUCTION, 0)) AS TOTAL_STANDARD_PRODUCTION,
    CASE 
        WHEN SUM(NVL(STD_PRODUCTION, 0)) &gt; 0 
        THEN (SUM(NVL(TOTAL_QUANTITY, 0)) / SUM(NVL(STD_PRODUCTION, 0))) * 100 
        ELSE 0 
    END AS PRODUCTION_EFFICIENCY_PERCENT,
    AVG(NVL(PERFORMANCE_INDEX, 0)) AS AVG_PERFORMANCE_INDEX
FROM 
    KPCL_REPORTING.KPC_FK_DOCKET_IDLE_REPORT
WHERE 
    WEEK_PERIOD LIKE '%{week_period}%'
AND (IDLE_REASON) LIKE ('Operator Absent')
GROUP BY 
    ORG_NAME,
    RES_DIV
ORDER BY 
    ORG_NAME ASC,
    PRODUCTION_EFFICIENCY_PERCENT DESC;</t>
  </si>
  <si>
    <t>Show total incentive for employee {employee} during month_period {month_period}.</t>
  </si>
  <si>
    <t>Show total incentive for /employee {employee} during /month_period {month_period}.</t>
  </si>
  <si>
    <t>total incentive for employee during month period</t>
  </si>
  <si>
    <t>SELECT 
    MONTH_PERIOD,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(MONTH_PERIOD) LIKE ('%{month_period}%')
GROUP BY 
    MONTH_PERIOD,
    TNO,
    ENAME,
    EMP_ORG_NAME,
    EMP_DEPT,
    SUPV_NAME
ORDER BY 
    MONTH_PERIOD DESC;</t>
  </si>
  <si>
    <t>View overall production efficiency by organization and division during month_period {month_period}.</t>
  </si>
  <si>
    <t>View overall production efficiency by organization and division during /month_period {month_period}.</t>
  </si>
  <si>
    <t>overall production efficiency by organization and division during month period</t>
  </si>
  <si>
    <t>Show total delayed quantity.</t>
  </si>
  <si>
    <t>What is the total delayed quantity?</t>
  </si>
  <si>
    <t>SELECT 
    ORG_NAME,
    RES_DIV,
    SUM(NVL(TOTAL_QUANTITY, 0)) AS TOTAL_PRODUCTION_QUANTITY,
    SUM(NVL(STD_PRODUCTION, 0)) AS TOTAL_STANDARD_PRODUCTION,
    CASE 
        WHEN SUM(NVL(STD_PRODUCTION, 0)) &gt; 0 
        THEN (SUM(NVL(TOTAL_QUANTITY, 0)) / SUM(NVL(STD_PRODUCTION, 0))) * 100 
        ELSE 0 
    END AS PRODUCTION_EFFICIENCY_PERCENT,
    AVG(NVL(PERFORMANCE_INDEX, 0)) AS AVG_PERFORMANCE_INDEX
FROM 
    KPCL_REPORTING.KPC_FK_DOCKET_IDLE_REPORT
WHERE 
    MONTH_PERIOD LIKE '%{month_period}%'
AND (IDLE_REASON) LIKE ('Operator Absent')
GROUP BY 
    ORG_NAME,
    RES_DIV
ORDER BY 
    ORG_NAME ASC,
    PRODUCTION_EFFICIENCY_PERCENT DESC;</t>
  </si>
  <si>
    <t>total delayed quantity</t>
  </si>
  <si>
    <t>SELECT SUM(QTY_DESP) AS TOTAL_GLOBAL_DISPATCHED
     , SUM(QTY_ON) AS TOTAL_GLOBAL_ONTIME
     , SUM(QTY_AFT) AS TOTAL_DELAYED_QUANTITY
  FROM KPCL_REPORTING.KPC_FULL_KIT_ONTIME_DELIVERY_INDEX;</t>
  </si>
  <si>
    <t>View overall production efficiency by organization and division during year_period {year_period}.</t>
  </si>
  <si>
    <t>View overall production efficiency by organization and division during /year_period {year_period}.</t>
  </si>
  <si>
    <t>overall production efficiency by organization and division during year period</t>
  </si>
  <si>
    <t>Show division has the highest delay.</t>
  </si>
  <si>
    <t>Which division has the highest delay?</t>
  </si>
  <si>
    <t>SELECT 
    ORG_NAME,
    RES_DIV,
    SUM(NVL(TOTAL_QUANTITY, 0)) AS TOTAL_PRODUCTION_QUANTITY,
    SUM(NVL(STD_PRODUCTION, 0)) AS TOTAL_STANDARD_PRODUCTION,
    CASE 
        WHEN SUM(NVL(STD_PRODUCTION, 0)) &gt; 0 
        THEN (SUM(NVL(TOTAL_QUANTITY, 0)) / SUM(NVL(STD_PRODUCTION, 0))) * 100 
        ELSE 0 
    END AS PRODUCTION_EFFICIENCY_PERCENT,
    AVG(NVL(PERFORMANCE_INDEX, 0)) AS AVG_PERFORMANCE_INDEX
FROM 
    KPCL_REPORTING.KPC_FK_DOCKET_IDLE_REPORT
WHERE 
    YEAR_PERIOD LIKE '%{year_period}%'
AND (IDLE_REASON) LIKE ('Operator Absent')
GROUP BY 
    ORG_NAME,
    RES_DIV
ORDER BY 
    ORG_NAME ASC,
    PRODUCTION_EFFICIENCY_PERCENT DESC;</t>
  </si>
  <si>
    <t>division has the highest delay</t>
  </si>
  <si>
    <t>SELECT 
    DIVISION_NAME,
    SUM(QTY_AFT) AS TOTAL_DELAYED_QUANTITY
FROM 
    KPCL_REPORTING.KPC_FULL_KIT_ONTIME_DELIVERY_INDEX
GROUP BY 
    DIVISION_NAME
ORDER BY 
    TOTAL_DELAYED_QUANTITY DESC
FETCH FIRST 1 ROW ONLY;</t>
  </si>
  <si>
    <t>Show customers faced maximum delivery delays.</t>
  </si>
  <si>
    <t>Which customers faced maximum delivery delays?</t>
  </si>
  <si>
    <t>customers faced maximum delivery delays</t>
  </si>
  <si>
    <t xml:space="preserve">SELECT 
    CUSTOMER_NAME,
    SUM(QTY_AFT) AS TOTAL_DELAY
FROM KPCL_REPORTING.KPC_FULL_KIT_ONTIME_DELIVERY_INDEX
WHERE QTY_AFT &gt; 0
GROUP BY CUSTOMER_NAME
ORDER BY TOTAL_DELAY DESC
FETCH FIRST 10 ROWS ONLY; </t>
  </si>
  <si>
    <t>Show machine health summary using maintenance time, idle time, and performance index.</t>
  </si>
  <si>
    <t>machine health summary using maintenance time, idle time, and performance index</t>
  </si>
  <si>
    <t>Show customer has the best on-time delivery performance.</t>
  </si>
  <si>
    <t>SELECT 
    RESOURCE_CODE,
    RESOURCE_DESC,
    SUM(NVL(MAINTAINCE_DOCKET_TIME, 0)) AS TOTAL_MAINTENANCE_TIME,
    SUM(NVL(TOTAL_IDLE, 0)) AS TOTAL_IDLE_TIME,
    AVG(NVL(PERFORMANCE_INDEX, 0)) AS AVG_PERFORMANCE_INDEX
FROM 
    KPCL_REPORTING.KPC_FK_DOCKET_IDLE_REPORT
WHERE (IDLE_REASON) LIKE ('Operator Absent')
GROUP BY 
    RESOURCE_CODE,
    RESOURCE_DESC
ORDER BY 
    TOTAL_MAINTENANCE_TIME DESC,
    TOTAL_IDLE_TIME DESC,
    AVG_PERFORMANCE_INDEX ASC;</t>
  </si>
  <si>
    <t>Which customer has the best on-time delivery performance?</t>
  </si>
  <si>
    <t>customer has the best on-time delivery performance</t>
  </si>
  <si>
    <t xml:space="preserve">SELECT 
    CUSTOMER_NAME,
    ROUND(
        (SUM(QTY_ON) / NULLIF(SUM(QTY_DESP),0)) * 100,
        2
    ) AS OTD_PERCENT
FROM KPCL_REPORTING.KPC_FULL_KIT_ONTIME_DELIVERY_INDEX
GROUP BY CUSTOMER_NAME
ORDER BY OTD_PERCENT DESC
FETCH FIRST 10 ROWS ONLY; </t>
  </si>
  <si>
    <t>Show organization-wise KPI summary including production, utilization, rejection, and downtime for fin_year {fin_year}.</t>
  </si>
  <si>
    <t>Show organization-wise KPI summary including production, utilization, rejection, and downtime for /fin_year {fin_year}.</t>
  </si>
  <si>
    <t>organization-wise KPI summary including production, utilization, rejection, and downtime for fin year</t>
  </si>
  <si>
    <t>Show delayed orders for a customer.</t>
  </si>
  <si>
    <t>Show delayed orders for a customer</t>
  </si>
  <si>
    <t>SELECT 
    ORG_NAME,
    SUM(NVL(TOTAL_QUANTITY, 0)) AS TOTAL_PRODUCTION_QUANTITY,
    AVG(NVL(EFFECTIVE_UTILIZATION, 0)) AS AVG_EFFECTIVE_UTILIZATION,
    SUM(NVL(QUANTITY_REJ_MACHINE, 0) + NVL(QUANTITY_REJ_MATERIAL, 0)) AS TOTAL_REJECTION_QUANTITY,
    SUM(NVL(TOTAL_IDLE, 0) + NVL(MAINTAINCE_DOCKET_TIME, 0)) AS TOTAL_DOWNTIME
FROM 
    KPCL_REPORTING.KPC_FK_DOCKET_IDLE_REPORT
WHERE 
    FIN_YEAR LIKE '%{fin_year}%'
AND (IDLE_REASON) LIKE ('Operator Absent')
GROUP BY 
    ORG_NAME
ORDER BY 
    TOTAL_PRODUCTION_QUANTITY DESC;</t>
  </si>
  <si>
    <t>delayed orders for a customer</t>
  </si>
  <si>
    <t>SELECT DIVISION_NAME
     , SUM(QTY_DESP - QTY_ON) AS TOTAL_DELAYED_QUANTITY
  FROM KPCL_REPORTING.KPC_FULL_KIT_ONTIME_DELIVERY_INDEX
 GROUP BY DIVISION_NAME
 ORDER BY TOTAL_DELAYED_QUANTITY DESC
 FETCH FIRST 1 ROW ONLY;</t>
  </si>
  <si>
    <t>Show machine utilization for resource_code {resource_code} during week_period {week_period}.</t>
  </si>
  <si>
    <t>Show product group has maximum delays.</t>
  </si>
  <si>
    <t>Show machine utilization for /resource_code {resource_code} during /week_period {week_period}.</t>
  </si>
  <si>
    <t>Which product group has maximum delays</t>
  </si>
  <si>
    <t xml:space="preserve">machine utilization for resource code during week period </t>
  </si>
  <si>
    <t>product group has maximum delays</t>
  </si>
  <si>
    <t>SELECT 
    PRODUCT_GROUP,
    SUM(QTY_AFT) AS TOTAL_DELAY
FROM KPCL_REPORTING.KPC_FULL_KIT_ONTIME_DELIVERY_INDEX
GROUP BY PRODUCT_GROUP
ORDER BY TOTAL_DELAY DESC;</t>
  </si>
  <si>
    <t>Show models are repeatedly delayed.</t>
  </si>
  <si>
    <t>Which models are repeatedly delayed?</t>
  </si>
  <si>
    <t>product models are repeatedly delayed</t>
  </si>
  <si>
    <t>SELECT 
    MODEL,
    COUNT(*) AS DELAY_COUNT,
    SUM(QTY_AFT) AS TOTAL_DELAY_QTY
FROM KPCL_REPORTING.KPC_FULL_KIT_ONTIME_DELIVERY_INDEX
WHERE QTY_AFT &gt; 0
GROUP BY MODEL
ORDER BY DELAY_COUNT DESC;</t>
  </si>
  <si>
    <t>SELECT 
    RESOURCE_CODE,
    RESOURCE_DESC,
    ORG_NAME,
    DIV_CODE,
    RES_DIV,
    WEEK_PERIOD,
    SUM(NVL(SETTING_TIME, 0)) AS TOTAL_SETTING_TIME_MINS,
    SUM(NVL(OPERATION_TIME, 0)) AS TOTAL_OPERATION_TIME_MINS,
    SUM(NVL(SETTING_TIME, 0) + NVL(OPERATION_TIME, 0)) AS TOTAL_EFFECTIVE_TIME_MINS,
    SUM(NVL(AVAILABLE_TIME, 0)) AS TOTAL_AVAILABLE_TIME_MINS,
    SUM(NVL(TOTAL_IDLE, 0)) AS TOTAL_IDLE_TIME_MINS,
    SUM(NVL(MAINTAINCE_DOCKET_TIME, 0)) AS TOTAL_MAINTENANCE_TIME_MINS,
   ROUND(
        (SUM(NVL(SETTING_TIME, 0) + NVL(OPERATION_TIME, 0)) / NULLIF(SUM(NVL(AVAILABLE_TIME, 0)), 0)) * 100, 
        2
    ) AS UTILIZATION_PCT,
    ROUND(AVG(NVL(BUDGETED_UTILIZATION, 0)), 2) AS AVG_BUDGETED_UTILIZATION
FROM 
    KPCL_REPORTING.KPC_FK_DOCKET_IDLE_REPORT
WHERE 
    (RESOURCE_CODE) LIKE ('%{resource_code}%')
    AND ((WEEK_PERIOD) LIKE ('%{week_period}%'))
AND (IDLE_REASON) LIKE ('Operator Absent')
GROUP BY 
    RESOURCE_CODE,
    RESOURCE_DESC,
    ORG_NAME,
    DIV_CODE,
    RES_DIV,
    WEEK_PERIOD
ORDER BY 
    UTILIZATION_PCT DESC;</t>
  </si>
  <si>
    <t>Show item codes(Parts) have poor delivery performance.</t>
  </si>
  <si>
    <t>Which item codes(Parts) have poor delivery performance?</t>
  </si>
  <si>
    <t>item codes(Parts) have poor delivery performance</t>
  </si>
  <si>
    <t>Show production quantity for org_name{org_name} in  month_period {month_period}.</t>
  </si>
  <si>
    <t xml:space="preserve">SELECT 
    ITEM_CODE,
    ITEM_DESCRIPTION,
    ROUND(
        (SUM(QTY_ON) / NULLIF(SUM(QTY_DESP),0)) * 100,
        2
    ) AS OTD_PERCENT
FROM KPCL_REPORTING.KPC_FULL_KIT_ONTIME_DELIVERY_INDEX
GROUP BY ITEM_CODE, ITEM_DESCRIPTION
ORDER BY OTD_PERCENT;
 </t>
  </si>
  <si>
    <t>Show production quantity for /org_name{org_name} in  /month_period {month_period}.</t>
  </si>
  <si>
    <t xml:space="preserve">production quantity for org name in month period </t>
  </si>
  <si>
    <t>SELECT 
    ORG_NAME,
    MONTH_PERIOD,
    COUNT(*) AS TOTAL_DOCKET_ENTRIES,
    COUNT(DISTINCT RESOURCE_CODE) AS ACTIVE_MACHINES,
    SUM(NVL(PRODUCED, 0)) AS TOTAL_PRODUCTION_QTY,
    SUM(NVL(STD_PRODUCTION, 0)) AS TOTAL_STANDARD_TARGET_QTY,
    SUM(NVL(PRODUCED, 0)) - SUM(NVL(STD_PRODUCTION, 0)) AS PRODUCTION_VARIANCE,
    ROUND(
        (SUM(NVL(PRODUCED, 0)) / NULLIF(SUM(NVL(STD_PRODUCTION, 0)), 0)) * 100, 
        2
    ) AS PRODUCTION_EFFICIENCY_PCT
FROM 
    KPCL_REPORTING.KPC_FK_DOCKET_IDLE_REPORT
WHERE 
    (ORG_NAME) LIKE ('%{org_name}%')
    AND (
        (MONTH_PERIOD) LIKE ('%{month_period}%')
    )
AND (IDLE_REASON) LIKE ('Operator Absent')
GROUP BY 
    ORG_NAME,
    MONTH_PERIOD
ORDER BY 
    TOTAL_PRODUCTION_QTY DESC;</t>
  </si>
  <si>
    <t>org_name, month_period</t>
  </si>
  <si>
    <t>Show top delay reasons.</t>
  </si>
  <si>
    <t xml:space="preserve"> What are the top delay reasons?</t>
  </si>
  <si>
    <t>top delay reasons</t>
  </si>
  <si>
    <t>SELECT 
    COUNT(*) AS TOTAL_ORDERS,
    SUM(QTY_AFT) AS TOTAL_DELAY_QTY
FROM KPCL_REPORTING.KPC_FULL_KIT_ONTIME_DELIVERY_INDEX
WHERE REMARK_1 LIKE '%{Engineering default}%';</t>
  </si>
  <si>
    <t>Show effective utilization of div_code{div_code} during year_period {year_period}.</t>
  </si>
  <si>
    <t>Show effective utilization of /div_code{div_code} during /year_period {year_period}.</t>
  </si>
  <si>
    <t xml:space="preserve">effective utilization of div code during year period </t>
  </si>
  <si>
    <t>Show count of delays happened due to remark 1 {remark_1}.</t>
  </si>
  <si>
    <t>SELECT 
    DIV_CODE,
    RES_DIV,
    ORG_NAME,
    YEAR_PERIOD,
    COUNT(DISTINCT RESOURCE_CODE) AS TOTAL_MACHINES,
    COUNT(*) AS TOTAL_DOCKET_RECORDS,
    -- Time Metrics (in Minutes)
    SUM(NVL(SETTING_TIME, 0)) AS TOTAL_SETTING_TIME_MINS,
    SUM(NVL(OPERATION_TIME, 0)) AS TOTAL_OPERATION_TIME_MINS,
    SUM(NVL(SETTING_TIME, 0) + NVL(OPERATION_TIME, 0)) AS TOTAL_EFFECTIVE_TIME_MINS,
    SUM(NVL(AVAILABLE_TIME, 0)) AS TOTAL_AVAILABLE_TIME_MINS,
    SUM(NVL(TOTAL_IDLE, 0)) AS TOTAL_IDLE_TIME_MINS,
    -- Effective Utilization Percentage: (Setting + Operation) / Available * 100
    ROUND(
        (SUM(NVL(SETTING_TIME, 0) + NVL(OPERATION_TIME, 0)) / NULLIF(SUM(NVL(AVAILABLE_TIME, 0)), 0)) * 100, 
        2
    ) AS EFFECTIVE_UTILIZATION_PCT,
    -- Average Budgeted Target Benchmark
    ROUND(AVG(NVL(BUDGETED_UTILIZATION, 0)), 2) AS AVG_BUDGETED_UTILIZATION_PCT
FROM 
    KPCL_REPORTING.KPC_FK_DOCKET_IDLE_REPORT
WHERE 
    (
        (DIV_CODE) LIKE ('%{div_code}%')
   )
    AND (YEAR_PERIOD) LIKE ('%{year_period}%')
AND (IDLE_REASON) LIKE ('Operator Absent')
GROUP BY 
    DIV_CODE,
    RES_DIV,
    ORG_NAME,
    YEAR_PERIOD
ORDER BY 
    EFFECTIVE_UTILIZATION_PCT DESC;</t>
  </si>
  <si>
    <t>How many delays happened due to /remark {remark}?</t>
  </si>
  <si>
    <t>delays happened due to remark</t>
  </si>
  <si>
    <t>SELECT 
    COUNT(*) AS DELAY_INCIDENTS_COUNT,
    SUM(QTY_AFT) AS TOTAL_DELAYED_QUANTITY
FROM 
    KPCL_REPORTING.KPC_FULL_KIT_ONTIME_DELIVERY_INDEX
WHERE 
    (QTY_DESP - QTY_ON) &gt; 0
    AND REMARK_1 LIKE '%Capacity Issue%';</t>
  </si>
  <si>
    <t>remark</t>
  </si>
  <si>
    <t>Compare production of resource_code {resource_code} between week_period {week_period} and week_period {week_period}.</t>
  </si>
  <si>
    <t>Compare production of /resource_code {resource_code} between /week_period {week_period} and /week_period {week_period}.</t>
  </si>
  <si>
    <t>Show delay reason impacts customers most.</t>
  </si>
  <si>
    <t xml:space="preserve">production of resource code between week period and week period </t>
  </si>
  <si>
    <t>Which delay reason impacts customers most?</t>
  </si>
  <si>
    <t>delay reason impacts customers most</t>
  </si>
  <si>
    <t>SELECT 
    RESOURCE_CODE,
    WEEK_PERIOD,
    SUM(NVL(PRODUCED, 0)) AS TOTAL_PRODUCED_QTY,
    SUM(NVL(STD_PRODUCTION, 0)) AS TOTAL_STD_TARGET_QTY
FROM 
    KPCL_REPORTING.KPC_FK_DOCKET_IDLE_REPORT
WHERE 
    (RESOURCE_CODE) LIKE ('%{resource_code}%')
    AND (WEEK_PERIOD) IN (('{week_period}'), ('{week_period}'))
AND (IDLE_REASON) LIKE ('Operator Absent')
GROUP BY 
    RESOURCE_CODE,
    WEEK_PERIOD
ORDER BY 
    WEEK_PERIOD;</t>
  </si>
  <si>
    <t>SELECT 
    REMARK_1,
    COUNT(DISTINCT CUSTOMER_NUMBER) AS AFFECTED_CUSTOMERS
FROM KPCL_REPORTING.KPC_FULL_KIT_ONTIME_DELIVERY_INDEX
WHERE QTY_AFT &gt; 0
GROUP BY REMARK_1
ORDER BY AFFECTED_CUSTOMERS DESC;</t>
  </si>
  <si>
    <t>Show count of delayed orders have LD clause.</t>
  </si>
  <si>
    <t>Show total idle time for res_div {res_div} during month_period {month_period}.</t>
  </si>
  <si>
    <t xml:space="preserve"> How many delayed orders have LD clause?</t>
  </si>
  <si>
    <t>Show total idle time for /res_div {res_div} during /month_period {month_period}.</t>
  </si>
  <si>
    <t>delayed orders have LD clause</t>
  </si>
  <si>
    <t xml:space="preserve">total idle time for res div  during month period </t>
  </si>
  <si>
    <t>SELECT 
    COUNT(*) AS LD_DELAY_ORDERS
FROM KPCL_REPORTING.KPC_FULL_KIT_ONTIME_DELIVERY_INDEX
WHERE QTY_AFT &gt; 0
AND LD_CLAUSE NOT IN (
    'NA','N/A','Not Applicable',
    'NO','No','N A',
    'NOT APPLICABLE','Not applicable'
);</t>
  </si>
  <si>
    <t>SELECT 
    RES_DIV,
    DIV_CODE,
    ORG_NAME,
    MONTH_PERIOD,
    COUNT(DISTINCT RESOURCE_CODE) AS TOTAL_MACHINES,
    COUNT(*) AS TOTAL_DOCKET_RECORDS,
   SUM(NVL(TOTAL_IDLE, 0)) AS TOTAL_IDLE_TIME_MINS,
    ROUND(SUM(NVL(TOTAL_IDLE, 0)) / 60.0, 2) AS TOTAL_IDLE_TIME_HOURS,
    ROUND(AVG(NVL(TOTAL_IDLE, 0)), 2) AS AVG_IDLE_TIME_PER_RECORD
FROM 
    KPCL_REPORTING.KPC_FK_DOCKET_IDLE_REPORT
WHERE 
    (
        (RES_DIV) LIKE ('%{res_div}%')
    )
    AND (MONTH_PERIOD) LIKE ('%{month_period}%')
AND (IDLE_REASON) LIKE ('Operator Absent')
GROUP BY 
    RES_DIV,
    DIV_CODE,
    ORG_NAME,
    MONTH_PERIOD
ORDER BY 
    TOTAL_IDLE_TIME_MINS DESC;</t>
  </si>
  <si>
    <t>Show comparison of LD vs Non-LD delivery performance.</t>
  </si>
  <si>
    <t>Compare LD vs Non-LD delivery performance</t>
  </si>
  <si>
    <t>lD vs Non-LD delivery performance</t>
  </si>
  <si>
    <t>Show performance index of machine resource_code {resource_code} in org_name {org_name} for year_period {year_period}.</t>
  </si>
  <si>
    <t>Show performance index of machine /resource_code {resource_code} in /org_name {org_name} for /year_period {year_period}.</t>
  </si>
  <si>
    <t>SELECT 
    CASE 
        WHEN LD_CLAUSE IN (
            'NA','N/A','Not Applicable',
            'NO','No','N A',
            'NOT APPLICABLE','Not applicable'
        )
        THEN 'WITHOUT_LD'
        ELSE 'WITH_LD'
    END AS LD_TYPE,
    ROUND(
        (SUM(QTY_ON) / NULLIF(SUM(QTY_DESP),0)) * 100,
        2
    ) AS OTD_PERCENT
FROM KPCL_REPORTING.KPC_FULL_KIT_ONTIME_DELIVERY_INDEX
GROUP BY 
    CASE 
        WHEN LD_CLAUSE IN (
            'NA','N/A','Not Applicable',
            'NO','No','N A',
            'NOT APPLICABLE','Not applicable'
        )
        THEN 'WITHOUT_LD'
        ELSE 'WITH_LD'
    END;</t>
  </si>
  <si>
    <t>performance index of machine resource code in org name for year period</t>
  </si>
  <si>
    <t>Show total incentive for employee {employee} during fin_year {fin_year}.</t>
  </si>
  <si>
    <t>Show total incentive for /employee {employee} during /fin_year {fin_year}.</t>
  </si>
  <si>
    <t>total incentive for employee during fin year</t>
  </si>
  <si>
    <t>SELECT 
    RESOURCE_CODE,
    RESOURCE_DESC,
    ORG_NAME,
    YEAR_PERIOD,
    SUM(NVL(PRODUCED, 0)) AS TOTAL_ACTUAL_PRODUCED,
    SUM(NVL(STD_PRODUCTION, 0)) AS TOTAL_STD_TARGET,
    ROUND(
        (SUM(NVL(PRODUCED, 0)) / NULLIF(SUM(NVL(STD_PRODUCTION, 0)), 0)) * 100, 
        2
    ) AS PERFORMANCE_INDEX_PCT,
    SUM(NVL(OPERATION_TIME, 0)) AS TOTAL_OPERATION_MINS,
    SUM(NVL(SETTING_TIME, 0)) AS TOTAL_SETTING_MINS,
    SUM(NVL(AVAILABLE_TIME, 0)) AS TOTAL_AVAILABLE_MINS,
    ROUND(
        (SUM(NVL(SETTING_TIME, 0) + NVL(OPERATION_TIME, 0)) / NULLIF(SUM(NVL(AVAILABLE_TIME, 0)), 0)) * 100, 
        2
    ) AS EFFECTIVE_UTILIZATION_PCT
FROM 
    KPCL_REPORTING.KPC_FK_DOCKET_IDLE_REPORT
WHERE 
    (RESOURCE_CODE) LIKE ('%{resource_code}%')
    AND (ORG_NAME) LIKE ('%{org_name}%')
    AND (YEAR_PERIOD) LIKE ('%{year_period}%')
    AND (IDLE_REASON) LIKE ('Operator Absent')
GROUP BY 
    RESOURCE_CODE,
    RESOURCE_DESC,
    ORG_NAME,
    YEAR_PERIOD
ORDER BY 
    PERFORMANCE_INDEX_PCT DESC;</t>
  </si>
  <si>
    <t>resource_code, org_name, year_period</t>
  </si>
  <si>
    <t>SELECT 
    PERIOD_NAME,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(PERIOD_NAME) LIKE ('%{fin_year}%')
GROUP BY 
    PERIOD_NAME,
    TNO,
    ENAME,
    EMP_ORG_NAME,
    EMP_DEPT,
    SUPV_NAME
ORDER BY 
    PERIOD_NAME DESC;</t>
  </si>
  <si>
    <t>Show month wise on-time delivery trend.</t>
  </si>
  <si>
    <t>Month wise on-time delivery trend</t>
  </si>
  <si>
    <t>month wise on-time delivery trend</t>
  </si>
  <si>
    <t>SELECT 
    INV_DATE_YYMM,
    ROUND(
        (SUM(QTY_ON) / NULLIF(SUM(QTY_DESP),0)) * 100,
        2
    ) AS OTD_PERCENT
FROM KPCL_REPORTING.KPC_FULL_KIT_ONTIME_DELIVERY_INDEX
GROUP BY INV_DATE_YYMM
ORDER BY TO_DATE(INV_DATE_YYMM,'YYYY-MM');</t>
  </si>
  <si>
    <t>Show maintenance time for org_name {org_name} during month_period {month_period}.</t>
  </si>
  <si>
    <t>Show maintenance time for /org_name {org_name} during /month_period {month_period}.</t>
  </si>
  <si>
    <t>maintenance time for org name during month period</t>
  </si>
  <si>
    <t>Show total incentive for employee {employee} under incentive_scheme {incentive_scheme}.</t>
  </si>
  <si>
    <t>SELECT 
    ORG_NAME,
    MONTH_PERIOD,
    COUNT(DISTINCT RESOURCE_CODE) AS MACHINES_UNDER_MAINTENANCE,
    COUNT(*) AS TOTAL_DOCKET_RECORDS,
    SUM(NVL(MAINTAINCE_DOCKET_TIME, 0)) AS MAINTAINCE_DOCKET_TIME_MINS,
    ROUND(SUM(NVL(MAINTAINCE_DOCKET_TIME, 0)) / 60.0, 2) AS MAINTAINCE_DOCKET_TIME_HOURS,
    SUM(
        CASE 
            WHEN (IDLE_REASON) LIKE '%MAINTENANCE%' 
              OR (IDLE_REASON) LIKE '%RECONDITIONING%' 
            THEN NVL(TOTAL_IDLE, 0) 
            ELSE 0 
        END
    ) AS MAINTENANCE_IDLE_MINS,
    SUM(
        NVL(MAINTAINCE_DOCKET_TIME, 0) + 
        CASE 
            WHEN (IDLE_REASON) LIKE '%MAINTENANCE%' 
              OR (IDLE_REASON) LIKE '%RECONDITIONING%' 
            THEN NVL(TOTAL_IDLE, 0) 
            ELSE 0 
        END
    ) AS TOTAL_COMBINED_MAINTENANCE_MINS,
    ROUND(
        SUM(
            NVL(MAINTAINCE_DOCKET_TIME, 0) + 
            CASE 
                WHEN (IDLE_REASON) LIKE '%MAINTENANCE%' 
                  OR (IDLE_REASON) LIKE '%RECONDITIONING%' 
                THEN NVL(TOTAL_IDLE, 0) 
                ELSE 0 
            END
        ) / 60.0, 
        2
    ) AS TOTAL_COMBINED_MAINTENANCE_HOURS
FROM 
    KPCL_REPORTING.KPC_FK_DOCKET_IDLE_REPORT
WHERE 
    (ORG_NAME) LIKE ('%{org_name}%')
    AND (MONTH_PERIOD) LIKE ('%{month_period}%')
    AND (IDLE_REASON) LIKE ('Operator Absent')
GROUP BY 
    ORG_NAME,
    MONTH_PERIOD
ORDER BY 
    TOTAL_COMBINED_MAINTENANCE_MINS DESC;</t>
  </si>
  <si>
    <t>Show total incentive for /employee {employee} under /incentive_scheme {incentive_scheme}.</t>
  </si>
  <si>
    <t>total incentive for employee under incentive scheme</t>
  </si>
  <si>
    <t>Show month having highest delays.</t>
  </si>
  <si>
    <t>Which month having highest delays?</t>
  </si>
  <si>
    <t>month having highest delays</t>
  </si>
  <si>
    <t>SELECT 
    DESP_MON AS DISPATCH_MONTH,
    SUM(QTY_AFT) AS TOTAL_DELAYED_QUANTITY
FROM 
    KPCL_REPORTING.KPC_FULL_KIT_ONTIME_DELIVERY_INDEX
GROUP BY 
    DESP_MON
ORDER BY 
    TOTAL_DELAYED_QUANTITY DESC
FETCH FIRST 1 ROW ONLY;</t>
  </si>
  <si>
    <t>View total incentive for employee {employee} under incentive_scheme {incentive_scheme} during month_period {month_period }.</t>
  </si>
  <si>
    <t>Show total incentive for /employee {employee} under /incentive_scheme {incentive_scheme} during /month_period {month_period}.</t>
  </si>
  <si>
    <t>total incentive for employee under incentive scheme  during month period</t>
  </si>
  <si>
    <t>SELECT 
    MONTH_PERIOD,
    TNO,
    ENAME,
    EMP_ORG_NAME,
    EMP_DEPT,
    SUPV_NAME,
    INCNSCHM AS INCENTIVE_SCHEME,
    SUM(TOTINCN) AS TOTAL_INCENTIVE,
    SUM(PRODBON) AS TOTAL_PRODUCTION_BONUS,
    SUM(EXGRT) AS TOTAL_EXTERNAL_GRATIA
FROM 
    KPCL_REPORTING.KPC_FULL_KIT_DOCKET_EMP
WHERE 
    ENAME LIKE '%{employee}%'
    AND TO_CHAR(INCNSCHM) LIKE '%{incentive_scheme}%'
    AND MONTH_PERIOD LIKE '%{month_period}%'
GROUP BY 
    MONTH_PERIOD,
    TNO,
    ENAME,
    EMP_ORG_NAME,
    EMP_DEPT,
    SUPV_NAME,
    INCNSCHM
ORDER BY 
    MAX(PERIOD_NAME) DESC;</t>
  </si>
  <si>
    <t>Show orders delayed beyond promise date.</t>
  </si>
  <si>
    <t>Show orders delayed beyond promise date</t>
  </si>
  <si>
    <t>orders delayed beyond promise date</t>
  </si>
  <si>
    <t>SELECT OA_NUMBER AS ORDER_NUMBER
     , CUSTOMER_NAME
     , ITEM_CODE
     , OA_CDD AS PROMISE_DATE
     , INV_DATE AS INVOICE_DATE
     , QTY_DESP AS TOTAL_DISPATCHED
     , QTY_AFT AS DELAYED_QUANTITY
  FROM KPCL_REPORTING.KPC_FULL_KIT_ONTIME_DELIVERY_INDEX
 WHERE QTY_AFT &gt; 0 
   AND INV_DATE &gt; OA_CDD;</t>
  </si>
  <si>
    <t>View total incentive for employee {employee}.</t>
  </si>
  <si>
    <t>SELECT 
    PERIOD_NAME,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GROUP BY 
    PERIOD_NAME,
    TNO,
    ENAME,
    EMP_ORG_NAME,
    EMP_DEPT,
    SUPV_NAME
ORDER BY 
    PERIOD_NAME DESC;</t>
  </si>
  <si>
    <t>Show invoices were dispatched before promise date.</t>
  </si>
  <si>
    <t>Which invoices were dispatched before promise date?</t>
  </si>
  <si>
    <t>invoices were dispatched before promise date</t>
  </si>
  <si>
    <t>SELECT INV_NUM AS INVOICE_NUMBER
     , INV_DATE AS INVOICE_DATE
     , OA_NUMBER AS ORDER_NUMBER
     , OA_CDD AS PROMISE_DATE
     , CUSTOMER_NAME
     , ITEM_CODE
     , QTY_BEF AS QUANTITY_DISPATCHED_BEFORE_TIME
  FROM KPCL_REPORTING.KPC_FULL_KIT_ONTIME_DELIVERY_INDEX
 WHERE QTY_BEF &gt; 0
   AND INV_DATE &lt; OA_CDD;</t>
  </si>
  <si>
    <t>View total incentive for employee {employee} during month_period {month_period}.</t>
  </si>
  <si>
    <t>SELECT 
    MONTH_PERIOD,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(MONTH_PERIOD) LIKE ('%{month_period }%')
GROUP BY 
    MONTH_PERIOD,
    TNO,
    ENAME,
    EMP_ORG_NAME,
    EMP_DEPT,
    SUPV_NAME
ORDER BY 
    MONTH_PERIOD DESC;</t>
  </si>
  <si>
    <t>Show overall reason delay summary.</t>
  </si>
  <si>
    <t xml:space="preserve">Show overall reason delay summary. </t>
  </si>
  <si>
    <t>overall reason delay summary</t>
  </si>
  <si>
    <t>SELECT REMARK_1 AS DELAY_REASON
     , REMARK_DESC AS REASON_DESCRIPTION
     , COUNT(*) AS TOTAL_DELAYED_ORDERS
     , SUM(QTY_AFT) AS TOTAL_DELAYED_QUANTITY
  FROM KPCL_REPORTING.KPC_FULL_KIT_ONTIME_DELIVERY_INDEX
 WHERE QTY_AFT &gt; 0 
   AND REMARK_1 IS NOT NULL
 GROUP BY REMARK_1, REMARK_DESC
 ORDER BY TOTAL_DELAYED_ORDERS DESC;</t>
  </si>
  <si>
    <t>Show top 5 delayed projects.</t>
  </si>
  <si>
    <t>Top 5 delayed projects</t>
  </si>
  <si>
    <t>top 5 delayed projects</t>
  </si>
  <si>
    <t xml:space="preserve">SELECT 
    PROJECT_NUMBER,
    SUM(QTY_AFT) AS TOTAL_DELAY
FROM KPCL_REPORTING.KPC_FULL_KIT_ONTIME_DELIVERY_INDEX
WHERE PROJECT_NUMBER IS NOT NULL
GROUP BY PROJECT_NUMBER
ORDER BY TOTAL_DELAY DESC
FETCH FIRST 5 ROWS ONLY;  </t>
  </si>
  <si>
    <t>Show dispatch efficiency.</t>
  </si>
  <si>
    <t>What is the dispatch efficiency?</t>
  </si>
  <si>
    <t>dispatch efficiency</t>
  </si>
  <si>
    <t>SELECT 
    ROUND(
        (
            SUM(QTY_BEF) + SUM(QTY_ON)
        ) / NULLIF(SUM(QTY_DESP),0) * 100,
        2
    ) AS DISPATCH_EFFICIENCY
FROM KPCL_REPORTING.KPC_FULL_KIT_ONTIME_DELIVERY_INDEX;</t>
  </si>
  <si>
    <t>Show total dispatched quantity.</t>
  </si>
  <si>
    <t>total dispatched quantity</t>
  </si>
  <si>
    <t>SELECT SUM(QTY_DESP) AS TOTAL_DISPATCHED_QUANTITY
FROM KPCL_REPORTING.KPC_FULL_KIT_ONTIME_DELIVERY_INDEX;</t>
  </si>
  <si>
    <t>Show total on-time dispatched quantity.</t>
  </si>
  <si>
    <t>total on-time dispatched quantity</t>
  </si>
  <si>
    <t>SELECT SUM(QTY_ON) AS TOTAL_ON_TIME_DISPATCHED_QUANTITY
FROM KPCL_REPORTING.KPC_FULL_KIT_ONTIME_DELIVERY_INDEX;</t>
  </si>
  <si>
    <t>Show total delayed dispatched quantity.</t>
  </si>
  <si>
    <t>total delayed dispatched quantity</t>
  </si>
  <si>
    <t>SELECT SUM(QTY_AFT) AS TOTAL_DELAYED_DISPATCHED_QUANTITY
FROM KPCL_REPORTING.KPC_FULL_KIT_ONTIME_DELIVERY_INDEX;</t>
  </si>
  <si>
    <t>Show total quantity dispatched before the promise date.</t>
  </si>
  <si>
    <t>total quantity dispatched before the promise date</t>
  </si>
  <si>
    <t>SELECT SUM(QTY_BEF) AS TOTAL_QUANTITY_DISPATCHED_BEFORE
FROM KPCL_REPORTING.KPC_FULL_KIT_ONTIME_DELIVERY_INDEX;</t>
  </si>
  <si>
    <t>Show total quantity dispatched within 3 days of the promise date.</t>
  </si>
  <si>
    <t>total quantity dispatched within 3 days of the promise date</t>
  </si>
  <si>
    <t>SELECT SUM(QTY_WITHIN_3) AS TOTAL_QUANTITY_WITHIN_3_DAYS
FROM KPCL_REPORTING.KPC_FULL_KIT_ONTIME_DELIVERY_INDEX;</t>
  </si>
  <si>
    <t>SELECT ROUND((SUM(QTY_ON) / NULLIF(SUM(QTY_DESP), 0)) * 100, 4) AS OVERALL_ON_TIME_DELIVERY_PERCENTAGE
FROM KPCL_REPORTING.KPC_FULL_KIT_ONTIME_DELIVERY_INDEX;</t>
  </si>
  <si>
    <t>Show overall delayed delivery percentage.</t>
  </si>
  <si>
    <t>overall delayed delivery percentage</t>
  </si>
  <si>
    <t xml:space="preserve">SELECT ROUND((SUM(QTY_AFT) / NULLIF(SUM(QTY_DESP), 0)) * 100, 4) AS OVERALL_DELAYED_DELIVERY_PERCENTAGE
FROM KPCL_REPORTING.KPC_FULL_KIT_ONTIME_DELIVERY_INDEX;
</t>
  </si>
  <si>
    <t>Show overall before time delivery percentage.</t>
  </si>
  <si>
    <t>overall before time delivery percentage</t>
  </si>
  <si>
    <t>SELECT ROUND((SUM(QTY_BEF) / NULLIF(SUM(QTY_DESP), 0)) * 100, 4) AS OVERALL_BEFORE_TIME_DELIVERY_PERCENTAGE
FROM KPCL_REPORTING.KPC_FULL_KIT_ONTIME_DELIVERY_INDEX;</t>
  </si>
  <si>
    <t>Show total number of dispatched orders.</t>
  </si>
  <si>
    <t>total number of dispatched orders</t>
  </si>
  <si>
    <t>SELECT COUNT(DISTINCT ORDER_NUM) AS TOTAL_DISPATCHED_ORDERS
FROM KPCL_REPORTING.KPC_FULL_KIT_ONTIME_DELIVERY_INDEX;</t>
  </si>
  <si>
    <t>View total incentive for employee {employee} under supervisor {supervisor} during month_period {month_period}.</t>
  </si>
  <si>
    <t>Show total incentive for /employee {employee} under /supervisor {supervisor} during  /month_period {month_period}.</t>
  </si>
  <si>
    <t>total incentive for employee under supervisor during  month period</t>
  </si>
  <si>
    <t>SELECT 
    MONTH_PERIOD,
    TNO,
    ENAME,
    EMP_ORG_NAME,
    EMP_DEPT,
    SUPV_NAME,
    SUM(TOTINCN) AS TOTAL_INCENTIVE,
    SUM(PRODBON) AS TOTAL_PRODUCTION_BONUS,
    SUM(EXGRT) AS TOTAL_EXTERNAL_GRATIA
FROM 
    KPCL_REPORTING.KPC_FULL_KIT_DOCKET_EMP
WHERE 
    (ENAME) LIKE ('%{employee}%')
    AND (SUPV_NAME) LIKE ('%{supervisor}%')
    AND (MONTH_PERIOD) LIKE ('%{month_period}%')
GROUP BY 
    MONTH_PERIOD,
    TNO,
    ENAME,
    EMP_ORG_NAME,
    EMP_DEPT,
    SUPV_NAME;</t>
  </si>
  <si>
    <t>Show total number of invoices generated.</t>
  </si>
  <si>
    <t>total number of invoices generated</t>
  </si>
  <si>
    <t>SELECT COUNT(DISTINCT INV_NUM) AS TOTAL_INVOICES_GENERATED
FROM KPCL_REPORTING.KPC_FULL_KIT_ONTIME_DELIVERY_INDEX;</t>
  </si>
  <si>
    <t>Show worked hours for employee {employee} during month_period {month_period}.</t>
  </si>
  <si>
    <t>Show worked hours for /employee {employee} during /month_period {month_period}.</t>
  </si>
  <si>
    <t>worked hours for employee during month period</t>
  </si>
  <si>
    <t>SELECT 
    MONTH_PERIOD,
    TNO,
    ENAME,
    EMP_ORG_NAME,
    EMP_DEPT,
    SUPV_NAME,
    SUM(WORKED) AS TOTAL_WORKED_MINUTES
FROM 
    KPCL_REPORTING.KPC_FULL_KIT_DOCKET_EMP
WHERE 
    (ENAME) LIKE ('%{employee}%')
    AND (MONTH_PERIOD) LIKE ('%{month_period }%')
GROUP BY 
    MONTH_PERIOD,
    TNO,
    ENAME,
    EMP_ORG_NAME,
    EMP_DEPT,
    SUPV_NAME;</t>
  </si>
  <si>
    <t>Show total number of customers.</t>
  </si>
  <si>
    <t>total number of customers</t>
  </si>
  <si>
    <t>SELECT COUNT(DISTINCT CUSTOMER_NUMBER) AS TOTAL_CUSTOMERS
FROM KPCL_REPORTING.KPC_FULL_KIT_ONTIME_DELIVERY_INDEX;</t>
  </si>
  <si>
    <t>Show total number of projects.</t>
  </si>
  <si>
    <t>total number of projects</t>
  </si>
  <si>
    <t>SELECT COUNT(DISTINCT PROJECT_NUMBER) AS TOTAL_PROJECTS
FROM KPCL_REPORTING.KPC_FULL_KIT_ONTIME_DELIVERY_INDEX;</t>
  </si>
  <si>
    <t>Show total number of product groups.</t>
  </si>
  <si>
    <t>total number of product groups</t>
  </si>
  <si>
    <t>SELECT COUNT(DISTINCT PRODUCT_GROUP) AS TOTAL_PRODUCT_GROUPS
FROM KPCL_REPORTING.KPC_FULL_KIT_ONTIME_DELIVERY_INDEX;</t>
  </si>
  <si>
    <t>Show total number of models.</t>
  </si>
  <si>
    <t>total number of product models</t>
  </si>
  <si>
    <t>SELECT COUNT(DISTINCT MODEL) AS TOTAL_MODELS
FROM KPCL_REPORTING.KPC_FULL_KIT_ONTIME_DELIVERY_INDEX;</t>
  </si>
  <si>
    <t>Show total number of items dispatched.</t>
  </si>
  <si>
    <t>total number of items dispatched</t>
  </si>
  <si>
    <t>SELECT COUNT(DISTINCT ITEM_CODE) AS TOTAL_ITEMS_DISPATCHED
FROM KPCL_REPORTING.KPC_FULL_KIT_ONTIME_DELIVERY_INDEX;</t>
  </si>
  <si>
    <t>Show total quantity dispatched by division.</t>
  </si>
  <si>
    <t>total quantity dispatched by division</t>
  </si>
  <si>
    <t>SELECT DIVISION, SUM(QTY_DESP) AS TOTAL_QUANTITY_DISPATCHED,DIVISION_NAME
FROM KPCL_REPORTING.KPC_FULL_KIT_ONTIME_DELIVERY_INDEX
GROUP BY DIVISION,DIVISION_NAME;</t>
  </si>
  <si>
    <t>Show total quantity dispatched by organisation.</t>
  </si>
  <si>
    <t>total quantity dispatched by organisation</t>
  </si>
  <si>
    <t>SELECT SBU_NAME AS ORGANISATION_NAME, SUM(QTY_DESP) AS TOTAL_QUANTITY_DISPATCHED
FROM KPCL_REPORTING.KPC_FULL_KIT_ONTIME_DELIVERY_INDEX
GROUP BY SBU_NAME;</t>
  </si>
  <si>
    <t>Show total quantity dispatched by customer.</t>
  </si>
  <si>
    <t>total quantity dispatched by customer</t>
  </si>
  <si>
    <t>SELECT CUSTOMER_NUMBER, CUSTOMER_NAME, SUM(QTY_DESP) AS TOTAL_QUANTITY_DISPATCHED
FROM KPCL_REPORTING.KPC_FULL_KIT_ONTIME_DELIVERY_INDEX
GROUP BY CUSTOMER_NUMBER, CUSTOMER_NAME;</t>
  </si>
  <si>
    <t>Show total quantity dispatched by product group.</t>
  </si>
  <si>
    <t>total quantity dispatched by product group</t>
  </si>
  <si>
    <t>SELECT PRODUCT_GROUP, SUM(QTY_DESP) AS TOTAL_QUANTITY_DISPATCHED
FROM KPCL_REPORTING.KPC_FULL_KIT_ONTIME_DELIVERY_INDEX
GROUP BY PRODUCT_GROUP;</t>
  </si>
  <si>
    <t>Show total quantity dispatched by model.</t>
  </si>
  <si>
    <t>total quantity dispatched by product model</t>
  </si>
  <si>
    <t>SELECT MODEL, SUM(QTY_DESP) AS TOTAL_QUANTITY_DISPATCHED
FROM KPCL_REPORTING.KPC_FULL_KIT_ONTIME_DELIVERY_INDEX
GROUP BY MODEL;</t>
  </si>
  <si>
    <t>Show total quantity dispatched by item.</t>
  </si>
  <si>
    <t>total quantity dispatched by item</t>
  </si>
  <si>
    <t>SELECT ITEM_CODE, ITEM_DESCRIPTION, SUM(QTY_DESP) AS TOTAL_QUANTITY_DISPATCHED
FROM KPCL_REPORTING.KPC_FULL_KIT_ONTIME_DELIVERY_INDEX
GROUP BY ITEM_CODE, ITEM_DESCRIPTION;</t>
  </si>
  <si>
    <t>Show total quantity dispatched by item type.</t>
  </si>
  <si>
    <t>total quantity dispatched by item type</t>
  </si>
  <si>
    <t>SELECT ITEM_TYPE, SUM(QTY_DESP) AS TOTAL_QUANTITY_DISPATCHED
FROM KPCL_REPORTING.KPC_FULL_KIT_ONTIME_DELIVERY_INDEX
GROUP BY ITEM_TYPE;</t>
  </si>
  <si>
    <t>View worked minutes for employee {employee} during fin_year {fin_year}.</t>
  </si>
  <si>
    <t>Show worked minutes for /employee {employee} during /fin_year {fin_year}.</t>
  </si>
  <si>
    <t>worked minutes for employee during fin year</t>
  </si>
  <si>
    <t>Show division wise on-time delivery percentage.</t>
  </si>
  <si>
    <t>SELECT 
    PERIOD_NAME,
    TNO,
    ENAME,
    EMP_ORG_NAME,
    EMP_DEPT,
    SUPV_NAME,
    SUM(WORKED) AS TOTAL_WORKED_MINUTES
FROM 
    KPCL_REPORTING.KPC_FULL_KIT_DOCKET_EMP
WHERE 
    (ENAME) LIKE ('%{employee}%')
    AND (PERIOD_NAME) LIKE ('%{fin_year}%')
GROUP BY 
    PERIOD_NAME,
    TNO,
    ENAME,
    EMP_ORG_NAME,
    EMP_DEPT,
    SUPV_NAME
ORDER BY 
    PERIOD_NAME DESC;</t>
  </si>
  <si>
    <t>division wise on-time delivery percentage</t>
  </si>
  <si>
    <t>SELECT 
    DIVISION, DIVISION_NAME,
    ROUND((SUM(QTY_ON) / NULLIF(SUM(QTY_DESP), 0)) * 100, 4) AS ON_TIME_DELIVERY_PERCENTAGE
FROM KPCL_REPORTING.KPC_FULL_KIT_ONTIME_DELIVERY_INDEX
GROUP BY DIVISION,DIVISION_NAME;</t>
  </si>
  <si>
    <t>Show organisation wise on-time delivery percentage.</t>
  </si>
  <si>
    <t>organisation wise on-time delivery percentage</t>
  </si>
  <si>
    <t>SELECT 
    SBU_NAME AS ORGANISATION_NAME,
    ROUND((SUM(QTY_ON) / NULLIF(SUM(QTY_DESP), 0)) * 100, 4) AS ON_TIME_DELIVERY_PERCENTAGE
FROM KPCL_REPORTING.KPC_FULL_KIT_ONTIME_DELIVERY_INDEX
GROUP BY SBU_NAME;</t>
  </si>
  <si>
    <t>View worked hours for employee {employee} in employee_department {employee_department} during month_period {month_period}.</t>
  </si>
  <si>
    <t>Show worked hours for /employee {employee} in /employee_department {employee_department} during /month_period {month_period}.</t>
  </si>
  <si>
    <t>worked hours for employee in employee department during month period</t>
  </si>
  <si>
    <t>Show customer wise on-time delivery percentage.</t>
  </si>
  <si>
    <t>SELECT 
    MONTH_PERIOD,
    TNO,
    ENAME,
    EMP_ORG_NAME,
    EMP_DEPT,
    SUPV_NAME,
    SUM(WORKED) AS TOTAL_WORKED_MINUTES
FROM 
    KPCL_REPORTING.KPC_FULL_KIT_DOCKET_EMP
WHERE 
    (ENAME) LIKE ('%{employee}%')
    AND (EMP_DEPT) LIKE ('%{employee_department}%')
    AND (MONTH_PERIOD) LIKE ('%{month_period}%')
GROUP BY 
    MONTH_PERIOD,
    TNO,
    ENAME,
    EMP_ORG_NAME,
    EMP_DEPT,
    SUPV_NAME;</t>
  </si>
  <si>
    <t>customer wise on-time delivery percentage</t>
  </si>
  <si>
    <t>SELECT 
    CUSTOMER_NUMBER,
    CUSTOMER_NAME,
    ROUND((SUM(QTY_ON) / NULLIF(SUM(QTY_DESP), 0)) * 100, 4) AS ON_TIME_DELIVERY_PERCENTAGE
FROM KPCL_REPORTING.KPC_FULL_KIT_ONTIME_DELIVERY_INDEX
GROUP BY CUSTOMER_NUMBER, CUSTOMER_NAME;</t>
  </si>
  <si>
    <t>Show product group wise on-time delivery percentage.</t>
  </si>
  <si>
    <t>product group wise on-time delivery percentage</t>
  </si>
  <si>
    <t>Show worked hours for employee {employee}.</t>
  </si>
  <si>
    <t>SELECT 
    PRODUCT_GROUP,
    ROUND((SUM(QTY_ON) / NULLIF(SUM(QTY_DESP), 0)) * 100, 4) AS ON_TIME_DELIVERY_PERCENTAGE
FROM KPCL_REPORTING.KPC_FULL_KIT_ONTIME_DELIVERY_INDEX
GROUP BY PRODUCT_GROUP;</t>
  </si>
  <si>
    <t>Show worked hours for /employee {employee}.</t>
  </si>
  <si>
    <t xml:space="preserve">worked hours for employee </t>
  </si>
  <si>
    <t>SELECT 
    PERIOD_NAME,
    TNO,
    ENAME,
    EMP_ORG_NAME,
    EMP_DEPT,
    SUPV_NAME,
    SUM(WORKED) AS TOTAL_WORKED_MINUTES
FROM 
    KPCL_REPORTING.KPC_FULL_KIT_DOCKET_EMP
WHERE 
    (ENAME) LIKE ('%{employee}%')
GROUP BY 
    PERIOD_NAME,
    TNO,
    ENAME,
    EMP_ORG_NAME,
    EMP_DEPT,
    SUPV_NAME
ORDER BY 
    TOTAL_WORKED_MINUTES DESC;</t>
  </si>
  <si>
    <t>Show model wise on-time delivery percentage.</t>
  </si>
  <si>
    <t>product model wise on-time delivery percentage</t>
  </si>
  <si>
    <t>SELECT 
    MODEL,
    ROUND((SUM(QTY_ON) / NULLIF(SUM(QTY_DESP), 0)) * 100, 4) AS ON_TIME_DELIVERY_PERCENTAGE
FROM KPCL_REPORTING.KPC_FULL_KIT_ONTIME_DELIVERY_INDEX
GROUP BY MODEL;</t>
  </si>
  <si>
    <t>Show item wise on-time delivery percentage.</t>
  </si>
  <si>
    <t>item wise on-time delivery percentage</t>
  </si>
  <si>
    <t>SELECT 
    ITEM_CODE,
    ITEM_DESCRIPTION,
    ROUND((SUM(QTY_ON) / NULLIF(SUM(QTY_DESP), 0)) * 100, 4) AS ON_TIME_DELIVERY_PERCENTAGE
FROM KPCL_REPORTING.KPC_FULL_KIT_ONTIME_DELIVERY_INDEX
GROUP BY ITEM_CODE, ITEM_DESCRIPTION;</t>
  </si>
  <si>
    <t>Show item type wise on-time delivery percentage.</t>
  </si>
  <si>
    <t>item type wise on-time delivery percentage</t>
  </si>
  <si>
    <t>SELECT 
    ITEM_TYPE,
    ROUND((SUM(QTY_ON) / NULLIF(SUM(QTY_DESP), 0)) * 100, 4) AS ON_TIME_DELIVERY_PERCENTAGE
FROM KPCL_REPORTING.KPC_FULL_KIT_ONTIME_DELIVERY_INDEX
GROUP BY ITEM_TYPE;</t>
  </si>
  <si>
    <t>Show business group wise on-time delivery percentage.</t>
  </si>
  <si>
    <t>business group wise on-time delivery percentage</t>
  </si>
  <si>
    <t>SELECT 
    BUSINESS_GROUP,
    ROUND((SUM(QTY_ON) / NULLIF(SUM(QTY_DESP), 0)) * 100, 4) AS ON_TIME_DELIVERY_PERCENTAGE
FROM KPCL_REPORTING.KPC_FULL_KIT_ONTIME_DELIVERY_INDEX
GROUP BY BUSINESS_GROUP;</t>
  </si>
  <si>
    <t>Show division wise delayed quantity.</t>
  </si>
  <si>
    <t>division wise delayed quantity</t>
  </si>
  <si>
    <t>SELECT 
    DIVISION,
    DIVISION_NAME,
    SUM(QTY_AFT) AS TOTAL_DELAYED_QUANTITY
FROM 
    KPCL_REPORTING.KPC_FULL_KIT_ONTIME_DELIVERY_INDEX
GROUP BY 
    DIVISION,
    DIVISION_NAME;</t>
  </si>
  <si>
    <t>Show organisation wise delayed quantity.</t>
  </si>
  <si>
    <t>organisation wise delayed quantity</t>
  </si>
  <si>
    <t>SELECT 
    SBU_NAME AS ORGANISATION_NAME,
    SUM(QTY_AFT) AS TOTAL_DELAYED_QUANTITY
FROM 
    KPCL_REPORTING.KPC_FULL_KIT_ONTIME_DELIVERY_INDEX
GROUP BY 
    SBU_NAME;</t>
  </si>
  <si>
    <t>Show customer wise delayed quantity.</t>
  </si>
  <si>
    <t>customer wise delayed quantity</t>
  </si>
  <si>
    <t>SELECT 
    CUSTOMER_NUMBER,
    CUSTOMER_NAME,
    QTY_AFT AS TOTAL_DELAYED_QUANTITY
FROM 
    KPCL_REPORTING.KPC_FULL_KIT_ONTIME_DELIVERY_INDEX
GROUP BY 
    CUSTOMER_NUMBER,
    CUSTOMER_NAME,
    QTY_AFT;</t>
  </si>
  <si>
    <t>Show product group wise delayed quantity.</t>
  </si>
  <si>
    <t>product group wise delayed quantity</t>
  </si>
  <si>
    <t>SELECT 
    PRODUCT_GROUP,
    QTY_AFT AS TOTAL_DELAYED_QUANTITY
FROM 
    KPCL_REPORTING.KPC_FULL_KIT_ONTIME_DELIVERY_INDEX
GROUP BY 
    PRODUCT_GROUP,
    QTY_AFT;</t>
  </si>
  <si>
    <t>Show model wise delayed quantity.</t>
  </si>
  <si>
    <t>product model wise delayed quantity</t>
  </si>
  <si>
    <t>SELECT 
    MODEL,
    QTY_AFT AS TOTAL_DELAYED_QUANTITY
FROM 
    KPCL_REPORTING.KPC_FULL_KIT_ONTIME_DELIVERY_INDEX
GROUP BY 
    MODEL,
    QTY_AFT;</t>
  </si>
  <si>
    <t>Show item wise delayed quantity.</t>
  </si>
  <si>
    <t>item wise delayed quantity</t>
  </si>
  <si>
    <t>SELECT 
    ITEM_CODE,
    ITEM_DESCRIPTION,
    QTY_AFT AS TOTAL_DELAYED_QUANTITY
FROM 
    KPCL_REPORTING.KPC_FULL_KIT_ONTIME_DELIVERY_INDEX
GROUP BY 
    ITEM_CODE,
    ITEM_DESCRIPTION,
    QTY_AFT;</t>
  </si>
  <si>
    <t>Show item type wise delayed quantity.</t>
  </si>
  <si>
    <t>item type wise delayed quantity</t>
  </si>
  <si>
    <t>SELECT 
    ITEM_TYPE,
    QTY_AFT AS TOTAL_DELAYED_QUANTITY
FROM 
    KPCL_REPORTING.KPC_FULL_KIT_ONTIME_DELIVERY_INDEX
GROUP BY 
    ITEM_TYPE,
    QTY_AFT ;</t>
  </si>
  <si>
    <t>Show business group wise delayed quantity.</t>
  </si>
  <si>
    <t>business group wise delayed quantity</t>
  </si>
  <si>
    <t>SELECT 
    BUSINESS_GROUP,
    SUM(QTY_AFT) AS TOTAL_DELAYED_QUANTITY
FROM 
    KPCL_REPORTING.KPC_FULL_KIT_ONTIME_DELIVERY_INDEX
GROUP BY 
    BUSINESS_GROUP;</t>
  </si>
  <si>
    <t>Show month wise dispatched quantity.</t>
  </si>
  <si>
    <t>month wise dispatched quantity</t>
  </si>
  <si>
    <t>SELECT 
    INV_DATE_YYMM AS DISPATCH_MONTH,
    SUM(QTY_DESP) AS TOTAL_QUANTITY_DISPATCHED
FROM KPCL_REPORTING.KPC_FULL_KIT_ONTIME_DELIVERY_INDEX
GROUP BY INV_DATE_YYMM
ORDER BY DISPATCH_MONTH;</t>
  </si>
  <si>
    <t>Show month wise delayed quantity.</t>
  </si>
  <si>
    <t>month wise delayed quantity</t>
  </si>
  <si>
    <t>SELECT 
    INV_DATE_YYMM AS DISPATCH_MONTH,
    QTY_AFT AS TOTAL_DELAYED_QUANTITY
FROM KPCL_REPORTING.KPC_FULL_KIT_ONTIME_DELIVERY_INDEX
GROUP BY INV_DATE_YYMM, QTY_AFT 
ORDER BY DISPATCH_MONTH;</t>
  </si>
  <si>
    <t>Show month wise on-time delivery percentage.</t>
  </si>
  <si>
    <t>month wise on-time delivery percentage</t>
  </si>
  <si>
    <t>SELECT 
    INV_DATE_YYMM AS DISPATCH_MONTH,
    ROUND((SUM(QTY_ON) / NULLIF(SUM(QTY_DESP), 0)) * 100, 4) AS ON_TIME_DELIVERY_PERCENTAGE
FROM KPCL_REPORTING.KPC_FULL_KIT_ONTIME_DELIVERY_INDEX
GROUP BY INV_DATE_YYMM
ORDER BY DISPATCH_MONTH;</t>
  </si>
  <si>
    <t>Show invoice month wise dispatched quantity.</t>
  </si>
  <si>
    <t>invoice month wise dispatched quantity</t>
  </si>
  <si>
    <t>SELECT 
    INV_DATE_YYMM AS INVOICE_MONTH,
    SUM(QTY_DESP) AS TOTAL_QUANTITY_DISPATCHED
FROM KPCL_REPORTING.KPC_FULL_KIT_ONTIME_DELIVERY_INDEX
GROUP BY INV_DATE_YYMM
ORDER BY INVOICE_MONTH;</t>
  </si>
  <si>
    <t>Show promise month wise dispatched quantity.</t>
  </si>
  <si>
    <t>promise month wise dispatched quantity</t>
  </si>
  <si>
    <t>SELECT 
    PROMISE_DATE_YYMM AS PROMISE_MONTH,
    SUM(QTY_DESP) AS TOTAL_QUANTITY_DISPATCHED
FROM KPCL_REPORTING.KPC_FULL_KIT_ONTIME_DELIVERY_INDEX
GROUP BY PROMISE_DATE_YYMM
ORDER BY PROMISE_MONTH;</t>
  </si>
  <si>
    <t>Show order creation month wise dispatched quantity.</t>
  </si>
  <si>
    <t>order creation month wise dispatched quantity</t>
  </si>
  <si>
    <t>SELECT 
    OA_CRN_DATE_YYMM AS ORDER_CREATION_MONTH,
    SUM(QTY_DESP) AS TOTAL_QUANTITY_DISPATCHED
FROM KPCL_REPORTING.KPC_FULL_KIT_ONTIME_DELIVERY_INDEX
GROUP BY OA_CRN_DATE_YYMM
ORDER BY ORDER_CREATION_MONTH;</t>
  </si>
  <si>
    <t>Show dispatch trend by month.</t>
  </si>
  <si>
    <t>dispatch trend by month</t>
  </si>
  <si>
    <t>SELECT 
    INV_DATE_YYMM AS DISPATCH_MONTH,
    SUM(QTY_DESP) AS TOTAL_QUANTITY_DISPATCHED
FROM KPCL_REPORTING.KPC_FULL_KIT_ONTIME_DELIVERY_INDEX
GROUP BY INV_DATE_YYMM
ORDER BY INV_DATE_YYMM ASC;</t>
  </si>
  <si>
    <t>Show invoice trend by month.</t>
  </si>
  <si>
    <t>invoice trend by month</t>
  </si>
  <si>
    <t>SELECT 
    INV_DATE_YYMM AS INVOICE_MONTH,
    SUM(QTY_DESP) AS TOTAL_QUANTITY_INVOICED
FROM KPCL_REPORTING.KPC_FULL_KIT_ONTIME_DELIVERY_INDEX
GROUP BY INV_DATE_YYMM
ORDER BY INV_DATE_YYMM ASC;</t>
  </si>
  <si>
    <t>Show order creation trend by month.</t>
  </si>
  <si>
    <t>order creation trend by month</t>
  </si>
  <si>
    <t>SELECT 
    OA_CRN_DATE_YYMM AS ORDER_CREATION_MONTH,
    SUM(QTY_DESP) AS TOTAL_QUANTITY_ORDERED
FROM KPCL_REPORTING.KPC_FULL_KIT_ONTIME_DELIVERY_INDEX
GROUP BY OA_CRN_DATE_YYMM
ORDER BY OA_CRN_DATE_YYMM ASC;</t>
  </si>
  <si>
    <t>Show promise date trend.</t>
  </si>
  <si>
    <t>promise date trend</t>
  </si>
  <si>
    <t>SELECT 
    PROMISE_DATE_YYMM AS PROMISE_MONTH,
    SUM(QTY_DESP) AS TOTAL_QUANTITY_PROMISED
FROM KPCL_REPORTING.KPC_FULL_KIT_ONTIME_DELIVERY_INDEX
GROUP BY PROMISE_DATE_YYMM
ORDER BY PROMISE_DATE_YYMM ASC;</t>
  </si>
  <si>
    <t>Show customer wise invoice count.</t>
  </si>
  <si>
    <t>customer wise invoice count</t>
  </si>
  <si>
    <t>SELECT 
    CUSTOMER_NUMBER,
    CUSTOMER_NAME,
    COUNT(DISTINCT INV_NUM) AS TOTAL_INVOICE_COUNT
FROM KPCL_REPORTING.KPC_FULL_KIT_ONTIME_DELIVERY_INDEX
GROUP BY CUSTOMER_NUMBER, CUSTOMER_NAME
ORDER BY TOTAL_INVOICE_COUNT DESC;</t>
  </si>
  <si>
    <t>SELECT 
    CUSTOMER_NUMBER,
    CUSTOMER_NAME,
    COUNT(DISTINCT OA_NUMBER) AS TOTAL_ORDER_COUNT
FROM KPCL_REPORTING.KPC_FULL_KIT_ONTIME_DELIVERY_INDEX
GROUP BY CUSTOMER_NUMBER, CUSTOMER_NAME
ORDER BY TOTAL_ORDER_COUNT DESC;</t>
  </si>
  <si>
    <t>Show organisation wise invoice count.</t>
  </si>
  <si>
    <t>organisation wise invoice count</t>
  </si>
  <si>
    <t>SELECT 
    ORG_ID,
    SBU_NAME AS ORGANISATION_NAME,
    COUNT(DISTINCT INV_NUM) AS TOTAL_INVOICE_COUNT
FROM KPCL_REPORTING.KPC_FULL_KIT_ONTIME_DELIVERY_INDEX
GROUP BY ORG_ID, SBU_NAME
ORDER BY TOTAL_INVOICE_COUNT DESC;</t>
  </si>
  <si>
    <t>Show division wise invoice count.</t>
  </si>
  <si>
    <t>division wise invoice count</t>
  </si>
  <si>
    <t>SELECT 
    DIVISION,
    DIVISION_NAME,
    COUNT(DISTINCT INV_NUM) AS TOTAL_INVOICE_COUNT
FROM KPCL_REPORTING.KPC_FULL_KIT_ONTIME_DELIVERY_INDEX
GROUP BY DIVISION, DIVISION_NAME
ORDER BY TOTAL_INVOICE_COUNT DESC;</t>
  </si>
  <si>
    <t>Show project wise on-time delivery percentage.</t>
  </si>
  <si>
    <t>project wise on-time delivery percentage</t>
  </si>
  <si>
    <t>SELECT 
    PROJECT_NUMBER,
    ROUND((SUM(CASE WHEN REGEXP_LIKE(QTY_ON, '^[0-9]+(\.[0-9]+)?$') THEN TO_NUMBER(QTY_ON) ELSE 0 END) / NULLIF(SUM(CASE WHEN REGEXP_LIKE(QTY_DESP, '^[0-9]+(\.[0-9]+)?$') THEN TO_NUMBER(QTY_DESP) ELSE 0 END), 0)) * 100, 2) AS ON_TIME_DELIVERY_PERCENTAGE
FROM KPCL_REPORTING.KPC_FULL_KIT_ONTIME_DELIVERY_INDEX
GROUP BY PROJECT_NUMBER
ORDER BY ON_TIME_DELIVERY_PERCENTAGE DESC;</t>
  </si>
  <si>
    <t>Show order wise dispatched quantity.</t>
  </si>
  <si>
    <t>order wise dispatched quantity</t>
  </si>
  <si>
    <t>SELECT 
    OA_NUMBER AS ORDER_NUMBER,
    SUM(
        CASE 
            WHEN REGEXP_LIKE(QTY_DESP, '^[+-]?[0-9]*\.?[0-9]+([eE][+-]?[0-9]+)?$') 
            THEN TO_NUMBER(QTY_DESP) 
            ELSE 0 
        END
    ) AS TOTAL_QUANTITY_DISPATCHED
FROM KPCL_REPORTING.KPC_FULL_KIT_ONTIME_DELIVERY_INDEX
WHERE OA_NUMBER IS NOT NULL
GROUP BY OA_NUMBER
ORDER BY TOTAL_QUANTITY_DISPATCHED DESC;</t>
  </si>
  <si>
    <t>Show order wise delayed quantity.</t>
  </si>
  <si>
    <t>order wise delayed quantity</t>
  </si>
  <si>
    <t>SELECT 
    OA_NUMBER AS ORDER_NUMBER,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WHERE OA_NUMBER IS NOT NULL
GROUP BY OA_NUMBER
ORDER BY TOTAL_DELAYED_QUANTITY DESC;</t>
  </si>
  <si>
    <t>Show OA / Order Number wise dispatched quantity.</t>
  </si>
  <si>
    <t>OA / Order Number wise dispatched quantity</t>
  </si>
  <si>
    <t>SELECT 
    OA_NUMBER,
    SUM(
        CASE 
            WHEN REGEXP_LIKE(QTY_DESP, '^[+-]?[0-9]*\.?[0-9]+([eE][+-]?[0-9]+)?$') 
            THEN TO_NUMBER(QTY_DESP) 
            ELSE 0 
        END
    ) AS TOTAL_QUANTITY_DISPATCHED
FROM KPCL_REPORTING.KPC_FULL_KIT_ONTIME_DELIVERY_INDEX
WHERE OA_NUMBER IS NOT NULL
GROUP BY OA_NUMBER
ORDER BY TOTAL_QUANTITY_DISPATCHED DESC;</t>
  </si>
  <si>
    <t>Show OA / Order Number wise delayed quantity.</t>
  </si>
  <si>
    <t>OA / Order Number wise delayed quantity</t>
  </si>
  <si>
    <t>SELECT 
    OA_NUMBER,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WHERE OA_NUMBER IS NOT NULL
GROUP BY OA_NUMBER
ORDER BY TOTAL_DELAYED_QUANTITY DESC;</t>
  </si>
  <si>
    <t>Show invoice wise dispatched quantity.</t>
  </si>
  <si>
    <t>invoice wise dispatched quantity</t>
  </si>
  <si>
    <t>SELECT 
    INV_NUM AS INVOICE_NUMBER,
    SUM(
        CASE 
            WHEN REGEXP_LIKE(QTY_DESP, '^[+-]?[0-9]*\.?[0-9]+([eE][+-]?[0-9]+)?$') 
            THEN TO_NUMBER(QTY_DESP) 
            ELSE 0 
        END
    ) AS TOTAL_QUANTITY_DISPATCHED
FROM KPCL_REPORTING.KPC_FULL_KIT_ONTIME_DELIVERY_INDEX
WHERE INV_NUM IS NOT NULL
GROUP BY INV_NUM
ORDER BY TOTAL_QUANTITY_DISPATCHED DESC;</t>
  </si>
  <si>
    <t>Show customer PO wise dispatched quantity.</t>
  </si>
  <si>
    <t>customer PO wise dispatched quantity.</t>
  </si>
  <si>
    <t>SELECT 
    CUST_PO_NO AS CUSTOMER_PO_NUMBER,
    SUM(
        CASE 
            WHEN REGEXP_LIKE(QTY_DESP, '^[+-]?[0-9]*\.?[0-9]+([eE][+-]?[0-9]+)?$') 
            THEN TO_NUMBER(QTY_DESP) 
            ELSE 0 
        END
    ) AS TOTAL_QUANTITY_DISPATCHED
FROM KPCL_REPORTING.KPC_FULL_KIT_ONTIME_DELIVERY_INDEX
WHERE CUST_PO_NO IS NOT NULL
GROUP BY CUST_PO_NO
ORDER BY TOTAL_QUANTITY_DISPATCHED DESC;</t>
  </si>
  <si>
    <t>Show item description wise dispatched quantity.</t>
  </si>
  <si>
    <t>item description wise dispatched quantity</t>
  </si>
  <si>
    <t>SELECT 
    ITEM_DESCRIPTION,
    SUM(
        CASE 
            WHEN REGEXP_LIKE(QTY_DESP, '^[+-]?[0-9]*\.?[0-9]+([eE][+-]?[0-9]+)?$') 
            THEN TO_NUMBER(QTY_DESP) 
            ELSE 0 
        END
    ) AS TOTAL_QUANTITY_DISPATCHED
FROM KPCL_REPORTING.KPC_FULL_KIT_ONTIME_DELIVERY_INDEX
WHERE ITEM_DESCRIPTION IS NOT NULL
GROUP BY ITEM_DESCRIPTION
ORDER BY TOTAL_QUANTITY_DISPATCHED DESC;</t>
  </si>
  <si>
    <t>Show item description wise delayed quantity.</t>
  </si>
  <si>
    <t>item description wise delayed quantity</t>
  </si>
  <si>
    <t>SELECT 
    ITEM_DESCRIPTION,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WHERE ITEM_DESCRIPTION IS NOT NULL
GROUP BY ITEM_DESCRIPTION
ORDER BY TOTAL_DELAYED_QUANTITY DESC;</t>
  </si>
  <si>
    <t>Show dispatch quantity by LD clause.</t>
  </si>
  <si>
    <t>dispatch quantity by LD clause</t>
  </si>
  <si>
    <t>SELECT 
    NVL(LD_CLAUSE, 'No Clause / Unspecified') AS LD_CLAUSE,
    SUM(
        CASE 
            WHEN REGEXP_LIKE(QTY_DESP, '^[+-]?[0-9]*\.?[0-9]+([eE][+-]?[0-9]+)?$') 
            THEN TO_NUMBER(QTY_DESP) 
            ELSE 0 
        END
    ) AS TOTAL_QUANTITY_DISPATCHED
FROM KPCL_REPORTING.KPC_FULL_KIT_ONTIME_DELIVERY_INDEX
GROUP BY LD_CLAUSE
ORDER BY TOTAL_QUANTITY_DISPATCHED DESC;</t>
  </si>
  <si>
    <t>Show delayed quantity by LD clause.</t>
  </si>
  <si>
    <t>delayed quantity by LD clause</t>
  </si>
  <si>
    <t>SELECT 
    NVL(LD_CLAUSE, 'No Clause / Unspecified') AS LD_CLAUSE,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GROUP BY LD_CLAUSE
ORDER BY TOTAL_DELAYED_QUANTITY DESC;</t>
  </si>
  <si>
    <t>Show quantity delayed due to Engineering default.</t>
  </si>
  <si>
    <t>quantity delayed due to Engineering default</t>
  </si>
  <si>
    <t>SELECT 'REMARK_DESC' AS SOURCE_COLUMN, REMARK_DESC AS COLUMN_VALUE, COUNT(*) AS RECORD_COUNT
FROM KPCL_REPORTING.KPC_FULL_KIT_ONTIME_DELIVERY_INDEX
WHERE (REMARK_DESC) LIKE '%ENG%'
GROUP BY REMARK_DESC
UNION ALL
SELECT 'REMARK_1' AS SOURCE_COLUMN, REMARK_1 AS COLUMN_VALUE, COUNT(*) AS RECORD_COUNT
FROM KPCL_REPORTING.KPC_FULL_KIT_ONTIME_DELIVERY_INDEX
WHERE (REMARK_1) LIKE '%ENG%'
GROUP BY REMARK_1;</t>
  </si>
  <si>
    <t>Show quantity delayed due to Marketing default.</t>
  </si>
  <si>
    <t>quantity delayed due to Marketing default</t>
  </si>
  <si>
    <t>SELECT 'REMARK_DESC' AS SOURCE_COLUMN, REMARK_DESC AS COLUMN_VALUE, COUNT(*) AS RECORD_COUNT
FROM KPCL_REPORTING.KPC_FULL_KIT_ONTIME_DELIVERY_INDEX
WHERE (REMARK_DESC) LIKE '%MKTG%' OR (REMARK_DESC) LIKE '%MARKET%'
GROUP BY REMARK_DESC
UNION ALL
SELECT 'REMARK_1' AS SOURCE_COLUMN, REMARK_1 AS COLUMN_VALUE, COUNT(*) AS RECORD_COUNT
FROM KPCL_REPORTING.KPC_FULL_KIT_ONTIME_DELIVERY_INDEX
WHERE (REMARK_1) LIKE '%MKTG%' OR (REMARK_1) LIKE '%MARKET%'
GROUP BY REMARK_1;</t>
  </si>
  <si>
    <t>Show quantity delayed due to Execution default.</t>
  </si>
  <si>
    <t>quantity delayed due to Execution default</t>
  </si>
  <si>
    <t>SELECT 'REMARK_DESC' AS SOURCE_COLUMN, REMARK_DESC AS COLUMN_VALUE, COUNT(*) AS RECORD_COUNT
FROM KPCL_REPORTING.KPC_FULL_KIT_ONTIME_DELIVERY_INDEX
WHERE (REMARK_DESC) LIKE '%EXEC%'
GROUP BY REMARK_DESC
UNION ALL
SELECT 'REMARK_1' AS SOURCE_COLUMN, REMARK_1 AS COLUMN_VALUE, COUNT(*) AS RECORD_COUNT
FROM KPCL_REPORTING.KPC_FULL_KIT_ONTIME_DELIVERY_INDEX
WHERE (REMARK_1) LIKE '%EXEC%'
GROUP BY REMARK_1;</t>
  </si>
  <si>
    <t>Show quantity delayed due to Short lead time.</t>
  </si>
  <si>
    <t>quantity delayed due to Short lead time</t>
  </si>
  <si>
    <t>SELECT 'REMARK_DESC' AS SOURCE_COLUMN, REMARK_DESC AS COLUMN_VALUE, COUNT(*) AS RECORD_COUNT
FROM KPCL_REPORTING.KPC_FULL_KIT_ONTIME_DELIVERY_INDEX
WHERE (REMARK_DESC) LIKE '%SHORT%' OR (REMARK_DESC) LIKE '%LEAD%'
GROUP BY REMARK_DESC
UNION ALL
SELECT 'REMARK_1' AS SOURCE_COLUMN, REMARK_1 AS COLUMN_VALUE, COUNT(*) AS RECORD_COUNT
FROM KPCL_REPORTING.KPC_FULL_KIT_ONTIME_DELIVERY_INDEX
WHERE (REMARK_1) LIKE '%SHORT%' OR (REMARK_1) LIKE '%LEAD%'
GROUP BY REMARK_1;</t>
  </si>
  <si>
    <t>Show delay reason wise dispatched quantity.</t>
  </si>
  <si>
    <t>delay reason wise dispatched quantity</t>
  </si>
  <si>
    <t>SELECT 
    NVL(REMARK_DESC, 'No Delay Reason Logged / On-Time') AS DELAY_REASON,
    SUM(
        CASE 
            WHEN REGEXP_LIKE(QTY_DESP, '^[+-]?[0-9]*\.?[0-9]+([eE][+-]?[0-9]+)?$') 
            THEN TO_NUMBER(QTY_DESP) 
            ELSE 0 
        END
    ) AS TOTAL_QUANTITY_DISPATCHED
FROM KPCL_REPORTING.KPC_FULL_KIT_ONTIME_DELIVERY_INDEX
GROUP BY REMARK_DESC
ORDER BY TOTAL_QUANTITY_DISPATCHED DESC;</t>
  </si>
  <si>
    <t>Show delay reason wise order count.</t>
  </si>
  <si>
    <t>delay reason wise order count</t>
  </si>
  <si>
    <t>SELECT 
    NVL(REMARK_DESC, 'No Delay Reason Logged / On-Time') AS DELAY_REASON,
    COUNT(DISTINCT OA_NUMBER) AS UNIQUE_ORDER_COUNT
FROM KPCL_REPORTING.KPC_FULL_KIT_ONTIME_DELIVERY_INDEX
GROUP BY REMARK_DESC
ORDER BY UNIQUE_ORDER_COUNT DESC;</t>
  </si>
  <si>
    <t>Show remark description wise delayed quantity.</t>
  </si>
  <si>
    <t>remark description wise delayed quantity</t>
  </si>
  <si>
    <t>SELECT 
    NVL(REMARK_DESC, 'No Remark / On-Time') AS REMARK_DESCRIPTION,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GROUP BY REMARK_DESC
ORDER BY TOTAL_DELAYED_QUANTITY DESC;</t>
  </si>
  <si>
    <t>Show dispatched quantity for division {division}.</t>
  </si>
  <si>
    <t>Show dispatched quantity for /division {division}.</t>
  </si>
  <si>
    <t>dispatched quantity for division</t>
  </si>
  <si>
    <t>SELECT 
    DIVISION_NAME,
    SUM(
        CASE 
            WHEN REGEXP_LIKE(QTY_DESP, '^[+-]?[0-9]*\.?[0-9]+([eE][+-]?[0-9]+)?$') 
            THEN TO_NUMBER(QTY_DESP) 
            ELSE 0 
        END
    ) AS TOTAL_QUANTITY_DISPATCHED
FROM KPCL_REPORTING.KPC_FULL_KIT_ONTIME_DELIVERY_INDEX
WHERE (DIVISION_NAME) LIKE '%{division}%'
GROUP BY DIVISION_NAME
ORDER BY TOTAL_QUANTITY_DISPATCHED DESC;</t>
  </si>
  <si>
    <t>division</t>
  </si>
  <si>
    <t>Show on-time dispatched quantity for division {division}.</t>
  </si>
  <si>
    <t>Show on-time dispatched quantity for /division {division}.</t>
  </si>
  <si>
    <t>on-time dispatched quantity for division</t>
  </si>
  <si>
    <t>SELECT 
    DIVISION_NAME,
    SUM(
        CASE 
            WHEN REGEXP_LIKE(QTY_ON, '^[+-]?[0-9]*\.?[0-9]+([eE][+-]?[0-9]+)?$') 
            THEN TO_NUMBER(QTY_ON) 
            ELSE 0 
        END
    ) AS TOTAL_ONTIME_QUANTITY
FROM KPCL_REPORTING.KPC_FULL_KIT_ONTIME_DELIVERY_INDEX
WHERE (DIVISION_NAME) LIKE '%{division}%'
GROUP BY DIVISION_NAME;</t>
  </si>
  <si>
    <t>Show delayed dispatched quantity for division {division}.</t>
  </si>
  <si>
    <t>Show delayed dispatched quantity for /division {division}.</t>
  </si>
  <si>
    <t>delayed dispatched quantity for division</t>
  </si>
  <si>
    <t>SELECT 
    DIVISION_NAME,
    SUM(
        CASE 
            WHEN REGEXP_LIKE(QTY_DESP, '^[+-]?[0-9]*\.?[0-9]+([eE][+-]?[0-9]+)?$') THEN TO_NUMBER(QTY_DESP) 
            ELSE 0 
        END 
        - 
        CASE 
            WHEN REGEXP_LIKE(QTY_ON, '^[+-]?[0-9]*\.?[0-9]+([eE][+-]?[0-9]+)?$') THEN TO_NUMBER(QTY_ON) 
            ELSE 0 
        END
    ) AS TOTAL_DELAYED_QUANTITY
FROM KPCL_REPORTING.KPC_FULL_KIT_ONTIME_DELIVERY_INDEX
WHERE (DIVISION_NAME) LIKE '%{division}%'
GROUP BY DIVISION_NAME;</t>
  </si>
  <si>
    <t>Show before-time dispatched quantity for division {division}.</t>
  </si>
  <si>
    <t>Show before time dispatched quantity for /division {division}.</t>
  </si>
  <si>
    <t>before time dispatched quantity for division</t>
  </si>
  <si>
    <t>SELECT 
    DIVISION_NAME,
    SUM(
        CASE 
            WHEN REGEXP_LIKE(QTY_BEF, '^[+-]?[0-9]*\.?[0-9]+([eE][+-]?[0-9]+)?$') 
            THEN TO_NUMBER(QTY_BEF) 
            ELSE 0 
        END
    ) AS TOTAL_BEFORE_TIME_QUANTITY
FROM KPCL_REPORTING.KPC_FULL_KIT_ONTIME_DELIVERY_INDEX
WHERE (DIVISION_NAME) LIKE '%{division}%'
GROUP BY DIVISION_NAME;</t>
  </si>
  <si>
    <t>Show within 3 days dispatched quantity for division {division}.</t>
  </si>
  <si>
    <t>Show within 3 days dispatched quantity for /division {division}.</t>
  </si>
  <si>
    <t>within 3 days dispatched quantity for division</t>
  </si>
  <si>
    <t>SELECT 
    DIVISION_NAME,
    SUM(
        CASE 
            WHEN REGEXP_LIKE(QTY_WITHIN_3, '^[+-]?[0-9]*\.?[0-9]+([eE][+-]?[0-9]+)?$') 
            THEN TO_NUMBER(QTY_WITHIN_3) 
            ELSE 0 
        END
    ) AS TOTAL_WITHIN_3_DAYS_QUANTITY
FROM KPCL_REPORTING.KPC_FULL_KIT_ONTIME_DELIVERY_INDEX
WHERE (DIVISION_NAME) LIKE '%{division}%'
GROUP BY DIVISION_NAME;</t>
  </si>
  <si>
    <t>Show dispatched quantity for sbu {sbu}.</t>
  </si>
  <si>
    <t>Show dispatched quantity for /sbu {sbu} .</t>
  </si>
  <si>
    <t>dispatched quantity for sbu</t>
  </si>
  <si>
    <t>SELECT 
    SBU_NAME, 
    SUM(CASE WHEN REGEXP_LIKE(QTY_DESP, '^[+-]?[0-9]*\.?[0-9]+([eE][+-]?[0-9]+)?$') THEN TO_NUMBER(QTY_DESP) ELSE 0 END) AS TOTAL_QUANTITY_DISPATCHED 
FROM 
    KPCL_REPORTING.KPC_FULL_KIT_ONTIME_DELIVERY_INDEX 
WHERE 
    (SBU_NAME) LIKE '%{sbu}%' 
GROUP BY 
    SBU_NAME;</t>
  </si>
  <si>
    <t>sbu</t>
  </si>
  <si>
    <t>Show delayed quantity for sbu {sbu}.</t>
  </si>
  <si>
    <t>Show delayed quantity for /sbu {sbu} .</t>
  </si>
  <si>
    <t>delayed quantity for sbu</t>
  </si>
  <si>
    <t>SELECT 
    SBU_NAME, 
    SUM(
        CASE WHEN REGEXP_LIKE(QTY_DESP, '^[+-]?[0-9]*\.?[0-9]+([eE][+-]?[0-9]+)?$') THEN TO_NUMBER(QTY_DESP) ELSE 0 END 
        - 
        CASE WHEN REGEXP_LIKE(QTY_ON, '^[+-]?[0-9]*\.?[0-9]+([eE][+-]?[0-9]+)?$') THEN TO_NUMBER(QTY_ON) ELSE 0 END
    ) AS TOTAL_DELAYED_QUANTITY 
FROM 
    KPCL_REPORTING.KPC_FULL_KIT_ONTIME_DELIVERY_INDEX 
WHERE 
    (SBU_NAME) LIKE '%{sbu}%' 
GROUP BY 
    SBU_NAME;</t>
  </si>
  <si>
    <t>Show on-time dispatched quantity for sbu {sbu}.</t>
  </si>
  <si>
    <t>Show on-time dispatched quantity for /sbu {sbu} .</t>
  </si>
  <si>
    <t>on-time dispatched quantity for sbu</t>
  </si>
  <si>
    <t>SELECT 
    SBU_NAME, 
    SUM(CASE WHEN REGEXP_LIKE(QTY_ON, '^[+-]?[0-9]*\.?[0-9]+([eE][+-]?[0-9]+)?$') THEN TO_NUMBER(QTY_ON) ELSE 0 END) AS TOTAL_ONTIME_QUANTITY 
FROM 
    KPCL_REPORTING.KPC_FULL_KIT_ONTIME_DELIVERY_INDEX 
WHERE 
    (SBU_NAME) LIKE '%{sbu}%' 
GROUP BY 
    SBU_NAME;</t>
  </si>
  <si>
    <t>Show before time dispatched quantity for sbu {sbu}.</t>
  </si>
  <si>
    <t>Show before time dispatched quantity for /sbu {sbu} .</t>
  </si>
  <si>
    <t>before time dispatched quantity for sbu</t>
  </si>
  <si>
    <t>SELECT 
    SBU_NAME, 
    SUM(CASE WHEN REGEXP_LIKE(QTY_BEF, '^[+-]?[0-9]*\.?[0-9]+([eE][+-]?[0-9]+)?$') THEN TO_NUMBER(QTY_BEF) ELSE 0 END) AS TOTAL_BEFORE_TIME_QUANTITY 
FROM 
    KPCL_REPORTING.KPC_FULL_KIT_ONTIME_DELIVERY_INDEX 
WHERE 
    (SBU_NAME) LIKE '%{sbu}%' 
GROUP BY 
    SBU_NAME;</t>
  </si>
  <si>
    <t>Show within 3 days dispatched quantity for sbu {sbu}.</t>
  </si>
  <si>
    <t>Show within 3 days dispatched quantity for /sbu {sbu} .</t>
  </si>
  <si>
    <t>within 3 days dispatched quantity for sbu</t>
  </si>
  <si>
    <t>SELECT 
    SBU_NAME, 
    SUM(CASE WHEN REGEXP_LIKE(QTY_WITHIN_3, '^[+-]?[0-9]*\.?[0-9]+([eE][+-]?[0-9]+)?$') THEN TO_NUMBER(QTY_WITHIN_3) ELSE 0 END) AS TOTAL_WITHIN_3_DAYS_QUANTITY 
FROM 
    KPCL_REPORTING.KPC_FULL_KIT_ONTIME_DELIVERY_INDEX 
WHERE 
    (SBU_NAME) LIKE '%{sbu}%' 
GROUP BY 
    SBU_NAME;</t>
  </si>
  <si>
    <t>Show on-time delivery percentage for sbu {sbu}.</t>
  </si>
  <si>
    <t>Show on-time delivery percentage for /sbu {sbu} .</t>
  </si>
  <si>
    <t>on-time delivery percentage for sbu</t>
  </si>
  <si>
    <t>SELECT SBU_NAME, 
    ROUND((SUM(CASE WHEN REGEXP_LIKE(QTY_ON, '^[+-]?[0-9]*\.?[0-9]+([eE][+-]?[0-9]+)?$') THEN TO_NUMBER(QTY_ON) ELSE 0 END) 
    / NULLIF(SUM(CASE WHEN REGEXP_LIKE(QTY_DESP, '^[+-]?[0-9]*\.?[0-9]+([eE][+-]?[0-9]+)?$') THEN TO_NUMBER(QTY_DESP) ELSE 0 END), 0)) * 100, 2) AS ONTIME_DELIVERY_PERCENTAGE FROM KPCL_REPORTING.KPC_FULL_KIT_ONTIME_DELIVERY_INDEX WHERE (SBU_NAME) LIKE '%{sbu}%' GROUP BY SBU_NAME;</t>
  </si>
  <si>
    <t>Show dispatched quantity for product_group {product_group}.</t>
  </si>
  <si>
    <t>Show dispatched quantity for /product_group {product_group}.</t>
  </si>
  <si>
    <t>dispatched quantity for product group</t>
  </si>
  <si>
    <t>SELECT PRODUCT_GROUP
     , SUM(CASE WHEN REGEXP_LIKE(QTY_DESP, '^[+-]?[0-9]*\.?[0-9]+([eE][+-]?[0-9]+)?$') THEN TO_NUMBER(QTY_DESP) ELSE 0 END) AS TOTAL_QUANTITY_DISPATCHED 
  FROM KPCL_REPORTING.KPC_FULL_KIT_ONTIME_DELIVERY_INDEX 
 WHERE (PRODUCT_GROUP) LIKE '%{product_group}%' 
 GROUP BY PRODUCT_GROUP;</t>
  </si>
  <si>
    <t>Show delayed quantity for product_group {product_group}.</t>
  </si>
  <si>
    <t>Show delayed quantity for /product_group {product_group}.</t>
  </si>
  <si>
    <t>delayed quantity for product group</t>
  </si>
  <si>
    <t>SELECT PRODUCT_GROUP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(PRODUCT_GROUP) LIKE '%{product_group}%' 
 GROUP BY PRODUCT_GROUP;</t>
  </si>
  <si>
    <t>Show on-time delivery percentage for product_group {product_group}.</t>
  </si>
  <si>
    <t>Show on-time delivery percentage for /product_group {product_group}.</t>
  </si>
  <si>
    <t>on-time delivery percentage for product group</t>
  </si>
  <si>
    <t>SELECT PRODUCT_GROUP
     , ROUND((SUM(CASE WHEN REGEXP_LIKE(QTY_ON, '^[+-]?[0-9]*\.?[0-9]+([eE][+-]?[0-9]+)?$') THEN TO_NUMBER(QTY_ON) ELSE 0 END) 
       / NULLIF(SUM(CASE WHEN REGEXP_LIKE(QTY_DESP, '^[+-]?[0-9]*\.?[0-9]+([eE][+-]?[0-9]+)?$') THEN TO_NUMBER(QTY_DESP) ELSE 0 END), 0)) * 100, 2) AS ONTIME_DELIVERY_PERCENTAGE 
  FROM KPCL_REPORTING.KPC_FULL_KIT_ONTIME_DELIVERY_INDEX 
 WHERE (PRODUCT_GROUP) LIKE '%{product_group}%' 
 GROUP BY PRODUCT_GROUP;</t>
  </si>
  <si>
    <t>Show top dispatched items for product_group {product_group}.</t>
  </si>
  <si>
    <t>Show top dispatched items for /product_group {product_group}.</t>
  </si>
  <si>
    <t>top dispatched items for product group</t>
  </si>
  <si>
    <t>SELECT PRODUCT_GROUP
     , ITEM_CODE
     , SUM(CASE WHEN REGEXP_LIKE(QTY_DESP, '^[+-]?[0-9]*\.?[0-9]+([eE][+-]?[0-9]+)?$') THEN TO_NUMBER(QTY_DESP) ELSE 0 END) AS TOTAL_QUANTITY_DISPATCHED 
  FROM KPCL_REPORTING.KPC_FULL_KIT_ONTIME_DELIVERY_INDEX 
 WHERE (PRODUCT_GROUP) LIKE '%{product_group}%' 
 GROUP BY PRODUCT_GROUP, ITEM_CODE 
 ORDER BY TOTAL_QUANTITY_DISPATCHED DESC 
 FETCH FIRST 10 ROWS ONLY;</t>
  </si>
  <si>
    <t>Show total customers served for product_group {product_group}.</t>
  </si>
  <si>
    <t>Show total customers served for /product_group {product_group}.</t>
  </si>
  <si>
    <t>total customers served for product group</t>
  </si>
  <si>
    <t>SELECT PRODUCT_GROUP
     , COUNT(DISTINCT CUSTOMER_NAME) AS TOTAL_CUSTOMERS_SERVED 
  FROM KPCL_REPORTING.KPC_FULL_KIT_ONTIME_DELIVERY_INDEX 
 WHERE (PRODUCT_GROUP) LIKE '%{product_group}%' 
 GROUP BY PRODUCT_GROUP;</t>
  </si>
  <si>
    <t>Show dispatched quantity for product_model {product_model}.</t>
  </si>
  <si>
    <t>Show dispatched quantity for /product_model {product_model}.</t>
  </si>
  <si>
    <t>dispatched quantity for product model</t>
  </si>
  <si>
    <t>SELECT MODEL
     , SUM(CASE WHEN REGEXP_LIKE(QTY_DESP, '^[+-]?[0-9]*\.?[0-9]+([eE][+-]?[0-9]+)?$') THEN TO_NUMBER(QTY_DESP) ELSE 0 END) AS TOTAL_QUANTITY_DISPATCHED 
  FROM KPCL_REPORTING.KPC_FULL_KIT_ONTIME_DELIVERY_INDEX 
 WHERE (MODEL) LIKE '%{product_model}%' 
 GROUP BY MODEL;</t>
  </si>
  <si>
    <t>Show delayed quantity for product_model {product_model}.</t>
  </si>
  <si>
    <t>Show delayed quantity for /product_model {product_model}.</t>
  </si>
  <si>
    <t>delayed quantity for product model</t>
  </si>
  <si>
    <t>SELECT MODEL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(MODEL) LIKE '%{product_model}%' 
 GROUP BY MODEL;</t>
  </si>
  <si>
    <t>Show on-time delivery percentage for product_model {product_model}.</t>
  </si>
  <si>
    <t>Show on-time delivery percentage for /product_model {product_model}.</t>
  </si>
  <si>
    <t>on-time delivery percentage for product model</t>
  </si>
  <si>
    <t>SELECT MODEL
     , ROUND((SUM(CASE WHEN REGEXP_LIKE(QTY_ON, '^[+-]?[0-9]*\.?[0-9]+([eE][+-]?[0-9]+)?$') THEN TO_NUMBER(QTY_ON) ELSE 0 END) 
       / NULLIF(SUM(CASE WHEN REGEXP_LIKE(QTY_DESP, '^[+-]?[0-9]*\.?[0-9]+([eE][+-]?[0-9]+)?$') THEN TO_NUMBER(QTY_DESP) ELSE 0 END), 0)) * 100, 2) AS ONTIME_DELIVERY_PERCENTAGE 
  FROM KPCL_REPORTING.KPC_FULL_KIT_ONTIME_DELIVERY_INDEX 
 WHERE (MODEL) LIKE '%{product_model}%' 
 GROUP BY MODEL;</t>
  </si>
  <si>
    <t>Show invoice count for product_model {product_model}.</t>
  </si>
  <si>
    <t>Show invoice count for /product_model {product_model}.</t>
  </si>
  <si>
    <t>invoice count for product model</t>
  </si>
  <si>
    <t>SELECT MODEL
     , COUNT(DISTINCT INV_NUM) AS TOTAL_INVOICES 
  FROM KPCL_REPORTING.KPC_FULL_KIT_ONTIME_DELIVERY_INDEX 
 WHERE (MODEL) LIKE '%{product_model}%' 
 GROUP BY MODEL;</t>
  </si>
  <si>
    <t>Show order count for product_model {product_model}.</t>
  </si>
  <si>
    <t>Show order count for /product_model {product_model}.</t>
  </si>
  <si>
    <t>order count for product model</t>
  </si>
  <si>
    <t>SELECT MODEL
     , COUNT(DISTINCT ORDER_NUM) AS TOTAL_ORDERS 
  FROM KPCL_REPORTING.KPC_FULL_KIT_ONTIME_DELIVERY_INDEX 
 WHERE (MODEL) LIKE '%{product_model}%' 
 GROUP BY MODEL;</t>
  </si>
  <si>
    <t>Show dispatched quantity for customer {customer}.</t>
  </si>
  <si>
    <t>Show dispatched quantity for /customer {customer}.</t>
  </si>
  <si>
    <t>dispatched quantity for customer</t>
  </si>
  <si>
    <t>SELECT CUSTOMER_NUMBER
     , SUM(CASE WHEN REGEXP_LIKE(QTY_DESP, '^[+-]?[0-9]*\.?[0-9]+([eE][+-]?[0-9]+)?$') THEN TO_NUMBER(QTY_DESP) ELSE 0 END) AS TOTAL_QUANTITY_DISPATCHED 
  FROM KPCL_REPORTING.KPC_FULL_KIT_ONTIME_DELIVERY_INDEX 
 WHERE CUSTOMER_NUMBER LIKE '%{customer}%' 
 GROUP BY CUSTOMER_NUMBER;</t>
  </si>
  <si>
    <t>Show delayed quantity for customer {customer}.</t>
  </si>
  <si>
    <t>Show delayed quantity for /customer {customer}.</t>
  </si>
  <si>
    <t>delayed quantity for customer</t>
  </si>
  <si>
    <t>SELECT CUSTOMER_NAME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CUSTOMER_NAME LIKE '%{customer}%' 
 GROUP BY CUSTOMER_NAME;</t>
  </si>
  <si>
    <t>Show on-time dispatched quantity for customer {customer}.</t>
  </si>
  <si>
    <t>Show on-time dispatched quantity for /customer {customer}.</t>
  </si>
  <si>
    <t>on-time dispatched quantity for customer</t>
  </si>
  <si>
    <t>SELECT CUSTOMER_NAME
     , SUM(CASE WHEN REGEXP_LIKE(QTY_ON, '^[+-]?[0-9]*\.?[0-9]+([eE][+-]?[0-9]+)?$') THEN TO_NUMBER(QTY_ON) ELSE 0 END) AS TOTAL_ONTIME_QUANTITY 
  FROM KPCL_REPORTING.KPC_FULL_KIT_ONTIME_DELIVERY_INDEX 
 WHERE CUSTOMER_NAME LIKE '%{customer}%' 
 GROUP BY CUSTOMER_NAME;</t>
  </si>
  <si>
    <t>Show before time dispatched quantity for customer {customer}.</t>
  </si>
  <si>
    <t>Show before time dispatched quantity for /customer {customer}.</t>
  </si>
  <si>
    <t>before time dispatched quantity for customer</t>
  </si>
  <si>
    <t>SELECT 
    CUSTOMER_NAME,
    SUM(
        CASE 
            WHEN REGEXP_LIKE(
                QTY_DESP, 
                '^[+-]?[0-9]*\.?[0-9]+([eE][+-]?[0-9]+)?$'
            )
            THEN TO_NUMBER(QTY_DESP)
            ELSE 0
        END
    ) AS BEFORE_TIME_QUANTITY
FROM KPCL_REPORTING.KPC_FULL_KIT_ONTIME_DELIVERY_INDEX
WHERE CUSTOMER_NAME LIKE '%{customer}%'
  AND TO_CHAR(INV_DATE, 'YYMM') &lt; TRIM(PROMISE_DATE_YYMM)
GROUP BY CUSTOMER_NAME;</t>
  </si>
  <si>
    <t>Show on-time delivery percentage for customer {customer}.</t>
  </si>
  <si>
    <t>Show on-time delivery percentage for /customer {customer}.</t>
  </si>
  <si>
    <t>on-time delivery percentage for customer</t>
  </si>
  <si>
    <t>SELECT CUSTOMER_NAME
     , ROUND(
         CASE 
           WHEN SUM(CASE WHEN REGEXP_LIKE(QTY_DESP, '^[+-]?[0-9]*\.?[0-9]+([eE][+-]?[0-9]+)?$') THEN TO_NUMBER(QTY_DESP) ELSE 0 END) = 0 
           THEN 0
           ELSE (SUM(CASE WHEN REGEXP_LIKE(QTY_ON, '^[+-]?[0-9]*\.?[0-9]+([eE][+-]?[0-9]+)?$') THEN TO_NUMBER(QTY_ON) ELSE 0 END) / 
                 SUM(CASE WHEN REGEXP_LIKE(QTY_DESP, '^[+-]?[0-9]*\.?[0-9]+([eE][+-]?[0-9]+)?$') THEN TO_NUMBER(QTY_DESP) ELSE 0 END)) * 100
         END, 2
       ) AS OTD_PERCENTAGE
  FROM KPCL_REPORTING.KPC_FULL_KIT_ONTIME_DELIVERY_INDEX 
 WHERE CUSTOMER_NAME LIKE '%{customer}%' 
 GROUP BY CUSTOMER_NAME;</t>
  </si>
  <si>
    <t>Show orders for customer {customer}.</t>
  </si>
  <si>
    <t>Show orders for /customer {customer}.</t>
  </si>
  <si>
    <t>orders for customer</t>
  </si>
  <si>
    <t>SELECT CUSTOMER_NAME
     , ORDER_NUM
  FROM KPCL_REPORTING.KPC_FULL_KIT_ONTIME_DELIVERY_INDEX 
 WHERE CUSTOMER_NAME LIKE '%{customer}%'
 GROUP BY CUSTOMER_NAME, ORDER_NUM;</t>
  </si>
  <si>
    <t>Show invoices for customer {customer}.</t>
  </si>
  <si>
    <t>Show invoices for /customer {customer}.</t>
  </si>
  <si>
    <t>invoices for customer</t>
  </si>
  <si>
    <t>SELECT CUSTOMER_NAME
     , INV_NUM
     , MAX(INV_DATE) AS INVOICE_DATE
  FROM KPCL_REPORTING.KPC_FULL_KIT_ONTIME_DELIVERY_INDEX 
 WHERE CUSTOMER_NAME LIKE '%{customer}%'
 GROUP BY CUSTOMER_NAME, INV_NUM
 ORDER BY INVOICE_DATE DESC, INV_NUM;</t>
  </si>
  <si>
    <t>Show projects for customer {customer}.</t>
  </si>
  <si>
    <t>Show projects for /customer {customer}.</t>
  </si>
  <si>
    <t>projects for customer</t>
  </si>
  <si>
    <t>SELECT CUSTOMER_NAME
     , PROJECT_NUMBER
  FROM KPCL_REPORTING.KPC_FULL_KIT_ONTIME_DELIVERY_INDEX 
 WHERE CUSTOMER_NAME LIKE '%{customer}%'
 GROUP BY CUSTOMER_NAME, PROJECT_NUMBER;</t>
  </si>
  <si>
    <t>Show dispatch details for customer_name {customer_number}.</t>
  </si>
  <si>
    <t>Show dispatch details for /customer_number {customer_number}.</t>
  </si>
  <si>
    <t>dispatch details for customer number</t>
  </si>
  <si>
    <t>SELECT CUSTOMER_NUMBER
     , INV_NUM
     , INV_DATE
     , ORDER_NUM
     , MODEL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CUSTOMER_NUMBER LIKE '%{customer_number}%'
 ORDER BY INV_DATE DESC, INV_NUM;</t>
  </si>
  <si>
    <t>customer_number</t>
  </si>
  <si>
    <t>Show delayed quantity for customer_number {customer_number}.</t>
  </si>
  <si>
    <t>Show delayed quantity for /customer_number {customer_number}.</t>
  </si>
  <si>
    <t>delayed quantity for customer number</t>
  </si>
  <si>
    <t>SELECT CUSTOMER_NUMBER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CUSTOMER_NUMBER LIKE '%{customer_number}%' 
 GROUP BY CUSTOMER_NUMBER;</t>
  </si>
  <si>
    <t>Show orders for customer_number {customer_number}.</t>
  </si>
  <si>
    <t>Show orders for /customer_number {customer_number}.</t>
  </si>
  <si>
    <t>orders for customer number</t>
  </si>
  <si>
    <t>SELECT CUSTOMER_NUMBER
     , ORDER_NUM
  FROM KPCL_REPORTING.KPC_FULL_KIT_ONTIME_DELIVERY_INDEX 
 WHERE CUSTOMER_NUMBER LIKE '%{customer_number}%'
 GROUP BY CUSTOMER_NUMBER, ORDER_NUM;</t>
  </si>
  <si>
    <t>Show dispatched quantity for item_code {item_code}.</t>
  </si>
  <si>
    <t>Show dispatched quantity for /item_code {item_code}.</t>
  </si>
  <si>
    <t>dispatched quantity for item code</t>
  </si>
  <si>
    <t>SELECT ITEM_CODE
     , SUM(QTY_DESP) AS TOTAL_QUANTITY_DISPATCHED
  FROM KPCL_REPORTING.KPC_FULL_KIT_ONTIME_DELIVERY_INDEX
 WHERE ITEM_CODE LIKE '%{item_code}%'
 GROUP BY ITEM_CODE;</t>
  </si>
  <si>
    <t>item_code</t>
  </si>
  <si>
    <t>Show delayed quantity for item_code {item_code}.</t>
  </si>
  <si>
    <t>Show delayed quantity for /item_code {item_code}.</t>
  </si>
  <si>
    <t>delayed quantity for item code</t>
  </si>
  <si>
    <t>SELECT ITEM_CODE
     , SUM(QTY_AFT) AS TOTAL_DELAYED_QUANTITY
  FROM KPCL_REPORTING.KPC_FULL_KIT_ONTIME_DELIVERY_INDEX
 WHERE ITEM_CODE LIKE '%{item_code}%'
 GROUP BY ITEM_CODE;</t>
  </si>
  <si>
    <t>Show on-time dispatched quantity for item_code {item_code}.</t>
  </si>
  <si>
    <t>Show on-time dispatched quantity for /item_code {item_code}.</t>
  </si>
  <si>
    <t>on-time dispatched quantity for item code</t>
  </si>
  <si>
    <t>SELECT ITEM_CODE
     , SUM(QTY_ON) AS TOTAL_ONTIME_DISPATCHED_QUANTITY
  FROM KPCL_REPORTING.KPC_FULL_KIT_ONTIME_DELIVERY_INDEX
 WHERE ITEM_CODE LIKE '%{item_code}%'
 GROUP BY ITEM_CODE;</t>
  </si>
  <si>
    <t>Show before time dispatched quantity for item_code {item_code}.</t>
  </si>
  <si>
    <t>Show before time dispatched quantity for /item_code {item_code}.</t>
  </si>
  <si>
    <t>before time dispatched quantity for item code</t>
  </si>
  <si>
    <t>SELECT ITEM_CODE
     , SUM(QTY_BEF) AS TOTAL_BEFORE_TIME_DISPATCHED_QUANTITY
  FROM KPCL_REPORTING.KPC_FULL_KIT_ONTIME_DELIVERY_INDEX
 WHERE ITEM_CODE LIKE '%{item_code}%'
 GROUP BY ITEM_CODE;</t>
  </si>
  <si>
    <t>Show within 3 days dispatched quantity for item_code {item_code}.</t>
  </si>
  <si>
    <t>Show within 3 days dispatched quantity for /item_code {item_code}.</t>
  </si>
  <si>
    <t>within 3 days dispatched quantity for item code</t>
  </si>
  <si>
    <t>SELECT ITEM_CODE
     , SUM(QTY_WITHIN_3) AS TOTAL_WITHIN_3_DAYS_DISPATCHED_QUANTITY
  FROM KPCL_REPORTING.KPC_FULL_KIT_ONTIME_DELIVERY_INDEX
 WHERE ITEM_CODE LIKE '%{item_code}%'
 GROUP BY ITEM_CODE;</t>
  </si>
  <si>
    <t>Show on-time delivery percentage for item_code {item_code}.</t>
  </si>
  <si>
    <t>Show on-time delivery percentage for /item_code {item_code}.</t>
  </si>
  <si>
    <t>on-time delivery percentage for item code</t>
  </si>
  <si>
    <t>SELECT ITEM_CODE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
 WHERE ITEM_CODE LIKE '%{item_code}%'
 GROUP BY ITEM_CODE;</t>
  </si>
  <si>
    <t>Show dispatch details for item_description {item_description}.</t>
  </si>
  <si>
    <t>Show dispatch details for /item_description {item_description}.</t>
  </si>
  <si>
    <t>dispatch details for item description</t>
  </si>
  <si>
    <t>SELECT ITEM_CODE
     , ITEM_DESCRIPTION
     , SUM(QTY_DESP) AS TOTAL_DISPATCHED
     , SUM(QTY_BEF) AS TOTAL_BEFORE_TIME
     , SUM(QTY_ON) AS TOTAL_ONTIME
     , SUM(QTY_WITHIN_3) AS TOTAL_WITHIN_3_DAYS
     , SUM(QTY_AFT) AS TOTAL_DELAYED
     , ROUND(
         CASE 
           WHEN SUM(QTY_DESP) &gt; 0 
           THEN (SUM(QTY_ON) / SUM(QTY_DESP)) * 100
           ELSE 0 
         END, 2
       ) AS ONTIME_DELIVERY_PERCENTAGE
  FROM KPCL_REPORTING.KPC_FULL_KIT_ONTIME_DELIVERY_INDEX
 WHERE ITEM_DESCRIPTION LIKE '%{item_description}%'
 GROUP BY ITEM_CODE, ITEM_DESCRIPTION;</t>
  </si>
  <si>
    <t>Show delayed quantity for item_description {item_description}.</t>
  </si>
  <si>
    <t>Show delayed quantity for /item_description {item_description}.</t>
  </si>
  <si>
    <t>delayed quantity for item description</t>
  </si>
  <si>
    <t>SELECT ITEM_DESCRIPTION
     , SUM(QTY_AFT) AS TOTAL_DELAYED_QUANTITY
  FROM KPCL_REPORTING.KPC_FULL_KIT_ONTIME_DELIVERY_INDEX
 WHERE ITEM_DESCRIPTION LIKE '%{item_description}%'
 GROUP BY ITEM_DESCRIPTION;</t>
  </si>
  <si>
    <t>Show on-time delivery percentage for item_description {item_description}.</t>
  </si>
  <si>
    <t>Show on-time delivery percentage for /item_description {item_description}.</t>
  </si>
  <si>
    <t>on-time delivery percentage for item description</t>
  </si>
  <si>
    <t>SELECT ITEM_DESCRIPTION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
 WHERE ITEM_DESCRIPTION LIKE '%{item_description}%'
 GROUP BY ITEM_DESCRIPTION;</t>
  </si>
  <si>
    <t>Show dispatched quantity for item_type {item_type}.</t>
  </si>
  <si>
    <t>Show dispatched quantity for /item_type {item_type}.</t>
  </si>
  <si>
    <t>dispatched quantity for item type</t>
  </si>
  <si>
    <t>SELECT ITEM_TYPE
     , SUM(QTY_DESP) AS TOTAL_QUANTITY_DISPATCHED
  FROM KPCL_REPORTING.KPC_FULL_KIT_ONTIME_DELIVERY_INDEX
 WHERE ITEM_TYPE LIKE '%{item_type}%'
 GROUP BY ITEM_TYPE;</t>
  </si>
  <si>
    <t>Show delayed quantity for item_type {item_type}.</t>
  </si>
  <si>
    <t>Show delayed quantity for /item_type {item_type}.</t>
  </si>
  <si>
    <t>delayed quantity for item type</t>
  </si>
  <si>
    <t>SELECT ITEM_TYPE
     , SUM(QTY_AFT) AS TOTAL_DELAYED_QUANTITY
  FROM KPCL_REPORTING.KPC_FULL_KIT_ONTIME_DELIVERY_INDEX
 WHERE ITEM_TYPE LIKE '%{item_type}%'
 GROUP BY ITEM_TYPE;</t>
  </si>
  <si>
    <t>Show on-time delivery percentage for item_type {item_type}.</t>
  </si>
  <si>
    <t>Show on-time delivery percentage for /item_type {item_type}.</t>
  </si>
  <si>
    <t>on-time delivery percentage for item type</t>
  </si>
  <si>
    <t>SELECT ITEM_TYPE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
 WHERE ITEM_TYPE LIKE '%{item_type}%'
 GROUP BY ITEM_TYPE;</t>
  </si>
  <si>
    <t>Show dispatch details for oa_number {oa_number}.</t>
  </si>
  <si>
    <t>Show dispatch details for /oa_number {oa_number}.</t>
  </si>
  <si>
    <t>dispatch details for oa number</t>
  </si>
  <si>
    <t>SELECT ORDER_NUM
     , INV_NUM
     , INV_DATE
     , CUSTOMER_NAME
     , ITEM_CODE
     , ITEM_DESCRIPTION
     , MODEL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(ORDER_NUM) LIKE ('%{oa_number}%')
 ORDER BY INV_DATE DESC, INV_NUM;</t>
  </si>
  <si>
    <t>Show delayed quantity for oa_number {oa_number}.</t>
  </si>
  <si>
    <t>Show delayed quantity for /oa_number {oa_number}.</t>
  </si>
  <si>
    <t>delayed quantity for oa number</t>
  </si>
  <si>
    <t>SELECT ORDER_NUM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(ORDER_NUM) LIKE ('%{oa_number}%') 
 GROUP BY ORDER_NUM;</t>
  </si>
  <si>
    <t>SELECT ORDER_NUM
     , INV_NUM
     , INV_DATE
     , CUSTOMER_NAME
     , ITEM_CODE
     , ITEM_DESCRIPTION
     , MODEL
     , DIVISION_NAME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(ORDER_NUM) LIKE ('%{oa_number}%')
 ORDER BY INV_DATE DESC, INV_NUM;</t>
  </si>
  <si>
    <t>Show dispatch details for inv_number {inv_number}.</t>
  </si>
  <si>
    <t>Show dispatch details for /inv_number {inv_number}.</t>
  </si>
  <si>
    <t>dispatch details for inv number</t>
  </si>
  <si>
    <t>SELECT INV_NUM
     , INV_DATE
     , ORDER_NUM
     , CUSTOMER_NAME
     , ITEM_CODE
     , ITEM_DESCRIPTION
     , MODEL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(INV_NUM) LIKE ('%{inv_number}%')
 ORDER BY INV_DATE DESC;</t>
  </si>
  <si>
    <t>inv_number</t>
  </si>
  <si>
    <t>Show dispatched quantity for invoice date having date {date}.</t>
  </si>
  <si>
    <t>dispatched quantity for invoice month having date for date</t>
  </si>
  <si>
    <t>SELECT 
    TO_CHAR(INV_DATE, 'MM-YY') AS INVOICE_MONTH,
    SUM(
        CASE 
            WHEN REGEXP_LIKE(QTY_DESP, '^[+-]?[0-9]*\.?[0-9]+([eE][+-]?[0-9]+)?$') 
            THEN TO_NUMBER(QTY_DESP) 
            ELSE 0 
        END
    ) AS TOTAL_QUANTITY_DISPATCHED
FROM KPCL_REPORTING.KPC_FULL_KIT_ONTIME_DELIVERY_INDEX
WHERE INV_DATE &gt;= TO_DATE('{inv_date}', 'YYYY-MM')
  AND INV_DATE &lt; ADD_MONTHS(TO_DATE('{date}', 'YYYY-MM'), 1)
GROUP BY TO_CHAR(INV_DATE, 'MM-YY')
ORDER BY MIN(INV_DATE);</t>
  </si>
  <si>
    <t>Show invoices generated during inv date having date {date}.</t>
  </si>
  <si>
    <t>Show invoices generated during inv date having /date {date}.</t>
  </si>
  <si>
    <t>invoices generated during inv date having date</t>
  </si>
  <si>
    <t>SELECT 
    INV_NUM,
    INV_DATE,
    ORDER_NUM,
    CUSTOMER_NAME,
    ITEM_CODE,
    ITEM_DESCRIPTION,
    CASE 
        WHEN REGEXP_LIKE(QTY_DESP, '^[+-]?[0-9]*\.?[0-9]+([eE][+-]?[0-9]+)?$') 
        THEN TO_NUMBER(QTY_DESP) 
        ELSE 0 
    END AS QUANTITY_DISPATCHED
FROM KPCL_REPORTING.KPC_FULL_KIT_ONTIME_DELIVERY_INDEX
WHERE INV_DATE &gt;= TO_DATE('{date}', 'YYYY-MM')
  AND INV_DATE &lt; ADD_MONTHS(TO_DATE('{inv_date}', 'YYYY-MM'), 1)
ORDER BY INV_DATE DESC, INV_NUM;</t>
  </si>
  <si>
    <t>Show dispatched quantity during desp_mon {desp_mon}.</t>
  </si>
  <si>
    <t>Show dispatched quantity during /desp_mon {desp_mon}.</t>
  </si>
  <si>
    <t>dispatched quantity during desp mon</t>
  </si>
  <si>
    <t>SELECT 
    DESP_MON AS DISPATCH_MONTH,
    SUM(
        CASE 
            WHEN REGEXP_LIKE(QTY_DESP, '^[+-]?[0-9]*\.?[0-9]+([eE][+-]?[0-9]+)?$') 
            THEN TO_NUMBER(QTY_DESP) 
            ELSE 0 
        END
    ) AS TOTAL_QUANTITY_DISPATCHED
FROM KPCL_REPORTING.KPC_FULL_KIT_ONTIME_DELIVERY_INDEX
WHERE DESP_MON LIKE '%{desp_mon}%'
GROUP BY DESP_MON;</t>
  </si>
  <si>
    <t>desp_mon</t>
  </si>
  <si>
    <t>Show delayed quantity during desp_mon {desp_mon}.</t>
  </si>
  <si>
    <t>Show delayed quantity during /desp_mon {desp_mon}.</t>
  </si>
  <si>
    <t>delayed quantity during desp mon</t>
  </si>
  <si>
    <t>SELECT DESP_MON AS DISPATCH_MONTH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DESP_MON LIKE '%{desp_mon}%'
 GROUP BY DESP_MON;</t>
  </si>
  <si>
    <t>Show on-time delivery percentage during desp_mon {desp_mon}.</t>
  </si>
  <si>
    <t>Show on-time delivery percentage during /desp_mon {desp_mon}.</t>
  </si>
  <si>
    <t>on-time delivery percentage during desp mon</t>
  </si>
  <si>
    <t>SELECT DESP_MON AS DISPATCH_MONTH
     , ROUND(
         CASE 
           WHEN SUM(CASE WHEN REGEXP_LIKE(QTY_DESP, '^[+-]?[0-9]*\.?[0-9]+([eE][+-]?[0-9]+)?$') THEN TO_NUMBER(QTY_DESP) ELSE 0 END) = 0 
           THEN 0
           ELSE (SUM(CASE WHEN REGEXP_LIKE(QTY_ON, '^[+-]?[0-9]*\.?[0-9]+([eE][+-]?[0-9]+)?$') THEN TO_NUMBER(QTY_ON) ELSE 0 END) / 
                 SUM(CASE WHEN REGEXP_LIKE(QTY_DESP, '^[+-]?[0-9]*\.?[0-9]+([eE][+-]?[0-9]+)?$') THEN TO_NUMBER(QTY_DESP) ELSE 0 END)) * 100
         END, 2
       ) AS OTD_PERCENTAGE
  FROM KPCL_REPORTING.KPC_FULL_KIT_ONTIME_DELIVERY_INDEX 
 WHERE DESP_MON LIKE '%{desp_mon}%'
 GROUP BY DESP_MON;</t>
  </si>
  <si>
    <t>Show deliveries promised to customer having date {date}.</t>
  </si>
  <si>
    <t>Show deliveries promised to customer having /date {date}.</t>
  </si>
  <si>
    <t>deliveries promised to customer having date</t>
  </si>
  <si>
    <t>SELECT PROMISE_DATE_YYMM AS PROMISE_MONTH
     , INV_NUM
     , ORDER_NUM
     , CUSTOMER_NAME
     , ITEM_CODE, OA_CDD,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(OA_CDD) LIKE ('%{date}%')
 ORDER BY INV_NUM ASC, ORDER_NUM;</t>
  </si>
  <si>
    <t>Show delayed deliveries having date {date}.</t>
  </si>
  <si>
    <t>Show delayed deliveries having /date {date}.</t>
  </si>
  <si>
    <t>delayed deliveries having date</t>
  </si>
  <si>
    <t>SELECT PROMISE_DATE_YYMM AS PROMISE_MONTH
     , ORDER_NUM
     , INV_NUM
     , INV_DATE
     , CUSTOMER_NAME
     , ITEM_CODE,OA_CDD,
     , ITEM_DESCRIPTION
     , CASE WHEN REGEXP_LIKE(QTY_DESP, '^[+-]?[0-9]*\.?[0-9]+([eE][+-]?[0-9]+)?$') THEN TO_NUMBER(QTY_DESP) ELSE 0 END AS QUANTITY_DISPATCHED
     , CASE WHEN REGEXP_LIKE(QTY_ON, '^[+-]?[0-9]*\.?[0-9]+([eE][+-]?[0-9]+)?$') THEN TO_NUMBER(QTY_ON) ELSE 0 END AS QUANTITY_ONTIME
     , (CASE WHEN REGEXP_LIKE(QTY_DESP, '^[+-]?[0-9]*\.?[0-9]+([eE][+-]?[0-9]+)?$') THEN TO_NUMBER(QTY_DESP) ELSE 0 END 
        - CASE WHEN REGEXP_LIKE(QTY_ON, '^[+-]?[0-9]*\.?[0-9]+([eE][+-]?[0-9]+)?$') THEN TO_NUMBER(QTY_ON) ELSE 0 END) AS QUANTITY_DELAYED
  FROM KPCL_REPORTING.KPC_FULL_KIT_ONTIME_DELIVERY_INDEX 
 WHERE (OA_CDD) LIKE ('%{date}%')
   AND (CASE WHEN REGEXP_LIKE(QTY_DESP, '^[+-]?[0-9]*\.?[0-9]+([eE][+-]?[0-9]+)?$') THEN TO_NUMBER(QTY_DESP) ELSE 0 END) &gt; 
       (CASE WHEN REGEXP_LIKE(QTY_ON, '^[+-]?[0-9]*\.?[0-9]+([eE][+-]?[0-9]+)?$') THEN TO_NUMBER(QTY_ON) ELSE 0 END)
 ORDER BY INV_DATE DESC, ORDER_NUM;</t>
  </si>
  <si>
    <t>Show orders created with order creation date as date {date}.</t>
  </si>
  <si>
    <t>Show orders created with order creation date as /date {date}.</t>
  </si>
  <si>
    <t>orders created with order creation date as date</t>
  </si>
  <si>
    <t>SELECT OA_CRN_DATE_YYMM AS CREATION_MONTH
     , ORDER_NUM
     , INV_NUM
     , INV_DATE
     , CUSTOMER_NAME
     , ITEM_CODE, OCD
     , ITEM_DESCRIPTION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(OCD) LIKE ('%{date}%')
 ORDER BY ORDER_NUM, INV_DATE DESC;</t>
  </si>
  <si>
    <t>Show dispatched quantity with order creation date as date {date}.</t>
  </si>
  <si>
    <t>Show dispatched quantity with order creation date as  /date {date}.</t>
  </si>
  <si>
    <t>dispatched quantity with order creation date as  date</t>
  </si>
  <si>
    <t>SELECT OA_CRN_DATE_YYMM AS CREATION_MONTH, OCD,
     , SUM(CASE WHEN REGEXP_LIKE(QTY_DESP, '^[+-]?[0-9]*\.?[0-9]+([eE][+-]?[0-9]+)?$') THEN TO_NUMBER(QTY_DESP) ELSE 0 END) AS TOTAL_QUANTITY_DISPATCHED 
  FROM KPCL_REPORTING.KPC_FULL_KIT_ONTIME_DELIVERY_INDEX 
 WHERE (OCD) LIKE ('%{date}%')
 GROUP BY OA_CRN_DATE_YYMM;</t>
  </si>
  <si>
    <t>Show dispatch details for invoice date having date {date}.</t>
  </si>
  <si>
    <t>Show dispatch details for invoice date having /date {date}.</t>
  </si>
  <si>
    <t>dispatch details for invoice date having date</t>
  </si>
  <si>
    <t>SELECT INV_NUM
     , INV_DATE
     , ORDER_NUM
     , CUSTOMER_NAME
     , ITEM_CODE
     , ITEM_DESCRIPTION
     , MODEL
     , DIVISION_NAME
     , CASE 
           WHEN REGEXP_LIKE(QTY_DESP, '^[+-]?[0-9]*\.?[0-9]+([eE][+-]?[0-9]+)?$') 
           THEN TO_NUMBER(QTY_DESP) 
           ELSE 0 
       END AS QUANTITY_DISPATCHED
     , CASE 
           WHEN REGEXP_LIKE(QTY_ON, '^[+-]?[0-9]*\.?[0-9]+([eE][+-]?[0-9]+)?$') 
           THEN TO_NUMBER(QTY_ON) 
           ELSE 0 
       END AS QUANTITY_ONTIME
  FROM KPCL_REPORTING.KPC_FULL_KIT_ONTIME_DELIVERY_INDEX 
 WHERE TRUNC(INV_DATE) = TO_DATE('{date}', 'DD-MM-YY')
 ORDER BY INV_NUM;</t>
  </si>
  <si>
    <t>Show orders created on creation date for date {date}.</t>
  </si>
  <si>
    <t>Show orders created on creation date for /date {date}.</t>
  </si>
  <si>
    <t>orders created on creation date for date</t>
  </si>
  <si>
    <t>Show deliveries promised on promise date having date {date}.</t>
  </si>
  <si>
    <t>Show deliveries promised on promise date having /date {date}.</t>
  </si>
  <si>
    <t>deliveries promised on promise date having date</t>
  </si>
  <si>
    <t>SELECT OA_CRN_DATE_YYMM AS CREATION_MONTH
     , ORDER_NUM
     , INV_NUM
     , INV_DATE
     , CUSTOMER_NAME, OA_CDD
     , ITEM_CODE
     , ITEM_DESCRIPTION
     , CASE 
           WHEN REGEXP_LIKE(QTY_DESP, '^[+-]?[0-9]*\.?[0-9]+([eE][+-]?[0-9]+)?$') 
           THEN TO_NUMBER(QTY_DESP) 
           ELSE 0 
       END AS QUANTITY_DISPATCHED
     , CASE 
           WHEN REGEXP_LIKE(QTY_ON, '^[+-]?[0-9]*\.?[0-9]+([eE][+-]?[0-9]+)?$') 
           THEN TO_NUMBER(QTY_ON) 
           ELSE 0 
       END AS QUANTITY_ONTIME
  FROM KPCL_REPORTING.KPC_FULL_KIT_ONTIME_DELIVERY_INDEX 
 WHERE TRUNC(OA_CDD) = TO_DATE('%{date}%', 'DD-MON-YYYY')
 ORDER BY OA_CDD ASC, ORDER_NUM;</t>
  </si>
  <si>
    <t>Show customer POs created on customer purchase order date for date {date}.</t>
  </si>
  <si>
    <t>Show customer POs created on customer purchase order date for /date {date}.</t>
  </si>
  <si>
    <t>customer POs created on customer purchase order date for date</t>
  </si>
  <si>
    <t>SELECT ORDER_NUM
     , INV_NUM
     , INV_DATE
     , CUSTOMER_NAME
     , ITEM_CODE
     , CASE 
           WHEN REGEXP_LIKE(QTY_DESP, '^[+-]?[0-9]*\.?[0-9]+([eE][+-]?[0-9]+)?$') 
           THEN TO_NUMBER(QTY_DESP) 
           ELSE 0 
       END AS QUANTITY_DISPATCHED
  FROM KPCL_REPORTING.KPC_FULL_KIT_ONTIME_DELIVERY_INDEX 
 WHERE TRUNC(CUST_PO_DATE) = TO_DATE('{date}', 'DD-MM-YY')
 ORDER BY INV_DATE DESC, ORDER_NUM;</t>
  </si>
  <si>
    <t>Show delayed orders with remark {remark}.</t>
  </si>
  <si>
    <t>Show delayed orders with /remark {remark}.</t>
  </si>
  <si>
    <t>delayed orders with remark</t>
  </si>
  <si>
    <t>SELECT ORDER_NUM
     , INV_NUM
     , INV_DATE
     , CUSTOMER_NAME
     , ITEM_CODE
     , REMARK_1
     , CASE WHEN REGEXP_LIKE(QTY_DESP, '^[+-]?[0-9]*\.?[0-9]+([eE][+-]?[0-9]+)?$') THEN TO_NUMBER(QTY_DESP) ELSE 0 END AS QUANTITY_DISPATCHED
     , CASE WHEN REGEXP_LIKE(QTY_ON, '^[+-]?[0-9]*\.?[0-9]+([eE][+-]?[0-9]+)?$') THEN TO_NUMBER(QTY_ON) ELSE 0 END AS QUANTITY_ONTIME
     , (CASE WHEN REGEXP_LIKE(QTY_DESP, '^[+-]?[0-9]*\.?[0-9]+([eE][+-]?[0-9]+)?$') THEN TO_NUMBER(QTY_DESP) ELSE 0 END 
        - CASE WHEN REGEXP_LIKE(QTY_ON, '^[+-]?[0-9]*\.?[0-9]+([eE][+-]?[0-9]+)?$') THEN TO_NUMBER(QTY_ON) ELSE 0 END) AS QUANTITY_DELAYED
  FROM KPCL_REPORTING.KPC_FULL_KIT_ONTIME_DELIVERY_INDEX 
 WHERE (REMARK_1) LIKE ('%{remark}%')
   AND (CASE WHEN REGEXP_LIKE(QTY_DESP, '^[+-]?[0-9]*\.?[0-9]+([eE][+-]?[0-9]+)?$') THEN TO_NUMBER(QTY_DESP) ELSE 0 END) &gt; 
       (CASE WHEN REGEXP_LIKE(QTY_ON, '^[+-]?[0-9]*\.?[0-9]+([eE][+-]?[0-9]+)?$') THEN TO_NUMBER(QTY_ON) ELSE 0 END)
 ORDER BY INV_DATE DESC, ORDER_NUM;</t>
  </si>
  <si>
    <t>Show delayed quantity for remark {remark}.</t>
  </si>
  <si>
    <t>Show delayed quantity for /remark {remark}.</t>
  </si>
  <si>
    <t>delayed quantity for remark</t>
  </si>
  <si>
    <t>SELECT REMARK_1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(REMARK_1) LIKE ('%{remark}%')
 GROUP BY REMARK_1;</t>
  </si>
  <si>
    <t>Show delay details for remark_desc {remark_desc}.</t>
  </si>
  <si>
    <t>Show delay details for /remark_description {remark_description}.</t>
  </si>
  <si>
    <t>delay details for remark description</t>
  </si>
  <si>
    <t>SELECT REMARK_1
     , ORDER_NUM
     , INV_NUM
     , INV_DATE
     , CUSTOMER_NAME
     , ITEM_CODE
     , CASE WHEN REGEXP_LIKE(QTY_DESP, '^[+-]?[0-9]*\.?[0-9]+([eE][+-]?[0-9]+)?$') THEN TO_NUMBER(QTY_DESP) ELSE 0 END AS QUANTITY_DISPATCHED
     , CASE WHEN REGEXP_LIKE(QTY_ON, '^[+-]?[0-9]*\.?[0-9]+([eE][+-]?[0-9]+)?$') THEN TO_NUMBER(QTY_ON) ELSE 0 END AS QUANTITY_ONTIME
     , (CASE WHEN REGEXP_LIKE(QTY_DESP, '^[+-]?[0-9]*\.?[0-9]+([eE][+-]?[0-9]+)?$') THEN TO_NUMBER(QTY_DESP) ELSE 0 END 
        - CASE WHEN REGEXP_LIKE(QTY_ON, '^[+-]?[0-9]*\.?[0-9]+([eE][+-]?[0-9]+)?$') THEN TO_NUMBER(QTY_ON) ELSE 0 END) AS QUANTITY_DELAYED
  FROM KPCL_REPORTING.KPC_FULL_KIT_ONTIME_DELIVERY_INDEX 
 WHERE (REMARK_DESC) LIKE ('%{remark_description}%')
   AND (CASE WHEN REGEXP_LIKE(QTY_DESP, '^[+-]?[0-9]*\.?[0-9]+([eE][+-]?[0-9]+)?$') THEN TO_NUMBER(QTY_DESP) ELSE 0 END) &gt; 
       (CASE WHEN REGEXP_LIKE(QTY_ON, '^[+-]?[0-9]*\.?[0-9]+([eE][+-]?[0-9]+)?$') THEN TO_NUMBER(QTY_ON) ELSE 0 END)
 ORDER BY INV_DATE DESC, ORDER_NUM;</t>
  </si>
  <si>
    <t>remark_description</t>
  </si>
  <si>
    <t>Show dispatches having ld_clause {ld_clause}.</t>
  </si>
  <si>
    <t>Show dispatches having /ld_clause {ld_clause}.</t>
  </si>
  <si>
    <t>dispatches having ld clause</t>
  </si>
  <si>
    <t>SELECT ORDER_NUM
     , INV_NUM
     , INV_DATE
     , CUSTOMER_NAME
     , ITEM_CODE
     , ITEM_DESCRIPTION
     , LD_CLAUSE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(LD_CLAUSE) LIKE ('%{ld_clause}%')
 ORDER BY INV_DATE DESC, ORDER_NUM;</t>
  </si>
  <si>
    <t>ld_clause</t>
  </si>
  <si>
    <t>Show dispatch details for cust_po_number {cust_po_number}.</t>
  </si>
  <si>
    <t>Show dispatch details for /cust_po_number {cust_po_number}.</t>
  </si>
  <si>
    <t>dispatch details for cust po number</t>
  </si>
  <si>
    <t>SELECT CUST_PO_NO
     , ORDER_NUM
     , INV_NUM
     , INV_DATE
     , CUSTOMER_NAME
     , ITEM_CODE
     , ITEM_DESCRIPTION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(CUST_PO_NO) LIKE ('%{cust_po_number}%')
 ORDER BY INV_DATE DESC, ORDER_NUM;</t>
  </si>
  <si>
    <t>cust_po_number</t>
  </si>
  <si>
    <t>Show delayed quantity for cust_po_number {cust_po_number}.</t>
  </si>
  <si>
    <t>Show delayed quantity for /cust_po_number {cust_po_number}.</t>
  </si>
  <si>
    <t>delayed quantity for cust po number</t>
  </si>
  <si>
    <t>SELECT CUST_PO_NO
     , SUM(CASE WHEN REGEXP_LIKE(QTY_DESP, '^[+-]?[0-9]*\.?[0-9]+([eE][+-]?[0-9]+)?$') THEN TO_NUMBER(QTY_DESP) ELSE 0 END 
       - CASE WHEN REGEXP_LIKE(QTY_ON, '^[+-]?[0-9]*\.?[0-9]+([eE][+-]?[0-9]+)?$') THEN TO_NUMBER(QTY_ON) ELSE 0 END) AS TOTAL_DELAYED_QUANTITY 
  FROM KPCL_REPORTING.KPC_FULL_KIT_ONTIME_DELIVERY_INDEX 
 WHERE (CUST_PO_NO) LIKE ('%{cust_po_number}%')
 GROUP BY CUST_PO_NO;</t>
  </si>
  <si>
    <t>Show dispatch details for division {division}.</t>
  </si>
  <si>
    <t>Show dispatch details for /division {division}.</t>
  </si>
  <si>
    <t>dispatch details for division</t>
  </si>
  <si>
    <t>SELECT DIVISION_NAME
     , ORDER_NUM
     , INV_NUM
     , INV_DATE
     , CUSTOMER_NAME
     , ITEM_CODE
     , CASE WHEN REGEXP_LIKE(QTY_DESP, '^[+-]?[0-9]*\.?[0-9]+([eE][+-]?[0-9]+)?$') THEN TO_NUMBER(QTY_DESP) ELSE 0 END AS QUANTITY_DISPATCHED
     , CASE WHEN REGEXP_LIKE(QTY_ON, '^[+-]?[0-9]*\.?[0-9]+([eE][+-]?[0-9]+)?$') THEN TO_NUMBER(QTY_ON) ELSE 0 END AS QUANTITY_ONTIME
  FROM KPCL_REPORTING.KPC_FULL_KIT_ONTIME_DELIVERY_INDEX 
 WHERE (DIVISION_NAME) LIKE ('%{division}%')
 ORDER BY INV_DATE DESC, ORDER_NUM;</t>
  </si>
  <si>
    <t>Show dispatched quantity for customer {customer} and item_code {item_code}.</t>
  </si>
  <si>
    <t>Show dispatched quantity for /customer {customer} and /item_code {item_code}.</t>
  </si>
  <si>
    <t>dispatched quantity for customer and item code</t>
  </si>
  <si>
    <t>SELECT CUSTOMER_NAME
     , ITEM_CODE
     , SUM(QTY_DESP) AS TOTAL_QUANTITY_DISPATCHED
  FROM KPCL_REPORTING.KPC_FULL_KIT_ONTIME_DELIVERY_INDEX
 WHERE CUSTOMER_NAME LIKE '%{customer}%'
   AND ITEM_CODE LIKE '%{item_code}%'
 GROUP BY CUSTOMER_NAME, ITEM_CODE;</t>
  </si>
  <si>
    <t>Show delayed quantity for customer {customer} and item_code {item_code}.</t>
  </si>
  <si>
    <t>Show delayed quantity for /customer {customer} and /item_code {item_code}.</t>
  </si>
  <si>
    <t>delayed quantity for customer and item code</t>
  </si>
  <si>
    <t>SELECT CUSTOMER_NAME
     , ITEM_CODE
     , SUM(QTY_AFT) AS TOTAL_DELAYED_QUANTITY
  FROM KPCL_REPORTING.KPC_FULL_KIT_ONTIME_DELIVERY_INDEX
 WHERE CUSTOMER_NAME LIKE '%{customer}%'
   AND ITEM_CODE LIKE '%{item_code}%'
 GROUP BY CUSTOMER_NAME, ITEM_CODE;</t>
  </si>
  <si>
    <t>Show on-time delivery percentage for customer {customer} and item_code {item_code}.</t>
  </si>
  <si>
    <t>Show on-time delivery percentage for /customer {customer} and /item_code {item_code}.</t>
  </si>
  <si>
    <t>on-time delivery percentage for customer and item code</t>
  </si>
  <si>
    <t>SELECT CUSTOMER_NAME
     , ITEM_CODE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
 WHERE CUSTOMER_NAME LIKE '%{customer}%'
   AND ITEM_CODE LIKE '%{item_code}%'
 GROUP BY CUSTOMER_NAME, ITEM_CODE;</t>
  </si>
  <si>
    <t>Show before time dispatched quantity for customer {customer} and item_code {item_code}.</t>
  </si>
  <si>
    <t>Show before time dispatched quantity for /customer {customer} and /item_code {item_code}.</t>
  </si>
  <si>
    <t>before time dispatched quantity for customer and item code</t>
  </si>
  <si>
    <t>SELECT CUSTOMER_NAME
     , ITEM_CODE
     , SUM(QTY_BEF) AS TOTAL_BEFORE_TIME_DISPATCHED_QUANTITY
  FROM KPCL_REPORTING.KPC_FULL_KIT_ONTIME_DELIVERY_INDEX
 WHERE CUSTOMER_NAME LIKE '%{customer}%'
   AND ITEM_CODE LIKE '%{item_code}%'
 GROUP BY CUSTOMER_NAME, ITEM_CODE;</t>
  </si>
  <si>
    <t>Show within 3 days dispatched quantity for customer {customer} and item_code {item_code}.</t>
  </si>
  <si>
    <t>Show within 3 days dispatched quantity for /customer {customer} and /item_code {item_code}.</t>
  </si>
  <si>
    <t>within 3 days dispatched quantity for customer and item code</t>
  </si>
  <si>
    <t>SELECT CUSTOMER_NAME
     , ITEM_CODE
     , SUM(QTY_WITHIN_3) AS TOTAL_WITHIN_3_DAYS_DISPATCHED_QUANTITY
  FROM KPCL_REPORTING.KPC_FULL_KIT_ONTIME_DELIVERY_INDEX
 WHERE CUSTOMER_NAME LIKE '%{customer}%'
   AND ITEM_CODE LIKE '%{item_code}%'
 GROUP BY CUSTOMER_NAME, ITEM_CODE;</t>
  </si>
  <si>
    <t>Show dispatched quantity for customer {customer} and product_group {product_group}.</t>
  </si>
  <si>
    <t>Show dispatched quantity for /customer {customer} and /product_group {product_group}.</t>
  </si>
  <si>
    <t>dispatched quantity for customer and product group</t>
  </si>
  <si>
    <t>SELECT CUSTOMER_NAME
     , PRODUCT_GROUP
     , SUM(QTY_DESP) AS TOTAL_QUANTITY_DISPATCHED 
  FROM KPCL_REPORTING.KPC_FULL_KIT_ONTIME_DELIVERY_INDEX 
 WHERE CUSTOMER_NAME LIKE '%{customer}%'
   AND (PRODUCT_GROUP) LIKE ('%{product_group}%')
 GROUP BY CUSTOMER_NAME, PRODUCT_GROUP;</t>
  </si>
  <si>
    <t>Show delayed quantity for customer {customer} and product_group {product_group}.</t>
  </si>
  <si>
    <t>Show delayed quantity for /customer {customer} and /product_group {product_group}.</t>
  </si>
  <si>
    <t>delayed quantity for customer and product group</t>
  </si>
  <si>
    <t>SELECT CUSTOMER_NAME
     , PRODUCT_GROUP
     , QTY_AFT AS TOTAL_DELAYED_QUANTITY 
  FROM KPCL_REPORTING.KPC_FULL_KIT_ONTIME_DELIVERY_INDEX 
 WHERE CUSTOMER_NAME LIKE '%{customer}%'
   AND (PRODUCT_GROUP) LIKE ('%{product_group}%')
 GROUP BY CUSTOMER_NAME, PRODUCT_GROUP, QTY_AFT;</t>
  </si>
  <si>
    <t>Show on-time delivery percentage for customer {customer} and product_group {product_group}.</t>
  </si>
  <si>
    <t>Show on-time delivery percentage for /customer {customer} and /product_group {product_group}.</t>
  </si>
  <si>
    <t>on-time delivery percentage for customer and product group</t>
  </si>
  <si>
    <t>SELECT CUSTOMER_NAME
     , PRODUCT_GROUP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(PRODUCT_GROUP) LIKE ('%{product_group}%')
 GROUP BY CUSTOMER_NAME, PRODUCT_GROUP;</t>
  </si>
  <si>
    <t>Show order count for customer {customer} and product_group {product_group}.</t>
  </si>
  <si>
    <t>Show order count for /customer {customer} and /product_group {product_group}.</t>
  </si>
  <si>
    <t>order count for customer and product group</t>
  </si>
  <si>
    <t>SELECT CUSTOMER_NAME
     , PRODUCT_GROUP
     , COUNT(DISTINCT ORDER_NUM) AS UNIQUE_ORDER_COUNT
  FROM KPCL_REPORTING.KPC_FULL_KIT_ONTIME_DELIVERY_INDEX 
 WHERE CUSTOMER_NAME LIKE '%{customer}%'
   AND (PRODUCT_GROUP) LIKE ('%{product_group}%')
 GROUP BY CUSTOMER_NAME, PRODUCT_GROUP;</t>
  </si>
  <si>
    <t>Show invoice count for customer {customer} and product_group {product_group}.</t>
  </si>
  <si>
    <t>Show invoice count for /customer {customer} and /product_group {product_group}.</t>
  </si>
  <si>
    <t>invoice count for customer and product group</t>
  </si>
  <si>
    <t>SELECT CUSTOMER_NAME
     , PRODUCT_GROUP
     , COUNT(DISTINCT INV_NUM) AS UNIQUE_INVOICE_COUNT
  FROM KPCL_REPORTING.KPC_FULL_KIT_ONTIME_DELIVERY_INDEX 
 WHERE CUSTOMER_NAME LIKE '%{customer}%'
   AND (PRODUCT_GROUP) LIKE ('%{product_group}%')
 GROUP BY CUSTOMER_NAME, PRODUCT_GROUP;</t>
  </si>
  <si>
    <t>Show dispatched quantity for customer {customer} and product_model {product_model}.</t>
  </si>
  <si>
    <t>Show dispatched quantity for /customer {customer} and /product_model {product_model}.</t>
  </si>
  <si>
    <t>dispatched quantity for customer and product model</t>
  </si>
  <si>
    <t>SELECT CUSTOMER_NAME
     , MODEL
     , SUM(QTY_DESP) AS TOTAL_QUANTITY_DISPATCHED 
  FROM KPCL_REPORTING.KPC_FULL_KIT_ONTIME_DELIVERY_INDEX 
 WHERE CUSTOMER_NAME LIKE '%{customer}%'
   AND (MODEL) LIKE ('%{product_model}%')
 GROUP BY CUSTOMER_NAME, MODEL;</t>
  </si>
  <si>
    <t>Show delayed quantity for customer {customer} and product_model {product_model}.</t>
  </si>
  <si>
    <t>Show delayed quantity for /customer {customer} and /product_model {product_model}.</t>
  </si>
  <si>
    <t>delayed quantity for customer and product model</t>
  </si>
  <si>
    <t>SELECT CUSTOMER_NAME
     , MODEL
     , QTY_AFT AS TOTAL_DELAYED_QUANTITY 
  FROM KPCL_REPORTING.KPC_FULL_KIT_ONTIME_DELIVERY_INDEX 
 WHERE CUSTOMER_NAME LIKE '%{customer}%'
   AND (MODEL) LIKE ('%{product_model}%')
 GROUP BY CUSTOMER_NAME, MODEL, QTY_AFT;</t>
  </si>
  <si>
    <t>Show on-time delivery percentage for customer {customer} and product_model {product_model}.</t>
  </si>
  <si>
    <t>Show on-time delivery percentage for /customer {customer} and /product_model {product_model}.</t>
  </si>
  <si>
    <t>on-time delivery percentage for customer and product model</t>
  </si>
  <si>
    <t>SELECT CUSTOMER_NAME
     , MODEL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(MODEL) LIKE ('%{product_model}%')
 GROUP BY CUSTOMER_NAME, MODEL;</t>
  </si>
  <si>
    <t>Show dispatched quantity for customer {customer} during desp_mon {desp_mon}.</t>
  </si>
  <si>
    <t>Show dispatched quantity for /customer {customer} during /desp_mon {desp_mon}.</t>
  </si>
  <si>
    <t>dispatched quantity for customer during desp mon</t>
  </si>
  <si>
    <t>SELECT CUSTOMER_NAME
     , DESP_MON
     , SUM(QTY_DESP) AS TOTAL_QUANTITY_DISPATCHED 
  FROM KPCL_REPORTING.KPC_FULL_KIT_ONTIME_DELIVERY_INDEX 
 WHERE CUSTOMER_NAME LIKE '%{customer}%'
   AND DESP_MON LIKE '%{desp_mon}%'
 GROUP BY CUSTOMER_NAME, DESP_MON;</t>
  </si>
  <si>
    <t>customer, desp_mon</t>
  </si>
  <si>
    <t>Show delayed quantity for customer {customer} during desp_mon {desp_mon}.</t>
  </si>
  <si>
    <t>Show delayed quantity for /customer {customer} during /desp_mon {desp_mon}.</t>
  </si>
  <si>
    <t>delayed quantity for customer during desp mon</t>
  </si>
  <si>
    <t>SELECT CUSTOMER_NAME
     , DESP_MON
     , QTY_AFT AS TOTAL_DELAYED_QUANTITY 
  FROM KPCL_REPORTING.KPC_FULL_KIT_ONTIME_DELIVERY_INDEX 
 WHERE CUSTOMER_NAME LIKE '%{customer}%'
   AND DESP_MON LIKE '%{desp_mon}%'
 GROUP BY CUSTOMER_NAME, DESP_MON;</t>
  </si>
  <si>
    <t>Show on-time delivery percentage for customer {customer} during desp_mon {desp_mon}.</t>
  </si>
  <si>
    <t>Show on-time delivery percentage for /customer {customer} during /desp_mon {desp_mon}.</t>
  </si>
  <si>
    <t>on-time delivery percentage for customer during desp mon</t>
  </si>
  <si>
    <t>SELECT CUSTOMER_NAME
     , DESP_MON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DESP_MON LIKE '%{desp_mon}%'
 GROUP BY CUSTOMER_NAME, DESP_MON;</t>
  </si>
  <si>
    <t>Show invoices generated for customer {customer} during desp_mon {desp_mon}.</t>
  </si>
  <si>
    <t>Show invoices generated for /customer {customer} during /desp_mon {desp_mon}.</t>
  </si>
  <si>
    <t>invoices generated for customer during desp mon</t>
  </si>
  <si>
    <t>SELECT INV_NUM AS INVOICE_NUMBER
     , INV_DATE AS INVOICE_DATE
     , CUSTOMER_NAME
     , ITEM_CODE
     , ITEM_DESCRIPTION
     , QTY_DESP AS DISPATCHED_QUANTITY
     , PRODUCT_GROUP
     , MODEL
  FROM KPCL_REPORTING.KPC_FULL_KIT_ONTIME_DELIVERY_INDEX 
 WHERE CUSTOMER_NAME LIKE '%{customer}%'
   AND DESP_MON LIKE '%{desp_mon}%'
 ORDER BY INV_DATE ASC;</t>
  </si>
  <si>
    <t>Show orders dispatched for customer {customer} during desp_mon {desp_mon}.</t>
  </si>
  <si>
    <t>Show orders dispatched for /customer {customer} during /desp_mon {desp_mon}.</t>
  </si>
  <si>
    <t>orders dispatched for customer during desp mon</t>
  </si>
  <si>
    <t>SELECT ORDER_NUM AS ORDER_NUMBER
     , OCD AS ORDER_CREATION_DATE
     , CUST_PO_NO AS CUSTOMER_PO_NUMBER
     , CUSTOMER_NAME
     , ITEM_CODE
     , ITEM_DESCRIPTION
     , SUM(QTY_DESP) AS TOTAL_DISPATCHED_QUANTITY
  FROM KPCL_REPORTING.KPC_FULL_KIT_ONTIME_DELIVERY_INDEX 
 WHERE CUSTOMER_NAME LIKE '%{customer}%'
   AND (DESP_MON) = ('{desp_mon}')
 GROUP BY ORDER_NUM
        , OCD
        , CUST_PO_NO
        , CUSTOMER_NAME
        , ITEM_CODE
        , ITEM_DESCRIPTION
 ORDER BY OCD ASC;</t>
  </si>
  <si>
    <t>Show dispatched quantity for division {division} and sbu {sbu}.</t>
  </si>
  <si>
    <t>Show dispatched quantity for /division {division} and /sbu {sbu} .</t>
  </si>
  <si>
    <t>dispatched quantity for division and sbu</t>
  </si>
  <si>
    <t>SELECT DIVISION_NAME
     , SBU_NAME
     , SUM(QTY_DESP) AS TOTAL_QUANTITY_DISPATCHED 
  FROM KPCL_REPORTING.KPC_FULL_KIT_ONTIME_DELIVERY_INDEX 
 WHERE (DIVISION_NAME) LIKE ('%{division}%')
   AND (SBU_NAME) LIKE ('%{sbu}%')
 GROUP BY DIVISION_NAME, SBU_NAME;</t>
  </si>
  <si>
    <t>division, sbu</t>
  </si>
  <si>
    <t>Show delayed quantity for division {division} and sbu {sbu}.</t>
  </si>
  <si>
    <t>Show delayed quantity for /division {division} and /sbu {sbu} .</t>
  </si>
  <si>
    <t>delayed quantity for division and sbu</t>
  </si>
  <si>
    <t>SELECT DIVISION_NAME
     , SBU_NAME
     , QTY_AFT AS TOTAL_DELAYED_QUANTITY 
  FROM KPCL_REPORTING.KPC_FULL_KIT_ONTIME_DELIVERY_INDEX 
 WHERE (DIVISION_NAME) LIKE ('%{division}%')
   AND (SBU_NAME) LIKE ('%{sbu}%')
 GROUP BY DIVISION_NAME, SBU_NAME, QTY_AFT ;</t>
  </si>
  <si>
    <t>Show on-time delivery percentage for division {division} and sbu {sbu}.</t>
  </si>
  <si>
    <t>Show on-time delivery percentage for /division {division} and /sbu {sbu} .</t>
  </si>
  <si>
    <t>on-time delivery percentage for division and sbu</t>
  </si>
  <si>
    <t>SELECT DIVISION_NAME
     , SBU_NAME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(SBU_NAME) LIKE ('%{sbu}%')
 GROUP BY DIVISION_NAME, SBU_NAME;</t>
  </si>
  <si>
    <t>Show before-time dispatched quantity for division {division} and sbu {sbu}.</t>
  </si>
  <si>
    <t>Show before-time dispatched quantity for /division {division} and /sbu {sbu} .</t>
  </si>
  <si>
    <t>before-time dispatched quantity for division and sbu</t>
  </si>
  <si>
    <t>SELECT DIVISION_NAME
     , SBU_NAME
     , SUM(QTY_BEF) AS TOTAL_BEFORE_TIME_DISPATCHED
  FROM KPCL_REPORTING.KPC_FULL_KIT_ONTIME_DELIVERY_INDEX 
 WHERE (DIVISION_NAME) LIKE ('%{division}%')
   AND (SBU_NAME) LIKE ('%{sbu}%')
 GROUP BY DIVISION_NAME, SBU_NAME;</t>
  </si>
  <si>
    <t>Show within-3-days dispatched quantity for division {division} and sbu {sbu}.</t>
  </si>
  <si>
    <t>Show within-3-days dispatched quantity for /division {division} and /sbu {sbu} .</t>
  </si>
  <si>
    <t>within-3-days dispatched quantity for division and sbu</t>
  </si>
  <si>
    <t>SELECT DIVISION_NAME
     , SBU_NAME
     , SUM(QTY_WITHIN_3) AS TOTAL_WITHIN_3_DAYS_DISPATCHED
  FROM KPCL_REPORTING.KPC_FULL_KIT_ONTIME_DELIVERY_INDEX 
 WHERE (DIVISION_NAME) LIKE ('%{division}%')
   AND (SBU_NAME) LIKE ('%{sbu}%')
 GROUP BY DIVISION_NAME, SBU_NAME;</t>
  </si>
  <si>
    <t>Show dispatched quantity for division {division} and product_group {product_group}.</t>
  </si>
  <si>
    <t>Show dispatched quantity for /division {division} and /product_group {product_group}.</t>
  </si>
  <si>
    <t>dispatched quantity for division and product group</t>
  </si>
  <si>
    <t>SELECT DIVISION_NAME
     , PRODUCT_GROUP
     , SUM(QTY_DESP) AS TOTAL_QUANTITY_DISPATCHED 
  FROM KPCL_REPORTING.KPC_FULL_KIT_ONTIME_DELIVERY_INDEX 
 WHERE (DIVISION_NAME) LIKE ('%{division}%')
   AND (PRODUCT_GROUP) LIKE ('%{product_group}%')
 GROUP BY DIVISION_NAME, PRODUCT_GROUP;</t>
  </si>
  <si>
    <t>division, product_group</t>
  </si>
  <si>
    <t>Show delayed quantity for division {division} and product_group {product_group}.</t>
  </si>
  <si>
    <t>Show delayed quantity for /division {division} and /product_group {product_group}.</t>
  </si>
  <si>
    <t>delayed quantity for division and product group</t>
  </si>
  <si>
    <t>SELECT DIVISION_NAME
     , PRODUCT_GROUP
     , QTY_AFT AS TOTAL_DELAYED_QUANTITY 
  FROM KPCL_REPORTING.KPC_FULL_KIT_ONTIME_DELIVERY_INDEX 
 WHERE (DIVISION_NAME) LIKE ('%{division}%')
   AND (PRODUCT_GROUP) LIKE ('%{product_group}%')
 GROUP BY DIVISION_NAME, PRODUCT_GROUP, QTY_AFT;</t>
  </si>
  <si>
    <t>Show on-time delivery percentage for division {division} and product_group {product_group}.</t>
  </si>
  <si>
    <t>Show on-time delivery percentage for /division {division} and /product_group {product_group}.</t>
  </si>
  <si>
    <t>on-time delivery percentage for division and product group</t>
  </si>
  <si>
    <t>SELECT DIVISION_NAME
     , PRODUCT_GROUP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(PRODUCT_GROUP) LIKE ('%{product_group}%')
 GROUP BY DIVISION_NAME, PRODUCT_GROUP;</t>
  </si>
  <si>
    <t>Show dispatched quantity for sbu {sbu} and product_group {product_group}.</t>
  </si>
  <si>
    <t>Show dispatched quantity for /sbu {sbu}  and /product_group {product_group}.</t>
  </si>
  <si>
    <t>dispatched quantity for sbu and product group</t>
  </si>
  <si>
    <t>SELECT SBU_NAME AS ORGANISATION_NAME
     , PRODUCT_GROUP
     , SUM(QTY_DESP) AS TOTAL_QUANTITY_DISPATCHED 
  FROM KPCL_REPORTING.KPC_FULL_KIT_ONTIME_DELIVERY_INDEX 
 WHERE (SBU_NAME) LIKE ('%{sbu}%')
   AND (PRODUCT_GROUP) LIKE ('%{product_group}%')
 GROUP BY SBU_NAME, PRODUCT_GROUP;</t>
  </si>
  <si>
    <t>sbu, product_group</t>
  </si>
  <si>
    <t>Show delayed quantity for sbu {sbu} and product_group {product_group}.</t>
  </si>
  <si>
    <t>Show delayed quantity for /sbu {sbu}  and /product_group {product_group}.</t>
  </si>
  <si>
    <t>delayed quantity for sbu and product group</t>
  </si>
  <si>
    <t>SELECT SBU_NAME AS ORGANISATION_NAME
     , PRODUCT_GROUP
     , QTY_AFT AS TOTAL_DELAYED_QUANTITY 
  FROM KPCL_REPORTING.KPC_FULL_KIT_ONTIME_DELIVERY_INDEX 
 WHERE (SBU_NAME) LIKE ('%{sbu}%')
   AND (PRODUCT_GROUP) LIKE ('%{product_group}%')
 GROUP BY SBU_NAME, PRODUCT_GROUP, QTY_AFT;</t>
  </si>
  <si>
    <t>Show on-time delivery percentage for sbu {sbu} and product_group {product_group}.</t>
  </si>
  <si>
    <t>Show on-time delivery percentage for /sbu {sbu}  and /product_group {product_group}.</t>
  </si>
  <si>
    <t>on-time delivery percentage for sbu and product group</t>
  </si>
  <si>
    <t>SELECT SBU_NAME AS ORGANISATION_NAME
     , PRODUCT_GROUP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(SBU_NAME) LIKE ('%{sbu}%')
   AND (PRODUCT_GROUP) LIKE ('%{product_group}%')
 GROUP BY SBU_NAME, PRODUCT_GROUP;</t>
  </si>
  <si>
    <t>Show dispatched quantity for sbu {sbu} and product_model {product_model}.</t>
  </si>
  <si>
    <t>Show dispatched quantity for /sbu {sbu}  and /product_model {product_model}.</t>
  </si>
  <si>
    <t>dispatched quantity for sbu and product model</t>
  </si>
  <si>
    <t>SELECT SBU_NAME AS ORGANISATION_NAME
     , MODEL
     , SUM(QTY_DESP) AS TOTAL_QUANTITY_DISPATCHED 
  FROM KPCL_REPORTING.KPC_FULL_KIT_ONTIME_DELIVERY_INDEX 
 WHERE (SBU_NAME) LIKE ('%{sbu}%')
   AND (MODEL) LIKE ('%{product_model}%')
 GROUP BY SBU_NAME, MODEL;</t>
  </si>
  <si>
    <t>sbu, product_model</t>
  </si>
  <si>
    <t>Show delayed quantity for sbu {sbu} and product_model {product_model}.</t>
  </si>
  <si>
    <t>Show delayed quantity for /sbu {sbu}  and /product_model {product_model}.</t>
  </si>
  <si>
    <t>delayed quantity for sbu and product model</t>
  </si>
  <si>
    <t>SELECT SBU_NAME AS ORGANISATION_NAME
     , MODEL
     , QTY_AFT AS TOTAL_DELAYED_QUANTITY 
  FROM KPCL_REPORTING.KPC_FULL_KIT_ONTIME_DELIVERY_INDEX 
 WHERE (SBU_NAME) LIKE ('%{sbu}%')
   AND (MODEL) LIKE ('%{product_model}%')
 GROUP BY SBU_NAME, MODEL, QTY_AFT ;</t>
  </si>
  <si>
    <t>Show on-time delivery percentage for sbu {sbu} and product_model {product_model}.</t>
  </si>
  <si>
    <t>Show on-time delivery percentage for /sbu {sbu}  and /product_model {product_model}.</t>
  </si>
  <si>
    <t>on-time delivery percentage for sbu and product model</t>
  </si>
  <si>
    <t>SELECT SBU_NAME AS ORGANISATION_NAME
     , MODEL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(SBU_NAME) LIKE ('%{sbu}%')
   AND (MODEL) LIKE ('%{product_model}%')
 GROUP BY SBU_NAME, MODEL;</t>
  </si>
  <si>
    <t>Show dispatched quantity for product_group {product_group} and product_model {product_model}.</t>
  </si>
  <si>
    <t>Show dispatched quantity for /product_group {product_group} and /product_model {product_model}.</t>
  </si>
  <si>
    <t>dispatched quantity for product group and product model</t>
  </si>
  <si>
    <t>SELECT PRODUCT_GROUP
     , MODEL
     , SUM(QTY_DESP) AS TOTAL_QUANTITY_DISPATCHED 
  FROM KPCL_REPORTING.KPC_FULL_KIT_ONTIME_DELIVERY_INDEX 
 WHERE (PRODUCT_GROUP) LIKE ('%{product_group}%')
   AND (MODEL) LIKE ('%{product_model}%')
 GROUP BY PRODUCT_GROUP, MODEL;</t>
  </si>
  <si>
    <t>Show delayed quantity for product_group {product_group} and product_model {product_model}.</t>
  </si>
  <si>
    <t>Show delayed quantity for /product_group {product_group} and /product_model {product_model}.</t>
  </si>
  <si>
    <t>delayed quantity for product group and product model</t>
  </si>
  <si>
    <t>SELECT PRODUCT_GROUP
     , MODEL
     , QTY_AFT AS TOTAL_DELAYED_QUANTITY 
  FROM KPCL_REPORTING.KPC_FULL_KIT_ONTIME_DELIVERY_INDEX 
 WHERE (PRODUCT_GROUP) LIKE ('%{product_group}%')
   AND (MODEL) LIKE ('%{product_model}%')
 GROUP BY PRODUCT_GROUP, MODEL, QTY_AFT;</t>
  </si>
  <si>
    <t>Show on-time delivery percentage for product_group {product_group} and product_model {product_model}.</t>
  </si>
  <si>
    <t>Show on-time delivery percentage for /product_group {product_group} and /product_model {product_model}.</t>
  </si>
  <si>
    <t>on-time delivery percentage for product group and product model</t>
  </si>
  <si>
    <t>SELECT PRODUCT_GROUP
     , MODEL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(PRODUCT_GROUP) LIKE ('%{product_group}%')
   AND (MODEL) LIKE ('%{product_model}%')
 GROUP BY PRODUCT_GROUP, MODEL;</t>
  </si>
  <si>
    <t>Show dispatched quantity for item_code {item_code} during desp_mon {desp_mon}.</t>
  </si>
  <si>
    <t>Show dispatched quantity for /item_code {item_code} during /desp_mon {desp_mon}.</t>
  </si>
  <si>
    <t>dispatched quantity for item code during desp mon</t>
  </si>
  <si>
    <t>SELECT ITEM_CODE
     , DESP_MON AS DISPATCH_MONTH
     , SUM(QTY_DESP) AS TOTAL_QUANTITY_DISPATCHED
  FROM KPCL_REPORTING.KPC_FULL_KIT_ONTIME_DELIVERY_INDEX
 WHERE (ITEM_CODE) LIKE ('%{item_code}%')
   AND (DESP_MON) LIKE ('%{desp_mon}%')
 GROUP BY ITEM_CODE, DESP_MON;</t>
  </si>
  <si>
    <t>item_code, desp_mon</t>
  </si>
  <si>
    <t>Show delayed quantity for item_code {item_code} during desp_mon {desp_mon}.</t>
  </si>
  <si>
    <t>Show delayed quantity for /item_code {item_code} during /desp_mon {desp_mon}.</t>
  </si>
  <si>
    <t>delayed quantity for item code during desp mon</t>
  </si>
  <si>
    <t>SELECT ITEM_CODE
     , DESP_MON AS DISPATCH_MONTH
     , QTY_AFT AS TOTAL_DELAYED_QUANTITY
  FROM KPCL_REPORTING.KPC_FULL_KIT_ONTIME_DELIVERY_INDEX
 WHERE (ITEM_CODE) LIKE ('%{item_code}%')
   AND (DESP_MON) LIKE ('%{desp_mon}%')
 GROUP BY ITEM_CODE, DESP_MON;</t>
  </si>
  <si>
    <t>Show on-time delivery percentage for item_code {item_code} during desp_mon {desp_mon}.</t>
  </si>
  <si>
    <t>Show on-time delivery percentage for /item_code {item_code} during /desp_mon {desp_mon}.</t>
  </si>
  <si>
    <t>on-time delivery percentage for item code during desp mon</t>
  </si>
  <si>
    <t>SELECT ITEM_CODE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(ITEM_CODE) LIKE ('%{item_code}%')
   AND (DESP_MON) LIKE ('%{desp_mon}%')
 GROUP BY ITEM_CODE, DESP_MON;</t>
  </si>
  <si>
    <t>Show dispatched quantity for product_group {product_group} during desp_mon {desp_mon}.</t>
  </si>
  <si>
    <t>Show dispatched quantity for /product_group {product_group} during /desp_mon {desp_mon}.</t>
  </si>
  <si>
    <t>dispatched quantity for product group during desp mon</t>
  </si>
  <si>
    <t>SELECT PRODUCT_GROUP
     , DESP_MON AS DISPATCH_MONTH
     , SUM(QTY_DESP) AS TOTAL_QUANTITY_DISPATCHED
  FROM KPCL_REPORTING.KPC_FULL_KIT_ONTIME_DELIVERY_INDEX
 WHERE (PRODUCT_GROUP) LIKE ('%{product_group}%')
   AND (DESP_MON) LIKE ('%{desp_mon}%')
 GROUP BY PRODUCT_GROUP, DESP_MON;</t>
  </si>
  <si>
    <t>product_group, desp_mon</t>
  </si>
  <si>
    <t>Show delayed quantity for product_group {product_group} during desp_mon {desp_mon}.</t>
  </si>
  <si>
    <t>Show delayed quantity for /product_group {product_group} during /desp_mon {desp_mon}.</t>
  </si>
  <si>
    <t>delayed quantity for product group during desp mon</t>
  </si>
  <si>
    <t>SELECT PRODUCT_GROUP
     , DESP_MON AS DISPATCH_MONTH
     , QTY_AFT AS TOTAL_DELAYED_QUANTITY
  FROM KPCL_REPORTING.KPC_FULL_KIT_ONTIME_DELIVERY_INDEX
 WHERE (PRODUCT_GROUP) LIKE ('%{product_group}%')
   AND (DESP_MON) LIKE ('%{desp_mon}%')
 GROUP BY PRODUCT_GROUP, DESP_MON;</t>
  </si>
  <si>
    <t>Show on-time delivery percentage for product_group {product_group} during desp_mon {desp_mon}.</t>
  </si>
  <si>
    <t>Show on-time delivery percentage for /product_group {product_group} during /desp_mon {desp_mon}.</t>
  </si>
  <si>
    <t>on-time delivery percentage for product group during desp mon</t>
  </si>
  <si>
    <t>SELECT PRODUCT_GROUP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(PRODUCT_GROUP) LIKE ('%{product_group}%')
   AND (DESP_MON) LIKE ('%{desp_mon}%')
 GROUP BY PRODUCT_GROUP, DESP_MON;</t>
  </si>
  <si>
    <t>Show dispatched quantity for division {division} during desp_mon {desp_mon}.</t>
  </si>
  <si>
    <t>Show dispatched quantity for /division {division} during /desp_mon {desp_mon}.</t>
  </si>
  <si>
    <t>dispatched quantity for division during desp mon</t>
  </si>
  <si>
    <t>SELECT DIVISION_NAME
     , DESP_MON AS DISPATCH_MONTH
     , SUM(QTY_DESP) AS TOTAL_QUANTITY_DISPATCHED
  FROM KPCL_REPORTING.KPC_FULL_KIT_ONTIME_DELIVERY_INDEX
 WHERE (DIVISION_NAME) LIKE ('%{division}%')
   AND (DESP_MON) LIKE ('%{desp_mon}%')
 GROUP BY DIVISION_NAME, DESP_MON;</t>
  </si>
  <si>
    <t>division, desp_mon</t>
  </si>
  <si>
    <t>Show delayed quantity for division {division} during desp_mon {desp_mon}.</t>
  </si>
  <si>
    <t>Show delayed quantity for /division {division} during /desp_mon {desp_mon}.</t>
  </si>
  <si>
    <t>delayed quantity for division during desp mon</t>
  </si>
  <si>
    <t>SELECT DIVISION_NAME
     , DESP_MON AS DISPATCH_MONTH
     , QTY_AFT AS TOTAL_DELAYED_QUANTITY
  FROM KPCL_REPORTING.KPC_FULL_KIT_ONTIME_DELIVERY_INDEX
 WHERE (DIVISION_NAME) LIKE ('%{division}%')
   AND (DESP_MON) LIKE ('%{desp_mon}%')
 GROUP BY DIVISION_NAME, DESP_MON;</t>
  </si>
  <si>
    <t>Show on-time delivery percentage for division {division} during desp_mon {desp_mon}.</t>
  </si>
  <si>
    <t>Show on-time delivery percentage for /division {division} during /desp_mon {desp_mon}.</t>
  </si>
  <si>
    <t>on-time delivery percentage for division during desp mon</t>
  </si>
  <si>
    <t>SELECT DIVISION_NAME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(DESP_MON) LIKE ('%{desp_mon}%')
 GROUP BY DIVISION_NAME, DESP_MON;</t>
  </si>
  <si>
    <t>Show dispatched quantity for sbu {sbu} during desp_mon {desp_mon}.</t>
  </si>
  <si>
    <t>Show dispatched quantity for /sbu {sbu}  during /desp_mon {desp_mon}.</t>
  </si>
  <si>
    <t>dispatched quantity for sbu during desp mon</t>
  </si>
  <si>
    <t>SELECT SBU_NAME AS ORGANISATION_NAME
     , DESP_MON AS DISPATCH_MONTH
     , SUM(QTY_DESP) AS TOTAL_QUANTITY_DISPATCHED
  FROM KPCL_REPORTING.KPC_FULL_KIT_ONTIME_DELIVERY_INDEX
 WHERE (SBU_NAME) LIKE ('%{sbu}%')
   AND (DESP_MON) LIKE ('%{desp_mon}%')
 GROUP BY SBU_NAME, DESP_MON;</t>
  </si>
  <si>
    <t>sbu, desp_mon</t>
  </si>
  <si>
    <t>Show delayed quantity for sbu {sbu} during desp_mon {desp_mon}.</t>
  </si>
  <si>
    <t>Show delayed quantity for /sbu {sbu}  during /desp_mon {desp_mon}.</t>
  </si>
  <si>
    <t>delayed quantity for sbu during desp mon</t>
  </si>
  <si>
    <t>SELECT SBU_NAME AS ORGANISATION_NAME
     , DESP_MON AS DISPATCH_MONTH
     , QTY_AFT AS TOTAL_DELAYED_QUANTITY
  FROM KPCL_REPORTING.KPC_FULL_KIT_ONTIME_DELIVERY_INDEX
 WHERE (SBU_NAME) LIKE ('%{sbu}%')
   AND (DESP_MON) LIKE ('%{desp_mon}%')
 GROUP BY SBU_NAME, DESP_MON;</t>
  </si>
  <si>
    <t>Show on-time delivery percentage for sbu {sbu} during desp_mon {desp_mon}.</t>
  </si>
  <si>
    <t>Show on-time delivery percentage for /sbu {sbu}  during /desp_mon {desp_mon}.</t>
  </si>
  <si>
    <t>on-time delivery percentage for sbu during desp mon</t>
  </si>
  <si>
    <t>SELECT SBU_NAME AS ORGANISATION_NAME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(SBU_NAME) LIKE ('%{sbu}%')
   AND (DESP_MON) LIKE ('%{desp_mon}%')
 GROUP BY SBU_NAME, DESP_MON;</t>
  </si>
  <si>
    <t>Show delayed quantity for division {division} with remark {remark}.</t>
  </si>
  <si>
    <t>Show delayed quantity for /division {division} with /remark {remark}.</t>
  </si>
  <si>
    <t>delayed quantity for division with remark</t>
  </si>
  <si>
    <t>SELECT DIVISION_NAME
     , REMARK_1
     , QTY_AFT AS TOTAL_DELAYED_QUANTITY
  FROM KPCL_REPORTING.KPC_FULL_KIT_ONTIME_DELIVERY_INDEX
 WHERE (DIVISION_NAME) LIKE ('%{division}%')
   AND (REMARK_1) LIKE ('%{remark}%')
 GROUP BY DIVISION_NAME, REMARK_1, QTY_AFT;</t>
  </si>
  <si>
    <t>division, remark</t>
  </si>
  <si>
    <t>Show delayed quantity for sbu {sbu} with remark_1 {remark}.</t>
  </si>
  <si>
    <t>Show delayed quantity for /sbu {sbu}  with /remark)_1 {remark_1}.</t>
  </si>
  <si>
    <t>delayed quantity for sbu with remark</t>
  </si>
  <si>
    <t>SELECT SBU_NAME AS ORGANISATION_NAME
     , REMARK_1
     , SUM(QTY_AFT) AS TOTAL_DELAYED_QUANTITY
  FROM KPCL_REPORTING.KPC_FULL_KIT_ONTIME_DELIVERY_INDEX
 WHERE (SBU_NAME) LIKE ('%{sbu}%')
   AND (REMARK_1) LIKE ('%{remark}%')
 GROUP BY SBU_NAME, REMARK_1;</t>
  </si>
  <si>
    <t>sbu, remark</t>
  </si>
  <si>
    <t>Show delayed quantity for customer {customer} with remark {remark}.</t>
  </si>
  <si>
    <t>Show delayed quantity for /customer {customer} with /remark {remark}.</t>
  </si>
  <si>
    <t>delayed quantity for customer with remark</t>
  </si>
  <si>
    <t>SELECT CUSTOMER_NAME
     , REMARK_1
     , QTY_AFT AS TOTAL_DELAYED_QUANTITY
  FROM KPCL_REPORTING.KPC_FULL_KIT_ONTIME_DELIVERY_INDEX
 WHERE CUSTOMER_NAME LIKE '%{customer}%'
   AND (REMARK_1) LIKE ('%{remark}%')
 GROUP BY CUSTOMER_NAME, REMARK_1, QTY_AFT;</t>
  </si>
  <si>
    <t>customer, remark</t>
  </si>
  <si>
    <t>Show delayed quantity for product_group {product_group} with remark {remark}.</t>
  </si>
  <si>
    <t>Show delayed quantity for /product_group {product_group} with /remark {remark}.</t>
  </si>
  <si>
    <t>delayed quantity for product group with remark</t>
  </si>
  <si>
    <t>SELECT PRODUCT_GROUP
     , REMARK_1
     , QTY_AFT AS TOTAL_DELAYED_QUANTITY
  FROM KPCL_REPORTING.KPC_FULL_KIT_ONTIME_DELIVERY_INDEX
 WHERE (PRODUCT_GROUP) LIKE ('%{product_group}%')
   AND (REMARK_1) LIKE ('%{remark}%')
 GROUP BY PRODUCT_GROUP, REMARK_1, QTY_AFT;</t>
  </si>
  <si>
    <t>product_group, remark</t>
  </si>
  <si>
    <t>Show delayed quantity for product_model {product_model} with remark {remark}.</t>
  </si>
  <si>
    <t>Show delayed quantity for /product_model {product_model} with /remark {remark}.</t>
  </si>
  <si>
    <t>delayed quantity for product model with remark</t>
  </si>
  <si>
    <t>SELECT MODEL
     , REMARK_1
     , QTY_AFT AS TOTAL_DELAYED_QUANTITY
  FROM KPCL_REPORTING.KPC_FULL_KIT_ONTIME_DELIVERY_INDEX
 WHERE (MODEL) LIKE ('%{product_model}%')
   AND (REMARK_1) LIKE ('%{remark}%')
 GROUP BY MODEL, REMARK_1, QTY_AFT;</t>
  </si>
  <si>
    <t>product_model, remark</t>
  </si>
  <si>
    <t>Show dispatched quantity for customer {customer} with ld_clause {ld_clause}.</t>
  </si>
  <si>
    <t>Show dispatched quantity for /customer {customer} with /ld_clause {ld_clause}.</t>
  </si>
  <si>
    <t>dispatched quantity for customer with ld clause</t>
  </si>
  <si>
    <t>SELECT CUSTOMER_NAME
     , LD_CLAUSE
     , SUM(QTY_DESP) AS TOTAL_QUANTITY_DISPATCHED
  FROM KPCL_REPORTING.KPC_FULL_KIT_ONTIME_DELIVERY_INDEX
 WHERE CUSTOMER_NAME LIKE '%{customer}%'
   AND (LD_CLAUSE) LIKE ('%{ld_clause}%')
 GROUP BY CUSTOMER_NAME, LD_CLAUSE;</t>
  </si>
  <si>
    <t>customer, ld_clause</t>
  </si>
  <si>
    <t>Show delayed quantity for customer {customer} with ld_clause {ld_clause}.</t>
  </si>
  <si>
    <t>Show delayed quantity for /customer {customer} with /ld_clause {ld_clause}.</t>
  </si>
  <si>
    <t>delayed quantity for customer with ld clause</t>
  </si>
  <si>
    <t>SELECT CUSTOMER_NAME
     , LD_CLAUSE
     , QTY_AFT AS TOTAL_DELAYED_QUANTITY
  FROM KPCL_REPORTING.KPC_FULL_KIT_ONTIME_DELIVERY_INDEX
 WHERE CUSTOMER_NAME LIKE '%{customer}%'
   AND (LD_CLAUSE) LIKE ('%{ld_clause}%')
 GROUP BY CUSTOMER_NAME, LD_CLAUSE, QTY_AFT;</t>
  </si>
  <si>
    <t>Show dispatched quantity for division {division} with ld_clause {ld_clause}.</t>
  </si>
  <si>
    <t>Show dispatched quantity for /division {division} with /ld_clause {ld_clause}.</t>
  </si>
  <si>
    <t>dispatched quantity for division with ld clause</t>
  </si>
  <si>
    <t>SELECT DIVISION_NAME
     , LD_CLAUSE
     , SUM(QTY_DESP) AS TOTAL_QUANTITY_DISPATCHED
  FROM KPCL_REPORTING.KPC_FULL_KIT_ONTIME_DELIVERY_INDEX
 WHERE (DIVISION_NAME) LIKE ('%{division}%')
   AND (LD_CLAUSE) LIKE ('%{ld_clause}%')
 GROUP BY DIVISION_NAME, LD_CLAUSE;</t>
  </si>
  <si>
    <t>division, ld_clause</t>
  </si>
  <si>
    <t>Show dispatched quantity for customer {customer}, item_code {item_code}, during desp_mon {desp_mon}.</t>
  </si>
  <si>
    <t>Show dispatched quantity for /customer {customer}, /item_code {item_code}, during /desp_mon {desp_mon}.</t>
  </si>
  <si>
    <t>dispatched quantity for customer, item code, during desp mon</t>
  </si>
  <si>
    <t>SELECT CUSTOMER_NAME
     , ITEM_CODE
     , DESP_MON AS DISPATCH_MONTH
     , SUM(QTY_DESP) AS TOTAL_QUANTITY_DISPATCHED
  FROM KPCL_REPORTING.KPC_FULL_KIT_ONTIME_DELIVERY_INDEX
 WHERE CUSTOMER_NAME LIKE '%{customer}%'
   AND (ITEM_CODE) LIKE ('%{item_code}%')
   AND (DESP_MON) LIKE ('%{desp_mon}%')
 GROUP BY CUSTOMER_NAME, ITEM_CODE, DESP_MON;</t>
  </si>
  <si>
    <t>customer, item_code, desp_mon</t>
  </si>
  <si>
    <t>Show delayed quantity for customer {customer}, item_code {item_code}, during desp_mon {desp_mon}.</t>
  </si>
  <si>
    <t>Show delayed quantity for /customer {customer}, /item_code {item_code}, during /desp_mon {desp_mon}.</t>
  </si>
  <si>
    <t>delayed quantity for customer , item code , during desp mon</t>
  </si>
  <si>
    <t>SELECT CUSTOMER_NAME
     , ITEM_CODE
     , DESP_MON AS DISPATCH_MONTH
     , QTY_AFT AS TOTAL_DELAYED_QUANTITY
  FROM KPCL_REPORTING.KPC_FULL_KIT_ONTIME_DELIVERY_INDEX
 WHERE CUSTOMER_NAME LIKE '%{customer}%'
   AND (ITEM_CODE) LIKE ('%{item_code}%')
   AND (DESP_MON) LIKE ('%{desp_mon}%')
 GROUP BY CUSTOMER_NAME, ITEM_CODE, DESP_MON;</t>
  </si>
  <si>
    <t>Show on-time delivery percentage for customer {customer}, item_code {item_code}, during desp_mon {desp_mon}.</t>
  </si>
  <si>
    <t>Show on-time delivery percentage for /customer {customer}, /item_code {item_code}, during /desp_mon {desp_mon}.</t>
  </si>
  <si>
    <t>on-time delivery percentage for customer , item code , during desp mon</t>
  </si>
  <si>
    <t>SELECT CUSTOMER_NAME
     , ITEM_CODE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(ITEM_CODE) LIKE ('%{item_code}%')
   AND (DESP_MON) LIKE ('%{desp_mon}%')
 GROUP BY CUSTOMER_NAME, ITEM_CODE, DESP_MON;</t>
  </si>
  <si>
    <t>Show dispatched quantity for division {division}, sbu {sbu}, and product_group {product_group}.</t>
  </si>
  <si>
    <t>Show dispatched quantity for /division {division}, /sbu {sbu} , and /product_group {product_group}.</t>
  </si>
  <si>
    <t>dispatched quantity for division , sbu , and product group</t>
  </si>
  <si>
    <t>SELECT DIVISION_NAME
     , SBU_NAME AS ORGANISATION_NAME
     , PRODUCT_GROUP
     , SUM(QTY_DESP) AS TOTAL_QUANTITY_DISPATCHED
  FROM KPCL_REPORTING.KPC_FULL_KIT_ONTIME_DELIVERY_INDEX
 WHERE (DIVISION_NAME) LIKE ('%{division}%')
   AND (SBU_NAME) LIKE ('%{sbu}%')
   AND (PRODUCT_GROUP) LIKE ('%{product_group}%')
 GROUP BY DIVISION_NAME, SBU_NAME, PRODUCT_GROUP;</t>
  </si>
  <si>
    <t>division, sbu, product_group</t>
  </si>
  <si>
    <t>Show delayed quantity for division {division}, sbu {sbu}, and product_group {product_group}.</t>
  </si>
  <si>
    <t>Show delayed quantity for /division {division}, /sbu {sbu} , and /product_group {product_group}.</t>
  </si>
  <si>
    <t>delayed quantity for division , sbu , and product group</t>
  </si>
  <si>
    <t>SELECT DIVISION_NAME
     , SBU_NAME AS ORGANISATION_NAME
     , PRODUCT_GROUP
     , QTY_AFT AS TOTAL_DELAYED_QUANTITY
  FROM KPCL_REPORTING.KPC_FULL_KIT_ONTIME_DELIVERY_INDEX
 WHERE (DIVISION_NAME) LIKE ('%{division}%')
   AND (SBU_NAME) LIKE ('%{sbu}%')
   AND (PRODUCT_GROUP) LIKE ('%{product_group}%')
 GROUP BY DIVISION_NAME, SBU_NAME, PRODUCT_GROUP, QTY_AFT;</t>
  </si>
  <si>
    <t>Show on-time delivery percentage for division {division}, sbu {sbu}, and product_group {product_group}.</t>
  </si>
  <si>
    <t>Show on-time delivery percentage for /division {division}, /sbu {sbu} , and /product_group {product_group}.</t>
  </si>
  <si>
    <t>on-time delivery percentage for division , sbu , and product group</t>
  </si>
  <si>
    <t>SELECT DIVISION_NAME
     , SBU_NAME AS ORGANISATION_NAME
     , PRODUCT_GROUP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(SBU_NAME) LIKE ('%{sbu}%')
   AND (PRODUCT_GROUP) LIKE ('%{product_group}%')
 GROUP BY DIVISION_NAME, SBU_NAME, PRODUCT_GROUP;</t>
  </si>
  <si>
    <t>Show dispatched quantity for product _group {product_group}, product_model {product_model}, during desp_mon {desp_mon}.</t>
  </si>
  <si>
    <t>Show dispatched quantity for /product_group {product_group}, /product_model {product_model}, during /desp_mon {desp_mon}.</t>
  </si>
  <si>
    <t>dispatched quantity for product group , product model , during desp mon</t>
  </si>
  <si>
    <t>SELECT PRODUCT_GROUP
     , MODEL
     , DESP_MON AS DISPATCH_MONTH
     , SUM(QTY_DESP) AS TOTAL_QUANTITY_DISPATCHED
  FROM KPCL_REPORTING.KPC_FULL_KIT_ONTIME_DELIVERY_INDEX
 WHERE (PRODUCT_GROUP) LIKE ('%{product_group}%')
   AND (MODEL) LIKE ('%{product_model}%')
   AND (DESP_MON) LIKE ('%{desp_mon}%')
 GROUP BY PRODUCT_GROUP, MODEL, DESP_MON;</t>
  </si>
  <si>
    <t>product_group, product_model, desp_mon</t>
  </si>
  <si>
    <t>Show delayed quantity for product_group {product_group}, product_model {product_model}, during desp_mon {desp_mon}.</t>
  </si>
  <si>
    <t>Show delayed quantity for /product_group {product_group}, /product_model {product_model}, during /desp_mon {desp_mon}.</t>
  </si>
  <si>
    <t>delayed quantity for product group , product model , during desp mon</t>
  </si>
  <si>
    <t>SELECT PRODUCT_GROUP
     , MODEL
     , DESP_MON AS DISPATCH_MONTH
     , QTY_AFT AS TOTAL_DELAYED_QUANTITY
  FROM KPCL_REPORTING.KPC_FULL_KIT_ONTIME_DELIVERY_INDEX
 WHERE (PRODUCT_GROUP) LIKE ('%{product_group}%')
   AND (MODEL) LIKE ('%{product_model}%')
   AND (DESP_MON) LIKE ('%{desp_mon}%')
 GROUP BY PRODUCT_GROUP, MODEL, DESP_MON;</t>
  </si>
  <si>
    <t>Show dispatched quantity for sbu {sbu}, product_model {product_model}, during desp_mon {desp_mon}.</t>
  </si>
  <si>
    <t>Show dispatched quantity for /sbu {sbu} , /product_model {product_model}, during /desp_mon {desp_mon}.</t>
  </si>
  <si>
    <t>dispatched quantity for sbu , product model , during desp mon</t>
  </si>
  <si>
    <t>SELECT SBU_NAME AS ORGANISATION_NAME
     , MODEL
     , DESP_MON AS DISPATCH_MONTH
     , SUM(QTY_DESP) AS TOTAL_QUANTITY_DISPATCHED 
  FROM KPCL_REPORTING.KPC_FULL_KIT_ONTIME_DELIVERY_INDEX 
 WHERE (SBU_NAME) LIKE ('%{sbu}%')
   AND (MODEL) LIKE ('%{product_model}%')
   AND (DESP_MON) LIKE ('%{desp_mon}%')
 GROUP BY SBU_NAME, MODEL, DESP_MON;</t>
  </si>
  <si>
    <t>sbu, product_model, desp_mon</t>
  </si>
  <si>
    <t>Show delayed quantity for sbu {sbu}, product_model {product_model}, during desp_mon {desp_mon}.</t>
  </si>
  <si>
    <t>Show delayed quantity for /sbu {sbu} , /product_model {product_model}, during /desp_mon {desp_mon}.</t>
  </si>
  <si>
    <t>delayed quantity for sbu , product model , during desp mon</t>
  </si>
  <si>
    <t>SELECT SBU_NAME AS ORGANISATION_NAME
     , MODEL
     , DESP_MON AS DISPATCH_MONTH
     , QTY_AFT AS TOTAL_DELAYED_QUANTITY
  FROM KPCL_REPORTING.KPC_FULL_KIT_ONTIME_DELIVERY_INDEX
 WHERE (SBU_NAME) LIKE ('%{sbu}%')
   AND (MODEL) LIKE ('%{product_model}%')
   AND (DESP_MON) LIKE ('%{desp_mon}%')
 GROUP BY SBU_NAME, MODEL, DESP_MON;</t>
  </si>
  <si>
    <t>Show dispatched quantity for division {division}, business_group {business_group}, during desp_mon {desp_mon}.</t>
  </si>
  <si>
    <t>Show dispatched quantity for /division {division}, /business_group {business_group}, during /desp_mon {desp_mon}.</t>
  </si>
  <si>
    <t>dispatched quantity for division , business group , during desp mon</t>
  </si>
  <si>
    <t>SELECT DIVISION_NAME
     , BUSINESS_GROUP
     , DESP_MON AS DISPATCH_MONTH
     , SUM(QTY_DESP) AS TOTAL_QUANTITY_DISPATCHED 
  FROM KPCL_REPORTING.KPC_FULL_KIT_ONTIME_DELIVERY_INDEX 
 WHERE (DIVISION_NAME) LIKE ('%{division}%')
   AND (BUSINESS_GROUP) LIKE ('%{business_group}%')
   AND (DESP_MON) LIKE ('%{desp_mon}%')
 GROUP BY DIVISION_NAME, BUSINESS_GROUP, DESP_MON;</t>
  </si>
  <si>
    <t>division, business_group, desp_mon</t>
  </si>
  <si>
    <t>Show delayed quantity for division {division}, business_group {business_group}, during desp_mon {desp_mon}.</t>
  </si>
  <si>
    <t>Show delayed quantity for /division {division}, /business_group {business_group}, during /desp_mon {desp_mon}.</t>
  </si>
  <si>
    <t>delayed quantity for division , business group , during desp mon</t>
  </si>
  <si>
    <t>SELECT DIVISION_NAME
     , BUSINESS_GROUP
     , DESP_MON AS DISPATCH_MONTH
     , QTY_AFT AS TOTAL_DELAYED_QUANTITY 
  FROM KPCL_REPORTING.KPC_FULL_KIT_ONTIME_DELIVERY_INDEX 
 WHERE (DIVISION_NAME) LIKE ('%{division}%')
   AND (BUSINESS_GROUP) LIKE ('%{business_group}%')
   AND (DESP_MON) LIKE ('%{desp_mon}%')
 GROUP BY DIVISION_NAME, BUSINESS_GROUP, DESP_MON;</t>
  </si>
  <si>
    <t>Show on-time delivery percentage for division {division}, business_group {business_group}, during desp_mon {desp_mon}.</t>
  </si>
  <si>
    <t>Show on-time delivery percentage for /division {division}, /business_group {business_group}, during /desp_mon {desp_mon}.</t>
  </si>
  <si>
    <t>on-time delivery percentage for division , business group , during desp mon</t>
  </si>
  <si>
    <t>SELECT DIVISION_NAME
     , BUSINESS_GROUP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(DIVISION_NAME) LIKE ('%{division}%')
   AND (BUSINESS_GROUP) LIKE ('%{business_group}%')
   AND (DESP_MON) LIKE ('%{desp_mon}%')
 GROUP BY DIVISION_NAME, BUSINESS_GROUP, DESP_MON;</t>
  </si>
  <si>
    <t>Show dispatched quantity for customer {customer}, invoice date for date {date}, and product_group {product_group}.</t>
  </si>
  <si>
    <t>Show dispatched quantity for /customer {customer}, invoice date for /date {date}, and /product_group {product_group}.</t>
  </si>
  <si>
    <t>dispatched quantity for customer , invoice date for date, and product group</t>
  </si>
  <si>
    <t>SELECT CUSTOMER_NAME
     , INV_DATE_YYMM AS INVOICE_MONTH
     , PRODUCT_GROUP
     , SUM(QTY_DESP) AS TOTAL_QUANTITY_DISPATCHED 
  FROM KPCL_REPORTING.KPC_FULL_KIT_ONTIME_DELIVERY_INDEX 
 WHERE CUSTOMER_NAME LIKE '%{customer}%'
   AND (INV_DATE) LIKE ('%{date}%')
   AND (PRODUCT_GROUP) LIKE ('%{product_group}%')
 GROUP BY CUSTOMER_NAME, INV_DATE_YYMM, PRODUCT_GROUP;</t>
  </si>
  <si>
    <t>customer, date, product_group</t>
  </si>
  <si>
    <t>Show delayed quantity for customer {customer}, promise month promise date for date {date}, and product_group {product_group}.</t>
  </si>
  <si>
    <t>Show delayed quantity for /customer {customer}, promise month promise date for /date {date}, and /product_group {product_group}.</t>
  </si>
  <si>
    <t>delayed quantity for customer , promise month promise date for date , and product group</t>
  </si>
  <si>
    <t>SELECT CUSTOMER_NAME
     , PROMISE_DATE_YYMM AS PROMISE_MONTH
     , PRODUCT_GROUP, OA_CDD
     , QTY_AFT AS TOTAL_DELAYED_QUANTITY 
  FROM KPCL_REPORTING.KPC_FULL_KIT_ONTIME_DELIVERY_INDEX 
 WHERE CUSTOMER_NAME LIKE '%{customer}%'
   AND (OA_CDD) LIKE ('%{date}%')
   AND (PRODUCT_GROUP) LIKE ('%{product_group}%')
 GROUP BY CUSTOMER_NAME, PROMISE_DATE_YYMM, PRODUCT_GROUP;</t>
  </si>
  <si>
    <t>Show dispatched quantity for customer {customer}, order creation date for date {date}, and item_code {item_code}.</t>
  </si>
  <si>
    <t>Show dispatched quantity for /customer {customer}, order creation for /date {date}, and /item_code {item_code}.</t>
  </si>
  <si>
    <t>dispatched quantity for customer , order creation for date, and item code</t>
  </si>
  <si>
    <t>SELECT CUSTOMER_NAME
     , OA_CRN_DATE_YYMM AS ORDER_CREATION_MONTH
     , ITEM_CODE
     , SUM(QTY_DESP) AS TOTAL_QUANTITY_DISPATCHED 
  FROM KPCL_REPORTING.KPC_FULL_KIT_ONTIME_DELIVERY_INDEX 
 WHERE CUSTOMER_NAME LIKE '%{customer}%'
   AND (OCD) LIKE ('%{date}%')
   AND (ITEM_CODE) LIKE ('%{item_code}%')
 GROUP BY CUSTOMER_NAME, OA_CRN_DATE_YYMM, ITEM_CODE;</t>
  </si>
  <si>
    <t>customer, date, item_code</t>
  </si>
  <si>
    <t>Show delayed quantity for customer {customer}, order creation  date for date {date}, and item_code {item_code}.</t>
  </si>
  <si>
    <t>Show delayed quantity for /customer {customer}, order creation date for /date {date}, and /item_code {item_code}.</t>
  </si>
  <si>
    <t>delayed quantity for customer , order creation date for date, and item code</t>
  </si>
  <si>
    <t>SELECT CUSTOMER_NAME
     , OA_CRN_DATE_YYMM AS ORDER_CREATION_MONTH
     , ITEM_CODE
     , QTY_AFT AS TOTAL_DELAYED_QUANTITY 
  FROM KPCL_REPORTING.KPC_FULL_KIT_ONTIME_DELIVERY_INDEX 
 WHERE CUSTOMER_NAME LIKE '%{customer}%'
   AND (OCD) LIKE ('%{date}%')
   AND (ITEM_CODE) LIKE ('%{item_code}%')
 GROUP BY CUSTOMER_NAME, OA_CRN_DATE_YYMM, ITEM_CODE;</t>
  </si>
  <si>
    <t>Show on-time delivery percentage for customer {customer}, promise date for date {date}, and item_code {item_code}.</t>
  </si>
  <si>
    <t>Show on-time delivery percentage for /customer {customer}, promise date for /date {date}, and /item_code {item_code}.</t>
  </si>
  <si>
    <t>on-time delivery percentage for customer , promise date for date, and item code</t>
  </si>
  <si>
    <t>SELECT CUSTOMER_NAME
     , PROMISE_DATE_YYMM AS PROMISE_MONTH
     , ITEM_CODE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CUSTOMER_NAME LIKE '%{customer}%'
   AND (OA_CDD) LIKE ('%{date}%')
   AND (ITEM_CODE) LIKE ('%{item_code}%')
 GROUP BY CUSTOMER_NAME, PROMISE_DATE_YYMM, ITEM_CODE;</t>
  </si>
  <si>
    <t>Show dispatched quantity for division {division}, delay reason remark {remark}, during desp_mon {desp_mon}.</t>
  </si>
  <si>
    <t>Show dispatched quantity for /division {division}, delay reason /remark {remark}, during /desp_mon {desp_mon}.</t>
  </si>
  <si>
    <t>dispatched quantity for division , delay reason remark , during desp mon</t>
  </si>
  <si>
    <t>SELECT DIVISION_NAME
     , REMARK_1 AS DELAY_REASON
     , DESP_MON AS DISPATCH_MONTH
     , SUM(QTY_DESP) AS TOTAL_QUANTITY_DISPATCHED 
  FROM KPCL_REPORTING.KPC_FULL_KIT_ONTIME_DELIVERY_INDEX 
 WHERE (DIVISION_NAME) LIKE ('%{division}%')
   AND (REMARK_1) LIKE ('%{remark}%')
   AND (DESP_MON) LIKE ('%{desp_mon}%')
 GROUP BY DIVISION_NAME, REMARK_1, DESP_MON;</t>
  </si>
  <si>
    <t>division, remark, desp_mon</t>
  </si>
  <si>
    <t>Show delayed quantity for sbu {sbu}, delay reason remark {remark}, during desp_mon {desp_mon}.</t>
  </si>
  <si>
    <t>Show delayed quantity for /sbu {sbu} , delay reason /remark {remark}, during /desp_mon {desp_mon}.</t>
  </si>
  <si>
    <t>delayed quantity for sbu , delay reason remark , during desp mon</t>
  </si>
  <si>
    <t>SELECT SBU_NAME AS ORGANISATION_NAME
     , REMARK_1 AS DELAY_REASON
     , DESP_MON AS DISPATCH_MONTH
     , QTY_AFT AS TOTAL_DELAYED_QUANTITY 
  FROM KPCL_REPORTING.KPC_FULL_KIT_ONTIME_DELIVERY_INDEX 
 WHERE (SBU_NAME) LIKE ('%{sbu}%')
   AND (REMARK_1) LIKE ('%{remark}%')
   AND (DESP_MON) LIKE ('%{desp_mon}%')
 GROUP BY SBU_NAME, REMARK_1, DESP_MON;</t>
  </si>
  <si>
    <t>sbu, remark, desp_mon</t>
  </si>
  <si>
    <t>Show dispatched quantity for business_group {business_group}, product_group {product_group}, during desp_mon {desp_mon}.</t>
  </si>
  <si>
    <t>Show dispatched quantity for /business_group {business_group}, /product_group {product_group}, during /desp_mon {desp_mon}.</t>
  </si>
  <si>
    <t>dispatched quantity for business group , product group , during desp mon</t>
  </si>
  <si>
    <t>SELECT BUSINESS_GROUP
     , PRODUCT_GROUP
     , DESP_MON AS DISPATCH_MONTH
     , SUM(QTY_DESP) AS TOTAL_QUANTITY_DISPATCHED 
  FROM KPCL_REPORTING.KPC_FULL_KIT_ONTIME_DELIVERY_INDEX 
 WHERE (BUSINESS_GROUP) LIKE ('%{business_group}%')
   AND (PRODUCT_GROUP) LIKE ('%{product_group}%')
   AND (DESP_MON) LIKE ('%{desp_mon}%')
 GROUP BY BUSINESS_GROUP, PRODUCT_GROUP, DESP_MON;</t>
  </si>
  <si>
    <t>business_group, product_group, desp_mon</t>
  </si>
  <si>
    <t>Show delayed quantity for business_group {business_group}, product_group {product_group}, during desp_mon {desp_mon}.</t>
  </si>
  <si>
    <t>Show delayed quantity for /business_group {business_group}, /product_group {product_group}, during /desp_mon {desp_mon}.</t>
  </si>
  <si>
    <t>delayed quantity for business group , product group , during desp mon</t>
  </si>
  <si>
    <t>SELECT BUSINESS_GROUP
     , PRODUCT_GROUP
     , DESP_MON AS DISPATCH_MONTH
     , QTY_AFT AS TOTAL_DELAYED_QUANTITY 
  FROM KPCL_REPORTING.KPC_FULL_KIT_ONTIME_DELIVERY_INDEX 
 WHERE (BUSINESS_GROUP) LIKE ('%{business_group}%')
   AND (PRODUCT_GROUP) LIKE ('%{product_group}%')
   AND (DESP_MON) LIKE ('%{desp_mon}%')
 GROUP BY BUSINESS_GROUP, PRODUCT_GROUP, DESP_MON;</t>
  </si>
  <si>
    <t>Show on-time delivery percentage for business_group {business_group}, product_group {product_group}, during desp_mon {desp_mon}.</t>
  </si>
  <si>
    <t>Show on-time delivery percentage for /business_group {business_group}, /product_group {product_group}, during /desp_mon {desp_mon}.</t>
  </si>
  <si>
    <t>on-time delivery percentage for business group , product group , during desp mon</t>
  </si>
  <si>
    <t>SELECT BUSINESS_GROUP
     , PRODUCT_GROUP
     , DESP_MON AS DISPATCH_MONTH
     , SUM(QTY_DESP) AS TOTAL_DISPATCHED
     , SUM(QTY_ON) AS TOTAL_ONTIME
     , ROUND(
         CASE 
           WHEN SUM(QTY_DESP) &gt; 0 
           THEN (SUM(QTY_ON) / SUM(QTY_DESP)) * 100
           ELSE 0 
         END, 2
       ) AS ONTIME_DELIVERY_PERCENTAGE
  FROM KPCL_REPORTING.KPC_FULL_KIT_ONTIME_DELIVERY_INDEX 
 WHERE (BUSINESS_GROUP) LIKE ('%{business_group}%')
   AND (PRODUCT_GROUP) LIKE ('%{product_group}%')
   AND (DESP_MON) LIKE ('%{desp_mon}%')
 GROUP BY BUSINESS_GROUP, PRODUCT_GROUP, DESP_MON;</t>
  </si>
  <si>
    <t>Show dispatched quantity for customer {customer}, ld_clause {ld_clause}, and desp_mon {desp_mon}.</t>
  </si>
  <si>
    <t>Show dispatched quantity for /customer {customer}, /ld_clause {ld_clause}, and /desp_mon {desp_mon}.</t>
  </si>
  <si>
    <t>dispatched quantity for customer , ld clause , and desp mon</t>
  </si>
  <si>
    <t>SELECT CUSTOMER_NAME
     , LD_CLAUSE
     , DESP_MON AS DISPATCH_MONTH
     , SUM(QTY_DESP) AS TOTAL_QUANTITY_DISPATCHED 
  FROM KPCL_REPORTING.KPC_FULL_KIT_ONTIME_DELIVERY_INDEX 
 WHERE CUSTOMER_NAME LIKE '%{customer}%'
   AND (LD_CLAUSE) LIKE ('%{ld_clause}%')
   AND (DESP_MON) LIKE ('%{desp_mon}%')
 GROUP BY CUSTOMER_NAME, LD_CLAUSE, DESP_MON;</t>
  </si>
  <si>
    <t>customer, ld_clause, desp_mon</t>
  </si>
  <si>
    <t>Show delayed quantity for customer {customer}, ld_clause {ld_clause}, and desp_mon {desp_mon}.</t>
  </si>
  <si>
    <t>Show delayed quantity for /customer {customer}, /ld_clause {ld_clause}, and /desp_mon {desp_mon}.</t>
  </si>
  <si>
    <t>delayed quantity for customer , ld clause , and desp mon</t>
  </si>
  <si>
    <t>SELECT CUSTOMER_NAME
     , LD_CLAUSE
     , DESP_MON AS DISPATCH_MONTH
     , QTY_AFT AS TOTAL_DELAYED_QUANTITY 
  FROM KPCL_REPORTING.KPC_FULL_KIT_ONTIME_DELIVERY_INDEX 
 WHERE CUSTOMER_NAME LIKE '%{customer}%'
   AND (LD_CLAUSE) LIKE ('%{ld_clause}%')
   AND (DESP_MON) LIKE ('%{desp_mon}%')
 GROUP BY CUSTOMER_NAME, LD_CLAUSE, DESP_MON;</t>
  </si>
  <si>
    <t>Show dispatched quantity during year {year}.</t>
  </si>
  <si>
    <t>What is dispatched quantity during /year {year}?</t>
  </si>
  <si>
    <t>dispatched quantity during year</t>
  </si>
  <si>
    <t>SELECT
    DESP_MON AS DISPATCH_MONTH,
    SUM(QTY_DESP) AS TOTAL_QUANTITY_DISPATCHED
FROM KPCL_REPORTING.KPC_FULL_KIT_ONTIME_DELIVERY_INDEX
WHERE SUBSTR(DESP_MON, -2) = SUBSTR('{year}', -2)
GROUP BY DESP_MON
ORDER BY DESP_MON;</t>
  </si>
  <si>
    <t>Show delayed quantity during year {year}.</t>
  </si>
  <si>
    <t>What is delayed quantity during /year {year}?</t>
  </si>
  <si>
    <t>SELECT
    DESP_MON AS DISPATCH_MONTH,
    SUM(QTY_AFT) AS TOTAL_DELAYED_QUANTITY
FROM KPCL_REPORTING.KPC_FULL_KIT_ONTIME_DELIVERY_INDEX
WHERE SUBSTR(DESP_MON, -2) = SUBSTR('{year}', -2)
GROUP BY DESP_MON
ORDER BY DESP_MON;</t>
  </si>
  <si>
    <t>Show on-time delivery percentage during year {year}.</t>
  </si>
  <si>
    <t>What is on-time delivery percentage during /year {year}?</t>
  </si>
  <si>
    <t>on time delibery percenatge during year</t>
  </si>
  <si>
    <t>SELECT
    SUBSTR(DESP_MON, -4) AS DISPATCH_YEAR,
    ROUND(
        (SUM(QTY_ON) / NULLIF(SUM(QTY_DESP), 0)) * 100,
        4
    ) AS ON_TIME_DELIVERY_PERCENTAGE
FROM KPCL_REPORTING.KPC_FULL_KIT_ONTIME_DELIVERY_INDEX
WHERE SUBSTR(DESP_MON, -2) = SUBSTR('{year}', -2)
GROUP BY SUBSTR(DESP_MON, -4);</t>
  </si>
  <si>
    <t>Show deliveries promised during month {month}.</t>
  </si>
  <si>
    <t>Which deliveries are promised during /month {month}?</t>
  </si>
  <si>
    <t>deliveries are promised during month</t>
  </si>
  <si>
    <t>SELECT
    PROMISE_DATE_YYMM AS PROMISE_MONTH,
    SUM(QTY_DESP) AS TOTAL_DELIVERIES_PROMISED
FROM KPCL_REPORTING.KPC_FULL_KIT_ONTIME_DELIVERY_INDEX
WHERE SUBSTR(PROMISE_DATE_YYMM, -2) = '{month}'
GROUP BY PROMISE_DATE_YYMM;</t>
  </si>
  <si>
    <t>Show delayed deliveries during month {month}.</t>
  </si>
  <si>
    <t>Which deliveries are delayed  during /month {month}?</t>
  </si>
  <si>
    <t xml:space="preserve">deliveries are delayed during month </t>
  </si>
  <si>
    <t>SELECT
    DESP_MON AS DISPATCH_MONTH,
    SUM(QTY_AFT) AS TOTAL_DELAYED_DELIVERIES
FROM KPCL_REPORTING.KPC_FULL_KIT_ONTIME_DELIVERY_INDEX
WHERE UPPER(SUBSTR(DESP_MON, 1, 3)) = SUBSTR(UPPER('{month}'), 1, 3)
GROUP BY DESP_MON;</t>
  </si>
  <si>
    <t>Show dispatched quantity during month {month} and year {year}.</t>
  </si>
  <si>
    <t>How much quantity is dispatched during /month {month} and /year {year}?</t>
  </si>
  <si>
    <t xml:space="preserve">quantity  dispatched during month and year </t>
  </si>
  <si>
    <t>SELECT
    DESP_MON AS DISPATCH_MONTH,
    SUM(QTY_DESP) AS TOTAL_QUANTITY_DISPATCHED
FROM KPCL_REPORTING.KPC_FULL_KIT_ONTIME_DELIVERY_INDEX
WHERE UPPER(SUBSTR(DESP_MON, 1, 3)) = SUBSTR(UPPER('{month}'), 1, 3)
  AND SUBSTR(DESP_MON, -2) = SUBSTR('{year}', -2)
GROUP BY DESP_MON;</t>
  </si>
  <si>
    <t>Show delayed quantity during month {month} and year {year}.</t>
  </si>
  <si>
    <t>How much delayed quantity during month {month} and year {year}?</t>
  </si>
  <si>
    <t>delayed quantiy during month and year</t>
  </si>
  <si>
    <t>SELECT
    DESP_MON AS DISPATCH_MONTH,
    SUM(QTY_AFT) AS TOTAL_DELAYED_QUANTITY
FROM KPCL_REPORTING.KPC_FULL_KIT_ONTIME_DELIVERY_INDEX
WHERE UPPER(SUBSTR(DESP_MON, 1, 3)) = SUBSTR(UPPER('{month}'), 1, 3)
  AND SUBSTR(DESP_MON, -2) = SUBSTR('{year}', -2)
GROUP BY DESP_MON;</t>
  </si>
  <si>
    <t>Show SBM Numbers are assigned to each buyer.</t>
  </si>
  <si>
    <t>Which SBM Numbers are assigned to each buyer?</t>
  </si>
  <si>
    <t>SBM Numbers assigned to each buyer</t>
  </si>
  <si>
    <t>SELECT DISTINCT BUYER, SBM_NUMBER
FROM KPCL_REPORTING.BUYERWISE_OA_TROLLEY_STATUS
WHERE SBM_NUMBER IS NOT NULL
ORDER BY BUYER, SBM_NUMBER;</t>
  </si>
  <si>
    <t>Show pending orders by customer.</t>
  </si>
  <si>
    <t xml:space="preserve">pending orders by customer </t>
  </si>
  <si>
    <t>SELECT 
    CUSTOMER_NAME,
    COUNT(DISTINCT OA_NUMBER) AS PENDING_ORDERS_COUNT
FROM 
    KPCL_REPORTING.OA_TROLLEY_STATUS
WHERE 
    OA_STATUS IN( 2,3,4,5,2.1,3.1)
    or OA_STATUS IS NULL
GROUP BY 
    CUSTOMER_NAME
ORDER BY 
    PENDING_ORDERS_COUNT DESC;</t>
  </si>
  <si>
    <t>Show orders by item type.</t>
  </si>
  <si>
    <t xml:space="preserve">orders by item type </t>
  </si>
  <si>
    <t>SELECT 
    PARENT_ITEM_TYPE,
    PARENT_DESCRIPTION,
    COUNT(DISTINCT OA_NUMBER) AS UNIQUE_ORDERS_COUNT,
    COUNT(TROLLEY_STATUS_ID) AS TOTAL_TRACKED_ITEMS,
    SUM(OA_QUANTITY) AS TOTAL_ORDERED_QUANTITY,
    SUM(SELLING_PRICE) AS TOTAL_SELLING_PRICE
FROM 
    KPCL_REPORTING.OA_TROLLEY_STATUS
GROUP BY 
    PARENT_ITEM_TYPE,
    PARENT_DESCRIPTION
ORDER BY 
    TOTAL_SELLING_PRICE DESC;</t>
  </si>
  <si>
    <t>View pending orders by product group.</t>
  </si>
  <si>
    <t>Show pending orders by product group.</t>
  </si>
  <si>
    <t>View all trolley records.</t>
  </si>
  <si>
    <t xml:space="preserve">pending orders by product group </t>
  </si>
  <si>
    <t>SELECT 
    PG AS PRODUCT_GROUP,
    COUNT(DISTINCT OA_NUMBER) AS TOTAL_PENDING_ORDERS,
    SUM(OA_QUANTITY) AS TOTAL_UNITS_DELIVERED,
    SUM(SELLING_PRICE) AS TOTAL_ORDER_VALUE
FROM 
    KPCL_REPORTING.OA_TROLLEY_STATUS
GROUP BY 
    PG
ORDER BY 
    TOTAL_PENDING_ORDERS DESC;</t>
  </si>
  <si>
    <t>Show all trolley records.</t>
  </si>
  <si>
    <t>all trolley records</t>
  </si>
  <si>
    <t>SELECT *
FROM KPCL_REPORTING.BUYERWISE_OA_TROLLEY_STATUS;</t>
  </si>
  <si>
    <t>Display total ordered quantity.</t>
  </si>
  <si>
    <t>Show total ordered quantity.</t>
  </si>
  <si>
    <t xml:space="preserve">total ordered quantity </t>
  </si>
  <si>
    <t>SELECT 
    COUNT(*) AS TOTAL_ORDERED_QUANTITY
FROM 
    KPCL_REPORTING.OA_TROLLEY_STATUS;</t>
  </si>
  <si>
    <t>Show total number of orders.</t>
  </si>
  <si>
    <t>View today's trolley updates.</t>
  </si>
  <si>
    <t xml:space="preserve">total number of orders </t>
  </si>
  <si>
    <t>SELECT 
    COUNT(DISTINCT OA_NUMBER) AS TOTAL_ORDERS
FROM 
    KPCL_REPORTING.OA_TROLLEY_STATUS;</t>
  </si>
  <si>
    <t>Show today's trolley updates.</t>
  </si>
  <si>
    <t>today's trolley updates</t>
  </si>
  <si>
    <t>SELECT *
FROM KPCL_REPORTING.BUYERWISE_OA_TROLLEY_STATUS
WHERE TROLLEY_DATE = TRUNC(SYSDATE);</t>
  </si>
  <si>
    <t>Display customer has the most scheduled shipments.</t>
  </si>
  <si>
    <t>Which customer has the most scheduled shipments?</t>
  </si>
  <si>
    <t xml:space="preserve">customer has the most scheduled shipments </t>
  </si>
  <si>
    <t>SELECT 
    CUSTOMER_NAME,
    COUNT(DISTINCT OA_NUMBER) AS SCHEDULED_SHIPMENT_COUNT
FROM 
    KPCL_REPORTING.OA_TROLLEY_STATUS
WHERE 
    CUSTOMER_NAME IS NOT NULL
    AND SCHEDULE_SHIP_DATE IS NOT NULL
GROUP BY 
    CUSTOMER_NAME
ORDER BY 
    SCHEDULED_SHIPMENT_COUNT DESC
FETCH FIRST 1 ROWS ONLY;</t>
  </si>
  <si>
    <t>View the latest trolley updates.</t>
  </si>
  <si>
    <t>Show the latest trolley updates.</t>
  </si>
  <si>
    <t>the latest trolley updates</t>
  </si>
  <si>
    <t>SELECT *
FROM KPCL_REPORTING.BUYERWISE_OA_TROLLEY_STATUS
WHERE TROLLEY_DATE &gt;= TRUNC(SYSDATE) - 14;</t>
  </si>
  <si>
    <t>SELECT 
    CUSTOMER_NAME,
    COUNT(DISTINCT OA_NUMBER) AS TOTAL_PENDING_ORDERS,
    SUM(OA_QUANTITY) AS TOTAL_UNITS_DELIVERED,
    SUM(SELLING_PRICE) AS TOTAL_ORDER_VALUE
FROM 
    KPCL_REPORTING.OA_TROLLEY_STATUS
GROUP BY 
    CUSTOMER_NAME
ORDER BY 
    TOTAL_PENDING_ORDERS DESC;</t>
  </si>
  <si>
    <t>Show customer has placed the maximum number of orders.</t>
  </si>
  <si>
    <t>Which customer has placed the maximum number of orders?</t>
  </si>
  <si>
    <t xml:space="preserve">customer has placed the maximum number of orders </t>
  </si>
  <si>
    <t>SELECT 
    CUSTOMER_NAME,
    COUNT(DISTINCT OA_NUMBER) AS TOTAL_ORDERS
FROM 
    KPCL_REPORTING.OA_TROLLEY_STATUS
WHERE 
    CUSTOMER_NAME IS NOT NULL
GROUP BY 
    CUSTOMER_NAME
ORDER BY 
    TOTAL_ORDERS DESC;</t>
  </si>
  <si>
    <t>SELECT DISTINCT BUYER, BUYER_STATUS
FROM KPCL_REPORTING.BUYERWISE_OA_TROLLEY_STATUS;</t>
  </si>
  <si>
    <t>Show customer has orders across the most product groups.</t>
  </si>
  <si>
    <t>Which customer has orders across the most product groups?</t>
  </si>
  <si>
    <t xml:space="preserve">customer has orders across the most product groups </t>
  </si>
  <si>
    <t>SELECT 
    CUSTOMER_NAME,
    COUNT(DISTINCT PG) AS PRODUCT_GROUP_COUNT,
    COUNT(DISTINCT OA_NUMBER) AS TOTAL_ORDERS
FROM 
    KPCL_REPORTING.OA_TROLLEY_STATUS
WHERE 
    CUSTOMER_NAME IS NOT NULL
GROUP BY 
    CUSTOMER_NAME
ORDER BY 
    PRODUCT_GROUP_COUNT DESC, 
    TOTAL_ORDERS DESC;</t>
  </si>
  <si>
    <t>Display all organizations.</t>
  </si>
  <si>
    <t>Show all organizations.</t>
  </si>
  <si>
    <t>all organizations</t>
  </si>
  <si>
    <t>SELECT DISTINCT ORG_NAME
FROM KPCL_REPORTING.BUYERWISE_OA_TROLLEY_STATUS;</t>
  </si>
  <si>
    <t>Show comparison of customer delivery dates across product groups.</t>
  </si>
  <si>
    <t>Compare customer delivery dates across product groups.</t>
  </si>
  <si>
    <t xml:space="preserve">customer delivery dates across product groups </t>
  </si>
  <si>
    <t>View all buyer status.</t>
  </si>
  <si>
    <t>SELECT 
    CUSTOMER_NAME,
    PG,
    CDD,
    SCHEDULE_SHIP_DATE,
    ORDER_DATE,
    COUNT(*) AS TOTAL_ITEMS
FROM 
    KPCL_REPORTING.OA_TROLLEY_STATUS
GROUP BY 
    CUSTOMER_NAME,
    PG, 
    CDD,
    SCHEDULE_SHIP_DATE,
    ORDER_DATE
ORDER BY 
    CUSTOMER_NAME,
    PG, 
    CDD;</t>
  </si>
  <si>
    <t>Show all buyer status.</t>
  </si>
  <si>
    <t>all buyer status</t>
  </si>
  <si>
    <t>SELECT DISTINCT BUYER, BUYER_STATUS
FROM KPCL_REPORTING.BUYERWISE_OA_TROLLEY_STATUS
WHERE SUBSTR(ORG_NAME, 1, 3) = 'ACD';</t>
  </si>
  <si>
    <t>Show customer wise scheduled shipments.</t>
  </si>
  <si>
    <t xml:space="preserve">customer wise scheduled shipments </t>
  </si>
  <si>
    <t>SELECT 
    CUSTOMER_NAME,
    SCHEDULE_SHIP_DATE,
    COUNT(TROLLEY_STATUS_ID) AS TOTAL_ITEMS_SCHEDULED,
    SUM(OA_QUANTITY) AS TOTAL_QUANTITY,
    SUM(SELLING_PRICE) AS TOTAL_VALUATION,
    COUNT(DISTINCT OA_NUMBER) AS UNIQUE_ORDERS_COUNT
FROM 
    KPCL_REPORTING.OA_TROLLEY_STATUS
GROUP BY 
    CUSTOMER_NAME,
    SCHEDULE_SHIP_DATE
ORDER BY 
    SCHEDULE_SHIP_DATE ASC,
    TOTAL_ITEMS_SCHEDULED DESC;</t>
  </si>
  <si>
    <t>View trolley status summary.</t>
  </si>
  <si>
    <t>Show trolley status summary.</t>
  </si>
  <si>
    <t>trolley status summary</t>
  </si>
  <si>
    <t>SELECT ORG_NAME, BUYER, TROLLEY_REMARK_NO, TROLLEY_REMARK, COUNT(*) AS TOTAL_COUNT
FROM KPCL_REPORTING.BUYERWISE_OA_TROLLEY_STATUS
WHERE SUBSTR(ORG_NAME, 1, 3) = 'ACD'
GROUP BY ORG_NAME, BUYER, TROLLEY_REMARK_NO, TROLLEY_REMARK;</t>
  </si>
  <si>
    <t>Show customer wise ordered quantity.</t>
  </si>
  <si>
    <t xml:space="preserve">customer wise ordered quantity </t>
  </si>
  <si>
    <t>SELECT 
    CUSTOMER_NAME,
    SUM(OA_QUANTITY) AS TOTAL_ORDERED_QUANTITY,
    SUM(SELLING_PRICE) AS TOTAL_ORDER_VALUE,
    COUNT(DISTINCT OA_NUMBER) AS UNIQUE_ORDERS_COUNT,
    COUNT(TROLLEY_STATUS_ID) AS TOTAL_TRACKED_ITEMS
FROM 
    KPCL_REPORTING.OA_TROLLEY_STATUS
GROUP BY 
    CUSTOMER_NAME
ORDER BY 
    TOTAL_ORDERED_QUANTITY DESC;</t>
  </si>
  <si>
    <t>Show number of trolleys assigned to each buyer.</t>
  </si>
  <si>
    <t>number of trolleys assigned to each buyer</t>
  </si>
  <si>
    <t>SELECT BUYER, TROLLEY_REMARK_NO, COUNT(*) AS TOTAL_TROLLEYS
FROM KPCL_REPORTING.BUYERWISE_OA_TROLLEY_STATUS
WHERE SUBSTR(ORG_NAME, 1, 3) = 'ACD'
GROUP BY BUYER, TROLLEY_REMARK_NO;</t>
  </si>
  <si>
    <t>Show customer has the highest pending order value.</t>
  </si>
  <si>
    <t>Which customer has the highest pending order value?</t>
  </si>
  <si>
    <t xml:space="preserve">customer has the highest pending order value </t>
  </si>
  <si>
    <t>SELECT 
    CUSTOMER_NAME,
    SUM(SELLING_PRICE) AS PENDING_ORDER_VALUE,
    COUNT(DISTINCT OA_NUMBER) AS PENDING_ORDERS_COUNT
FROM 
    KPCL_REPORTING.OA_TROLLEY_STATUS
WHERE 
    CUSTOMER_NAME IS NOT NULL
GROUP BY 
    CUSTOMER_NAME
ORDER BY 
    PENDING_ORDER_VALUE DESC
FETCH FIRST 1 ROWS ONLY;</t>
  </si>
  <si>
    <t>View oldest trolley update.</t>
  </si>
  <si>
    <t>Show oldest trolley update.</t>
  </si>
  <si>
    <t>oldest trolley update</t>
  </si>
  <si>
    <t>SELECT ORG_NAME, BUYER, OA_NUMBER, SPLIT_LINE_IDENTIFIER, SBM_NUMBER, PARENT_ITEM_TYPE, PARENT_DESCRIPTION, TROLLEY_REMARK_NO, TROLLEY_DATE_NO, TROLLEY_REMARK, TROLLEY_DATE, BUYER_STATUS
FROM KPCL_REPORTING.BUYERWISE_OA_TROLLEY_STATUS
WHERE TROLLEY_DATE = (
    SELECT MIN(TROLLEY_DATE)
    FROM KPCL_REPORTING.BUYERWISE_OA_TROLLEY_STATUS
    WHERE TROLLEY_DATE IS NOT NULL);</t>
  </si>
  <si>
    <t>View customer has the highest order value.</t>
  </si>
  <si>
    <t>Which customer has the highest order value?</t>
  </si>
  <si>
    <t>Show all parent items.</t>
  </si>
  <si>
    <t>customer has the highest order value</t>
  </si>
  <si>
    <t>all parent items</t>
  </si>
  <si>
    <t>SELECT 
    CUSTOMER_NAME,
    SUM(SELLING_PRICE) AS TOTAL_ORDER_VALUE,
    COUNT(DISTINCT OA_NUMBER) AS TOTAL_ORDERS
FROM 
    KPCL_REPORTING.OA_TROLLEY_STATUS
WHERE 
    CUSTOMER_NAME IS NOT NULL
GROUP BY 
    CUSTOMER_NAME
ORDER BY 
    TOTAL_ORDER_VALUE DESC;</t>
  </si>
  <si>
    <t xml:space="preserve">SELECT DISTINCT  PARENT_ITEM_TYPE, PARENT_DESCRIPTION, ORG_NAME,OA_NUMBER, SPLIT_LINE_IDENTIFIER, SBM_NUMBER
FROM KPCL_REPORTING.BUYERWISE_OA_TROLLEY_STATUS
WHERE PARENT_ITEM_TYPE IS NOT NULL OR PARENT_DESCRIPTION IS NOT NULL;   </t>
  </si>
  <si>
    <t>View customer wise order value.</t>
  </si>
  <si>
    <t>Show customer wise order value.</t>
  </si>
  <si>
    <t xml:space="preserve">customer wise order value </t>
  </si>
  <si>
    <t>SELECT 
    CUSTOMER_NAME,
    SUM(SELLING_PRICE) AS TOTAL_ORDER_VALUE,
    SUM(OA_QUANTITY) AS TOTAL_ORDERED_QUANTITY,
    COUNT(DISTINCT OA_NUMBER) AS UNIQUE_ORDERS_COUNT,
    COUNT(TROLLEY_STATUS_ID) AS TOTAL_TRACKED_ITEMS
FROM 
    KPCL_REPORTING.OA_TROLLEY_STATUS
GROUP BY 
    CUSTOMER_NAME
ORDER BY 
    TOTAL_ORDER_VALUE DESC;</t>
  </si>
  <si>
    <t>Display trolley status for oa_number {oa_number}</t>
  </si>
  <si>
    <t>Show trolley status for /oa_number {oa_number}</t>
  </si>
  <si>
    <t>trolley status for oa number</t>
  </si>
  <si>
    <t>SELECT ORG_NAME, BUYER, OA_NUMBER, SPLIT_LINE_IDENTIFIER, TROLLEY_REMARK_NO, TROLLEY_REMARK, TROLLEY_DATE, BUYER_STATUS
FROM KPCL_REPORTING.BUYERWISE_OA_TROLLEY_STATUS
WHERE OA_NUMBER LIKE '%{oa_number}%';</t>
  </si>
  <si>
    <t>Show comparison of customer wise order values.</t>
  </si>
  <si>
    <t>Compare customer wise order values.</t>
  </si>
  <si>
    <t xml:space="preserve">customer wise order values </t>
  </si>
  <si>
    <t>SELECT 
    CUSTOMER_NAME,
    SUM(SELLING_PRICE) AS TOTAL_SELLING_PRICE,
    SUM(OA_QUANTITY) AS TOTAL_QUANTITY,
    COUNT(TROLLEY_STATUS_ID) AS TOTAL_TRACKED_ITEMS
FROM 
    KPCL_REPORTING.OA_TROLLEY_STATUS
GROUP BY 
    CUSTOMER_NAME
ORDER BY 
    TOTAL_SELLING_PRICE DESC;</t>
  </si>
  <si>
    <t>Show trolley details for parent_item {parent_item}</t>
  </si>
  <si>
    <t>Show trolley details for /parent_item {parent_item}</t>
  </si>
  <si>
    <t>trolley details for parent item</t>
  </si>
  <si>
    <t>SELECT ORG_NAME, BUYER, OA_NUMBER, SPLIT_LINE_IDENTIFIER, SBM_NUMBER, PARENT_ITEM_TYPE, PARENT_DESCRIPTION, TROLLEY_REMARK_NO, TROLLEY_REMARK, TROLLEY_DATE
FROM KPCL_REPORTING.BUYERWISE_OA_TROLLEY_STATUS
WHERE SBM_NUMBER LIKE '%{parent_item}%';</t>
  </si>
  <si>
    <t>Display inspection norm is used the most.</t>
  </si>
  <si>
    <t>Which inspection norm is used the most?</t>
  </si>
  <si>
    <t>inspection norm is used the most</t>
  </si>
  <si>
    <t>SELECT 
    INSPECTION_NORM,
    COUNT(*) AS TOTAL_USES,
    COUNT(DISTINCT OA_NUMBER) AS TOTAL_ORDERS
FROM 
    KPCL_REPORTING.OA_TROLLEY_STATUS
WHERE 
    INSPECTION_NORM IS NOT NULL
GROUP BY 
    INSPECTION_NORM
ORDER BY 
    TOTAL_USES DESC
FETCH FIRST 1 ROWS ONLY;</t>
  </si>
  <si>
    <t>View trolley details for item_description {item_description}</t>
  </si>
  <si>
    <t>Show orders by inspection norm.</t>
  </si>
  <si>
    <t>Show trolley details for /item_description {item_description}</t>
  </si>
  <si>
    <t>trolley details for item description</t>
  </si>
  <si>
    <t xml:space="preserve">orders by inspection norm </t>
  </si>
  <si>
    <t>SELECT ORG_NAME, BUYER, OA_NUMBER, SPLIT_LINE_IDENTIFIER, SBM_NUMBER, PARENT_ITEM_TYPE, PARENT_DESCRIPTION, TROLLEY_REMARK_NO, TROLLEY_REMARK, TROLLEY_DATE
FROM KPCL_REPORTING.BUYERWISE_OA_TROLLEY_STATUS
WHERE PARENT_DESCRIPTION LIKE '%{item_description}%';</t>
  </si>
  <si>
    <t>SELECT 
    INSPECTION_NORM,
    PRODUCT_MODEL,
    PG,
    COUNT(DISTINCT OA_NUMBER) AS UNIQUE_ORDERS_COUNT,
    COUNT(TROLLEY_STATUS_ID) AS TOTAL_TRACKED_ITEMS,
    SUM(OA_QUANTITY) AS TOTAL_QUANTITY,
    SUM(SELLING_PRICE) AS TOTAL_SELLING_PRICE
FROM 
    KPCL_REPORTING.OA_TROLLEY_STATUS
GROUP BY 
    INSPECTION_NORM,
    PRODUCT_MODEL,
    PG
ORDER BY 
    INSPECTION_NORM ASC, 
    TOTAL_TRACKED_ITEMS DESC;</t>
  </si>
  <si>
    <t>Display trolley details for item_type {item_type}</t>
  </si>
  <si>
    <t>Show trolley details for /item_type {item_type}.</t>
  </si>
  <si>
    <t>trolley details for item type</t>
  </si>
  <si>
    <t>View pending order status for customer {customer}, product_group {product_group}.</t>
  </si>
  <si>
    <t>SELECT ORG_NAME, BUYER, OA_NUMBER, SPLIT_LINE_IDENTIFIER, SBM_NUMBER, PARENT_ITEM_TYPE, PARENT_DESCRIPTION, TROLLEY_REMARK_NO, TROLLEY_REMARK, TROLLEY_DATE
FROM KPCL_REPORTING.BUYERWISE_OA_TROLLEY_STATUS
WHERE PARENT_ITEM_TYPE LIKE '%{item_type}%';</t>
  </si>
  <si>
    <t>Show pending order status for  /customer {customer}, /product_group {product_group}.</t>
  </si>
  <si>
    <t xml:space="preserve">pending order status for customer , product group </t>
  </si>
  <si>
    <t xml:space="preserve">SELECT  DISTINCT
    OA_NUMBER,
    CUSTOMER_NAME,
    PG AS PRODUCT_GROUP,
    PRODUCT_MODEL,
    PARENT_DESCRIPTION,
    OA_QUANTITY,
    ORDER_DATE,
    SCHEDULE_SHIP_DATE,
    CDD AS CUSTOMER_DELIVERY_DATE,
    OA_STATUS,
    CASE 
        WHEN OA_STATUS = 2 THEN 'To be Dispatch'
        WHEN OA_STATUS = 2.1 THEN 'Execution attempt'
        WHEN OA_STATUS = 3 THEN 'Marketing Default'
        WHEN OA_STATUS= 3.1 THEN 'Marketing attempt' 
        WHEN OA_STATUS= 4 THEN 'Execution Default' 
        WHEN OA_STATUS= 5 THEN 'Engg. Default' 
        ELSE 'Blank'
    END AS OA_STATUS_DESCRIPTION
FROM 
    KPCL_REPORTING.OA_TROLLEY_STATUS
WHERE 
    (CUSTOMER_NAME) LIKE ('%{customer}%')
    AND (PG) LIKE ('%{product_group}%');    </t>
  </si>
  <si>
    <t>Show trolley records with buyer_status {buyer_status}</t>
  </si>
  <si>
    <t>Show trolley records with /buyer_status {buyer_status}</t>
  </si>
  <si>
    <t>trolley records with buyer status</t>
  </si>
  <si>
    <t>SELECT ORG_NAME, BUYER, BUYER_STATUS, OA_NUMBER, TROLLEY_REMARK_NO, TROLLEY_REMARK, TROLLEY_DATE
FROM KPCL_REPORTING.BUYERWISE_OA_TROLLEY_STATUS
WHERE BUYER_STATUS LIKE '%{buyer_status}%';</t>
  </si>
  <si>
    <t>buyer_status</t>
  </si>
  <si>
    <t>View this month's scheduled shipments.</t>
  </si>
  <si>
    <t>Show this month's scheduled shipments.</t>
  </si>
  <si>
    <t xml:space="preserve">this month's scheduled shipments </t>
  </si>
  <si>
    <t>SELECT  DISTINCT
    OA_NUMBER,
    CUSTOMER_NAME,
    PG AS PRODUCT_GROUP,
    PRODUCT_MODEL,
    SCHEDULE_SHIP_DATE,
    SELLING_PRICE
FROM 
    KPCL_REPORTING.OA_TROLLEY_STATUS
WHERE 
    SCHEDULE_SHIP_DATE &gt;= TRUNC(CURRENT_DATE, 'MM')
    AND SCHEDULE_SHIP_DATE &lt; ADD_MONTHS(TRUNC(CURRENT_DATE, 'MM'), 1)
ORDER BY 
    SCHEDULE_SHIP_DATE ASC;</t>
  </si>
  <si>
    <t>Show trolley records having trolley_remark {trolley_remark}</t>
  </si>
  <si>
    <t>Show trolley records having /trolley_remark {trolley_remark}</t>
  </si>
  <si>
    <t>trolley records having trolley status</t>
  </si>
  <si>
    <t>SELECT ORG_NAME, BUYER, OA_NUMBER, TROLLEY_REMARK_NO, TROLLEY_REMARK, TROLLEY_DATE, BUYER_STATUS
FROM KPCL_REPORTING.BUYERWISE_OA_TROLLEY_STATUS
WHERE TROLLEY_REMARK LIKE '%{trolley_remark}%';</t>
  </si>
  <si>
    <t>trolley_remark</t>
  </si>
  <si>
    <t>View today's scheduled shipments.</t>
  </si>
  <si>
    <t>Show today's scheduled shipments.</t>
  </si>
  <si>
    <t xml:space="preserve">today's scheduled shipments </t>
  </si>
  <si>
    <t>SELECT  DISTINCT
    OA_NUMBER,
    CUSTOMER_NAME,
    PG AS PRODUCT_GROUP,
    PRODUCT_MODEL,
    SCHEDULE_SHIP_DATE,
    SELLING_PRICE,
    OA_STATUS
FROM 
    KPCL_REPORTING.OA_TROLLEY_STATUS
WHERE 
    TRUNC(SCHEDULE_SHIP_DATE) = CURRENT_DATE
ORDER BY 
    OA_NUMBER ASC;</t>
  </si>
  <si>
    <t>View trolley updates on trolley date for date {date}</t>
  </si>
  <si>
    <t>Show trolley updates on trolley date for /date {date}.</t>
  </si>
  <si>
    <t>trolley updates on trolley date for date</t>
  </si>
  <si>
    <t>SELECT ORG_NAME, BUYER, OA_NUMBER, TROLLEY_REMARK_NO, TROLLEY_REMARK, TROLLEY_DATE, BUYER_STATUS
FROM KPCL_REPORTING.BUYERWISE_OA_TROLLEY_STATUS
WHERE TRUNC(TROLLEY_DATE) = TO_DATE('{date}', 'DD-MM-YY');</t>
  </si>
  <si>
    <t>Show upcoming scheduled shipments.</t>
  </si>
  <si>
    <t xml:space="preserve">upcoming scheduled shipments </t>
  </si>
  <si>
    <t>SELECT  DISTINCT
    OA_NUMBER,
    CUSTOMER_NAME,
    PG AS PRODUCT_GROUP,
    PRODUCT_MODEL,
    SCHEDULE_SHIP_DATE,
    SELLING_PRICE,
    OA_STATUS
FROM 
    KPCL_REPORTING.OA_TROLLEY_STATUS
WHERE 
    TRUNC(SCHEDULE_SHIP_DATE) &gt;= TRUNC(CURRENT_DATE)
ORDER BY 
    SCHEDULE_SHIP_DATE ASC;</t>
  </si>
  <si>
    <t>Display all OA / Order Numbers for buyer {buyer}</t>
  </si>
  <si>
    <t>Show all OA / Order Numbers for /buyer {buyer}</t>
  </si>
  <si>
    <t>all OA / Order Numbers for buyer</t>
  </si>
  <si>
    <t>SELECT DISTINCT BUYER, OA_NUMBER, ORG_NAME, BUYER_STATUS
FROM KPCL_REPORTING.BUYERWISE_OA_TROLLEY_STATUS
WHERE BUYER LIKE '%{buyer}%'
  AND OA_NUMBER IS NOT NULL;</t>
  </si>
  <si>
    <t>View pending order details for oa_number {oa_number}, customer {customer}, and product_model {product_model}.</t>
  </si>
  <si>
    <t>Show pending order details for /oa_number {oa_number},  /customer {customer}, and /product_model {product_model}.</t>
  </si>
  <si>
    <t xml:space="preserve">pending order details for oa number, customer , and product model </t>
  </si>
  <si>
    <t xml:space="preserve">SELECT DISTINCT
    OA_NUMBER,
    CUSTOMER_NAME,
    PRODUCT_MODEL,
    PARENT_DESCRIPTION,
    OA_QUANTITY,
    SELLING_PRICE,
    ORDER_DATE,
    SCHEDULE_SHIP_DATE,
    CDD AS CUSTOMER_DELIVERY_DATE,
    LOAD_DATE,
    OA_STATUS
FROM 
    KPCL_REPORTING.OA_TROLLEY_STATUS
WHERE 
    (OA_NUMBER) LIKE ('%{oa_number}%')
    AND (CUSTOMER_NAME) LIKE ('%{customer}%')
    AND (PRODUCT_MODEL) LIKE ('%{product_model}%');    </t>
  </si>
  <si>
    <t>View all parent items handled by buyer {buyer}</t>
  </si>
  <si>
    <t>Show all parent items handled by /buyer {buyer}</t>
  </si>
  <si>
    <t>customer,  oa_number,  product_model</t>
  </si>
  <si>
    <t>all parent items handled by buyer</t>
  </si>
  <si>
    <t>SELECT DISTINCT BUYER, PARENT_ITEM_TYPE, PARENT_DESCRIPTION, ORG_NAME
FROM KPCL_REPORTING.BUYERWISE_OA_TROLLEY_STATUS
WHERE BUYER LIKE '%{buyer}%'
  AND (PARENT_ITEM_TYPE IS NOT NULL OR PARENT_DESCRIPTION IS NOT NULL);</t>
  </si>
  <si>
    <t>View orders with assembly remarks.</t>
  </si>
  <si>
    <t>Show orders with assembly remarks.</t>
  </si>
  <si>
    <t xml:space="preserve">orders with assembly remarks </t>
  </si>
  <si>
    <t xml:space="preserve">SELECT  DISTINCT
    OA_NUMBER,
    CUSTOMER_NAME,
    PRODUCT_MODEL,
    PG AS PRODUCT_GROUP,
    ASSEMBLY_REMARK,
    ASSEMBLY_DATE,
    PLANNING_REMARK,
    QUALITY,
    OA_QUANTITY,
    SELLING_PRICE,
    SCHEDULE_SHIP_DATE
FROM 
    KPCL_REPORTING.OA_TROLLEY_STATUS
ORDER BY 
    ASSEMBLY_DATE DESC, 
    SCHEDULE_SHIP_DATE ASC;
 </t>
  </si>
  <si>
    <t>Show orders with CDD before cdd for date {date}.</t>
  </si>
  <si>
    <t>Show orders with CDD before cdd for /date {date}.</t>
  </si>
  <si>
    <t>orders with CDD before cdd for date</t>
  </si>
  <si>
    <t>View all trolley records for org_name {org_name}</t>
  </si>
  <si>
    <t>Show all trolley records for /org_name {org_name}</t>
  </si>
  <si>
    <t>SELECT  DISTINCT
    OA_NUMBER,
    CUSTOMER_NAME,
    PRODUCT_MODEL,
    PG AS PRODUCT_GROUP,
    CDD AS CUSTOMER_DELIVERY_DATE,
    SCHEDULE_SHIP_DATE,
    OA_STATUS,
    OA_QUANTITY,
    SELLING_PRICE,
    PLANNING_REMARK,
    QUALITY
FROM 
    KPCL_REPORTING.OA_TROLLEY_STATUS
WHERE 
    CDD &lt; TO_DATE('{date}', 'DD-MM-YY')
ORDER BY 
    CDD ASC, 
    SCHEDULE_SHIP_DATE ASC;</t>
  </si>
  <si>
    <t>all trolley records for org name</t>
  </si>
  <si>
    <t>SELECT ORG_NAME, BUYER, OA_NUMBER, TROLLEY_REMARK_NO, TROLLEY_REMARK, TROLLEY_DATE, BUYER_STATUS
FROM KPCL_REPORTING.BUYERWISE_OA_TROLLEY_STATUS
WHERE ORG_NAME LIKE '%{org_name}%';</t>
  </si>
  <si>
    <t>Display orders with customer delivery date cdd for date {date}.</t>
  </si>
  <si>
    <t>Show orders with customer delivery date cdd for /date {date}.</t>
  </si>
  <si>
    <t xml:space="preserve">orders with customer delivery date cdd for date </t>
  </si>
  <si>
    <t>SELECT  DISTINCT
    OA_NUMBER,
    CUSTOMER_NAME,
    PRODUCT_MODEL,
    PG AS PRODUCT_GROUP,
    CDD AS CUSTOMER_DELIVERY_DATE,
    SCHEDULE_SHIP_DATE,
    OA_STATUS,
    OA_QUANTITY,
    SELLING_PRICE,
    PLANNING_REMARK,
    QUALITY
FROM 
    KPCL_REPORTING.OA_TROLLEY_STATUS
WHERE 
    TRUNC(CDD) = TO_DATE('{date}', 'DD-MM-YY')
ORDER BY 
    SCHEDULE_SHIP_DATE ASC;</t>
  </si>
  <si>
    <t>View trolley history for oa_number {oa_number}</t>
  </si>
  <si>
    <t>Show trolley history for /oa_number {oa_number}</t>
  </si>
  <si>
    <t>trolley history for oa number</t>
  </si>
  <si>
    <t>SELECT ORG_NAME, BUYER, OA_NUMBER, SPLIT_LINE_IDENTIFIER, SBM_NUMBER, TROLLEY_REMARK_NO, TROLLEY_REMARK, TROLLEY_DATE
FROM KPCL_REPORTING.BUYERWISE_OA_TROLLEY_STATUS
WHERE OA_NUMBER LIKE '%{oa_number}%'
ORDER BY TROLLEY_DATE ASC;</t>
  </si>
  <si>
    <t>View orders with design remarks.</t>
  </si>
  <si>
    <t>Show orders with design remarks.</t>
  </si>
  <si>
    <t xml:space="preserve">orders with design remarks </t>
  </si>
  <si>
    <t>SELECT  DISTINCT
    OA_NUMBER,
    CUSTOMER_NAME,
    PRODUCT_MODEL,
    PG AS PRODUCT_GROUP,
    DESIGN_REMARK,
    DESIGN_DATE,
    PLANNING_REMARK,
    QUALITY,
    OA_QUANTITY,
    SELLING_PRICE,
    SCHEDULE_SHIP_DATE
FROM 
    KPCL_REPORTING.OA_TROLLEY_STATUS
ORDER BY 
    DESIGN_DATE DESC NULLS LAST, 
    SCHEDULE_SHIP_DATE ASC;</t>
  </si>
  <si>
    <t>View latest status of parent_item {parent_item}</t>
  </si>
  <si>
    <t>Show latest status of /parent_item {parent_item}</t>
  </si>
  <si>
    <t>latest status of parent item</t>
  </si>
  <si>
    <t>SELECT ORG_NAME, BUYER, OA_NUMBER, SPLIT_LINE_IDENTIFIER, SBM_NUMBER, TROLLEY_REMARK_NO, TROLLEY_REMARK, TROLLEY_DATE
FROM (
    SELECT ORG_NAME, BUYER, OA_NUMBER, SPLIT_LINE_IDENTIFIER, SBM_NUMBER, TROLLEY_REMARK_NO, TROLLEY_REMARK, TROLLEY_DATE,
           ROW_NUMBER() OVER (PARTITION BY SBM_NUMBER ORDER BY TROLLEY_DATE DESC) AS RN
    FROM KPCL_REPORTING.BUYERWISE_OA_TROLLEY_STATUS
    WHERE SBM_NUMBER LIKE '%{parent_item}%'
)
WHERE RN = 1;</t>
  </si>
  <si>
    <t>Show assembly remarks for customer {customer}, product_group {product_group}, and oa_status {oa_status}.</t>
  </si>
  <si>
    <t>Show assembly remarks for /customer {customer}, /product_group {product_group}, and /oa_status {oa_status}.</t>
  </si>
  <si>
    <t xml:space="preserve">assembly remarks for customer , product group, and oa status </t>
  </si>
  <si>
    <t>SELECT  DISTINCT
    OA_NUMBER,
    CUSTOMER_NAME,
    PRODUCT_MODEL,
    PG AS PRODUCT_GROUP,
    OA_STATUS,
    ASSEMBLY_REMARK,
    ASSEMBLY_DATE,
    PLANNING_REMARK,
    QUALITY,
    SCHEDULE_SHIP_DATE
FROM 
    KPCL_REPORTING.OA_TROLLEY_STATUS
WHERE 
    CUSTOMER_NAME LIKE '%{customer}%'
    AND PG LIKE '%{product_group}%'
    AND OA_STATUS = {oa_status}
    AND ASSEMBLY_REMARK IS NOT NULL
    AND TRIM(ASSEMBLY_REMARK) != ''
ORDER BY 
    ASSEMBLY_DATE DESC;</t>
  </si>
  <si>
    <t>customer, oa_status, product_group</t>
  </si>
  <si>
    <t>Display buyer assigned to oa_number {oa_number}</t>
  </si>
  <si>
    <t>Show buyer assigned to /oa_number {oa_number}</t>
  </si>
  <si>
    <t>buyer assigned to oa number</t>
  </si>
  <si>
    <t>SELECT DISTINCT OA_NUMBER, BUYER, BUYER_STATUS, ORG_NAME
FROM KPCL_REPORTING.BUYERWISE_OA_TROLLEY_STATUS
WHERE OA_NUMBER LIKE '%{oa_number}%';</t>
  </si>
  <si>
    <t>Show assembly remarks for customer {customer}.</t>
  </si>
  <si>
    <t>Show assembly remarks for  /customer {customer}.</t>
  </si>
  <si>
    <t xml:space="preserve">assembly remarks for customer  </t>
  </si>
  <si>
    <t>SELECT  DISTINCT
    OA_NUMBER,
    CUSTOMER_NAME,
    PRODUCT_MODEL,
    PG AS PRODUCT_GROUP,
    OA_STATUS,
    ASSEMBLY_REMARK,
    ASSEMBLY_DATE,
    PLANNING_REMARK,
    QUALITY,
    SCHEDULE_SHIP_DATE
FROM 
    KPCL_REPORTING.OA_TROLLEY_STATUS
WHERE 
    (CUSTOMER_NAME) LIKE ('%{customer}%')
    AND ASSEMBLY_REMARK IS NOT NULL
    AND TRIM(ASSEMBLY_REMARK) != ''
ORDER BY 
    ASSEMBLY_DATE DESC;</t>
  </si>
  <si>
    <t>Show buyer status for oa_number {oa_number}</t>
  </si>
  <si>
    <t>Show buyer status for /oa_number {oa_number}</t>
  </si>
  <si>
    <t>buyer status for oa number</t>
  </si>
  <si>
    <t>View assembly remarks for org_name {org_name}.</t>
  </si>
  <si>
    <t>Show assembly remarks for /org_name {org_name}.</t>
  </si>
  <si>
    <t xml:space="preserve">assembly remarks for org name </t>
  </si>
  <si>
    <t>SELECT 
    OA_NUMBER,
    CUSTOMER_NAME,
    PRODUCT_MODEL,
    PG AS PRODUCT_GROUP,
    OA_STATUS,
    ASSEMBLY_REMARK,
    ASSEMBLY_DATE,
    PLANNING_REMARK,
    QUALITY,
    SCHEDULE_SHIP_DATE
FROM 
    KPCL_REPORTING.OA_TROLLEY_STATUS
WHERE 
    (ORG_NAME) LIKE ('%{org_name}%')
ORDER BY 
    ASSEMBLY_DATE DESC;</t>
  </si>
  <si>
    <t>View trolley sequence for oa_number {oa_number}</t>
  </si>
  <si>
    <t>Show trolley sequence for /oa_number {oa_number}</t>
  </si>
  <si>
    <t>trolley sequence for oa number</t>
  </si>
  <si>
    <t>SELECT ORG_NAME, BUYER, OA_NUMBER, SPLIT_LINE_IDENTIFIER, SBM_NUMBER, TROLLEY_REMARK_NO, TROLLEY_REMARK, TROLLEY_DATE
FROM KPCL_REPORTING.BUYERWISE_OA_TROLLEY_STATUS
WHERE OA_NUMBER LIKE '%{oa_number}%'
ORDER BY TROLLEY_REMARK_NO ASC, TROLLEY_DATE ASC;</t>
  </si>
  <si>
    <t>View trolley dates for buyer {buyer}</t>
  </si>
  <si>
    <t>Show trolley dates for /buyer {buyer}</t>
  </si>
  <si>
    <t>trolley dates for buyer</t>
  </si>
  <si>
    <t>SELECT DISTINCT BUYER, OA_NUMBER, TROLLEY_REMARK_NO, TROLLEY_REMARK, TROLLEY_DATE
FROM KPCL_REPORTING.BUYERWISE_OA_TROLLEY_STATUS
WHERE BUYER LIKE '%{buyer}%'
  AND TROLLEY_DATE IS NOT NULL
ORDER BY TROLLEY_DATE DESC;</t>
  </si>
  <si>
    <t>Display assembly remarks for product_group {product_group}.</t>
  </si>
  <si>
    <t>Show assembly remarks for /product_group {product_group}.</t>
  </si>
  <si>
    <t xml:space="preserve">assembly remarks for product group </t>
  </si>
  <si>
    <t>SELECT  DISTINCT
    OA_NUMBER,
    CUSTOMER_NAME,
    PRODUCT_MODEL,
    PG AS PRODUCT_GROUP,
    OA_STATUS,
    ASSEMBLY_REMARK,
    ASSEMBLY_DATE,
    PLANNING_REMARK,
    QUALITY,
    SCHEDULE_SHIP_DATE
FROM 
    KPCL_REPORTING.OA_TROLLEY_STATUS
WHERE 
    (PG) LIKE ('%{product_group}%')
ORDER BY 
    ASSEMBLY_DATE DESC;</t>
  </si>
  <si>
    <t>View records for item_description {item_description}</t>
  </si>
  <si>
    <t>Show records for /item_description {item_description}</t>
  </si>
  <si>
    <t>records for item description</t>
  </si>
  <si>
    <t>SELECT ORG_NAME, BUYER, OA_NUMBER, SPLIT_LINE_IDENTIFIER, SBM_NUMBER, PARENT_ITEM_TYPE, PARENT_DESCRIPTION, TROLLEY_REMARK_NO, TROLLEY_REMARK, TROLLEY_DATE, BUYER_STATUS
FROM KPCL_REPORTING.BUYERWISE_OA_TROLLEY_STATUS
WHERE PARENT_DESCRIPTION LIKE '%{item_description}%';</t>
  </si>
  <si>
    <t>View assembly remarks for product_model {product_model}.</t>
  </si>
  <si>
    <t>Show assembly remarks for /product_model {product_model}.</t>
  </si>
  <si>
    <t xml:space="preserve">assembly remarks for product model </t>
  </si>
  <si>
    <t>SELECT 
    OA_NUMBER,
    CUSTOMER_NAME,
    PRODUCT_MODEL,
    PG AS PRODUCT_GROUP,
    OA_STATUS,
    ASSEMBLY_REMARK,
    ASSEMBLY_DATE,
    PLANNING_REMARK,
    QUALITY,
    SCHEDULE_SHIP_DATE
FROM 
    KPCL_REPORTING.OA_TROLLEY_STATUS
WHERE 
    (PRODUCT_MODEL) LIKE ('%{product_model}%')
ORDER BY 
    ASSEMBLY_DATE DESC;</t>
  </si>
  <si>
    <t>Show trolley details for buyer {buyer} in org_name {org_name}</t>
  </si>
  <si>
    <t>Show trolley details for /buyer {buyer} in /org_name {org_name}</t>
  </si>
  <si>
    <t>trolley details for buyer in org name</t>
  </si>
  <si>
    <t>SELECT ORG_NAME, BUYER, OA_NUMBER, SPLIT_LINE_IDENTIFIER, SBM_NUMBER, PARENT_ITEM_TYPE, PARENT_DESCRIPTION, TROLLEY_REMARK_NO, TROLLEY_REMARK, TROLLEY_DATE, BUYER_STATUS
FROM KPCL_REPORTING.BUYERWISE_OA_TROLLEY_STATUS
WHERE BUYER LIKE '%{buyer}%'
  AND ORG_NAME LIKE '%{org_name}%';</t>
  </si>
  <si>
    <t>Display OA status has the maximum orders.</t>
  </si>
  <si>
    <t>Which OA status has the maximum orders?</t>
  </si>
  <si>
    <t>OA status has the maximum orders</t>
  </si>
  <si>
    <t>SELECT 
    OA_STATUS,
    COUNT(DISTINCT OA_NUMBER) AS TOTAL_ORDERS,
    SUM(SELLING_PRICE) AS TOTAL_ORDER_VALUE
FROM 
    KPCL_REPORTING.OA_TROLLEY_STATUS
WHERE 
    OA_STATUS IS NOT NULL
GROUP BY 
    OA_STATUS
ORDER BY 
    TOTAL_ORDERS DESC
FETCH FIRST 1 ROWS ONLY;</t>
  </si>
  <si>
    <t>Show OA / Order Numbers assigned to buyer {buyer} having trolley_remark {trolley_remark}</t>
  </si>
  <si>
    <t>Show OA / Order Numbers assigned to /buyer {buyer} having /trolley_remark {trolley_remark}</t>
  </si>
  <si>
    <t>OA / Order Numbers assigned to buyer having trolley status</t>
  </si>
  <si>
    <t>SELECT DISTINCT OA_NUMBER, BUYER, TROLLEY_REMARK, ORG_NAME, BUYER_STATUS
FROM KPCL_REPORTING.BUYERWISE_OA_TROLLEY_STATUS
WHERE BUYER LIKE '%{buyer}%'
  AND TROLLEY_REMARK LIKE '%{trolley_remark}%'
  AND OA_NUMBER IS NOT NULL;</t>
  </si>
  <si>
    <t>buyer,  trolley_remark</t>
  </si>
  <si>
    <t>Display trolley records for buyer {buyer} on trolley date for date {date}</t>
  </si>
  <si>
    <t>Show trolley records for /buyer {buyer} on trolley date for /date {date}.</t>
  </si>
  <si>
    <t>trolley records for buyer on trolley date for date</t>
  </si>
  <si>
    <t>Show comparison of OA status wise order counts.</t>
  </si>
  <si>
    <t>SELECT ORG_NAME, BUYER, OA_NUMBER, SPLIT_LINE_IDENTIFIER, SBM_NUMBER, TROLLEY_REMARK_NO, TROLLEY_REMARK, TROLLEY_DATE, BUYER_STATUS
FROM KPCL_REPORTING.BUYERWISE_OA_TROLLEY_STATUS
WHERE BUYER LIKE '%{buyer}%'
  AND TRUNC(TROLLEY_DATE) = TO_DATE('{date}', 'DD-MM-YYYY');</t>
  </si>
  <si>
    <t>Compare OA status wise order counts.</t>
  </si>
  <si>
    <t>buyer, date</t>
  </si>
  <si>
    <t xml:space="preserve">OA status wise order counts </t>
  </si>
  <si>
    <t>SELECT 
    OA_STATUS,
    COUNT(DISTINCT OA_NUMBER) AS UNIQUE_ORDER_COUNTS,
    COUNT(TROLLEY_STATUS_ID) AS TOTAL_TRACKED_ITEMS,
    SUM(OA_QUANTITY) AS TOTAL_QUANTITY,
    SUM(SELLING_PRICE) AS TOTAL_SELLING_PRICE
FROM 
    KPCL_REPORTING.OA_TROLLEY_STATUS
GROUP BY 
    OA_STATUS
ORDER BY 
    OA_STATUS;</t>
  </si>
  <si>
    <t>View parent_item {parent_item} handled by buyer {buyer}</t>
  </si>
  <si>
    <t>Show /parent_item {parent_item} handled by /buyer {buyer}</t>
  </si>
  <si>
    <t>parent item handled by buyer</t>
  </si>
  <si>
    <t>SELECT ORG_NAME, BUYER, OA_NUMBER, SPLIT_LINE_IDENTIFIER, SBM_NUMBER, PARENT_ITEM_TYPE, PARENT_DESCRIPTION, TROLLEY_REMARK_NO, TROLLEY_REMARK, TROLLEY_DATE, BUYER_STATUS
FROM KPCL_REPORTING.BUYERWISE_OA_TROLLEY_STATUS
WHERE SBM_NUMBER LIKE '%{parent_item}%'
  AND BUYER LIKE '%{buyer}%';</t>
  </si>
  <si>
    <t>buyer, parent_item</t>
  </si>
  <si>
    <t>View orders by OA status.</t>
  </si>
  <si>
    <t>Show orders by OA status.</t>
  </si>
  <si>
    <t xml:space="preserve">orders by OA status </t>
  </si>
  <si>
    <t>SELECT 
    OA_STATUS,
    COUNT(DISTINCT OA_NUMBER) AS UNIQUE_ORDERS_COUNT,
    COUNT(TROLLEY_STATUS_ID) AS TOTAL_TRACKED_ITEMS,
    SUM(OA_QUANTITY) AS TOTAL_ORDERED_QUANTITY,
    SUM(SELLING_PRICE) AS TOTAL_VALUATION,
    MAX(LAST_UPDATE_DATE) AS LATEST_ACTIVITY_DATE
FROM 
    KPCL_REPORTING.OA_TROLLEY_STATUS
GROUP BY 
    OA_STATUS
ORDER BY 
    OA_STATUS ASC;</t>
  </si>
  <si>
    <t>Show item_description {item_description} handled by buyer {buyer}</t>
  </si>
  <si>
    <t>Show /item_description {item_description} handled by /buyer {buyer}</t>
  </si>
  <si>
    <t>item description handled by buyer</t>
  </si>
  <si>
    <t>SELECT ORG_NAME, BUYER, OA_NUMBER, SPLIT_LINE_IDENTIFIER, SBM_NUMBER, PARENT_ITEM_TYPE, PARENT_DESCRIPTION, TROLLEY_REMARK_NO, TROLLEY_REMARK, TROLLEY_DATE, BUYER_STATUS
FROM KPCL_REPORTING.BUYERWISE_OA_TROLLEY_STATUS
WHERE PARENT_DESCRIPTION LIKE '%{item_description}%'
  AND BUYER LIKE '%{buyer}%';</t>
  </si>
  <si>
    <t>buyer, item_description</t>
  </si>
  <si>
    <t>Display all pending orders.</t>
  </si>
  <si>
    <t>Show all pending orders.</t>
  </si>
  <si>
    <t xml:space="preserve">all pending orders </t>
  </si>
  <si>
    <t>SELECT 
    OA_STATUS,
    COUNT(DISTINCT OA_NUMBER) AS UNIQUE_ORDERS,
    COUNT(TROLLEY_STATUS_ID) AS TOTAL_TRACKED_ITEMS,
    SUM(OA_QUANTITY) AS TOTAL_QUANTITY,
    SUM(SELLING_PRICE) AS TOTAL_FINANCIAL_VALUE
FROM 
    KPCL_REPORTING.OA_TROLLEY_STATUS
GROUP BY 
    OA_STATUS
ORDER BY 
    OA_STATUS;</t>
  </si>
  <si>
    <t>Display trolley records for org_name {org_name} having buyer_status {buyer_status}</t>
  </si>
  <si>
    <t>Show trolley records for /org_name {org_name} having /buyer_status {buyer_status}</t>
  </si>
  <si>
    <t>trolley records for org name having buyer status</t>
  </si>
  <si>
    <t>SELECT ORG_NAME, BUYER, OA_NUMBER, SPLIT_LINE_IDENTIFIER, SBM_NUMBER, PARENT_ITEM_TYPE, PARENT_DESCRIPTION, TROLLEY_REMARK_NO, TROLLEY_REMARK, TROLLEY_DATE, BUYER_STATUS
FROM KPCL_REPORTING.BUYERWISE_OA_TROLLEY_STATUS
WHERE ORG_NAME LIKE '%{org_name}%'
  AND BUYER_STATUS LIKE '%{buyer_status}%';</t>
  </si>
  <si>
    <t>buyer_status, org_name</t>
  </si>
  <si>
    <t>Show OA status has the largest order value.</t>
  </si>
  <si>
    <t>Which OA status has the largest order value?</t>
  </si>
  <si>
    <t xml:space="preserve">OA status has the largest order value </t>
  </si>
  <si>
    <t>SELECT 
    OA_STATUS,
    SUM(SELLING_PRICE) AS TOTAL_ORDER_VALUE,
    COUNT(DISTINCT OA_NUMBER) AS TOTAL_ORDERS
FROM 
    KPCL_REPORTING.OA_TROLLEY_STATUS
WHERE 
    OA_STATUS IS NOT NULL
GROUP BY 
    OA_STATUS
ORDER BY 
    TOTAL_ORDER_VALUE DESC
FETCH FIRST 1 ROWS ONLY;</t>
  </si>
  <si>
    <t>Display trolley records for org_name {org_name} having trolley_remark {trolley_remark}</t>
  </si>
  <si>
    <t>Show trolley records for /org_name {org_name} having /trolley_remark {trolley_remark}</t>
  </si>
  <si>
    <t>trolley records for org name having trolley status</t>
  </si>
  <si>
    <t>SELECT ORG_NAME, BUYER, OA_NUMBER, SPLIT_LINE_IDENTIFIER, SBM_NUMBER, PARENT_ITEM_TYPE, PARENT_DESCRIPTION, TROLLEY_REMARK_NO, TROLLEY_REMARK, TROLLEY_DATE, BUYER_STATUS
FROM KPCL_REPORTING.BUYERWISE_OA_TROLLEY_STATUS
WHERE ORG_NAME LIKE '%{org_name}%'
  AND TROLLEY_REMARK LIKE '%{trolley_remark}%';</t>
  </si>
  <si>
    <t>org_name, trolley_remark</t>
  </si>
  <si>
    <t>View pending orders by organization.</t>
  </si>
  <si>
    <t>Show pending orders by organization.</t>
  </si>
  <si>
    <t xml:space="preserve">pending orders by organization </t>
  </si>
  <si>
    <t>SELECT 
    ORG_ID,
    ORG_NAME,
    COUNT(DISTINCT OA_NUMBER) AS PENDING_ORDERS_COUNT
FROM 
    KPCL_REPORTING.OA_TROLLEY_STATUS
GROUP BY 
    ORG_ID,
    ORG_NAME
ORDER BY 
    PENDING_ORDERS_COUNT DESC;</t>
  </si>
  <si>
    <t>Display oa_number {oa_number} for buyer {buyer}</t>
  </si>
  <si>
    <t>Show /oa_number {oa_number} for /buyer {buyer}</t>
  </si>
  <si>
    <t>oa number for buyer</t>
  </si>
  <si>
    <t>SELECT ORG_NAME, BUYER, OA_NUMBER, SPLIT_LINE_IDENTIFIER, SBM_NUMBER, PARENT_ITEM_TYPE, PARENT_DESCRIPTION, TROLLEY_REMARK_NO, TROLLEY_REMARK, TROLLEY_DATE, BUYER_STATUS
FROM KPCL_REPORTING.BUYERWISE_OA_TROLLEY_STATUS
WHERE OA_NUMBER LIKE '%{oa_number}%'
  AND BUYER LIKE '%{buyer}%';</t>
  </si>
  <si>
    <t>buyer, oa_number</t>
  </si>
  <si>
    <t>View organization wise orders.</t>
  </si>
  <si>
    <t>Show organization wise orders.</t>
  </si>
  <si>
    <t xml:space="preserve">organization wise orders </t>
  </si>
  <si>
    <t>SELECT 
    ORG_ID,
    ORG_NAME,
    COUNT(DISTINCT OA_NUMBER) AS TOTAL_ORDERS
FROM 
    KPCL_REPORTING.OA_TROLLEY_STATUS
GROUP BY 
    ORG_ID,
    ORG_NAME
ORDER BY 
    TOTAL_ORDERS DESC;</t>
  </si>
  <si>
    <t>View oa_number {oa_number} in org_name {org_name}.</t>
  </si>
  <si>
    <t>Show /oa_number {oa_number} in /org_name {org_name}</t>
  </si>
  <si>
    <t>oa number in org name</t>
  </si>
  <si>
    <t>SELECT ORG_NAME, BUYER, OA_NUMBER, SPLIT_LINE_IDENTIFIER, SBM_NUMBER, PARENT_ITEM_TYPE, PARENT_DESCRIPTION, TROLLEY_REMARK_NO, TROLLEY_REMARK, TROLLEY_DATE, BUYER_STATUS
FROM KPCL_REPORTING.BUYERWISE_OA_TROLLEY_STATUS
WHERE OA_NUMBER LIKE '%{oa_number}%'
  AND ORG_NAME LIKE '%{org_name}%';</t>
  </si>
  <si>
    <t>oa_number, org_name</t>
  </si>
  <si>
    <t>Display organization wise scheduled shipments.</t>
  </si>
  <si>
    <t>Show organization wise scheduled shipments.</t>
  </si>
  <si>
    <t xml:space="preserve">organization wise scheduled shipments </t>
  </si>
  <si>
    <t>SELECT 
    ORG_ID,
    ORG_NAME,
    COUNT(DISTINCT OA_NUMBER) AS TOTAL_SCHEDULED_ORDERS,
    MIN(SCHEDULE_SHIP_DATE) AS EARLIEST_SHIP_DATE,
    MAX(SCHEDULE_SHIP_DATE) AS LATEST_SHIP_DATE
FROM 
    KPCL_REPORTING.OA_TROLLEY_STATUS
WHERE 
    SCHEDULE_SHIP_DATE IS NOT NULL
GROUP BY 
    ORG_ID,
    ORG_NAME
ORDER BY 
    TOTAL_SCHEDULED_ORDERS DESC;</t>
  </si>
  <si>
    <t>View item_type {item_type} for buyer {buyer}</t>
  </si>
  <si>
    <t>Show /item_type {item_type} for /buyer {buyer}</t>
  </si>
  <si>
    <t>item type for buyer</t>
  </si>
  <si>
    <t>SELECT ORG_NAME, BUYER, OA_NUMBER, SPLIT_LINE_IDENTIFIER, SBM_NUMBER, PARENT_ITEM_TYPE, PARENT_DESCRIPTION, TROLLEY_REMARK_NO, TROLLEY_REMARK, TROLLEY_DATE, BUYER_STATUS
FROM KPCL_REPORTING.BUYERWISE_OA_TROLLEY_STATUS
WHERE PARENT_ITEM_TYPE LIKE '%{item_type}%'
  AND BUYER LIKE '%{buyer}%';</t>
  </si>
  <si>
    <t>View comparison of order values across customers within each organization.</t>
  </si>
  <si>
    <t>Compare order values across customers within each organization.</t>
  </si>
  <si>
    <t xml:space="preserve">order values across customers within each organization </t>
  </si>
  <si>
    <t>SELECT 
    ORG_ID,
    ORG_NAME,
    CUSTOMER_NAME,
    SUM(SELLING_PRICE) AS TOTAL_SELLING_PRICE,
    SUM(OA_QUANTITY) AS TOTAL_QUANTITY,
    COUNT(TROLLEY_STATUS_ID) AS TOTAL_TRACKED_ITEMS
FROM 
    KPCL_REPORTING.OA_TROLLEY_STATUS
GROUP BY 
    ORG_ID,
    ORG_NAME,
    CUSTOMER_NAME
ORDER BY 
    ORG_ID,
    TOTAL_SELLING_PRICE DESC;</t>
  </si>
  <si>
    <t>Show trolley updates between buyer {buyer} and buyer_status {buyer_status}</t>
  </si>
  <si>
    <t>Show trolley updates between /buyer {buyer} and /buyer_status {buyer_status}</t>
  </si>
  <si>
    <t>trolley updates between buyer and buyer status</t>
  </si>
  <si>
    <t>SELECT ORG_NAME, BUYER, OA_NUMBER, SPLIT_LINE_IDENTIFIER, SBM_NUMBER, PARENT_ITEM_TYPE, PARENT_DESCRIPTION, TROLLEY_REMARK_NO, TROLLEY_REMARK, TROLLEY_DATE, BUYER_STATUS
FROM KPCL_REPORTING.BUYERWISE_OA_TROLLEY_STATUS
WHERE BUYER LIKE '%{buyer}%'
  AND BUYER_STATUS LIKE '%{buyer_status}%';</t>
  </si>
  <si>
    <t>buyer, buyer_status</t>
  </si>
  <si>
    <t>View comparison of scheduled shipments across organizations.</t>
  </si>
  <si>
    <t>Compare scheduled shipments across organizations.</t>
  </si>
  <si>
    <t xml:space="preserve">scheduled shipments across organizations </t>
  </si>
  <si>
    <t>SELECT 
    ORG_ID,
    ORG_NAME,
    SCHEDULE_SHIP_DATE,
    COUNT(TROLLEY_STATUS_ID) AS TOTAL_ITEMS_SCHEDULED,
    SUM(OA_QUANTITY) AS TOTAL_QUANTITY,
    SUM(SELLING_PRICE) AS TOTAL_VALUATION,
    COUNT(DISTINCT OA_NUMBER) AS UNIQUE_ORDERS_COUNT
FROM 
    KPCL_REPORTING.OA_TROLLEY_STATUS
GROUP BY 
    ORG_ID,
    ORG_NAME,
    SCHEDULE_SHIP_DATE
ORDER BY 
    SCHEDULE_SHIP_DATE ASC,
    TOTAL_ITEMS_SCHEDULED DESC;</t>
  </si>
  <si>
    <t>View records for parent_item {parent_item} in org_name {org_name}</t>
  </si>
  <si>
    <t>Show records for /parent_item {parent_item} in /org_name {org_name}</t>
  </si>
  <si>
    <t>records for parent item in org name</t>
  </si>
  <si>
    <t>SELECT ORG_NAME, BUYER, OA_NUMBER, SPLIT_LINE_IDENTIFIER, SBM_NUMBER, PARENT_ITEM_TYPE, PARENT_DESCRIPTION, TROLLEY_REMARK_NO, TROLLEY_REMARK, TROLLEY_DATE, BUYER_STATUS
FROM KPCL_REPORTING.BUYERWISE_OA_TROLLEY_STATUS
WHERE SBM_NUMBER LIKE '%{parent_item}%'
  AND ORG_NAME LIKE '%{org_name}%';</t>
  </si>
  <si>
    <t>org_name, parent_item</t>
  </si>
  <si>
    <t>Show comparison of organization wise order quantities.</t>
  </si>
  <si>
    <t>Compare organization wise order quantities.</t>
  </si>
  <si>
    <t xml:space="preserve">organization wise order quantities </t>
  </si>
  <si>
    <t>SELECT 
    ORG_ID,
    ORG_NAME,
    SUM(OA_QUANTITY) AS TOTAL_ORDERED_QUANTITY,
    SUM(SELLING_PRICE) AS TOTAL_SELLING_PRICE,
    COUNT(DISTINCT OA_NUMBER) AS UNIQUE_ORDERS_COUNT,
    COUNT(TROLLEY_STATUS_ID) AS TOTAL_TRACKED_ITEMS
FROM 
    KPCL_REPORTING.OA_TROLLEY_STATUS
GROUP BY 
    ORG_ID,
    ORG_NAME
ORDER BY 
    TOTAL_ORDERED_QUANTITY DESC;</t>
  </si>
  <si>
    <t>Show records for item_description {item_description} in org_name {org_name}</t>
  </si>
  <si>
    <t>Show records for /item_description {item_description} in /org_name {org_name}</t>
  </si>
  <si>
    <t>records for item description in org name</t>
  </si>
  <si>
    <t>SELECT ORG_NAME, BUYER, OA_NUMBER, SPLIT_LINE_IDENTIFIER, SBM_NUMBER, PARENT_ITEM_TYPE, PARENT_DESCRIPTION, TROLLEY_REMARK_NO, TROLLEY_REMARK, TROLLEY_DATE, BUYER_STATUS
FROM KPCL_REPORTING.BUYERWISE_OA_TROLLEY_STATUS
WHERE PARENT_DESCRIPTION LIKE '%{item_description}%'
  AND ORG_NAME LIKE '%{org_name}%';</t>
  </si>
  <si>
    <t>org_name, item_description</t>
  </si>
  <si>
    <t>Display organization has the highest number of orders.</t>
  </si>
  <si>
    <t>Which organization has the highest number of orders?</t>
  </si>
  <si>
    <t xml:space="preserve">organization has the highest number of orders </t>
  </si>
  <si>
    <t>SELECT 
    ORG_NAME,
    COUNT(DISTINCT OA_NUMBER) AS TOTAL_ORDERS,
    SUM(SELLING_PRICE) AS TOTAL_ORDER_VALUE
FROM 
    KPCL_REPORTING.OA_TROLLEY_STATUS
WHERE 
    ORG_NAME IS NOT NULL
GROUP BY 
    ORG_NAME
ORDER BY 
    TOTAL_ORDERS DESC
FETCH FIRST 1 ROWS ONLY;</t>
  </si>
  <si>
    <t>Display trolley records updated on trolley date for date {date} with trolley_remark {trolley_remark}</t>
  </si>
  <si>
    <t>Show trolley records updated on trolley date for /date {date} with /trolley_remark {trolley_remark}.</t>
  </si>
  <si>
    <t>trolley records updated on trolley date for date with trolley status</t>
  </si>
  <si>
    <t>SELECT ORG_NAME, BUYER, OA_NUMBER, SPLIT_LINE_IDENTIFIER, SBM_NUMBER, PARENT_ITEM_TYPE, PARENT_DESCRIPTION, TROLLEY_REMARK_NO, TROLLEY_REMARK, TROLLEY_DATE, BUYER_STATUS
FROM KPCL_REPORTING.BUYERWISE_OA_TROLLEY_STATUS
WHERE TRUNC(TROLLEY_DATE) = TO_DATE('{date}', 'DD-MM-YY')
  AND TROLLEY_REMARK LIKE '%{trolley_remark}%';</t>
  </si>
  <si>
    <t>date, trolley_remark</t>
  </si>
  <si>
    <t>Show organization contributes the highest order value.</t>
  </si>
  <si>
    <t>Which organization contributes the highest order value?</t>
  </si>
  <si>
    <t xml:space="preserve">organization contributes the highest order value </t>
  </si>
  <si>
    <t>Show trolley records for buyer_status {buyer_status} on trolley date for date {date}</t>
  </si>
  <si>
    <t>SELECT 
    ORG_NAME,
    SUM(SELLING_PRICE) AS TOTAL_ORDER_VALUE,
    COUNT(DISTINCT OA_NUMBER) AS TOTAL_ORDERS
FROM 
    KPCL_REPORTING.OA_TROLLEY_STATUS
WHERE 
    ORG_NAME IS NOT NULL
GROUP BY 
    ORG_NAME
ORDER BY 
    TOTAL_ORDER_VALUE DESC
FETCH FIRST 1 ROWS ONLY;</t>
  </si>
  <si>
    <t>Show trolley records for /buyer_status {buyer_status} on trolley date for /date {date}.</t>
  </si>
  <si>
    <t>trolley records for buyer status on trolley date for date</t>
  </si>
  <si>
    <t>SELECT ORG_NAME, BUYER, OA_NUMBER, SPLIT_LINE_IDENTIFIER, SBM_NUMBER, PARENT_ITEM_TYPE, PARENT_DESCRIPTION, TROLLEY_REMARK_NO, TROLLEY_REMARK, TROLLEY_DATE, BUYER_STATUS
FROM KPCL_REPORTING.BUYERWISE_OA_TROLLEY_STATUS
WHERE BUYER_STATUS LIKE '%{buyer_status}%'
  AND TRUNC(TROLLEY_DATE) = TO_DATE('{date}', 'DD-MM-YY');</t>
  </si>
  <si>
    <t>buyer_status, date</t>
  </si>
  <si>
    <t>Show parent description appears most frequently.</t>
  </si>
  <si>
    <t>Which parent description appears most frequently?</t>
  </si>
  <si>
    <t xml:space="preserve">item description appears most frequently </t>
  </si>
  <si>
    <t>SELECT 
    PARENT_DESCRIPTION,
    COUNT(*) AS FREQUENCY
FROM 
    KPCL_REPORTING.OA_TROLLEY_STATUS
WHERE 
    PARENT_DESCRIPTION IS NOT NULL
GROUP BY 
    PARENT_DESCRIPTION
ORDER BY 
    FREQUENCY DESC
FETCH FIRST 1 ROWS ONLY;</t>
  </si>
  <si>
    <t>Display OA / Order Numbers with buyer Status {buyer_status} for buyer {buyer}</t>
  </si>
  <si>
    <t>Show OA / Order Numbers with /buyer_status {buyer_status} for /buyer {buyer}</t>
  </si>
  <si>
    <t>OA / Order Numbers with buyer status for buyer</t>
  </si>
  <si>
    <t>SELECT DISTINCT OA_NUMBER, BUYER, BUYER_STATUS, ORG_NAME, TROLLEY_REMARK
FROM KPCL_REPORTING.BUYERWISE_OA_TROLLEY_STATUS
WHERE BUYER LIKE '%{buyer}%'
  AND BUYER_STATUS LIKE '%{buyer_status}%'
  AND OA_NUMBER IS NOT NULL;</t>
  </si>
  <si>
    <t>View orders by parent description.</t>
  </si>
  <si>
    <t>Show orders by parent description.</t>
  </si>
  <si>
    <t xml:space="preserve">orders by item description </t>
  </si>
  <si>
    <t>SELECT 
    PARENT_DESCRIPTION,
    PARENT_ITEM_TYPE,
    COUNT(DISTINCT OA_NUMBER) AS UNIQUE_ORDERS_COUNT,
    COUNT(TROLLEY_STATUS_ID) AS TOTAL_TRACKED_ITEMS,
    SUM(OA_QUANTITY) AS TOTAL_ORDERED_QUANTITY,
    SUM(SELLING_PRICE) AS TOTAL_SELLING_PRICE
FROM 
    KPCL_REPORTING.OA_TROLLEY_STATUS
GROUP BY 
    PARENT_DESCRIPTION,
    PARENT_ITEM_TYPE
ORDER BY 
    TOTAL_SELLING_PRICE DESC;</t>
  </si>
  <si>
    <t>Display parent items with trolley_remark {trolley_remark} in org_name {org_name}</t>
  </si>
  <si>
    <t>Show parent items with /trolley_remark {trolley_remark} in /org_name {org_name}</t>
  </si>
  <si>
    <t>parent items with trolley status in org name</t>
  </si>
  <si>
    <t>SELECT ORG_NAME, BUYER, OA_NUMBER, SPLIT_LINE_IDENTIFIER, SBM_NUMBER, PARENT_ITEM_TYPE, PARENT_DESCRIPTION, TROLLEY_REMARK_NO, TROLLEY_REMARK, TROLLEY_DATE, BUYER_STATUS
FROM KPCL_REPORTING.BUYERWISE_OA_TROLLEY_STATUS
WHERE ORG_NAME LIKE '%{org_name}%'
  AND TROLLEY_REMARK LIKE '%{trolley_remark}%';</t>
  </si>
  <si>
    <t>Show buyer wise trolley records for item_type {item_type}</t>
  </si>
  <si>
    <t>Show item type has the highest number of orders.</t>
  </si>
  <si>
    <t>Show buyer wise trolley records for /item_type {item_type}</t>
  </si>
  <si>
    <t>Which item type has the highest number of orders?</t>
  </si>
  <si>
    <t>buyer wise trolley records for item type</t>
  </si>
  <si>
    <t xml:space="preserve">parent type has the highest number of orders </t>
  </si>
  <si>
    <t>SELECT ORG_NAME, BUYER, OA_NUMBER, SPLIT_LINE_IDENTIFIER, SBM_NUMBER, PARENT_ITEM_TYPE, PARENT_DESCRIPTION, TROLLEY_REMARK_NO, TROLLEY_REMARK, TROLLEY_DATE, BUYER_STATUS
FROM KPCL_REPORTING.BUYERWISE_OA_TROLLEY_STATUS
WHERE PARENT_ITEM_TYPE LIKE '%{item_type}%';</t>
  </si>
  <si>
    <t>SELECT 
    PARENT_ITEM_TYPE,
    COUNT(DISTINCT OA_NUMBER) AS TOTAL_ORDERS
FROM 
    KPCL_REPORTING.OA_TROLLEY_STATUS
WHERE 
    PARENT_ITEM_TYPE IS NOT NULL
GROUP BY 
    PARENT_ITEM_TYPE
ORDER BY 
    TOTAL_ORDERS DESC
FETCH FIRST 1 ROWS ONLY;</t>
  </si>
  <si>
    <t>Show trolley records for oa_number {oa_number} having trolley_remark {trolley_remark}</t>
  </si>
  <si>
    <t>Show trolley records for /oa_number {oa_number} having /trolley_remark {trolley_remark}</t>
  </si>
  <si>
    <t>trolley records for oa number having trolley status</t>
  </si>
  <si>
    <t>SELECT ORG_NAME, BUYER, OA_NUMBER, SPLIT_LINE_IDENTIFIER, SBM_NUMBER, PARENT_ITEM_TYPE, PARENT_DESCRIPTION, TROLLEY_REMARK_NO, TROLLEY_REMARK, TROLLEY_DATE, BUYER_STATUS
FROM KPCL_REPORTING.BUYERWISE_OA_TROLLEY_STATUS
WHERE OA_NUMBER LIKE '%{oa_number}%'
  AND TROLLEY_REMARK LIKE '%{trolley_remark}%';</t>
  </si>
  <si>
    <t>oa_number, trolley_remark</t>
  </si>
  <si>
    <t>Show product group wise order value.</t>
  </si>
  <si>
    <t xml:space="preserve">product group wise order value </t>
  </si>
  <si>
    <t>SELECT 
    PG AS PRODUCT_GROUP,
    COUNT(DISTINCT OA_NUMBER) AS TOTAL_ORDERS,
    SUM(SELLING_PRICE) AS TOTAL_ORDER_VALUE
FROM 
    KPCL_REPORTING.OA_TROLLEY_STATUS
GROUP BY 
    PG
ORDER BY 
    TOTAL_ORDER_VALUE DESC;</t>
  </si>
  <si>
    <t>View trolley details for buyer {buyer} in org_name {org_name} with trolley_remark {trolley_remark}</t>
  </si>
  <si>
    <t>Show trolley details for /buyer {buyer} in /org_name {org_name} with /trolley_remark {trolley_remark}</t>
  </si>
  <si>
    <t>trolley details for buyer in org name with trolley status</t>
  </si>
  <si>
    <t>SELECT ORG_NAME, BUYER, OA_NUMBER, SPLIT_LINE_IDENTIFIER, SBM_NUMBER, PARENT_ITEM_TYPE, PARENT_DESCRIPTION, TROLLEY_REMARK_NO, TROLLEY_REMARK, TROLLEY_DATE, BUYER_STATUS
FROM KPCL_REPORTING.BUYERWISE_OA_TROLLEY_STATUS
WHERE BUYER LIKE '%{buyer}%'
  AND ORG_NAME LIKE '%{org_name}%'
  AND TROLLEY_REMARK LIKE '%{trolley_remark}%';</t>
  </si>
  <si>
    <t>buyer, org_name, trolley_remark</t>
  </si>
  <si>
    <t>Show product group wise scheduled shipments.</t>
  </si>
  <si>
    <t>Display oa_number {oa_number} handled by buyer {buyer} in org_name {org_name}</t>
  </si>
  <si>
    <t>Show /oa_number {oa_number} handled by /buyer {buyer} in /org_name {org_name}</t>
  </si>
  <si>
    <t xml:space="preserve">product group wise scheduled shipments </t>
  </si>
  <si>
    <t>oa number handled by buyer in org name</t>
  </si>
  <si>
    <t>SELECT ORG_NAME, BUYER, OA_NUMBER, SPLIT_LINE_IDENTIFIER, SBM_NUMBER, PARENT_ITEM_TYPE, PARENT_DESCRIPTION, TROLLEY_REMARK_NO, TROLLEY_REMARK, TROLLEY_DATE, BUYER_STATUS
FROM KPCL_REPORTING.BUYERWISE_OA_TROLLEY_STATUS
WHERE OA_NUMBER LIKE '%{oa_number}%'
  AND BUYER LIKE '%{buyer}%'
  AND ORG_NAME LIKE '%{org_name}%';</t>
  </si>
  <si>
    <t>SELECT 
    PG AS PRODUCT_GROUP,
    COUNT(DISTINCT OA_NUMBER) AS TOTAL_SCHEDULED_ORDERS,
    MIN(SCHEDULE_SHIP_DATE) AS EARLIEST_SHIP_DATE,
    MAX(SCHEDULE_SHIP_DATE) AS LATEST_SHIP_DATE
FROM 
    KPCL_REPORTING.OA_TROLLEY_STATUS
WHERE 
    SCHEDULE_SHIP_DATE IS NOT NULL
GROUP BY 
    PG
ORDER BY 
    TOTAL_SCHEDULED_ORDERS DESC;</t>
  </si>
  <si>
    <t>buyer, oa_number, org_name</t>
  </si>
  <si>
    <t>Show parent_item {parent_item} handled by buyer {buyer} with buyer_status {buyer_status}</t>
  </si>
  <si>
    <t>Show /parent_item {parent_item} handled by /buyer {buyer} with /buyer_status {buyer_status}</t>
  </si>
  <si>
    <t>parent item handled by buyer with buyer status</t>
  </si>
  <si>
    <t>View orders grouped by product group.</t>
  </si>
  <si>
    <t>Show orders grouped by product group.</t>
  </si>
  <si>
    <t>SELECT ORG_NAME, BUYER, OA_NUMBER, SPLIT_LINE_IDENTIFIER, SBM_NUMBER, PARENT_ITEM_TYPE, PARENT_DESCRIPTION, TROLLEY_REMARK_NO, TROLLEY_REMARK, TROLLEY_DATE, BUYER_STATUS
FROM KPCL_REPORTING.BUYERWISE_OA_TROLLEY_STATUS
WHERE SBM_NUMBER LIKE '%{parent_item}%'
  AND BUYER LIKE '%{buyer}%'
  AND BUYER_STATUS LIKE '%{buyer_status}%';</t>
  </si>
  <si>
    <t>buyer, buyer_status, parent_item</t>
  </si>
  <si>
    <t xml:space="preserve">orders grouped by product group </t>
  </si>
  <si>
    <t>SELECT 
    PG AS PRODUCT_GROUP,
    COUNT(DISTINCT OA_NUMBER) AS UNIQUE_ORDERS_COUNT,
    COUNT(TROLLEY_STATUS_ID) AS TOTAL_TRACKED_ITEMS,
    SUM(OA_QUANTITY) AS TOTAL_ORDERED_QUANTITY,
    SUM(SELLING_PRICE) AS TOTAL_SELLING_PRICE,
    MIN(ORDER_DATE) AS EARLIEST_ORDER_DATE,
    MAX(LAST_UPDATE_DATE) AS LATEST_ACTIVITY_DATE
FROM 
    KPCL_REPORTING.OA_TROLLEY_STATUS
GROUP BY 
    PG
ORDER BY 
    TOTAL_SELLING_PRICE DESC;</t>
  </si>
  <si>
    <t>View item_description {item_description} for buyer {buyer} having trolley_remark {trolley_remark}</t>
  </si>
  <si>
    <t>Show item_description {item_description} for /buyer {buyer} having /trolley_remark {trolley_remark}</t>
  </si>
  <si>
    <t>item description for buyer having trolley status</t>
  </si>
  <si>
    <t>SELECT ORG_NAME, BUYER, OA_NUMBER, SPLIT_LINE_IDENTIFIER, SBM_NUMBER, PARENT_ITEM_TYPE, PARENT_DESCRIPTION, TROLLEY_REMARK_NO, TROLLEY_REMARK, TROLLEY_DATE, BUYER_STATUS
FROM KPCL_REPORTING.BUYERWISE_OA_TROLLEY_STATUS
WHERE PARENT_DESCRIPTION LIKE '%{item_description}%'
  AND BUYER LIKE '%{buyer}%'
  AND TROLLEY_REMARK LIKE '%{trolley_remark}%';</t>
  </si>
  <si>
    <t>buyer, item_description, trolley_remark</t>
  </si>
  <si>
    <t>Display product group has the largest ordered quantity.</t>
  </si>
  <si>
    <t>Which product group has the largest ordered quantity?</t>
  </si>
  <si>
    <t xml:space="preserve">product group has the largest ordered quantity </t>
  </si>
  <si>
    <t>SELECT 
    PG AS PRODUCT_GROUP,
    SUM(OA_QUANTITY) AS TOTAL_ORDERED_QUANTITY,
    COUNT(DISTINCT OA_NUMBER) AS TOTAL_ORDERS
FROM 
    KPCL_REPORTING.OA_TROLLEY_STATUS
WHERE 
    PG IS NOT NULL
GROUP BY 
    PG
ORDER BY 
    TOTAL_ORDERED_QUANTITY DESC
FETCH FIRST 1 ROWS ONLY;</t>
  </si>
  <si>
    <t>Display trolley records for org_name {org_name} on trolley date for date {date} having buyer_status {buyer_status}</t>
  </si>
  <si>
    <t>Show trolley records for /org_name {org_name} on  trolley date for /date {date} having /buyer_status {buyer_status}.</t>
  </si>
  <si>
    <t>trolley records for org name on trolley date for date having buyer status</t>
  </si>
  <si>
    <t>SELECT ORG_NAME, BUYER, OA_NUMBER, SPLIT_LINE_IDENTIFIER, SBM_NUMBER, PARENT_ITEM_TYPE, PARENT_DESCRIPTION, TROLLEY_REMARK_NO, TROLLEY_REMARK, TROLLEY_DATE, BUYER_STATUS
FROM KPCL_REPORTING.BUYERWISE_OA_TROLLEY_STATUS
WHERE ORG_NAME LIKE '%{org_name}%'
  AND TRUNC(TROLLEY_DATE) = TO_DATE('{date}', 'DD-MM-YY')
  AND BUYER_STATUS LIKE '%{buyer_status}%';</t>
  </si>
  <si>
    <t>buyer_status, org_name, date</t>
  </si>
  <si>
    <t>Display product group has the highest order value.</t>
  </si>
  <si>
    <t>Which product group has the highest order value?</t>
  </si>
  <si>
    <t xml:space="preserve">product group has the highest order value </t>
  </si>
  <si>
    <t>SELECT 
    PG AS PRODUCT_GROUP,
    SUM(SELLING_PRICE) AS TOTAL_ORDER_VALUE,
    COUNT(DISTINCT OA_NUMBER) AS TOTAL_ORDERS
FROM 
    KPCL_REPORTING.OA_TROLLEY_STATUS
WHERE 
    PG IS NOT NULL
GROUP BY 
    PG
ORDER BY 
    TOTAL_ORDER_VALUE DESC
FETCH FIRST 1 ROWS ONLY;</t>
  </si>
  <si>
    <t>Show trolley records for buyer {buyer} on trolley date for date {date} with trolley_remark {trolley_remark}</t>
  </si>
  <si>
    <t>Show trolley records for /buyer {buyer} on  trolley date for /date {date} with /trolley_remark {trolley_remark}.</t>
  </si>
  <si>
    <t>trolley records for buyer on trolley date for date with trolley status</t>
  </si>
  <si>
    <t>SELECT ORG_NAME, BUYER, OA_NUMBER, SPLIT_LINE_IDENTIFIER, SBM_NUMBER, PARENT_ITEM_TYPE, PARENT_DESCRIPTION, TROLLEY_REMARK_NO, TROLLEY_REMARK, TROLLEY_DATE, BUYER_STATUS
FROM KPCL_REPORTING.BUYERWISE_OA_TROLLEY_STATUS
WHERE BUYER LIKE '%{buyer}%'
  AND TRUNC(TROLLEY_DATE) = TO_DATE('{date}', 'DD-MM-YY')
  AND TROLLEY_REMARK LIKE '%{trolley_remark}%';</t>
  </si>
  <si>
    <t>buyer, date, trolley_remark</t>
  </si>
  <si>
    <t>Display product group contributes the highest revenue.</t>
  </si>
  <si>
    <t>Which product group contributes the highest revenue?</t>
  </si>
  <si>
    <t xml:space="preserve">product group contributes the highest revenue </t>
  </si>
  <si>
    <t>SELECT 
    PG AS PRODUCT_GROUP,
    SUM(SELLING_PRICE) AS TOTAL_REVENUE,
    COUNT(DISTINCT OA_NUMBER) AS TOTAL_ORDERS
FROM 
    KPCL_REPORTING.OA_TROLLEY_STATUS
WHERE 
    PG IS NOT NULL
GROUP BY 
    PG
ORDER BY 
    TOTAL_REVENUE DESC
FETCH FIRST 1 ROWS ONLY;</t>
  </si>
  <si>
    <t>Show oa_number {oa_number} with buyer_status {buyer_status} for buyer {buyer}</t>
  </si>
  <si>
    <t>Show /oa_number {oa_number} with /buyer_status {buyer_status} for /buyer {buyer}</t>
  </si>
  <si>
    <t>oa number with buyer status for buyer</t>
  </si>
  <si>
    <t>SELECT ORG_NAME, BUYER, OA_NUMBER, SPLIT_LINE_IDENTIFIER, SBM_NUMBER, PARENT_ITEM_TYPE, PARENT_DESCRIPTION, TROLLEY_REMARK_NO, TROLLEY_REMARK, TROLLEY_DATE, BUYER_STATUS
FROM KPCL_REPORTING.BUYERWISE_OA_TROLLEY_STATUS
WHERE OA_NUMBER LIKE '%{oa_number}%'
  AND BUYER_STATUS LIKE '%{buyer_status}%'
  AND BUYER LIKE '%{buyer}%';</t>
  </si>
  <si>
    <t>buyer, buyer_status, oa_number</t>
  </si>
  <si>
    <t>Display comparison of order values across product groups.</t>
  </si>
  <si>
    <t>Compare order values across product groups.</t>
  </si>
  <si>
    <t xml:space="preserve">order values across product groups </t>
  </si>
  <si>
    <t>SELECT 
    PG,
    SUM(SELLING_PRICE) AS TOTAL_SELLING_PRICE,
    SUM(OA_QUANTITY) AS TOTAL_QUANTITY,
    COUNT(TROLLEY_STATUS_ID) AS TOTAL_TRACKED_ITEMS
FROM 
    KPCL_REPORTING.OA_TROLLEY_STATUS
GROUP BY 
    PG
ORDER BY 
    TOTAL_SELLING_PRICE DESC;</t>
  </si>
  <si>
    <t>Show trolley records for item_type {item_type} in org_name {org_name} handled by buyer {buyer}</t>
  </si>
  <si>
    <t>Show trolley records for /item_type {item_type} in /org_name {org_name} handled by /buyer {buyer}</t>
  </si>
  <si>
    <t>trolley records for Parent Item Type in org name handled by buyer</t>
  </si>
  <si>
    <t>SELECT ORG_NAME, BUYER, OA_NUMBER, SPLIT_LINE_IDENTIFIER, SBM_NUMBER, PARENT_ITEM_TYPE, PARENT_DESCRIPTION, TROLLEY_REMARK_NO, TROLLEY_REMARK, TROLLEY_DATE, BUYER_STATUS
FROM KPCL_REPORTING.BUYERWISE_OA_TROLLEY_STATUS
WHERE PARENT_ITEM_TYPE LIKE '%{item_type}%'
  AND ORG_NAME LIKE '%{org_name}%'
  AND BUYER LIKE '%{buyer}%';</t>
  </si>
  <si>
    <t>buyer, org_name, item_type</t>
  </si>
  <si>
    <t>View orders by planning month.</t>
  </si>
  <si>
    <t>Show orders by planning month.</t>
  </si>
  <si>
    <t xml:space="preserve">orders by month </t>
  </si>
  <si>
    <t>SELECT 
    PLANNING_MONTH,
    COUNT(DISTINCT OA_NUMBER) AS UNIQUE_ORDERS_COUNT,
    COUNT(TROLLEY_STATUS_ID) AS TOTAL_TRACKED_ITEMS,
    SUM(OA_QUANTITY) AS TOTAL_ORDERED_QUANTITY,
    SUM(SELLING_PRICE) AS TOTAL_SELLING_PRICE,
    AVG(PLANNING_DAYS) AS AVG_PLANNING_DAYS
FROM 
    KPCL_REPORTING.OA_TROLLEY_STATUS
GROUP BY 
    PLANNING_MONTH
ORDER BY 
    PLANNING_MONTH ASC;</t>
  </si>
  <si>
    <t>Display parent_item {parent_item} in org_name{org_name} having trolley_remark {trolley_remark}</t>
  </si>
  <si>
    <t>Show /parent_item {parent_item} in /org_name {org_name} having /trolley_remark {trolley_remark}</t>
  </si>
  <si>
    <t>parent item in org name having trolley status</t>
  </si>
  <si>
    <t>SELECT ORG_NAME, BUYER, OA_NUMBER, SPLIT_LINE_IDENTIFIER, SBM_NUMBER, PARENT_ITEM_TYPE, PARENT_DESCRIPTION, TROLLEY_REMARK_NO, TROLLEY_REMARK, TROLLEY_DATE, BUYER_STATUS
FROM KPCL_REPORTING.BUYERWISE_OA_TROLLEY_STATUS
WHERE SBM_NUMBER LIKE '%{parent_item}%'
  AND ORG_NAME LIKE '%{org_name}%'
  AND TROLLEY_REMARK LIKE '%{trolley_remark}%';</t>
  </si>
  <si>
    <t>org_name, parent_item, trolley_remark</t>
  </si>
  <si>
    <t>Display comparison of planning month wise order values.</t>
  </si>
  <si>
    <t>Compare planning month wise order values.</t>
  </si>
  <si>
    <t xml:space="preserve">month wise order values </t>
  </si>
  <si>
    <t>SELECT 
    PLANNING_MONTH,
    SUM(SELLING_PRICE) AS TOTAL_SELLING_PRICE,
    SUM(OA_QUANTITY) AS TOTAL_QUANTITY,
    AVG(PLANNING_DAYS) AS AVERAGE_PLANNING_DAYS,
    COUNT(DISTINCT OA_NUMBER) AS UNIQUE_ORDERS_COUNT,
    COUNT(TROLLEY_STATUS_ID) AS TOTAL_TRACKED_ITEMS
FROM 
    KPCL_REPORTING.OA_TROLLEY_STATUS
GROUP BY 
    PLANNING_MONTH
ORDER BY 
    PLANNING_MONTH ASC;</t>
  </si>
  <si>
    <t>Display pending orders by product model.</t>
  </si>
  <si>
    <t>Show pending orders by product model.</t>
  </si>
  <si>
    <t xml:space="preserve">pending orders by product model </t>
  </si>
  <si>
    <t>Display item_description {item_description} in org_name {org_name} with buyer_status {buyer_status}</t>
  </si>
  <si>
    <t>SELECT 
    PRODUCT_MODEL,
    COUNT(DISTINCT OA_NUMBER) AS PENDING_ORDERS_COUNT
FROM 
    KPCL_REPORTING.OA_TROLLEY_STATUS
WHERE 
    OA_STATUS = 2
GROUP BY 
    PRODUCT_MODEL
ORDER BY 
    PENDING_ORDERS_COUNT DESC;</t>
  </si>
  <si>
    <t>Show /item_description {item_description} in /org_name {org_name} with /buyer_status {buyer_status}</t>
  </si>
  <si>
    <t>item description in org name with buyer trolley status</t>
  </si>
  <si>
    <t>SELECT ORG_NAME, BUYER, OA_NUMBER, SPLIT_LINE_IDENTIFIER, SBM_NUMBER, PARENT_ITEM_TYPE, PARENT_DESCRIPTION, TROLLEY_REMARK_NO, TROLLEY_REMARK, TROLLEY_DATE, BUYER_STATUS
FROM KPCL_REPORTING.BUYERWISE_OA_TROLLEY_STATUS
WHERE PARENT_DESCRIPTION LIKE '%{item_description}%'
  AND ORG_NAME LIKE '%{org_name}%'
  AND BUYER_STATUS LIKE '%{buyer_status}%';</t>
  </si>
  <si>
    <t>buyer_status, org_name, item_description</t>
  </si>
  <si>
    <t>View product model wise order value.</t>
  </si>
  <si>
    <t>Show product model wise order value.</t>
  </si>
  <si>
    <t>Show oa_number {oa_number} updated on trolley date for date {date} by buyer {buyer}</t>
  </si>
  <si>
    <t xml:space="preserve">product model wise order value </t>
  </si>
  <si>
    <t>Show /oa_number {oa_number} updated on trolley date for /date {date} by /buyer {buyer}.</t>
  </si>
  <si>
    <t>SELECT 
    PRODUCT_MODEL,
    COUNT(DISTINCT OA_NUMBER) AS TOTAL_ORDERS,
    SUM(SELLING_PRICE) AS TOTAL_ORDER_VALUE
FROM 
    KPCL_REPORTING.OA_TROLLEY_STATUS
GROUP BY 
    PRODUCT_MODEL
ORDER BY 
    TOTAL_ORDER_VALUE DESC;</t>
  </si>
  <si>
    <t>oa number updated on trolley date for date by buyer</t>
  </si>
  <si>
    <t>SELECT ORG_NAME, BUYER, OA_NUMBER, SPLIT_LINE_IDENTIFIER, SBM_NUMBER, PARENT_ITEM_TYPE, PARENT_DESCRIPTION, TROLLEY_REMARK_NO, TROLLEY_REMARK, TROLLEY_DATE, BUYER_STATUS
FROM KPCL_REPORTING.BUYERWISE_OA_TROLLEY_STATUS
WHERE OA_NUMBER LIKE '%{oa_number}%'
  AND TRUNC(TROLLEY_DATE) = TO_DATE('{date}', 'DD-MM-YY')
  AND BUYER LIKE '%{buyer}%';</t>
  </si>
  <si>
    <t>buyer, oa_number, date</t>
  </si>
  <si>
    <t>View trolley records for item_type {item_type} having trolley_remark {trolley_remark} in org_name {org_name}</t>
  </si>
  <si>
    <t>Show trolley records for /item_type {item_type} having /trolley_remark {trolley_remark} in /org_name {org_name}</t>
  </si>
  <si>
    <t>trolley records for item type having trolley status in org name</t>
  </si>
  <si>
    <t>SELECT ORG_NAME, BUYER, OA_NUMBER, SPLIT_LINE_IDENTIFIER, SBM_NUMBER, PARENT_ITEM_TYPE, PARENT_DESCRIPTION, TROLLEY_REMARK_NO, TROLLEY_REMARK, TROLLEY_DATE, BUYER_STATUS
FROM KPCL_REPORTING.BUYERWISE_OA_TROLLEY_STATUS
WHERE PARENT_ITEM_TYPE LIKE '%{item_type}%'
  AND TROLLEY_REMARK LIKE '%{trolley_remark}%'
  AND ORG_NAME LIKE '%{org_name}%';</t>
  </si>
  <si>
    <t>View product model wise scheduled shipments.</t>
  </si>
  <si>
    <t>org_name, item_type, trolley_remark</t>
  </si>
  <si>
    <t>Show product model wise scheduled shipments.</t>
  </si>
  <si>
    <t xml:space="preserve">product model wise scheduled shipments </t>
  </si>
  <si>
    <t>SELECT 
    PRODUCT_MODEL,
    COUNT(DISTINCT OA_NUMBER) AS TOTAL_SCHEDULED_ORDERS,
    MIN(SCHEDULE_SHIP_DATE) AS EARLIEST_SHIP_DATE,
    MAX(SCHEDULE_SHIP_DATE) AS LATEST_SHIP_DATE
FROM 
    KPCL_REPORTING.OA_TROLLEY_STATUS
WHERE 
    SCHEDULE_SHIP_DATE IS NOT NULL
GROUP BY 
    PRODUCT_MODEL
ORDER BY 
    TOTAL_SCHEDULED_ORDERS DESC;</t>
  </si>
  <si>
    <t>Show buyer {buyer} records for parent_item {parent_item} on trolley date for date {date}</t>
  </si>
  <si>
    <t>Show /buyer {buyer} records for /parent_item {parent_item} on trolley date for /date {date}.</t>
  </si>
  <si>
    <t>buyer records for parent item on trolley date for date</t>
  </si>
  <si>
    <t>SELECT ORG_NAME, BUYER, OA_NUMBER, SPLIT_LINE_IDENTIFIER, SBM_NUMBER, PARENT_ITEM_TYPE, PARENT_DESCRIPTION, TROLLEY_REMARK_NO, TROLLEY_REMARK, TROLLEY_DATE, BUYER_STATUS
FROM KPCL_REPORTING.BUYERWISE_OA_TROLLEY_STATUS
WHERE BUYER LIKE '%{buyer}%'
  AND SBM_NUMBER LIKE '%{parent_item}%'
  AND TRUNC(TROLLEY_DATE) = TO_DATE('{date}', 'DD-MM-YY');</t>
  </si>
  <si>
    <t>buyer, parent_item, date</t>
  </si>
  <si>
    <t>Display orders grouped by product model.</t>
  </si>
  <si>
    <t>Show orders grouped by product model.</t>
  </si>
  <si>
    <t xml:space="preserve">orders grouped by product model </t>
  </si>
  <si>
    <t>SELECT 
    PRODUCT_MODEL,
    PG AS PRODUCT_GROUP,
    COUNT(DISTINCT OA_NUMBER) AS UNIQUE_ORDERS_COUNT,
    COUNT(TROLLEY_STATUS_ID) AS TOTAL_TRACKED_ITEMS,
    SUM(OA_QUANTITY) AS TOTAL_ORDERED_QUANTITY,
    SUM(SELLING_PRICE) AS TOTAL_SELLING_PRICE,
    MIN(ORDER_DATE) AS EARLIEST_ORDER_DATE,
    MAX(LAST_UPDATE_DATE) AS LATEST_ACTIVITY_DATE
FROM 
    KPCL_REPORTING.OA_TROLLEY_STATUS
GROUP BY 
    PRODUCT_MODEL,
    PG
ORDER BY 
    TOTAL_SELLING_PRICE DESC;</t>
  </si>
  <si>
    <t>Display oa_number {oa_number} for item_description {item_description} handled by buyer {buyer}</t>
  </si>
  <si>
    <t>Show /oa_number {oa_number} for /item_description {item_description} handled by /buyer {buyer}</t>
  </si>
  <si>
    <t>oa number for item description handled by buyer</t>
  </si>
  <si>
    <t>SELECT ORG_NAME, BUYER, OA_NUMBER, SPLIT_LINE_IDENTIFIER, SBM_NUMBER, PARENT_ITEM_TYPE, PARENT_DESCRIPTION, TROLLEY_REMARK_NO, TROLLEY_REMARK, TROLLEY_DATE, BUYER_STATUS
FROM KPCL_REPORTING.BUYERWISE_OA_TROLLEY_STATUS
WHERE OA_NUMBER LIKE '%{oa_number}%'
  AND PARENT_DESCRIPTION LIKE '%{item_description}%'
  AND BUYER LIKE '%{buyer}%';</t>
  </si>
  <si>
    <t>buyer, oa_number, item_description</t>
  </si>
  <si>
    <t>View comparison of inspection norm usage across product models.</t>
  </si>
  <si>
    <t>Compare inspection norm usage across product models.</t>
  </si>
  <si>
    <t xml:space="preserve">inspection norm usage across product models </t>
  </si>
  <si>
    <t>SELECT 
    PRODUCT_MODEL,
    PG,
    INSPECTION_NORM,
    COUNT(TROLLEY_STATUS_ID) AS TOTAL_ITEMS,
    SUM(OA_QUANTITY) AS TOTAL_QUANTITY
FROM 
    KPCL_REPORTING.OA_TROLLEY_STATUS
GROUP BY 
    PRODUCT_MODEL, 
    PG,
    INSPECTION_NORM
ORDER BY 
    PRODUCT_MODEL, 
    TOTAL_ITEMS DESC;</t>
  </si>
  <si>
    <t>Display sbm numbers are assigned to each buyer?</t>
  </si>
  <si>
    <t>Which sbm numbers are assigned to each buyer?</t>
  </si>
  <si>
    <t>sbm numbers are assigned to each buyer</t>
  </si>
  <si>
    <t>Display comparison of ordered quantities across product models.</t>
  </si>
  <si>
    <t>Compare ordered quantities across product models.</t>
  </si>
  <si>
    <t xml:space="preserve">ordered quantities across product models </t>
  </si>
  <si>
    <t>SELECT 
    PRODUCT_MODEL,
    PG,
    SUM(OA_QUANTITY) AS TOTAL_ORDERED_QUANTITY,
    SUM(SELLING_PRICE) AS TOTAL_SELLING_PRICE,
    COUNT(TROLLEY_STATUS_ID) AS TOTAL_TRACKED_ITEMS
FROM 
    KPCL_REPORTING.OA_TROLLEY_STATUS
GROUP BY 
    PRODUCT_MODEL,
    PG
ORDER BY 
    TOTAL_ORDERED_QUANTITY DESC;</t>
  </si>
  <si>
    <t>View parent items are assigned to each buyer?</t>
  </si>
  <si>
    <t>Which parent items are assigned to each buyer?</t>
  </si>
  <si>
    <t>parent items are assigned to each buyer</t>
  </si>
  <si>
    <t>SELECT DISTINCT BUYER, PARENT_ITEM_TYPE, PARENT_DESCRIPTION
FROM KPCL_REPORTING.BUYERWISE_OA_TROLLEY_STATUS
WHERE BUYER IS NOT NULL
ORDER BY BUYER, PARENT_ITEM_TYPE, PARENT_DESCRIPTION;</t>
  </si>
  <si>
    <t>View product model has the highest order quantity.</t>
  </si>
  <si>
    <t>Which product model has the highest order quantity?</t>
  </si>
  <si>
    <t xml:space="preserve">product model has the highest order quantity </t>
  </si>
  <si>
    <t>SELECT 
    PRODUCT_MODEL,
    SUM(OA_QUANTITY) AS TOTAL_ORDERED_QUANTITY,
    COUNT(DISTINCT OA_NUMBER) AS TOTAL_ORDERS
FROM 
    KPCL_REPORTING.OA_TROLLEY_STATUS
WHERE 
    PRODUCT_MODEL IS NOT NULL
GROUP BY 
    PRODUCT_MODEL
ORDER BY 
    TOTAL_ORDERED_QUANTITY DESC
FETCH FIRST 1 ROWS ONLY;</t>
  </si>
  <si>
    <t>Display buyers who updated trolley status today.</t>
  </si>
  <si>
    <t>Show buyers who updated trolley status today.</t>
  </si>
  <si>
    <t>buyers who updated trolley status today</t>
  </si>
  <si>
    <t>SELECT DISTINCT BUYER, TROLLEY_DATE
FROM KPCL_REPORTING.BUYERWISE_OA_TROLLEY_STATUS
WHERE TRUNC(TROLLEY_DATE) = (
    SELECT MAX(TRUNC(TROLLEY_DATE)) 
    FROM KPCL_REPORTING.BUYERWISE_OA_TROLLEY_STATUS
);</t>
  </si>
  <si>
    <t>View product model has the largest ordered quantity.</t>
  </si>
  <si>
    <t>Which product model has the largest ordered quantity?</t>
  </si>
  <si>
    <t xml:space="preserve">product model has the largest ordered quantity </t>
  </si>
  <si>
    <t>Display buyer wise latest trolley update.</t>
  </si>
  <si>
    <t>Show buyer wise latest trolley update.</t>
  </si>
  <si>
    <t>buyer wise latest trolley update</t>
  </si>
  <si>
    <t>SELECT 
    BUYER,
    MAX(TROLLEY_DATE) AS LATEST_TROLLEY_DATE
FROM KPCL_REPORTING.BUYERWISE_OA_TROLLEY_STATUS
WHERE BUYER IS NOT NULL
GROUP BY BUYER
ORDER BY LATEST_TROLLEY_DATE DESC;</t>
  </si>
  <si>
    <t>Show product model contributes the highest revenue.</t>
  </si>
  <si>
    <t>Which product model contributes the highest revenue?</t>
  </si>
  <si>
    <t xml:space="preserve">product model contributes the highest revenue </t>
  </si>
  <si>
    <t>SELECT 
    PRODUCT_MODEL,
    SUM(SELLING_PRICE) AS TOTAL_REVENUE,
    COUNT(DISTINCT OA_NUMBER) AS TOTAL_ORDERS
FROM 
    KPCL_REPORTING.OA_TROLLEY_STATUS
WHERE 
    PRODUCT_MODEL IS NOT NULL
GROUP BY 
    PRODUCT_MODEL
ORDER BY 
    TOTAL_REVENUE DESC
FETCH FIRST 1 ROWS ONLY;</t>
  </si>
  <si>
    <t>View count of trolleys belong to each organization.</t>
  </si>
  <si>
    <t>How many trolleys belong to each organization?</t>
  </si>
  <si>
    <t>trolleys belong to each organization</t>
  </si>
  <si>
    <t>SELECT 
    ORG_NAME, 
    COUNT(*) AS TOTAL_TROLLEYS
FROM KPCL_REPORTING.BUYERWISE_OA_TROLLEY_STATUS
WHERE ORG_NAME IS NOT NULL
GROUP BY ORG_NAME
ORDER BY TOTAL_TROLLEYS DESC;</t>
  </si>
  <si>
    <t>Show total order value.</t>
  </si>
  <si>
    <t xml:space="preserve">total order value </t>
  </si>
  <si>
    <t>SELECT 
    SUM(SELLING_PRICE) AS TOTAL_ORDER_VALUE
FROM 
    KPCL_REPORTING.OA_TROLLEY_STATUS;</t>
  </si>
  <si>
    <t>Show all buyers in org_name {org_name}.</t>
  </si>
  <si>
    <t>Show all buyers in /org_name {org_name}.</t>
  </si>
  <si>
    <t>all buyers in org name</t>
  </si>
  <si>
    <t>SELECT DISTINCT BUYER
FROM KPCL_REPORTING.BUYERWISE_OA_TROLLEY_STATUS
WHERE ORG_NAME LIKE '%{org_name}%'
  AND BUYER IS NOT NULL
ORDER BY BUYER;</t>
  </si>
  <si>
    <t>Show total ordered quantity by planning month.</t>
  </si>
  <si>
    <t xml:space="preserve">total ordered quantity by month </t>
  </si>
  <si>
    <t>SELECT 
    TO_CHAR(SCHEDULE_SHIP_DATE, 'YYYY-MM') AS PLANNING_MONTH,
    COUNT(DISTINCT OA_NUMBER) AS TOTAL_ORDERS,
    COUNT(*) AS TOTAL_ORDERED_QUANTITY
FROM 
    KPCL_REPORTING.OA_TROLLEY_STATUS
WHERE 
    SCHEDULE_SHIP_DATE IS NOT NULL
GROUP BY 
    TO_CHAR(SCHEDULE_SHIP_DATE, 'YYYY-MM')
ORDER BY 
    PLANNING_MONTH ASC;</t>
  </si>
  <si>
    <t>Display organization with the highest trolley count?</t>
  </si>
  <si>
    <t>Which organization has the highest trolley count?</t>
  </si>
  <si>
    <t>org name with the highest trolley count</t>
  </si>
  <si>
    <t>SELECT 
    ORG_NAME, 
    COUNT(*) AS TOTAL_TROLLEYS
FROM KPCL_REPORTING.BUYERWISE_OA_TROLLEY_STATUS
WHERE ORG_NAME IS NOT NULL
GROUP BY ORG_NAME
ORDER BY TOTAL_TROLLEYS DESC
FETCH FIRST 1 ROW ONLY;</t>
  </si>
  <si>
    <t>Display total order value by planning month.</t>
  </si>
  <si>
    <t>Show total order value by planning month.</t>
  </si>
  <si>
    <t xml:space="preserve">total order value by month </t>
  </si>
  <si>
    <t>SELECT 
    TO_CHAR(SCHEDULE_SHIP_DATE, 'YYYY-MM') AS PLANNING_MONTH,
    COUNT(DISTINCT OA_NUMBER) AS TOTAL_ORDERS,
    SUM(SELLING_PRICE) AS TOTAL_ORDER_VALUE
FROM 
    KPCL_REPORTING.OA_TROLLEY_STATUS
WHERE 
    SCHEDULE_SHIP_DATE IS NOT NULL
GROUP BY 
    TO_CHAR(SCHEDULE_SHIP_DATE, 'YYYY-MM')
ORDER BY 
    PLANNING_MONTH ASC;</t>
  </si>
  <si>
    <t>Display organization wise buyer count.</t>
  </si>
  <si>
    <t>Show organization wise buyer count.</t>
  </si>
  <si>
    <t>organization wise buyer count</t>
  </si>
  <si>
    <t>SELECT 
    ORG_NAME, 
    COUNT(DISTINCT BUYER) AS TOTAL_BUYERS
FROM KPCL_REPORTING.BUYERWISE_OA_TROLLEY_STATUS
WHERE ORG_NAME IS NOT NULL
GROUP BY ORG_NAME
ORDER BY TOTAL_BUYERS DESC;</t>
  </si>
  <si>
    <t>View organization wise OA / Order number count.</t>
  </si>
  <si>
    <t>Show organization wise OA / Order number count.</t>
  </si>
  <si>
    <t>organization wise OA / Order number count</t>
  </si>
  <si>
    <t>SELECT 
    ORG_NAME, 
    COUNT(DISTINCT OA_NUMBER) AS TOTAL_OA_COUNT
FROM KPCL_REPORTING.BUYERWISE_OA_TROLLEY_STATUS
WHERE ORG_NAME IS NOT NULL
GROUP BY ORG_NAME
ORDER BY TOTAL_OA_COUNT DESC;</t>
  </si>
  <si>
    <t>View planning month has the maximum orders.</t>
  </si>
  <si>
    <t>Which planning month has the maximum orders?</t>
  </si>
  <si>
    <t xml:space="preserve">month has the maximum orders </t>
  </si>
  <si>
    <t>SELECT 
    TO_CHAR(SCHEDULE_SHIP_DATE, 'YYYY-MM') AS PLANNING_MONTH,
    COUNT(DISTINCT OA_NUMBER) AS TOTAL_ORDERS,
    SUM(SELLING_PRICE) AS TOTAL_ORDER_VALUE
FROM 
    KPCL_REPORTING.OA_TROLLEY_STATUS
WHERE 
    SCHEDULE_SHIP_DATE IS NOT NULL
GROUP BY 
    TO_CHAR(SCHEDULE_SHIP_DATE, 'YYYY-MM')
ORDER BY 
    TOTAL_ORDERS DESC
FETCH FIRST 1 ROWS ONLY;</t>
  </si>
  <si>
    <t>Show organization wise SBM count.</t>
  </si>
  <si>
    <t>organization wise SBM count</t>
  </si>
  <si>
    <t>SELECT 
    ORG_NAME, 
    COUNT(DISTINCT SBM_NUMBER) AS TOTAL_SBM_COUNT
FROM KPCL_REPORTING.BUYERWISE_OA_TROLLEY_STATUS
WHERE ORG_NAME IS NOT NULL
GROUP BY ORG_NAME
ORDER BY TOTAL_SBM_COUNT DESC;</t>
  </si>
  <si>
    <t>View scheduled shipments by planning month.</t>
  </si>
  <si>
    <t>Show scheduled shipments by planning month.</t>
  </si>
  <si>
    <t xml:space="preserve">scheduled shipments by month </t>
  </si>
  <si>
    <t>SELECT 
    TO_CHAR(SCHEDULE_SHIP_DATE, 'YYYY-MM') AS PLANNING_MONTH,
    COUNT(DISTINCT OA_NUMBER) AS TOTAL_SCHEDULED_ORDERS,
    SUM(SELLING_PRICE) AS TOTAL_SCHEDULED_VALUE
FROM 
    KPCL_REPORTING.OA_TROLLEY_STATUS
WHERE 
    SCHEDULE_SHIP_DATE IS NOT NULL
GROUP BY 
    TO_CHAR(SCHEDULE_SHIP_DATE, 'YYYY-MM')
ORDER BY 
    PLANNING_MONTH ASC;</t>
  </si>
  <si>
    <t>Display organization wise status summary.</t>
  </si>
  <si>
    <t>Show organization wise status summary.</t>
  </si>
  <si>
    <t>organization wise status summary</t>
  </si>
  <si>
    <t>SELECT 
    ORG_NAME,
    TROLLEY_REMARK,
    COUNT(*) AS STATUS_COUNT
FROM KPCL_REPORTING.BUYERWISE_OA_TROLLEY_STATUS
WHERE ORG_NAME IS NOT NULL
GROUP BY ORG_NAME, TROLLEY_REMARK
ORDER BY ORG_NAME, STATUS_COUNT DESC;</t>
  </si>
  <si>
    <t>Show planning month has the highest order value.</t>
  </si>
  <si>
    <t>Which planning month has the highest order value?</t>
  </si>
  <si>
    <t>Show latest trolley update for each organization.</t>
  </si>
  <si>
    <t xml:space="preserve">month has the highest order value </t>
  </si>
  <si>
    <t>latest trolley update for each organization</t>
  </si>
  <si>
    <t>SELECT 
    TO_CHAR(SCHEDULE_SHIP_DATE, 'YYYY-MM') AS PLANNING_MONTH,
    SUM(SELLING_PRICE) AS TOTAL_ORDER_VALUE,
    COUNT(DISTINCT OA_NUMBER) AS TOTAL_ORDERS
FROM 
    KPCL_REPORTING.OA_TROLLEY_STATUS
WHERE 
    SCHEDULE_SHIP_DATE IS NOT NULL
GROUP BY 
    TO_CHAR(SCHEDULE_SHIP_DATE, 'YYYY-MM')
ORDER BY 
    TOTAL_ORDER_VALUE DESC
FETCH FIRST 1 ROWS ONLY;</t>
  </si>
  <si>
    <t>WITH RankedOrgUpdates AS (
    SELECT 
        ORG_NAME,
        BUYER,
        OA_NUMBER,
        SPLIT_LINE_IDENTIFIER,
        SBM_NUMBER,
        PARENT_ITEM_TYPE,
        PARENT_DESCRIPTION,
        TROLLEY_REMARK_NO,
        TROLLEY_REMARK,
        TROLLEY_DATE,
        BUYER_STATUS,
        ROW_NUMBER() OVER (
            PARTITION BY ORG_NAME 
            ORDER BY TROLLEY_DATE DESC NULLS LAST
        ) AS rn
    FROM KPCL_REPORTING.BUYERWISE_OA_TROLLEY_STATUS
    WHERE ORG_NAME IS NOT NULL
)
SELECT 
    ORG_NAME,
    BUYER,
    OA_NUMBER,
    SBM_NUMBER,
    PARENT_ITEM_TYPE,
    PARENT_DESCRIPTION,
    TROLLEY_REMARK_NO,
    TROLLEY_REMARK,
    TROLLEY_DATE,
    BUYER_STATUS
FROM RankedOrgUpdates
WHERE rn = 1
ORDER BY ORG_NAME;</t>
  </si>
  <si>
    <t>View overdue customer delivery dates.</t>
  </si>
  <si>
    <t>Show complete details for oa_number {oa_number}.</t>
  </si>
  <si>
    <t>Show overdue customer delivery dates.</t>
  </si>
  <si>
    <t>Show complete details for /oa_number {oa_number}.</t>
  </si>
  <si>
    <t>complete details for oa number</t>
  </si>
  <si>
    <t>SELECT ORG_NAME, BUYER, OA_NUMBER, SPLIT_LINE_IDENTIFIER, SBM_NUMBER, PARENT_ITEM_TYPE, PARENT_DESCRIPTION, TROLLEY_REMARK_NO, TROLLEY_REMARK, TROLLEY_DATE, BUYER_STATUS
FROM KPCL_REPORTING.BUYERWISE_OA_TROLLEY_STATUS
WHERE OA_NUMBER LIKE '%{oa_number}%';</t>
  </si>
  <si>
    <t xml:space="preserve">overdue customer delivery dates </t>
  </si>
  <si>
    <t>SELECT DISTINCT 
    OA_NUMBER, 
    CUSTOMER_NAME, 
    CDD AS CUSTOMER_DELIVERY_DATE, 
    SCHEDULE_SHIP_DATE, 
    OA_STATUS 
FROM 
    KPCL_REPORTING.OA_TROLLEY_STATUS
WHERE 
    CDD &lt; CURRENT_DATE;</t>
  </si>
  <si>
    <t>Display which buyer is handling oa_number {oa_number}</t>
  </si>
  <si>
    <t>Which buyer is handling /oa_number {oa_number}?</t>
  </si>
  <si>
    <t>buyer is handling oa number</t>
  </si>
  <si>
    <t>SELECT DISTINCT OA_NUMBER, BUYER, ORG_NAME
FROM KPCL_REPORTING.BUYERWISE_OA_TROLLEY_STATUS
WHERE OA_NUMBER LIKE '%{oa_number}%'
  AND BUYER IS NOT NULL;</t>
  </si>
  <si>
    <t>Display orders with LD clause.</t>
  </si>
  <si>
    <t>Show orders with LD clause.</t>
  </si>
  <si>
    <t xml:space="preserve">orders with LD clause </t>
  </si>
  <si>
    <t>SELECT DISTINCT 
    OA_NUMBER, 
    LD_CLAUSE 
FROM 
    KPCL_REPORTING.OA_TROLLEY_STATUS
WHERE 
    LD_CLAUSE IS NOT NULL 
    AND (LD_CLAUSE) NOT IN ('no', 'n', 'false', '0', 'none','n/a','not applicable');</t>
  </si>
  <si>
    <t>Display trolley status of oa_number {oa_number}?</t>
  </si>
  <si>
    <t>What is the trolley status of /oa_number {oa_number}?</t>
  </si>
  <si>
    <t>trolley status of oa number</t>
  </si>
  <si>
    <t>SELECT OA_NUMBER, TROLLEY_STATUS_NO, TROLLEY_REMARK, TROLLEY_DATE, BUYER, ORG_NAME, AVAILABILITY, TROLLEY_BALANCING_STATUS
FROM KPCL_REPORTING.BUYERWISE_OA_TROLLEY_STATUS
WHERE OA_NUMBER LIKE '%{oa_number}%';</t>
  </si>
  <si>
    <t>Display orders without LD clause.</t>
  </si>
  <si>
    <t>Show orders without LD clause.</t>
  </si>
  <si>
    <t xml:space="preserve">orders without LD clause </t>
  </si>
  <si>
    <t>SELECT DISTINCT 
    OA_NUMBER, 
    LD_CLAUSE 
FROM 
    KPCL_REPORTING.OA_TROLLEY_STATUS
WHERE 
    LD_CLAUSE IS NULL 
    OR (LD_CLAUSE) NOT IN ('no', 'n', 'false', '0', 'none','n/a','not applicable');</t>
  </si>
  <si>
    <t>Show buyer status of oa_number {oa_number}?</t>
  </si>
  <si>
    <t>What is the buyer status of /oa_number {oa_number}?</t>
  </si>
  <si>
    <t>buyer status of oa number</t>
  </si>
  <si>
    <t>SELECT OA_NUMBER, BUYER_STATUS, BUYER, TROLLEY_REMARK, TROLLEY_DATE, ORG_NAME
FROM KPCL_REPORTING.BUYERWISE_OA_TROLLEY_STATUS
WHERE OA_NUMBER LIKE '%{oa_number}%';</t>
  </si>
  <si>
    <t>View orders without marketing remarks.</t>
  </si>
  <si>
    <t>Show orders without marketing remarks.</t>
  </si>
  <si>
    <t xml:space="preserve">orders without marketing remarks </t>
  </si>
  <si>
    <t>SELECT DISTINCT 
    OA_NUMBER, 
    MARKETING_REMARK 
FROM 
    KPCL_REPORTING.OA_TROLLEY_STATUS
WHERE 
    MARKETING_REMARK IS NULL 
    OR TRIM(MARKETING_REMARK) = '';</t>
  </si>
  <si>
    <t>Show trolley update history of oa_number {oa_number}.</t>
  </si>
  <si>
    <t>Show trolley update history of /oa_number {oa_number}.</t>
  </si>
  <si>
    <t>trolley update history of oa number</t>
  </si>
  <si>
    <t>SELECT 
    OA_NUMBER,
    SPLIT_LINE_IDENTIFIER,
    TROLLEY_REMARK_NO,
    TROLLEY_REMARK,
    BUYER_STATUS,
    TROLLEY_DATE,
    BUYER,
    ORG_NAME
FROM KPCL_REPORTING.BUYERWISE_OA_TROLLEY_STATUS
WHERE OA_NUMBER LIKE '%{oa_number}%'
ORDER BY TROLLEY_DATE DESC;</t>
  </si>
  <si>
    <t>Display orders with marketing remarks.</t>
  </si>
  <si>
    <t>Show orders with marketing remarks.</t>
  </si>
  <si>
    <t xml:space="preserve">orders with marketing remarks </t>
  </si>
  <si>
    <t>SELECT DISTINCT 
    OA_NUMBER, 
    MARKETING_REMARK, 
    MARKETING_DATE 
FROM 
    KPCL_REPORTING.OA_TROLLEY_STATUS
WHERE 
    MARKETING_REMARK IS NOT NULL 
    AND TRIM(MARKETING_REMARK) != '';</t>
  </si>
  <si>
    <t>Show OA / Order Number updated today.</t>
  </si>
  <si>
    <t>OA / Order Number updated today</t>
  </si>
  <si>
    <t>SELECT DISTINCT 
    OA_NUMBER, 
    BUYER, 
    TROLLEY_REMARK, 
    BUYER_STATUS, 
    TROLLEY_DATE, 
    ORG_NAME
FROM KPCL_REPORTING.BUYERWISE_OA_TROLLEY_STATUS
WHERE TRUNC(TROLLEY_DATE) = TRUNC(SYSDATE)
ORDER BY TROLLEY_DATE DESC;</t>
  </si>
  <si>
    <t>Show orders without planning remarks.</t>
  </si>
  <si>
    <t xml:space="preserve">orders without planning remarks </t>
  </si>
  <si>
    <t>SELECT DISTINCT 
    OA_NUMBER, 
    PLANNING_REMARK 
FROM 
    KPCL_REPORTING.OA_TROLLEY_STATUS
WHERE 
    PLANNING_REMARK IS NULL 
    OR TRIM(PLANNING_REMARK) = '';</t>
  </si>
  <si>
    <t>Display OA / Order Number having buyer_status {buyer_status}.</t>
  </si>
  <si>
    <t>Show OA / Order Number having /buyer_status {buyer_status}.</t>
  </si>
  <si>
    <t>OA / Order Numbers number having buyer status</t>
  </si>
  <si>
    <t>SELECT DISTINCT 
    OA_NUMBER, 
    BUYER, 
    BUYER_STATUS, 
    TROLLEY_REMARK, 
    TROLLEY_DATE, 
    ORG_NAME
FROM KPCL_REPORTING.BUYERWISE_OA_TROLLEY_STATUS
WHERE (BUYER_STATUS) LIKE ('%{buyer_status}%')
ORDER BY OA_NUMBER;</t>
  </si>
  <si>
    <t>Show orders with SCM remarks.</t>
  </si>
  <si>
    <t xml:space="preserve">orders with SCM remarks </t>
  </si>
  <si>
    <t>SELECT DISTINCT 
    OA_NUMBER, 
    SCM_REMARK, 
    SCM_DATE 
FROM 
    KPCL_REPORTING.OA_TROLLEY_STATUS;</t>
  </si>
  <si>
    <t>Show OA / Order Number having trolley_remark {trolley_remark}.</t>
  </si>
  <si>
    <t>Show OA / Order Number having /trolley_remark {trolley_remark}.</t>
  </si>
  <si>
    <t>OA / Order Number having trolley status</t>
  </si>
  <si>
    <t>SELECT DISTINCT 
    OA_NUMBER, 
    BUYER, 
    TROLLEY_REMARK_NO,
    TROLLEY_REMARK, 
    BUYER_STATUS, 
    TROLLEY_DATE, 
    ORG_NAME
FROM KPCL_REPORTING.BUYERWISE_OA_TROLLEY_STATUS
WHERE (TROLLEY_REMARK) LIKE ('%{trolley_remark}%')
ORDER BY OA_NUMBER;</t>
  </si>
  <si>
    <t>View count total OA / Order Number.</t>
  </si>
  <si>
    <t>Count total OA / Order Numbers</t>
  </si>
  <si>
    <t>count total OA / Order Number</t>
  </si>
  <si>
    <t>SELECT 
    COUNT(DISTINCT OA_NUMBER) AS TOTAL_UNIQUE_OA_COUNT
FROM KPCL_REPORTING.BUYERWISE_OA_TROLLEY_STATUS
WHERE OA_NUMBER IS NOT NULL;</t>
  </si>
  <si>
    <t>View orders with store remarks.</t>
  </si>
  <si>
    <t>Show orders with store remarks.</t>
  </si>
  <si>
    <t xml:space="preserve">orders with store remarks </t>
  </si>
  <si>
    <t>SELECT DISTINCT 
    OA_NUMBER, 
    STORE_REMARK, 
    STORE_DATE 
FROM 
    KPCL_REPORTING.OA_TROLLEY_STATUS;</t>
  </si>
  <si>
    <t>Display count distinct SBM numbers.</t>
  </si>
  <si>
    <t>Count distinct SBM numbers.</t>
  </si>
  <si>
    <t>count distinct SBM numbers</t>
  </si>
  <si>
    <t>SELECT 
    COUNT(DISTINCT SBM_NUMBER) AS TOTAL_UNIQUE_SBM_COUNT
FROM KPCL_REPORTING.BUYERWISE_OA_TROLLEY_STATUS
WHERE SBM_NUMBER IS NOT NULL;</t>
  </si>
  <si>
    <t>Display which buyer is handling parent_item {parent_item}?</t>
  </si>
  <si>
    <t>Which buyer is handling /parent_item {parent_item}?</t>
  </si>
  <si>
    <t>buyer is handling parent item</t>
  </si>
  <si>
    <t>View customer deliveries for customer {customer}, product_group {product_group}, and org_name {org_name}.</t>
  </si>
  <si>
    <t>SELECT DISTINCT SBM_NUMBER, BUYER, ORG_NAME
FROM KPCL_REPORTING.BUYERWISE_OA_TROLLEY_STATUS
WHERE SBM_NUMBER LIKE '%{parent_item}%'
  AND BUYER IS NOT NULL;</t>
  </si>
  <si>
    <t>Show customer deliveries for  /customer {customer}, /product_group {product_group}, and /org_name {org_name}.</t>
  </si>
  <si>
    <t xml:space="preserve">customer deliveries for customer , product group, and org name </t>
  </si>
  <si>
    <t>SELECT DISTINCT
    OA_NUMBER,
    CUSTOMER_NAME,
    PG AS PRODUCT_GROUP,
    ORG_NAME,
    PRODUCT_MODEL,
    OA_QUANTITY,
    SELLING_PRICE,
    SCHEDULE_SHIP_DATE,
    OA_STATUS
FROM 
    KPCL_REPORTING.OA_TROLLEY_STATUS
WHERE 
    (CUSTOMER_NAME) LIKE ('%{customer}%')
    AND (PG) LIKE ('%{product_group}%')
    AND (ORG_NAME) LIKE ('%{org_name}%');</t>
  </si>
  <si>
    <t>customer,  org_name,  product_group</t>
  </si>
  <si>
    <t>View trolley status for parent_item {parent_item}.</t>
  </si>
  <si>
    <t>Show trolley status for /parent_item {parent_item}.</t>
  </si>
  <si>
    <t>trolley status for parent item</t>
  </si>
  <si>
    <t>SELECT DISTINCT 
    SBM_NUMBER, 
    OA_NUMBER, 
    TROLLEY_REMARK_NO, 
    TROLLEY_REMARK, 
    TROLLEY_DATE, 
    BUYER, 
    ORG_NAME
FROM KPCL_REPORTING.BUYERWISE_OA_TROLLEY_STATUS
WHERE SBM_NUMBER LIKE '%{parent_item}%'
ORDER BY TROLLEY_DATE DESC NULLS LAST;</t>
  </si>
  <si>
    <t>View customer deliveries on cdd for date {date} for product_group {product_group}.</t>
  </si>
  <si>
    <t>Show customer deliveries on cdd for /date {date} for /product_group {product_group}.</t>
  </si>
  <si>
    <t xml:space="preserve">customer deliveries on cdd for date for product group </t>
  </si>
  <si>
    <t>SELECT DISTINCT
    OA_NUMBER,
    CUSTOMER_NAME,
    PG AS PRODUCT_GROUP,
    ORG_NAME,
    PRODUCT_MODEL,
    OA_QUANTITY,
    SELLING_PRICE,
    SCHEDULE_SHIP_DATE,
    CDD,
    OA_STATUS
FROM 
    KPCL_REPORTING.OA_TROLLEY_STATUS
WHERE 
    TO_CHAR(CDD, 'YYYY-MM-DD') LIKE ('%{date}%')
    AND (PG) LIKE ('%{product_group}%');</t>
  </si>
  <si>
    <t>date,  product_group</t>
  </si>
  <si>
    <t>Display organization for parent_item {parent_item}.</t>
  </si>
  <si>
    <t>Show organization for /parent_item {parent_item}.</t>
  </si>
  <si>
    <t>organization for parent item</t>
  </si>
  <si>
    <t>SELECT DISTINCT 
    SBM_NUMBER, 
    ORG_NAME, 
    BUYER, 
    OA_NUMBER
FROM KPCL_REPORTING.BUYERWISE_OA_TROLLEY_STATUS
WHERE SBM_NUMBER LIKE '%{parent_item}%'
  AND ORG_NAME IS NOT NULL;</t>
  </si>
  <si>
    <t>View customer delivery dates for product_group {product_group}, customer {customer}, and org_name {org_name}.</t>
  </si>
  <si>
    <t>Show customer delivery dates for /product_group {product_group}, /customer {customer}, and /org_name {org_name}.</t>
  </si>
  <si>
    <t xml:space="preserve">customer delivery dates for, customer , and org name </t>
  </si>
  <si>
    <t>SELECT  DISTINCT
    OA_NUMBER,
    CUSTOMER_NAME,
    PG AS PRODUCT_GROUP,
    ORG_NAME,
    PRODUCT_MODEL,
    CDD,
    SCHEDULE_SHIP_DATE,
    OA_QUANTITY,
    SELLING_PRICE,
    OA_STATUS
FROM 
    KPCL_REPORTING.OA_TROLLEY_STATUS
WHERE 
    (PG) LIKE ('%{product_group}%')
    AND (CUSTOMER_NAME) LIKE ('%{customer}%')
    AND (ORG_NAME) LIKE ('%{org_name}%');</t>
  </si>
  <si>
    <t>Show SBM numbers updated today.</t>
  </si>
  <si>
    <t>SBM numbers updated today</t>
  </si>
  <si>
    <t>SELECT DISTINCT 
    SBM_NUMBER, 
    OA_NUMBER, 
    BUYER, 
    TROLLEY_REMARK, 
    BUYER_STATUS, 
    TROLLEY_DATE, 
    ORG_NAME
FROM KPCL_REPORTING.BUYERWISE_OA_TROLLEY_STATUS
WHERE TRUNC(TROLLEY_DATE) = TRUNC(SYSDATE)
ORDER BY  TROLLEY_DATE DESC;</t>
  </si>
  <si>
    <t>View customer delivery dates for customer {customer}, product_group {product_group}, and cdd {cdd}.</t>
  </si>
  <si>
    <t>Show customer delivery dates for  /customer {customer}, /product_group {product_group}, and cdd for /date {date}.</t>
  </si>
  <si>
    <t>customer delivery dates for customer , product group, and cdd</t>
  </si>
  <si>
    <t>SELECT  DISTINCT
    OA_NUMBER,
    CUSTOMER_NAME,
    PG AS PRODUCT_GROUP,
    ORG_NAME,
    PRODUCT_MODEL,
    CDD,
    SCHEDULE_SHIP_DATE,
    OA_QUANTITY,
    SELLING_PRICE,
    OA_STATUS,
    STORE_REMARK
FROM 
    KPCL_REPORTING.OA_TROLLEY_STATUS
WHERE 
    (CUSTOMER_NAME) LIKE ('%{customer}%')
    AND (PG) LIKE ('%{product_group}%')
    AND TO_CHAR(CDD, 'DD-MM-YY') LIKE ('%{date}%');</t>
  </si>
  <si>
    <t>date,  customer,  product_group</t>
  </si>
  <si>
    <t>Display all item descriptions.</t>
  </si>
  <si>
    <t>Show all item descriptions.</t>
  </si>
  <si>
    <t>all item descriptions</t>
  </si>
  <si>
    <t>SELECT DISTINCT 
    PARENT_DESCRIPTION, 
    PARENT_ITEM_TYPE, 
    ORG_NAME
FROM KPCL_REPORTING.BUYERWISE_OA_TROLLEY_STATUS
WHERE PARENT_DESCRIPTION IS NOT NULL
ORDER BY PARENT_DESCRIPTION;</t>
  </si>
  <si>
    <t>View customer delivery dates for product_group {product_group}.</t>
  </si>
  <si>
    <t>Show customer delivery dates for /product_group {product_group}.</t>
  </si>
  <si>
    <t xml:space="preserve">customer delivery dates for product group </t>
  </si>
  <si>
    <t>SELECT  DISTINCT
    OA_NUMBER,
    CUSTOMER_NAME,
    PG AS PRODUCT_GROUP,
    ORG_NAME,
    PRODUCT_MODEL,
    CDD AS CUSTOMER_DELIVERY_DATE,
    SCHEDULE_SHIP_DATE,
    OA_QUANTITY,
    SELLING_PRICE,
    OA_STATUS,
    STORE_REMARK
FROM 
    KPCL_REPORTING.OA_TROLLEY_STATUS
WHERE 
    (PG) LIKE ('%{product_group}%');</t>
  </si>
  <si>
    <t>View count distinct item descriptions.</t>
  </si>
  <si>
    <t>Count distinct item descriptions.</t>
  </si>
  <si>
    <t>count distinct item descriptions</t>
  </si>
  <si>
    <t>SELECT 
    COUNT(DISTINCT PARENT_DESCRIPTION) AS TOTAL_UNIQUE_PARENT_DESCRIPTIONS
FROM KPCL_REPORTING.BUYERWISE_OA_TROLLEY_STATUS
WHERE PARENT_DESCRIPTION IS NOT NULL;</t>
  </si>
  <si>
    <t>View customer delivery dates from org_name {org_name}.</t>
  </si>
  <si>
    <t>Show customer delivery dates from /org_name {org_name}.</t>
  </si>
  <si>
    <t xml:space="preserve">customer delivery dates from org name </t>
  </si>
  <si>
    <t>SELECT  DISTINCT
    OA_NUMBER,
    CUSTOMER_NAME,
    ORG_NAME,
    PG AS PRODUCT_GROUP,
    PRODUCT_MODEL,
    CDD AS CUSTOMER_DELIVERY_DATE,
    SCHEDULE_SHIP_DATE,
    OA_QUANTITY,
    SELLING_PRICE,
    OA_STATUS,
    STORE_REMARK
FROM 
    KPCL_REPORTING.OA_TROLLEY_STATUS
WHERE 
    (ORG_NAME) LIKE ('%{org_name}%');</t>
  </si>
  <si>
    <t>Show item descriptions assigned to buyer {buyer}.</t>
  </si>
  <si>
    <t>Show item descriptions assigned to /buyer {buyer}.</t>
  </si>
  <si>
    <t>item descriptions assigned to buyer</t>
  </si>
  <si>
    <t>SELECT DISTINCT 
    PARENT_DESCRIPTION, 
    PARENT_ITEM_TYPE, 
    BUYER, 
    ORG_NAME
FROM KPCL_REPORTING.BUYERWISE_OA_TROLLEY_STATUS
WHERE (BUYER) LIKE ('%{buyer}%')
  AND PARENT_DESCRIPTION IS NOT NULL
ORDER BY PARENT_DESCRIPTION;</t>
  </si>
  <si>
    <t>Show customer delivery schedule by planning month.</t>
  </si>
  <si>
    <t xml:space="preserve">customer delivery schedule by month </t>
  </si>
  <si>
    <t>SELECT  DISTINCT
    PLANNING_MONTH,
    OA_NUMBER,
    CUSTOMER_NAME,
    ORG_NAME,
    PG AS PRODUCT_GROUP,
    PRODUCT_MODEL,
    CDD AS CUSTOMER_DELIVERY_DATE,
    SCHEDULE_SHIP_DATE,
    OA_QUANTITY,
    SELLING_PRICE,
    OA_STATUS,
    STORE_REMARK
FROM 
    KPCL_REPORTING.OA_TROLLEY_STATUS
ORDER BY 
    PLANNING_MONTH ASC,
    SCHEDULE_SHIP_DATE ASC;</t>
  </si>
  <si>
    <t>Display item descriptions in org_name {org_name}.</t>
  </si>
  <si>
    <t>Show item descriptions in /org_name {org_name}.</t>
  </si>
  <si>
    <t>item descriptions in org name</t>
  </si>
  <si>
    <t>SELECT DISTINCT 
    PARENT_DESCRIPTION, 
    PARENT_ITEM_TYPE, 
    ORG_NAME
FROM KPCL_REPORTING.BUYERWISE_OA_TROLLEY_STATUS
WHERE (ORG_NAME) LIKE ('%{org_name}%')
  AND PARENT_DESCRIPTION IS NOT NULL
ORDER BY PARENT_DESCRIPTION;</t>
  </si>
  <si>
    <t>View design remarks for customer {customer}.</t>
  </si>
  <si>
    <t>Show design remarks for  /customer {customer}.</t>
  </si>
  <si>
    <t xml:space="preserve">design remarks for customer  </t>
  </si>
  <si>
    <t>SELECT  DISTINCT
    OA_NUMBER,
    CUSTOMER_NAME,
    ORG_NAME,
    PG AS PRODUCT_GROUP,
    PRODUCT_MODEL,
    PLANNING_MONTH,
    OA_QUANTITY,
    OA_STATUS,
    DESIGN_REMARK
FROM 
    KPCL_REPORTING.OA_TROLLEY_STATUS
WHERE 
    (CUSTOMER_NAME) LIKE ('%{customer}%');</t>
  </si>
  <si>
    <t>Display item types available.</t>
  </si>
  <si>
    <t>Show item types available.</t>
  </si>
  <si>
    <t>item types available</t>
  </si>
  <si>
    <t>SELECT DISTINCT 
    PARENT_ITEM_TYPE, 
    ORG_NAME
FROM KPCL_REPORTING.BUYERWISE_OA_TROLLEY_STATUS
WHERE PARENT_ITEM_TYPE IS NOT NULL
ORDER BY PARENT_ITEM_TYPE;</t>
  </si>
  <si>
    <t>View design remarks for org_name {org_name}.</t>
  </si>
  <si>
    <t>Show design remarks for /org_name {org_name}.</t>
  </si>
  <si>
    <t xml:space="preserve">design remarks for org name </t>
  </si>
  <si>
    <t>SELECT  DISTINCT
    OA_NUMBER,
    CUSTOMER_NAME,
    ORG_NAME,
    PG AS PRODUCT_GROUP,
    PRODUCT_MODEL,
    PLANNING_MONTH,
    OA_QUANTITY,
    OA_STATUS,
    DESIGN_REMARK
FROM 
    KPCL_REPORTING.OA_TROLLEY_STATUS
WHERE 
    (ORG_NAME) LIKE ('%{org_name}%');</t>
  </si>
  <si>
    <t>Display count item types.</t>
  </si>
  <si>
    <t>View design remarks for product_group {product_group}.</t>
  </si>
  <si>
    <t>Count item types.</t>
  </si>
  <si>
    <t>count item types</t>
  </si>
  <si>
    <t>Show design remarks for /product_group {product_group}.</t>
  </si>
  <si>
    <t>SELECT 
    COUNT(DISTINCT PARENT_ITEM_TYPE) AS TOTAL_UNIQUE_PARENT_ITEM_TYPES
FROM KPCL_REPORTING.BUYERWISE_OA_TROLLEY_STATUS
WHERE PARENT_ITEM_TYPE IS NOT NULL;</t>
  </si>
  <si>
    <t xml:space="preserve">design remarks for product group </t>
  </si>
  <si>
    <t>SELECT  DISTINCT
    OA_NUMBER,
    CUSTOMER_NAME,
    ORG_NAME,
    PG AS PRODUCT_GROUP,
    PRODUCT_MODEL,
    PLANNING_MONTH,
    OA_QUANTITY,
    OA_STATUS,
    DESIGN_REMARK
FROM 
    KPCL_REPORTING.OA_TROLLEY_STATUS
WHERE 
    (PG) LIKE ('%{product_group}%');</t>
  </si>
  <si>
    <t>Show item types handled by buyer {buyer}.</t>
  </si>
  <si>
    <t>Show item types handled by /buyer {buyer}.</t>
  </si>
  <si>
    <t>item types handled by buyer</t>
  </si>
  <si>
    <t>SELECT DISTINCT 
    PARENT_ITEM_TYPE, 
    BUYER, 
    ORG_NAME
FROM KPCL_REPORTING.BUYERWISE_OA_TROLLEY_STATUS
WHERE BUYER LIKE '%{buyer}%'
  AND PARENT_ITEM_TYPE IS NOT NULL
ORDER BY PARENT_ITEM_TYPE;</t>
  </si>
  <si>
    <t>Show details for /oa_number {oa_number}.</t>
  </si>
  <si>
    <t xml:space="preserve">details for oa number </t>
  </si>
  <si>
    <t>SELECT  DISTINCT
    OA_NUMBER,
    CUSTOMER_NAME,
    ORG_NAME,
    PG AS PRODUCT_GROUP,
    PRODUCT_MODEL,
    OA_QUANTITY,
    SELLING_PRICE,
    PLANNING_MONTH,
    CDD AS CUSTOMER_DELIVERY_DATE,
    SCHEDULE_SHIP_DATE,
    OA_STATUS,
    DESIGN_REMARK,
    STORE_REMARK
FROM 
    KPCL_REPORTING.OA_TROLLEY_STATUS
WHERE 
    (OA_NUMBER) LIKE ('%{oa_number}%');</t>
  </si>
  <si>
    <t>View inspection_norm {inspection_norm} orders for customer {customer} in org_name {org_name}.</t>
  </si>
  <si>
    <t>View item type distribution.</t>
  </si>
  <si>
    <t>Show /inspection_norm {inspection_norm} orders for  /customer {customer} in /org_name {org_name}.</t>
  </si>
  <si>
    <t>Show item type distribution.</t>
  </si>
  <si>
    <t xml:space="preserve">inspection norm orders for customer  in org name </t>
  </si>
  <si>
    <t>item type distribution</t>
  </si>
  <si>
    <t>SELECT  DISTINCT
    OA_NUMBER,
    CUSTOMER_NAME,
    ORG_NAME,
    PG AS PRODUCT_GROUP,
    PRODUCT_MODEL,
    INSPECTION_NORM,
    OA_QUANTITY,
    SELLING_PRICE,
    PLANNING_MONTH,
    CDD AS CUSTOMER_DELIVERY_DATE,
    SCHEDULE_SHIP_DATE,
    OA_STATUS,
    DESIGN_REMARK,
    STORE_REMARK
FROM 
    KPCL_REPORTING.OA_TROLLEY_STATUS
WHERE 
    (INSPECTION_NORM) LIKE ('%{inspection_norm}%')
    AND (CUSTOMER_NAME) LIKE ('%{customer}%')
    AND (ORG_NAME) LIKE ('%{org_name}%');</t>
  </si>
  <si>
    <t>SELECT 
    PARENT_ITEM_TYPE,
    COUNT(*) AS TOTAL_RECORDS,
    COUNT(DISTINCT OA_NUMBER) AS DISTINCT_OA_COUNT,
    ROUND(COUNT(*) * 100.0 / SUM(COUNT(*)) OVER (), 2) AS PERCENTAGE_SHARE
FROM KPCL_REPORTING.BUYERWISE_OA_TROLLEY_STATUS
WHERE PARENT_ITEM_TYPE IS NOT NULL
GROUP BY PARENT_ITEM_TYPE
ORDER BY TOTAL_RECORDS DESC;</t>
  </si>
  <si>
    <t>customer, inspection_norm, org_name</t>
  </si>
  <si>
    <t>Display inspection norm details for product_group {product_group}, org_name {org_name}, and inspection_norm {inspection_norm}.</t>
  </si>
  <si>
    <t>Show item descriptions with trolley_remark {trolley_remark}.</t>
  </si>
  <si>
    <t>Show item descriptions with /trolley_remark {trolley_remark}.</t>
  </si>
  <si>
    <t>Show inspection norm details for /product_group {product_group}, /org_name {org_name}, and /inspection_norm {inspection_norm}.</t>
  </si>
  <si>
    <t>item descriptions with trolley status</t>
  </si>
  <si>
    <t xml:space="preserve">inspection norm details for product group, org name, and inspection norm </t>
  </si>
  <si>
    <t>SELECT DISTINCT 
    PARENT_DESCRIPTION, 
    TROLLEY_REMARK, 
    ORG_NAME
FROM KPCL_REPORTING.BUYERWISE_OA_TROLLEY_STATUS
WHERE TROLLEY_REMARK LIKE '%{trolley_remark}%'
  AND PARENT_DESCRIPTION IS NOT NULL
ORDER BY PARENT_DESCRIPTION;</t>
  </si>
  <si>
    <t>SELECT  DISTINCT
    OA_NUMBER,
    CUSTOMER_NAME,
    ORG_NAME,
    PG AS PRODUCT_GROUP,
    PRODUCT_MODEL,
    INSPECTION_NORM,
    OA_QUANTITY,
    SELLING_PRICE,
    PLANNING_MONTH,
    CDD AS CUSTOMER_DELIVERY_DATE,
    SCHEDULE_SHIP_DATE,
    OA_STATUS,
    DESIGN_REMARK,
    STORE_REMARK
FROM 
    KPCL_REPORTING.OA_TROLLEY_STATUS
WHERE 
    (PG) LIKE ('%{product_group}%')
    AND (ORG_NAME) LIKE ('%{org_name}%')
    AND (INSPECTION_NORM) LIKE ('%{inspection_norm}%');</t>
  </si>
  <si>
    <t>inspection_norm,  org_name,  product_group</t>
  </si>
  <si>
    <t>Show LD clause details for customer {customer}, org_name {org_name}, and ld_clause {ld_clause}.</t>
  </si>
  <si>
    <t>Show LD clause details for /customer {customer}, /org_name {org_name}, and /ld_clause {ld_clause}.</t>
  </si>
  <si>
    <t xml:space="preserve">lD clause details for customer , org name, and ld clause </t>
  </si>
  <si>
    <t>SELECT  DISTINCT
    OA_NUMBER,
    CUSTOMER_NAME,
    ORG_NAME,
    PG AS PRODUCT_GROUP,
    PRODUCT_MODEL,
    LD_CLAUSE,
    OA_QUANTITY,
    SELLING_PRICE,
    PLANNING_MONTH,
    CDD AS CUSTOMER_DELIVERY_DATE,
    SCHEDULE_SHIP_DATE,
    OA_STATUS,
    DESIGN_REMARK,
    STORE_REMARK
FROM 
    KPCL_REPORTING.OA_TROLLEY_STATUS
WHERE 
    (CUSTOMER_NAME) LIKE ('%{customer}%')
    AND (ORG_NAME) LIKE ('%{org_name}%')
    AND (LD_CLAUSE) LIKE ('%{ld_clause}%');</t>
  </si>
  <si>
    <t>customer,  ld_clause,  org_name</t>
  </si>
  <si>
    <t>Display buyer {buyer} handling oa_number {oa_number}.</t>
  </si>
  <si>
    <t>Show /buyer {buyer} handling /oa_number {oa_number}.</t>
  </si>
  <si>
    <t>buyer handling oa number</t>
  </si>
  <si>
    <t>SELECT DISTINCT 
    BUYER, 
    OA_NUMBER, 
    TROLLEY_REMARK, 
    BUYER_STATUS, 
    ORG_NAME
FROM KPCL_REPORTING.BUYERWISE_OA_TROLLEY_STATUS
WHERE BUYER LIKE '%{buyer}%'
  AND OA_NUMBER LIKE '%{oa_number}%';</t>
  </si>
  <si>
    <t>Display marketing remarks for customer {customer}.</t>
  </si>
  <si>
    <t>Show marketing remarks for  /customer {customer}.</t>
  </si>
  <si>
    <t xml:space="preserve">marketing remarks for customer  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</si>
  <si>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('%{customer}%');</t>
  </si>
  <si>
    <t>View buyer {buyer} handling parent_item {parent_item}.</t>
  </si>
  <si>
    <t>Show /buyer {buyer} handling /parent_item {parent_item}.</t>
  </si>
  <si>
    <t>buyer handling parent item</t>
  </si>
  <si>
    <t>SELECT DISTINCT 
    BUYER, 
    SBM_NUMBER, 
    OA_NUMBER, 
    TROLLEY_REMARK, 
    BUYER_STATUS, 
    ORG_NAME
FROM KPCL_REPORTING.BUYERWISE_OA_TROLLEY_STATUS
WHERE BUYER LIKE '%{buyer}%'
  AND SBM_NUMBER LIKE '%{parent_item}%';</t>
  </si>
  <si>
    <t>Show marketing remarks for oa_number {oa_number}.</t>
  </si>
  <si>
    <t>Show marketing remarks for /oa_number {oa_number}.</t>
  </si>
  <si>
    <t xml:space="preserve">marketing remarks for oa number </t>
  </si>
  <si>
    <t>SELECT  DISTINCT
    OA_NUMBER,
    CUSTOMER_NAME,
    ORG_NAME,
    PG AS PRODUCT_GROUP,
    PRODUCT_MODEL,
    PLANNING_MONTH,
    OA_QUANTITY,
    OA_STATUS,
    MARKETING_REMARK
FROM 
    KPCL_REPORTING.OA_TROLLEY_STATUS
WHERE 
    (OA_NUMBER) LIKE ('%{oa_number}%');</t>
  </si>
  <si>
    <t>View buyer {buyer} working in org_name {org_name}.</t>
  </si>
  <si>
    <t>Show /buyer {buyer} working in /org_name {org_name}.</t>
  </si>
  <si>
    <t>View marketing remarks for org_name {org_name}.</t>
  </si>
  <si>
    <t>buyer working in org name</t>
  </si>
  <si>
    <t>Show marketing remarks for /org_name {org_name}.</t>
  </si>
  <si>
    <t xml:space="preserve">marketing remarks for org name </t>
  </si>
  <si>
    <t>SELECT DISTINCT 
    BUYER, 
    ORG_NAME, 
    BUYER_STATUS
FROM KPCL_REPORTING.BUYERWISE_OA_TROLLEY_STATUS
WHERE BUYER LIKE '%{buyer}%'
  AND ORG_NAME LIKE '%{org_name}%';</t>
  </si>
  <si>
    <t>SELECT  DISTINCT
    OA_NUMBER,
    CUSTOMER_NAME,
    ORG_NAME,
    PG AS PRODUCT_GROUP,
    PRODUCT_MODEL,
    PLANNING_MONTH,
    OA_QUANTITY,
    OA_STATUS,
    MARKETING_REMARK
FROM 
    KPCL_REPORTING.OA_TROLLEY_STATUS
WHERE 
    (ORG_NAME) LIKE ('%{org_name}%');</t>
  </si>
  <si>
    <t>View marketing remarks for product_group {product_group}.</t>
  </si>
  <si>
    <t>Show marketing remarks for /product_group {product_group}.</t>
  </si>
  <si>
    <t xml:space="preserve">marketing remarks for product group </t>
  </si>
  <si>
    <t>SELECT  DISTINCT
    OA_NUMBER,
    CUSTOMER_NAME,
    ORG_NAME,
    PG AS PRODUCT_GROUP,
    PRODUCT_MODEL,
    PLANNING_MONTH,
    OA_QUANTITY,
    OA_STATUS,
    MARKETING_REMARK
FROM 
    KPCL_REPORTING.OA_TROLLEY_STATUS
WHERE 
    (PG) LIKE ('%{product_group}%');</t>
  </si>
  <si>
    <t>Display org_name {org_name} having buyer_status {buyer_status}.</t>
  </si>
  <si>
    <t>Show /org_name {org_name} having /buyer_status {buyer_status}.</t>
  </si>
  <si>
    <t>org name having buyer status</t>
  </si>
  <si>
    <t>SELECT DISTINCT 
    ORG_NAME, 
    BUYER_STATUS, 
    BUYER
FROM KPCL_REPORTING.BUYERWISE_OA_TROLLEY_STATUS
WHERE ORG_NAME LIKE '%{org_name}%'
  AND BUYER_STATUS LIKE '%{buyer_status}%';</t>
  </si>
  <si>
    <t>Display marketing remarks for product_model {product_model}.</t>
  </si>
  <si>
    <t>Show marketing remarks for /product_model {product_model}.</t>
  </si>
  <si>
    <t xml:space="preserve">marketing remarks for product model </t>
  </si>
  <si>
    <t>SELECT  DISTINCT
    OA_NUMBER,
    CUSTOMER_NAME,
    ORG_NAME,
    PG AS PRODUCT_GROUP,
    PRODUCT_MODEL,
    PLANNING_MONTH,
    OA_QUANTITY,
    OA_STATUS,
    MARKETING_REMARK
FROM 
    KPCL_REPORTING.OA_TROLLEY_STATUS
WHERE 
    (PRODUCT_MODEL) LIKE ('%{product_model}%');</t>
  </si>
  <si>
    <t>View org_name {org_name} having trolley_remark {trolley_remark}.</t>
  </si>
  <si>
    <t>Show /org_name {org_name} having /trolley_remark {trolley_remark}.</t>
  </si>
  <si>
    <t>org name having trolley status</t>
  </si>
  <si>
    <t>SELECT DISTINCT 
    ORG_NAME, 
    TROLLEY_REMARK, 
    TROLLEY_REMARK_NO, 
    BUYER
FROM KPCL_REPORTING.BUYERWISE_OA_TROLLEY_STATUS
WHERE ORG_NAME LIKE '%{org_name}%'
  AND TROLLEY_REMARK LIKE '%{trolley_remark}%';</t>
  </si>
  <si>
    <t>Display order details for oa_number {oa_number}, product_model {product_model}, and org_name {org_name}.</t>
  </si>
  <si>
    <t>Show order details for /oa_number {oa_number}, /product_model {product_model}, and /org_name {org_name}.</t>
  </si>
  <si>
    <t xml:space="preserve">order details for oa number, product model, and org name </t>
  </si>
  <si>
    <t>Display item description {item_description} handled by buyer {buyer}.</t>
  </si>
  <si>
    <t>SELECT  DISTINCT
    OA_NUMBER,
    CUSTOMER_NAME,
    ORG_NAME,
    PG AS PRODUCT_GROUP,
    PRODUCT_MODEL,
    OA_QUANTITY,
    SELLING_PRICE,
    PLANNING_MONTH,
    CDD AS CUSTOMER_DELIVERY_DATE,
    SCHEDULE_SHIP_DATE,
    OA_STATUS,
    DESIGN_REMARK,
    STORE_REMARK,
    MARKETING_REMARK
FROM 
    KPCL_REPORTING.OA_TROLLEY_STATUS
WHERE 
    (OA_NUMBER) LIKE ('%{oa_number}%')
    AND (PRODUCT_MODEL) LIKE ('%{product_model}%')
    AND (ORG_NAME) LIKE ('%{org_name}%');</t>
  </si>
  <si>
    <t>Show item description {item_description} handled by /buyer {buyer}.</t>
  </si>
  <si>
    <t>oa_number,  org_name,  product_model</t>
  </si>
  <si>
    <t>SELECT DISTINCT 
    PARENT_DESCRIPTION, 
    BUYER, 
    PARENT_ITEM_TYPE, 
    ORG_NAME
FROM KPCL_REPORTING.BUYERWISE_OA_TROLLEY_STATUS
WHERE PARENT_DESCRIPTION LIKE '%{item_description}%'
  AND BUYER LIKE '%{buyer}%';</t>
  </si>
  <si>
    <t>Show order details for oa_number {oa_number} and product_model {product_model}.</t>
  </si>
  <si>
    <t>Show order details for /oa_number {oa_number} and /product_model {product_model}.</t>
  </si>
  <si>
    <t xml:space="preserve">order details for oa number and product model </t>
  </si>
  <si>
    <t>SELECT  DISTINCT
    OA_NUMBER,
    CUSTOMER_NAME,
    ORG_NAME,
    PG AS PRODUCT_GROUP,
    PRODUCT_MODEL,
    OA_QUANTITY,
    SELLING_PRICE,
    PLANNING_MONTH,
    CDD AS CUSTOMER_DELIVERY_DATE,
    SCHEDULE_SHIP_DATE,
    OA_STATUS,
    DESIGN_REMARK,
    STORE_REMARK,
    MARKETING_REMARK
FROM 
    KPCL_REPORTING.OA_TROLLEY_STATUS
WHERE 
    (OA_NUMBER) LIKE ('%{oa_number}%')
    AND (PRODUCT_MODEL) LIKE ('%{product_model}%');</t>
  </si>
  <si>
    <t>oa_number, product_model</t>
  </si>
  <si>
    <t>Display order value for customer {customer} by product_group {product_group}.</t>
  </si>
  <si>
    <t>Display item description {item_description} in org_name {org_name}.</t>
  </si>
  <si>
    <t>Show order value for  /customer {customer} by /product_group {product_group}.</t>
  </si>
  <si>
    <t>Show /item_description {item_description} in /org_name {org_name}.</t>
  </si>
  <si>
    <t xml:space="preserve">order value for customer  by product group </t>
  </si>
  <si>
    <t>item description in org name</t>
  </si>
  <si>
    <t>SELECT DISTINCT 
    PARENT_DESCRIPTION, 
    ORG_NAME, 
    PARENT_ITEM_TYPE, 
    BUYER
FROM KPCL_REPORTING.BUYERWISE_OA_TROLLEY_STATUS
WHERE PARENT_DESCRIPTION LIKE '%{item_description}%'
  AND ORG_NAME LIKE '%{org_name}%';</t>
  </si>
  <si>
    <t>SELECT 
    CUSTOMER_NAME,
    PG AS PRODUCT_GROUP,
    PRODUCT_MODEL,
    OA_NUMBER,
    SUM(OA_QUANTITY) AS TOTAL_QUANTITY,
    SUM(OA_QUANTITY * SELLING_PRICE) AS TOTAL_ORDER_VALUE
FROM 
    KPCL_REPORTING.OA_TROLLEY_STATUS
WHERE 
    (CUSTOMER_NAME) LIKE ('%{customer}%')
    AND (PG) LIKE ('%{product_group}%')
GROUP BY 
    CUSTOMER_NAME,
    PG,
    PRODUCT_MODEL,
    OA_NUMBER;</t>
  </si>
  <si>
    <t>Display oa_number {oa_number} having buyer_status {buyer_status}.</t>
  </si>
  <si>
    <t>Show /oa_number {oa_number} having /buyer_status {buyer_status}.</t>
  </si>
  <si>
    <t>oa number having buyer status</t>
  </si>
  <si>
    <t>Show order value for customer {customer}, product_group {product_group}, and org_name {org_name}.</t>
  </si>
  <si>
    <t>SELECT DISTINCT 
    OA_NUMBER, 
    BUYER_STATUS, 
    BUYER, 
    SBM_NUMBER, 
    ORG_NAME
FROM KPCL_REPORTING.BUYERWISE_OA_TROLLEY_STATUS
WHERE OA_NUMBER LIKE '%{oa_number}%'
  AND BUYER_STATUS LIKE '%{buyer_status}%';</t>
  </si>
  <si>
    <t>Show order value for  /customer {customer}, /product_group {product_group}, and /org_name {org_name}.</t>
  </si>
  <si>
    <t>buyer_status, oa_number</t>
  </si>
  <si>
    <t xml:space="preserve">order value for customer , product group, and org name </t>
  </si>
  <si>
    <t>SELECT 
    CUSTOMER_NAME,
    ORG_NAME,
    PG AS PRODUCT_GROUP,
    PRODUCT_MODEL,
    OA_NUMBER,
    SUM(OA_QUANTITY) AS TOTAL_QUANTITY,
    SUM(OA_QUANTITY * SELLING_PRICE) AS TOTAL_ORDER_VALUE
FROM 
    KPCL_REPORTING.OA_TROLLEY_STATUS
WHERE 
    (CUSTOMER_NAME) LIKE ('%{customer}%')
    AND (PG) LIKE ('%{product_group}%')
    AND (ORG_NAME) LIKE ('%{org_name}%')
GROUP BY 
    CUSTOMER_NAME,
    ORG_NAME,
    PG,
    PRODUCT_MODEL,
    OA_NUMBER;</t>
  </si>
  <si>
    <t>View order value for product_model {product_model}.</t>
  </si>
  <si>
    <t>Show order value for /product_model {product_model}.</t>
  </si>
  <si>
    <t>Show oa_number {oa_number} having trolley_remark {trolley_remark}.</t>
  </si>
  <si>
    <t xml:space="preserve">order value for product model </t>
  </si>
  <si>
    <t>Show /oa_number {oa_number} having /trolley_remark {trolley_remark}.</t>
  </si>
  <si>
    <t>oa number having trolley status</t>
  </si>
  <si>
    <t>SELECT 
    PRODUCT_MODEL,
    OA_NUMBER,
    CUSTOMER_NAME,
    ORG_NAME,
    PG AS PRODUCT_GROUP,
    SUM(OA_QUANTITY) AS TOTAL_QUANTITY,
    SUM(OA_QUANTITY * SELLING_PRICE) AS TOTAL_ORDER_VALUE
FROM 
    KPCL_REPORTING.OA_TROLLEY_STATUS
WHERE 
    (PRODUCT_MODEL) LIKE ('%{product_model}%')
GROUP BY 
    PRODUCT_MODEL,
    OA_NUMBER,
    CUSTOMER_NAME,
    ORG_NAME,
    PG;</t>
  </si>
  <si>
    <t>SELECT DISTINCT 
    OA_NUMBER, 
    TROLLEY_REMARK, 
    TROLLEY_REMARK_NO, 
    BUYER, 
    SBM_NUMBER, 
    ORG_NAME
FROM KPCL_REPORTING.BUYERWISE_OA_TROLLEY_STATUS
WHERE OA_NUMBER LIKE '%{oa_number}%'
  AND TROLLEY_REMARK LIKE '%{trolley_remark}%';</t>
  </si>
  <si>
    <t>Display ordered quantity for customer {customer} by product_model {product_model}.</t>
  </si>
  <si>
    <t>Show ordered quantity for  /customer {customer} by /product_model {product_model}.</t>
  </si>
  <si>
    <t xml:space="preserve">ordered quantity for customer  by product model </t>
  </si>
  <si>
    <t>SELECT 
    CUSTOMER_NAME,
    PRODUCT_MODEL,
    OA_NUMBER,
    ORG_NAME,
    PG AS PRODUCT_GROUP,
    SUM(OA_QUANTITY) AS TOTAL_ORDERED_QUANTITY
FROM 
    KPCL_REPORTING.OA_TROLLEY_STATUS
WHERE 
    (CUSTOMER_NAME) LIKE ('%{customer}%')
    AND (PRODUCT_MODEL) LIKE ('%{product_model}%')
GROUP BY 
    CUSTOMER_NAME,
    PRODUCT_MODEL,
    OA_NUMBER,
    ORG_NAME,
    PG;</t>
  </si>
  <si>
    <t>View parent_item {parent_item} having buyer_status {buyer_status}.</t>
  </si>
  <si>
    <t>Show /parent_item {parent_item} having /buyer_status {buyer_status}.</t>
  </si>
  <si>
    <t>parent item having buyer status</t>
  </si>
  <si>
    <t>SELECT DISTINCT 
    SBM_NUMBER, 
    BUYER_STATUS, 
    BUYER, 
    OA_NUMBER, 
    ORG_NAME
FROM KPCL_REPORTING.BUYERWISE_OA_TROLLEY_STATUS
WHERE SBM_NUMBER LIKE '%{parent_item}%'
  AND BUYER_STATUS LIKE '%{buyer_status}%';</t>
  </si>
  <si>
    <t>buyer_status, parent_item</t>
  </si>
  <si>
    <t>View ordered quantity for customer {customer}, product_model {product_model}, and org_name {org_name}.</t>
  </si>
  <si>
    <t>Show ordered quantity for  /customer {customer}, /product_model {product_model}, and /org_name {org_name}.</t>
  </si>
  <si>
    <t xml:space="preserve">ordered quantity for customer , product model, and org name </t>
  </si>
  <si>
    <t>SELECT 
    CUSTOMER_NAME,
    PRODUCT_MODEL,
    ORG_NAME,
    SUM(OA_QUANTITY) AS TOTAL_ORDERED_QUANTITY
FROM 
    KPCL_REPORTING.OA_TROLLEY_STATUS
WHERE 
    (CUSTOMER_NAME) LIKE ('%{customer}%')
    AND (PRODUCT_MODEL) LIKE ('%{product_model}%')
    AND (ORG_NAME) LIKE ('%{org_name}%')
GROUP BY 
    CUSTOMER_NAME,
    PRODUCT_MODEL,
    ORG_NAME;</t>
  </si>
  <si>
    <t>customer, org_name, product_model</t>
  </si>
  <si>
    <t>Show parent_item {parent_item} having trolley_remark {trolley_remark}.</t>
  </si>
  <si>
    <t>Show /parent_item {parent_item} having /trolley_remark {trolley_remark}.</t>
  </si>
  <si>
    <t>parent item having trolley status</t>
  </si>
  <si>
    <t>SELECT DISTINCT 
    SBM_NUMBER, 
    TROLLEY_REMARK, 
    TROLLEY_REMARK_NO, 
    BUYER, 
    OA_NUMBER, 
    ORG_NAME
FROM KPCL_REPORTING.BUYERWISE_OA_TROLLEY_STATUS
WHERE SBM_NUMBER LIKE '%{parent_item}%'
  AND TROLLEY_REMARK LIKE '%{trolley_remark}%';</t>
  </si>
  <si>
    <t>parent_item, trolley_remark</t>
  </si>
  <si>
    <t>View ordered quantity for product_model {product_model}.</t>
  </si>
  <si>
    <t>Show ordered quantity for /product_model {product_model}.</t>
  </si>
  <si>
    <t xml:space="preserve">ordered quantity for product model </t>
  </si>
  <si>
    <t>SELECT 
    PRODUCT_MODEL,
    SUM(OA_QUANTITY) AS TOTAL_ORDERED_QUANTITY
FROM 
    KPCL_REPORTING.OA_TROLLEY_STATUS
WHERE 
    (PRODUCT_MODEL) LIKE ('%{product_model}%')
GROUP BY 
    PRODUCT_MODEL;</t>
  </si>
  <si>
    <t>View total number of trolley records.</t>
  </si>
  <si>
    <t>Total number of trolley records.</t>
  </si>
  <si>
    <t>total number of trolley records</t>
  </si>
  <si>
    <t>SELECT 
    COUNT(*) AS TOTAL_TROLLEY_RECORDS
FROM KPCL_REPORTING.BUYERWISE_OA_TROLLEY_STATUS;</t>
  </si>
  <si>
    <t>View total number of buyers.</t>
  </si>
  <si>
    <t>Total number of buyers.</t>
  </si>
  <si>
    <t>Show orders for customer {customer} having item_description {item_description} in product_group {product_group}.</t>
  </si>
  <si>
    <t>total number of buyers</t>
  </si>
  <si>
    <t>Show orders for /customer {customer} having /item_description {item_description} in /product_group {product_group}.</t>
  </si>
  <si>
    <t>SELECT 
    COUNT(DISTINCT BUYER) AS TOTAL_BUYERS
FROM KPCL_REPORTING.BUYERWISE_OA_TROLLEY_STATUS
WHERE BUYER IS NOT NULL;</t>
  </si>
  <si>
    <t xml:space="preserve">orders for customer  having item description in product group </t>
  </si>
  <si>
    <t>SELECT  DISTINCT
    OA_NUMBER,
    CUSTOMER_NAME,
    ORG_NAME,
    PG AS PRODUCT_GROUP,
    PRODUCT_MODEL,
    PARENT_DESCRIPTION,
    PLANNING_MONTH,
    OA_QUANTITY,
    OA_STATUS,
    MARKETING_REMARK
FROM 
    KPCL_REPORTING.OA_TROLLEY_STATUS
WHERE 
    (CUSTOMER_NAME) LIKE ('%{customer}%')
    AND (PARENT_DESCRIPTION) LIKE ('%{item_description}%')
    AND (PG) LIKE ('%{product_group}%')
ORDER BY 
    OA_NUMBER ASC;</t>
  </si>
  <si>
    <t>customer,  item_description,  product_group</t>
  </si>
  <si>
    <t>View orders for customer {customer} having item_type {item_type} in product_group {product_group}.</t>
  </si>
  <si>
    <t>Show orders for /customer {customer} having /item_type {item_type} in /product_group {product_group}.</t>
  </si>
  <si>
    <t xml:space="preserve">orders for customer  having in product group </t>
  </si>
  <si>
    <t>View total number of organizations.</t>
  </si>
  <si>
    <t>Total number of organizations.</t>
  </si>
  <si>
    <t>SELECT  DISTINCT 
    OA_NUMBER,
    CUSTOMER_NAME,
    ORG_NAME,
    PG AS PRODUCT_GROUP,
    PRODUCT_MODEL,
    PARENT_ITEM_TYPE,
    PLANNING_MONTH,
    OA_QUANTITY,
    OA_STATUS,
    MARKETING_REMARK
FROM 
    KPCL_REPORTING.OA_TROLLEY_STATUS
WHERE 
    (CUSTOMER_NAME) LIKE ('%{customer}%')
    AND (PARENT_ITEM_TYPE) LIKE ('%{item_type}%')
    AND (PG) LIKE ('%{product_group}%')
ORDER BY 
    OA_NUMBER ASC;</t>
  </si>
  <si>
    <t>total number of organizations</t>
  </si>
  <si>
    <t>customer,  item_type,  product_group</t>
  </si>
  <si>
    <t>SELECT 
    COUNT(DISTINCT ORG_NAME) AS TOTAL_ORGANIZATIONS
FROM KPCL_REPORTING.BUYERWISE_OA_TROLLEY_STATUS
WHERE ORG_NAME IS NOT NULL;</t>
  </si>
  <si>
    <t>Show orders for customer {customer} with inspection_norm {inspection_norm} in month {month}.</t>
  </si>
  <si>
    <t>Show orders for /customer {customer} with /inspection_norm {inspection_norm} in /month {month}.</t>
  </si>
  <si>
    <t xml:space="preserve">orders for customer  with inspection norm in month </t>
  </si>
  <si>
    <t>SELECT  DISTINCT
    OA_NUMBER,
    CUSTOMER_NAME,
    ORG_NAME,
    PG AS PRODUCT_GROUP,
    PRODUCT_MODEL,
    INSPECTION_NORM,
    PLANNING_MONTH,
    OA_QUANTITY,
    OA_STATUS,
    MARKETING_REMARK
FROM 
    KPCL_REPORTING.OA_TROLLEY_STATUS
WHERE 
    (CUSTOMER_NAME) LIKE ('%{customer}%')
    AND (INSPECTION_NORM) LIKE ('%{inspection_norm}%')
    AND (PLANNING_MONTH) LIKE ('%{month}%')
ORDER BY 
    OA_NUMBER ASC;</t>
  </si>
  <si>
    <t>customer,  inspection_norm,  month</t>
  </si>
  <si>
    <t>Show total distinct OA / Order Number.</t>
  </si>
  <si>
    <t>Total distinct OA / Order Number.</t>
  </si>
  <si>
    <t>total distinct OA / Order Number</t>
  </si>
  <si>
    <t>SELECT 
    COUNT(DISTINCT OA_NUMBER) AS TOTAL_DISTINCT_OA_NUMBERS
FROM KPCL_REPORTING.BUYERWISE_OA_TROLLEY_STATUS
WHERE OA_NUMBER IS NOT NULL;</t>
  </si>
  <si>
    <t>Display orders for oa_number {oa_number}, customer {customer}, and product_group {product_group}.</t>
  </si>
  <si>
    <t>Show orders for /oa_number {oa_number}, /customer {customer}, and /product_group {product_group}.</t>
  </si>
  <si>
    <t xml:space="preserve">orders for oa number, customer , and product group </t>
  </si>
  <si>
    <t>SELECT  DISTINCT
    OA_NUMBER,
    CUSTOMER_NAME,
    ORG_NAME,
    PG AS PRODUCT_GROUP,
    PRODUCT_MODEL,
    PLANNING_MONTH,
    OA_QUANTITY,
    OA_STATUS,
    MARKETING_REMARK
FROM 
    KPCL_REPORTING.OA_TROLLEY_STATUS
WHERE 
    (OA_NUMBER) LIKE ('%{oa_number}%')
    AND (CUSTOMER_NAME) LIKE ('%{customer}%')
    AND (PG) LIKE ('%{product_group}%')
ORDER BY 
    OA_NUMBER ASC;</t>
  </si>
  <si>
    <t>customer,  oa_number,  product_group</t>
  </si>
  <si>
    <t>Show total distinct SBM numbers.</t>
  </si>
  <si>
    <t>Total distinct SBM numbers.</t>
  </si>
  <si>
    <t>total distinct SBM numbers</t>
  </si>
  <si>
    <t>SELECT 
    COUNT(DISTINCT SBM_NUMBER) AS TOTAL_DISTINCT_SBM_NUMBERS
FROM KPCL_REPORTING.BUYERWISE_OA_TROLLEY_STATUS
WHERE SBM_NUMBER IS NOT NULL;</t>
  </si>
  <si>
    <t>View orders for product_group {product_group} in org_name {org_name} with month {month}.</t>
  </si>
  <si>
    <t>Show orders for /product_group {product_group} in /org_name {org_name} with /month {month}.</t>
  </si>
  <si>
    <t xml:space="preserve">orders for product group in org name with month </t>
  </si>
  <si>
    <t>SELECT  DISTINCT
    OA_NUMBER,
    CUSTOMER_NAME,
    ORG_NAME,
    PG AS PRODUCT_GROUP,
    PRODUCT_MODEL,
    PLANNING_MONTH,
    OA_QUANTITY,
    OA_STATUS,
    MARKETING_REMARK
FROM 
    KPCL_REPORTING.OA_TROLLEY_STATUS
WHERE 
    (PG) LIKE ('%{product_group}%')
    AND (ORG_NAME) LIKE ('%{org_name}%')
    AND (PLANNING_MONTH) LIKE ('%{month}%')
ORDER BY 
    OA_NUMBER ASC;</t>
  </si>
  <si>
    <t>org_name, month, product_group</t>
  </si>
  <si>
    <t>View total distinct item descriptions.</t>
  </si>
  <si>
    <t>Total distinct item descriptions.</t>
  </si>
  <si>
    <t>total distinct item descriptions</t>
  </si>
  <si>
    <t>SELECT 
    COUNT(DISTINCT PARENT_DESCRIPTION) AS TOTAL_DISTINCT_PARENT_DESCRIPTIONS
FROM KPCL_REPORTING.BUYERWISE_OA_TROLLEY_STATUS
WHERE PARENT_DESCRIPTION IS NOT NULL;</t>
  </si>
  <si>
    <t>Show orders for product_model {product_model} in org_name {org_name} with oa_status {oa_status}.</t>
  </si>
  <si>
    <t>Show orders for /product_model {product_model} in /org_name {org_name} with /oa_status {oa_status}.</t>
  </si>
  <si>
    <t xml:space="preserve">orders for product model in org name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</si>
  <si>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(PRODUCT_MODEL) LIKE ('%{product_model}%')
    AND (ORG_NAME) LIKE ('%{org_name}%')
    AND (OA_STATUS) LIKE ('%{oa_status}%')
ORDER BY 
    OA_NUMBER ASC;</t>
  </si>
  <si>
    <t>oa_status, org_name, product_model</t>
  </si>
  <si>
    <t>View top 10 buyers by trolley count.</t>
  </si>
  <si>
    <t>Top 10 buyers by trolley count.</t>
  </si>
  <si>
    <t>top 10 buyers by trolley count</t>
  </si>
  <si>
    <t>SELECT 
    BUYER,
    COUNT(*) AS TROLLEY_COUNT
FROM KPCL_REPORTING.BUYERWISE_OA_TROLLEY_STATUS
WHERE BUYER IS NOT NULL
GROUP BY BUYER
ORDER BY TROLLEY_COUNT DESC
FETCH FIRST 10 ROWS ONLY;</t>
  </si>
  <si>
    <t>View orders for customer {customer} in product_group {product_group} with oa_status {oa_status}.</t>
  </si>
  <si>
    <t>Show orders for  /customer {customer} in /product_group {product_group} with /oa_status {oa_status}.</t>
  </si>
  <si>
    <t xml:space="preserve">orders for customer  in product group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</si>
  <si>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
    AND (PG) LIKE ('%{product_group}%')
    AND (OA_STATUS) LIKE ('%{oa_status}%')
ORDER BY 
    OA_NUMBER ASC;</t>
  </si>
  <si>
    <t>Display top 10 item descriptions by occurrence.</t>
  </si>
  <si>
    <t>Top 10 item descriptions by occurrence.</t>
  </si>
  <si>
    <t>top 10 item descriptions by occurrence</t>
  </si>
  <si>
    <t>SELECT 
    PARENT_DESCRIPTION,
    COUNT(*) AS OCCURRENCE_COUNT
FROM KPCL_REPORTING.BUYERWISE_OA_TROLLEY_STATUS
WHERE PARENT_DESCRIPTION IS NOT NULL
GROUP BY PARENT_DESCRIPTION
ORDER BY OCCURRENCE_COUNT DESC
FETCH FIRST 10 ROWS ONLY;</t>
  </si>
  <si>
    <t>Show orders for customer {customer} in product_group {product_group}.</t>
  </si>
  <si>
    <t>Show orders for  /customer {customer} in /product_group {product_group}.</t>
  </si>
  <si>
    <t xml:space="preserve">orders for customer  in product group 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</si>
  <si>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
    AND (PG) LIKE ('%{product_group}%')
ORDER BY 
    OA_NUMBER ASC;</t>
  </si>
  <si>
    <t>Show top 10 SBM numbers by occurrence.</t>
  </si>
  <si>
    <t>Top 10 SBM numbers by occurrence.</t>
  </si>
  <si>
    <t>top 10 SBM numbers by occurrence</t>
  </si>
  <si>
    <t>SELECT 
    SBM_NUMBER,
    COUNT(*) AS OCCURRENCE_COUNT
FROM KPCL_REPORTING.BUYERWISE_OA_TROLLEY_STATUS
WHERE SBM_NUMBER IS NOT NULL
GROUP BY SBM_NUMBER
ORDER BY OCCURRENCE_COUNT DESC
FETCH FIRST 10 ROWS ONLY;</t>
  </si>
  <si>
    <t>View top organizations by trolley count.</t>
  </si>
  <si>
    <t>Show top organizations by trolley count.</t>
  </si>
  <si>
    <t>top organizations by trolley count</t>
  </si>
  <si>
    <t>SELECT 
    ORG_NAME,
    COUNT(*) AS TROLLEY_COUNT
FROM KPCL_REPORTING.BUYERWISE_OA_TROLLEY_STATUS
WHERE ORG_NAME IS NOT NULL
GROUP BY ORG_NAME
ORDER BY TROLLEY_COUNT DESC;</t>
  </si>
  <si>
    <t>Display buyer wise status summary.</t>
  </si>
  <si>
    <t>Buyer wise status summary.</t>
  </si>
  <si>
    <t>Display orders for customer {customer} placed on order date for date {date}.</t>
  </si>
  <si>
    <t>buyer wise status summary</t>
  </si>
  <si>
    <t>Show orders for  /customer {customer} placed on order date {date}.</t>
  </si>
  <si>
    <t>SELECT 
    BUYER,
    BUYER_STATUS,
    COUNT(*) AS TOTAL_RECORDS,
    COUNT(DISTINCT OA_NUMBER) AS DISTINCT_OA,
    COUNT(DISTINCT SBM_NUMBER) AS DISTINCT_SBMS
FROM KPCL_REPORTING.BUYERWISE_OA_TROLLEY_STATUS
WHERE BUYER IS NOT NULL
GROUP BY BUYER, BUYER_STATUS
ORDER BY BUYER ASC, TOTAL_RECORDS DESC;</t>
  </si>
  <si>
    <t>orders for customer  placed on order date for date</t>
  </si>
  <si>
    <t>SELECT  DISTINCT
    OA_NUMBER,
    CUSTOMER_NAME,
    ORG_NAME,
    PG AS PRODUCT_GROUP,
    PRODUCT_MODEL,
    ORDER_DATE,
    PLANNING_MONTH,
    OA_QUANTITY,
    OA_STATUS,
    MARKETING_REMARK
FROM 
    KPCL_REPORTING.OA_TROLLEY_STATUS
WHERE 
    (CUSTOMER_NAME) LIKE ('%{customer}%')
    AND TRUNC(ORDER_DATE) = TO_DATE('{date}', 'DD-MM-YY')
ORDER BY 
    OA_NUMBER ASC;</t>
  </si>
  <si>
    <t>customer, date</t>
  </si>
  <si>
    <t>View organization wise status summary.</t>
  </si>
  <si>
    <t>Organization wise status summary.</t>
  </si>
  <si>
    <t>Display orders for customer {customer} scheduled on ssd for date {date}.</t>
  </si>
  <si>
    <t>Show orders for  /customer {customer} scheduled on ssd for /date {date}.</t>
  </si>
  <si>
    <t>SELECT 
    ORG_NAME,
    BUYER_STATUS,
    TROLLEY_REMARK,
    COUNT(*) AS TOTAL_RECORDS,
    COUNT(DISTINCT OA_NUMBER) AS DISTINCT_OA,
    COUNT(DISTINCT SBM_NUMBER) AS DISTINCT_SBMS,
    COUNT(DISTINCT BUYER) AS TOTAL_BUYERS
FROM KPCL_REPORTING.BUYERWISE_OA_TROLLEY_STATUS
WHERE ORG_NAME IS NOT NULL
GROUP BY ORG_NAME, BUYER_STATUS, TROLLEY_REMARK
ORDER BY ORG_NAME ASC, TOTAL_RECORDS DESC;</t>
  </si>
  <si>
    <t>orders for customer  scheduled on ssd for date</t>
  </si>
  <si>
    <t>SELECT  DISTINCT
    OA_NUMBER,
    CUSTOMER_NAME,
    ORG_NAME,
    PG AS PRODUCT_GROUP,
    PRODUCT_MODEL,
    SCHEDULE_SHIP_DATE,
    PLANNING_MONTH,
    OA_QUANTITY,
    OA_STATUS,
    MARKETING_REMARK
FROM 
    KPCL_REPORTING.OA_TROLLEY_STATUS
WHERE 
    (CUSTOMER_NAME) LIKE ('%{customer}%')
    AND TRUNC(SCHEDULE_SHIP_DATE) = TO_DATE('{date}', 'DD-MM-YY')
ORDER BY 
    OA_NUMBER ASC;</t>
  </si>
  <si>
    <t>Display daily trolley update trend.</t>
  </si>
  <si>
    <t>Show daily trolley update trend.</t>
  </si>
  <si>
    <t>daily trolley update trend</t>
  </si>
  <si>
    <t>Display orders for customer {customer} with cdd for date {date}.</t>
  </si>
  <si>
    <t>SELECT 
    TRUNC(TROLLEY_DATE) AS UPDATE_DATE,
    COUNT(*) AS TOTAL_UPDATES,
    COUNT(DISTINCT OA_NUMBER) AS DISTINCT_OA_UPDATED,
    COUNT(DISTINCT SBM_NUMBER) AS DISTINCT_SBMS_UPDATED,
    COUNT(DISTINCT BUYER) AS ACTIVE_BUYERS
FROM KPCL_REPORTING.BUYERWISE_OA_TROLLEY_STATUS
WHERE TROLLEY_DATE IS NOT NULL
GROUP BY TRUNC(TROLLEY_DATE)
ORDER BY UPDATE_DATE DESC;</t>
  </si>
  <si>
    <t>Show orders for  /customer {customer} with cdd for /date {date}.</t>
  </si>
  <si>
    <t xml:space="preserve">orders for customer  with cdd for date </t>
  </si>
  <si>
    <t>SELECT  DISTINCT
    OA_NUMBER,
    CUSTOMER_NAME,
    ORG_NAME,
    PG AS PRODUCT_GROUP,
    PRODUCT_MODEL,
    CDD,
    PLANNING_MONTH,
    OA_QUANTITY,
    OA_STATUS,
    MARKETING_REMARK
FROM 
    KPCL_REPORTING.OA_TROLLEY_STATUS
WHERE 
    (CUSTOMER_NAME) LIKE ('%{customer}%')
    AND TRUNC(CDD) = TO_DATE('{date}', 'DD-MM-YY')
ORDER BY 
    OA_NUMBER ASC;</t>
  </si>
  <si>
    <t>View trolley updates on trolley date for month {month}.</t>
  </si>
  <si>
    <t>View trolley updates on trolley date for /month {month}.</t>
  </si>
  <si>
    <t>Display orders for customer {customer} with oa_status {oa_status}.</t>
  </si>
  <si>
    <t xml:space="preserve">trolley updates on trolley date for month </t>
  </si>
  <si>
    <t>Show orders for  /customer {customer} with /oa_status {oa_status}.</t>
  </si>
  <si>
    <t xml:space="preserve">orders for customer  with oa status </t>
  </si>
  <si>
    <t>SELECT 
    ORG_NAME, 
    BUYER, 
    OA_NUMBER, 
    SPLIT_LINE_IDENTIFIER, 
    SBM_NUMBER, 
    PARENT_ITEM_TYPE, 
    PARENT_DESCRIPTION, 
    TROLLEY_REMARK_NO, 
    TROLLEY_REMARK, 
    TROLLEY_DATE, 
    BUYER_STATUS
FROM 
    KPCL_REPORTING.BUYERWISE_OA_TROLLEY_STATUS
WHERE 
    TO_CHAR(TO_DATE(TROLLEY_DATE, 'DD-MM-YY'), 'MM') = '{month}';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</si>
  <si>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
    AND (OA_STATUS) LIKE ('%{oa_status}%')
ORDER BY 
    OA_NUMBER ASC;</t>
  </si>
  <si>
    <t>customer, oa_status</t>
  </si>
  <si>
    <t>Show orders for customer {customer}, product_model {product_model}, and ld_clause {ld_clause}.</t>
  </si>
  <si>
    <t>Show orders for  /customer {customer}, /product_model {product_model}, and /ld_clause {ld_clause}.</t>
  </si>
  <si>
    <t>Display trolley records for buyer {buyer} on trolley date for month {month}.</t>
  </si>
  <si>
    <t xml:space="preserve">orders for customer , product model, and ld clause </t>
  </si>
  <si>
    <t>Display trolley records for /buyer {buyer} on trolley date for /month {month}.</t>
  </si>
  <si>
    <t>SELECT  DISTINCT
    OA_NUMBER,
    CUSTOMER_NAME,
    ORG_NAME,
    PG AS PRODUCT_GROUP,
    PRODUCT_MODEL,
    LD_CLAUSE,
    PLANNING_MONTH,
    OA_QUANTITY,
    OA_STATUS,
    MARKETING_REMARK
FROM 
    KPCL_REPORTING.OA_TROLLEY_STATUS
WHERE 
    (CUSTOMER_NAME) LIKE ('%{customer}%')
    AND (PRODUCT_MODEL) LIKE ('%{product_model}%')
    AND (LD_CLAUSE) LIKE ('%{ld_clause}%')
ORDER BY 
    OA_NUMBER ASC;</t>
  </si>
  <si>
    <t xml:space="preserve">trolley records for buyer on trolley date in month </t>
  </si>
  <si>
    <t>customer, ld_clause, product_model</t>
  </si>
  <si>
    <t>SELECT 
    ORG_NAME, 
    BUYER, 
    OA_NUMBER, 
    SPLIT_LINE_IDENTIFIER, 
    SBM_NUMBER, 
    PARENT_ITEM_TYPE, 
    PARENT_DESCRIPTION, 
    TROLLEY_REMARK_NO, 
    TROLLEY_REMARK, 
    TROLLEY_DATE, 
    BUYER_STATUS
FROM 
    KPCL_REPORTING.BUYERWISE_OA_TROLLEY_STATUS
WHERE 
    BUYER LIKE '%{buyer}%'
    AND TO_CHAR(TO_DATE(TROLLEY_DATE, 'DD-MM-YY'), 'MM') = '{month}';</t>
  </si>
  <si>
    <t>View orders for customer {customer}.</t>
  </si>
  <si>
    <t>Show orders for  /customer {customer}.</t>
  </si>
  <si>
    <t xml:space="preserve">orders for customer  </t>
  </si>
  <si>
    <t>SELECT  DISTINCT
    OA_NUMBER,
    CUSTOMER_NAME,
    ORG_NAME,
    PG AS PRODUCT_GROUP,
    PRODUCT_MODEL,
    PLANNING_MONTH,
    OA_QUANTITY,
    OA_STATUS,
    MARKETING_REMARK
FROM 
    KPCL_REPORTING.OA_TROLLEY_STATUS
WHERE 
    (CUSTOMER_NAME) LIKE ('%{customer}%')
ORDER BY 
    OA_NUMBER ASC;</t>
  </si>
  <si>
    <t>View trolley updates on trolley date for year {year}.</t>
  </si>
  <si>
    <t>View trolley updates on trolley date for /year {year}.</t>
  </si>
  <si>
    <t>trolley updates on trolley date for year</t>
  </si>
  <si>
    <t>SELECT 
    ORG_NAME, 
    BUYER, 
    OA_NUMBER, 
    SPLIT_LINE_IDENTIFIER, 
    SBM_NUMBER, 
    PARENT_ITEM_TYPE, 
    PARENT_DESCRIPTION, 
    TROLLEY_REMARK_NO, 
    TROLLEY_REMARK, 
    TROLLEY_DATE, 
    BUYER_STATUS
FROM 
    KPCL_REPORTING.BUYERWISE_OA_TROLLEY_STATUS
WHERE 
    TO_CHAR(TO_DATE(TROLLEY_DATE, 'DD-MM-YY'), 'YY') = SUBSTR('{year}', -2);</t>
  </si>
  <si>
    <t>Display orders for item_type {item_type}.</t>
  </si>
  <si>
    <t>Show orders for /item_type {item_type}.</t>
  </si>
  <si>
    <t xml:space="preserve">orders for item type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</si>
  <si>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(PARENT_ITEM_TYPE) LIKE ('%{item_type}%')
ORDER BY 
    OA_NUMBER ASC;</t>
  </si>
  <si>
    <t>Display trolley records for buyer {buyer} on trolley date for year {year}.</t>
  </si>
  <si>
    <t>Display trolley records for /buyer {buyer} on trolley date for /year {year}.</t>
  </si>
  <si>
    <t>trolley records for buyer on trolley date for year</t>
  </si>
  <si>
    <t>SELECT 
    ORG_NAME, 
    BUYER, 
    OA_NUMBER, 
    SPLIT_LINE_IDENTIFIER, 
    SBM_NUMBER, 
    PARENT_ITEM_TYPE, 
    PARENT_DESCRIPTION, 
    TROLLEY_REMARK_NO, 
    TROLLEY_REMARK, 
    TROLLEY_DATE, 
    BUYER_STATUS
FROM 
    KPCL_REPORTING.BUYERWISE_OA_TROLLEY_STATUS
WHERE 
    BUYER LIKE '%{buyer}%'
    AND TO_CHAR(TO_DATE(TROLLEY_DATE, 'DD-MM-YY'), 'YY') = SUBSTR('{year}', -2);</t>
  </si>
  <si>
    <t>buyer, year</t>
  </si>
  <si>
    <t>Show orders for oa_number {oa_number} belonging to customer {customer}.</t>
  </si>
  <si>
    <t>Show orders for /oa_number {oa_number} belonging to  /customer {customer}.</t>
  </si>
  <si>
    <t xml:space="preserve">orders for oa number belonging to customer 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</si>
  <si>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(OA_NUMBER) LIKE ('%{oa_number}%')
    AND (CUSTOMER_NAME) LIKE ('%{customer}%')
ORDER BY 
    OA_NUMBER ASC;</t>
  </si>
  <si>
    <t>Display trolley records for buyer {buyer} on trolley date for month {month} and year {year}.</t>
  </si>
  <si>
    <t>Display trolley records for /buyer {buyer} on trolley date for /month {month} and /year {year}.</t>
  </si>
  <si>
    <t>trolley records for buyer on trolley date for month and year</t>
  </si>
  <si>
    <t>SELECT 
    ORG_NAME, 
    BUYER, 
    OA_NUMBER, 
    SPLIT_LINE_IDENTIFIER, 
    SBM_NUMBER, 
    PARENT_ITEM_TYPE, 
    PARENT_DESCRIPTION, 
    TROLLEY_REMARK_NO, 
    TROLLEY_REMARK, 
    TROLLEY_DATE, 
    BUYER_STATUS
FROM 
    KPCL_REPORTING.BUYERWISE_OA_TROLLEY_STATUS
WHERE 
    BUYER LIKE '%{buyer}%'
    AND TO_CHAR(TO_DATE(TROLLEY_DATE, 'DD-MM-YY'), 'MM') = LPAD('{month}', 2, '0')
    AND TO_CHAR(TO_DATE(TROLLEY_DATE, 'DD-MM-YY'), 'YY') = SUBSTR('{year}', -2);</t>
  </si>
  <si>
    <t>buyer, month, year</t>
  </si>
  <si>
    <t>Display orders for org_name {org_name}, product_group {product_group}, and oa_status {oa_status}.</t>
  </si>
  <si>
    <t>Show orders for /org_name {org_name}, /product_group {product_group}, and /oa_status {oa_status}.</t>
  </si>
  <si>
    <t xml:space="preserve">orders for org name, product group, and oa status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</si>
  <si>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(ORG_NAME) LIKE ('%{org_name}%')
    AND (PG) LIKE ('%{product_group}%')
    AND (OA_STATUS) LIKE ('%{oa_status}%')
ORDER BY 
    OA_NUMBER ASC;</t>
  </si>
  <si>
    <t>oa_status, org_name, product_group</t>
  </si>
  <si>
    <t>Display trolley records updated on trolley date for month {month} and year {year} with trolley_remark {trolley_remark}</t>
  </si>
  <si>
    <t>Display trolley records updated on trolley date for /month {month} and /year {year} with /trolley_remark {trolley_remark}</t>
  </si>
  <si>
    <t>trolley records updated on trolley date for month and year with trolley_remark</t>
  </si>
  <si>
    <t>SELECT 
    ORG_NAME, 
    BUYER, 
    OA_NUMBER, 
    SPLIT_LINE_IDENTIFIER, 
    SBM_NUMBER, 
    PARENT_ITEM_TYPE, 
    PARENT_DESCRIPTION, 
    TROLLEY_REMARK_NO, 
    TROLLEY_REMARK, 
    TROLLEY_DATE, 
    BUYER_STATUS
FROM 
    KPCL_REPORTING.BUYERWISE_OA_TROLLEY_STATUS
WHERE 
    TO_CHAR(TO_DATE(TROLLEY_DATE, 'DD-MM-YY'), 'MM') = LPAD('{month}', 2, '0')
    AND TO_CHAR(TO_DATE(TROLLEY_DATE, 'DD-MM-YY'), 'YY') = SUBSTR('{year}', -2)
    AND TROLLEY_REMARK LIKE '%{trolley_remark}%';</t>
  </si>
  <si>
    <t>trolley_remark, month, year</t>
  </si>
  <si>
    <t>Display orders for item_description {item_description} in product_group {product_group}.</t>
  </si>
  <si>
    <t>Show orders for /item_description {item_description} in /product_group {product_group}.</t>
  </si>
  <si>
    <t xml:space="preserve">orders for item description in product group </t>
  </si>
  <si>
    <t>SELECT  DISTINCT
    OA_NUMBER,
    CUSTOMER_NAME,
    ORG_NAME,
    PG AS PRODUCT_GROUP,
    PRODUCT_MODEL,
    PARENT_ITEM_TYPE,
    PARENT_DESCRIPTION,
    PLANNING_MONTH,
    OA_QUANTITY,
    OA_STATUS,
    MARKETING_REMARK
FROM 
    KPCL_REPORTING.OA_TROLLEY_STATUS
WHERE 
    (PARENT_DESCRIPTION) LIKE ('%{item_description}%')
    AND (PG) LIKE ('%{product_group}%')
ORDER BY 
    OA_NUMBER ASC;</t>
  </si>
  <si>
    <t>item_description, product_group</t>
  </si>
  <si>
    <t>Show OA/ Order number ready or available for trolley balancing.</t>
  </si>
  <si>
    <t>Display orders for item_type {item_type} in product_group {product_group}.</t>
  </si>
  <si>
    <t>Show orders for /item_type {item_type} in /product_group {product_group}.</t>
  </si>
  <si>
    <t xml:space="preserve">orders for item type in product group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</si>
  <si>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(PARENT_ITEM_TYPE) LIKE ('%{item_type}%')
    AND (PG) LIKE ('%{product_group}%')
ORDER BY 
    OA_NUMBER ASC;</t>
  </si>
  <si>
    <t>Display OA/ Order number ready or available for trolley balancing.</t>
  </si>
  <si>
    <t>OA/ Order number ready or available for trolley balancing</t>
  </si>
  <si>
    <t xml:space="preserve">SELECT DISTINCT TROLLEY_NO, OA_NUMBER, ORG_NAME, BUYER, TROLLEY_BALANCING_STATUS
FROM KPCL_REPORTING.BUYERWISE_OA_TROLLEY_STATUS
WHERE TROLLEY_BALANCING_STATUS LIKE '%available%'; </t>
  </si>
  <si>
    <t>Show orders for product_group {product_group} with oa_status {oa_status}.</t>
  </si>
  <si>
    <t>Show orders for /product_group {product_group} with /oa_status {oa_status}.</t>
  </si>
  <si>
    <t xml:space="preserve">orders for product group with oa status 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</si>
  <si>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(PG) LIKE ('%{product_group}%')
    AND (OA_STATUS) LIKE ('%{oa_status}%')
ORDER BY 
    OA_NUMBER ASC;</t>
  </si>
  <si>
    <t>oa_status, product_group</t>
  </si>
  <si>
    <t>Display OA/ Order number not ready or not available for trolley balancing.</t>
  </si>
  <si>
    <t>Display OA/ Order number not ready or not available for trolley  balancing</t>
  </si>
  <si>
    <t>OA/ Order number not ready or not available for trolley balancing</t>
  </si>
  <si>
    <t xml:space="preserve">SELECT DISTINCT OA_NUMBER, ORG_NAME, TROLLEY_BALANCING_STATUS
FROM KPCL_REPORTING.BUYERWISE_OA_TROLLEY_STATUS
WHERE TROLLEY_BALANCING_STATUS LIKE 'Trolley not available to balance'; </t>
  </si>
  <si>
    <t>Show orders for product_group {product_group}.</t>
  </si>
  <si>
    <t>Show orders for /product_group {product_group}.</t>
  </si>
  <si>
    <t xml:space="preserve">orders for product group </t>
  </si>
  <si>
    <t>Display buyerwise OA/ Order number not ready or not available for trolley balancing.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</si>
  <si>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(PG) LIKE ('%{product_group}%')
ORDER BY 
    OA_NUMBER ASC;</t>
  </si>
  <si>
    <t>buyerwise OA/ Order number not ready or not available for trolley balancing.</t>
  </si>
  <si>
    <t xml:space="preserve">SELECT TROLLEY_NO, OA_NUMBER, ORG_NAME, BUYER, AVAILABILITY
FROM KPCL_REPORTING.BUYERWISE_OA_TROLLEY_STATUS
WHERE TROLLEY_BALANCING_STATUS LIKE '%not available%'; </t>
  </si>
  <si>
    <t>Show availability status for oa_number {oa_number}.</t>
  </si>
  <si>
    <t>Show availability status for /oa_number {oa_number}.</t>
  </si>
  <si>
    <t>Show orders for product_model {product_model} in product_group {product_group}.</t>
  </si>
  <si>
    <t>Show orders for /product_model {product_model} in /product_group {product_group}.</t>
  </si>
  <si>
    <t xml:space="preserve">orders for product model in product group </t>
  </si>
  <si>
    <t xml:space="preserve">availability status for oa number </t>
  </si>
  <si>
    <t>SELECT OA_NUMBER, AVAILABILITY, ORG_NAME
FROM KPCL_REPORTING.BUYERWISE_OA_TROLLEY_STATUS
WHERE OA_NUMBER LIKE '%{oa_number}%';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</si>
  <si>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(PRODUCT_MODEL) LIKE ('%{product_model}%')
    AND (PG) LIKE ('%{product_group}%')
ORDER BY 
    OA_NUMBER ASC;</t>
  </si>
  <si>
    <t>Show count of available or ready  and non-available or not ready trolleys by organization.</t>
  </si>
  <si>
    <t>count of available or ready  and non-available or not ready trolleys by organization</t>
  </si>
  <si>
    <t>SELECT
    ORG_NAME,
    AVAILABILITY,
    COUNT(DISTINCT OA_NUMBER) AS OA_COUNT
FROM KPCL_REPORTING.BUYERWISE_OA_TROLLEY_STATUS
WHERE ORG_NAME IS NOT NULL
GROUP BY ORG_NAME, AVAILABILITY
ORDER BY ORG_NAME, OA_COUNT DESC;</t>
  </si>
  <si>
    <t>Display orders for product_model {product_model} with oa_status {oa_status}.</t>
  </si>
  <si>
    <t>Show orders for /product_model {product_model} with /oa_status {oa_status}.</t>
  </si>
  <si>
    <t xml:space="preserve">orders for product model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</si>
  <si>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(PRODUCT_MODEL) LIKE ('%{product_model}%')
    AND (OA_STATUS) LIKE ('%{oa_status}%')
ORDER BY 
    OA_NUMBER ASC;</t>
  </si>
  <si>
    <t>oa_status, product_model</t>
  </si>
  <si>
    <t>Show trolley balancing status summary across all buyers</t>
  </si>
  <si>
    <t>trolley balancing status summary across all buyers</t>
  </si>
  <si>
    <t>SELECT 
    BUYER,
    TROLLEY_BALANCING_STATUS,
    COUNT(DISTINCT OA_NUMBER) AS DISTINCT_OA_COUNT,
    COUNT(*) AS TOTAL_RECORDS
FROM KPCL_REPORTING.BUYERWISE_OA_TROLLEY_STATUS
WHERE BUYER IS NOT NULL AND BUYER_STATUS NOT LIKE 'NA'
GROUP BY BUYER, TROLLEY_BALANCING_STATUS
ORDER BY BUYER, DISTINCT_OA_COUNT DESC;</t>
  </si>
  <si>
    <t>View orders for product_model {product_model}.</t>
  </si>
  <si>
    <t>Show orders for /product_model {product_model}.</t>
  </si>
  <si>
    <t xml:space="preserve">orders for product model </t>
  </si>
  <si>
    <t>SELECT  DISTINCT
    OA_NUMBER,
    CUSTOMER_NAME,
    ORG_NAME,
    PG AS PRODUCT_GROUP,
    PRODUCT_MODEL,
    PLANNING_MONTH,
    OA_QUANTITY,
    OA_STATUS,
    MARKETING_REMARK
FROM 
    KPCL_REPORTING.OA_TROLLEY_STATUS
WHERE 
    (PRODUCT_MODEL) LIKE ('%{product_model}%')
ORDER BY 
    OA_NUMBER ASC;</t>
  </si>
  <si>
    <t>Display all records having trolley remarks along with availability and trolley balancing status</t>
  </si>
  <si>
    <t>all records having trolley remarks along with availability and trolley balancing status</t>
  </si>
  <si>
    <t>SELECT TROLLEY_NO,ORG_NAME, OA_NUMBER,  BUYER, BUYER_STATUS, TROLLEY_REMARK,TROLLEY_DATE, AVAILABILITY
FROM KPCL_REPORTING.BUYERWISE_OA_TROLLEY_STATUS
WHERE BUYER IS NOT NULL AND BUYER_STATUS NOT LIKE 'NA' AND TROLLEY_REMARK IS NOT NULL
ORDER BY TROLLEY_DATE DESC NULLS LAST;</t>
  </si>
  <si>
    <t>View orders for parent_item {parent_item} in org_name {org_name}.</t>
  </si>
  <si>
    <t>Show orders for /parent_item {parent_item} in /org_name {org_name}.</t>
  </si>
  <si>
    <t xml:space="preserve">orders for parent_item in org name </t>
  </si>
  <si>
    <t>SELECT  DISTINCT 
    OA_NUMBER,
    SBM_NUMBER,
    CUSTOMER_NAME,
    ORG_NAME,
    PG AS PRODUCT_GROUP,
    PRODUCT_MODEL,
    PLANNING_MONTH,
    OA_QUANTITY,
    OA_STATUS,
    MARKETING_REMARK
FROM 
    KPCL_REPORTING.OA_TROLLEY_STATUS
WHERE 
    (SBM_NUMBER) LIKE ('%{parent_item}%')
    AND (ORG_NAME) LIKE ('%{org_name}%')
ORDER BY 
    OA_NUMBER ASC;</t>
  </si>
  <si>
    <t>Show trolleys with buyers and their availability status.</t>
  </si>
  <si>
    <t>trolleys with buyers and their availability status</t>
  </si>
  <si>
    <t>SELECT TROLLEY_NO,ORG_NAME, OA_NUMBER,  BUYER, BUYER_STATUS, TROLLEY_REMARK,TROLLEY_DATE, AVAILABILITY
FROM KPCL_REPORTING.BUYERWISE_OA_TROLLEY_STATUS
WHERE BUYER IS NOT NULL AND BUYER_STATUS NOT LIKE 'NA'
ORDER BY TROLLEY_DATE DESC NULLS LAST;</t>
  </si>
  <si>
    <t>View orders for parent_item {parent_item} with oa_status {oa_status}.</t>
  </si>
  <si>
    <t>Show orders for /parent_item {parent_item} with /oa_status {oa_status}.</t>
  </si>
  <si>
    <t xml:space="preserve">orders for parent_item with oa status </t>
  </si>
  <si>
    <t>SELECT  DISTINCT
    OA_NUMBER,
    SBM_NUMBER,
    CUSTOMER_NAME,
    ORG_NAME,
    PG AS PRODUCT_GROUP,
    PRODUCT_MODEL,
    PLANNING_MONTH,
    OA_QUANTITY,
    OA_STATUS,
    MARKETING_REMARK
FROM 
    KPCL_REPORTING.OA_TROLLEY_STATUS
WHERE 
    (SBM_NUMBER) LIKE ('%{parent_item}%')
    AND (OA_STATUS) LIKE ('%{oa_status}%')
ORDER BY 
    OA_NUMBER ASC;</t>
  </si>
  <si>
    <t>oa_status, parent_item</t>
  </si>
  <si>
    <t>Display orders for parent_item {parent_item}.</t>
  </si>
  <si>
    <t>Show orders for /parent_item {parent_item}.</t>
  </si>
  <si>
    <t xml:space="preserve">orders for parent_item </t>
  </si>
  <si>
    <t>SELECT  DISTINCT
    OA_NUMBER,
    SBM_NUMBER,
    CUSTOMER_NAME,
    ORG_NAME,
    PG AS PRODUCT_GROUP,
    PRODUCT_MODEL,
    PLANNING_MONTH,
    OA_QUANTITY,
    OA_STATUS,
    MARKETING_REMARK
FROM 
    KPCL_REPORTING.OA_TROLLEY_STATUS
WHERE 
    (SBM_NUMBER) LIKE ('%{parent_item}%')
ORDER BY 
    OA_NUMBER ASC;</t>
  </si>
  <si>
    <t>Display orders from org_name {org_name} with oa_status {oa_status}.</t>
  </si>
  <si>
    <t>Show orders from /org_name {org_name} with /oa_status {oa_status}.</t>
  </si>
  <si>
    <t xml:space="preserve">orders from org name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</si>
  <si>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(ORG_NAME) LIKE ('%{org_name}%')
    AND (OA_STATUS) LIKE ('%{oa_status}%')
ORDER BY 
    OA_NUMBER ASC;</t>
  </si>
  <si>
    <t>oa_status, org_name</t>
  </si>
  <si>
    <t>Show orders from org_name {org_name}.</t>
  </si>
  <si>
    <t>Show orders from /org_name {org_name}.</t>
  </si>
  <si>
    <t xml:space="preserve">orders from org name </t>
  </si>
  <si>
    <t>SELECT  DISTINCT
    OA_NUMBER,
    CUSTOMER_NAME,
    ORG_NAME,
    PG AS PRODUCT_GROUP,
    PRODUCT_MODEL,
    PLANNING_MONTH,
    OA_QUANTITY,
    OA_STATUS,
    MARKETING_REMARK
FROM 
    KPCL_REPORTING.OA_TROLLEY_STATUS
WHERE 
    (ORG_NAME) LIKE ('%{org_name}%')
ORDER BY 
    OA_NUMBER ASC;</t>
  </si>
  <si>
    <t>Display orders having inspection_norm {inspection_norm} for customer {customer}.</t>
  </si>
  <si>
    <t>Show orders having /inspection_norm {inspection_norm} for  /customer {customer}.</t>
  </si>
  <si>
    <t xml:space="preserve">orders having inspection norm for customer  </t>
  </si>
  <si>
    <t>SELECT  DISTINCT
    OA_NUMBER,
    CUSTOMER_NAME,
    ORG_NAME,
    PG AS PRODUCT_GROUP,
    PRODUCT_MODEL,
    INSPECTION_NORM,
    PLANNING_MONTH,
    OA_QUANTITY,
    OA_STATUS,
    MARKETING_REMARK
FROM 
    KPCL_REPORTING.OA_TROLLEY_STATUS
WHERE 
    (INSPECTION_NORM) LIKE ('%{inspection_norm}%')
    AND (CUSTOMER_NAME) LIKE ('%{customer}%')
ORDER BY 
    OA_NUMBER ASC;</t>
  </si>
  <si>
    <t>customer, inspection_norm</t>
  </si>
  <si>
    <t>Show orders having inspection_norm {inspection_norm} for product_model {product_model}.</t>
  </si>
  <si>
    <t>Show orders having /inspection_norm {inspection_norm} for /product_model {product_model}.</t>
  </si>
  <si>
    <t xml:space="preserve">orders having inspection norm for product model </t>
  </si>
  <si>
    <t>SELECT  DISTINCT
    OA_NUMBER,
    CUSTOMER_NAME,
    ORG_NAME,
    PG AS PRODUCT_GROUP,
    PRODUCT_MODEL,
    INSPECTION_NORM,
    PLANNING_MONTH,
    OA_QUANTITY,
    OA_STATUS,
    MARKETING_REMARK
FROM 
    KPCL_REPORTING.OA_TROLLEY_STATUS
WHERE 
    (INSPECTION_NORM) LIKE ('%{inspection_norm}%')
    AND (PRODUCT_MODEL) LIKE ('%{product_model}%')
ORDER BY 
    OA_NUMBER ASC;</t>
  </si>
  <si>
    <t>inspection_norm, product_model</t>
  </si>
  <si>
    <t>Display orders having inspection_norm {inspection_norm}.</t>
  </si>
  <si>
    <t>Show orders having /inspection_norm {inspection_norm}.</t>
  </si>
  <si>
    <t xml:space="preserve">orders having inspection norm </t>
  </si>
  <si>
    <t>SELECT  DISTINCT
    OA_NUMBER,
    CUSTOMER_NAME,
    ORG_NAME,
    PG AS PRODUCT_GROUP,
    PRODUCT_MODEL,
    INSPECTION_NORM,
    PLANNING_MONTH,
    OA_QUANTITY,
    OA_STATUS,
    MARKETING_REMARK
FROM 
    KPCL_REPORTING.OA_TROLLEY_STATUS
WHERE 
    (INSPECTION_NORM) LIKE ('%{inspection_norm}%')
ORDER BY 
    OA_NUMBER ASC;</t>
  </si>
  <si>
    <t>inspection_norm</t>
  </si>
  <si>
    <t>Display orders having ld_clause {ld_clause} for customer {customer}.</t>
  </si>
  <si>
    <t>Show orders having /ld_clause {ld_clause} for  /customer {customer}.</t>
  </si>
  <si>
    <t xml:space="preserve">orders having ld clause for customer  </t>
  </si>
  <si>
    <t>SELECT DISTINCT
    OA_NUMBER,
    CUSTOMER_NAME,
    ORG_NAME,
    PG AS PRODUCT_GROUP,
    PRODUCT_MODEL,
    PLANNING_MONTH,
    OA_QUANTITY,
    OA_STATUS,
    LD_CLAUSE,
    MARKETING_REMARK
FROM 
    KPCL_REPORTING.OA_TROLLEY_STATUS
WHERE 
    (LD_CLAUSE) LIKE ('%{ld_clause}%')
    AND (CUSTOMER_NAME) LIKE ('%{customer}%')
ORDER BY 
    OA_NUMBER ASC;</t>
  </si>
  <si>
    <t>Display orders having ld_clause {ld_clause} for product_group {product_group}.</t>
  </si>
  <si>
    <t>Show orders having /ld_clause {ld_clause} for /product_group {product_group}.</t>
  </si>
  <si>
    <t xml:space="preserve">orders having ld clause for product group </t>
  </si>
  <si>
    <t>SELECT  DISTINCT
    OA_NUMBER,
    CUSTOMER_NAME,
    ORG_NAME,
    PG AS PRODUCT_GROUP,
    PRODUCT_MODEL,
    PLANNING_MONTH,
    OA_QUANTITY,
    OA_STATUS,
    LD_CLAUSE,
    MARKETING_REMARK
FROM 
    KPCL_REPORTING.OA_TROLLEY_STATUS
WHERE 
    (LD_CLAUSE) LIKE ('%{ld_clause}%')
    AND (PG) LIKE ('%{product_group}%')
ORDER BY 
    OA_NUMBER ASC;</t>
  </si>
  <si>
    <t>ld_clause, product_group</t>
  </si>
  <si>
    <t>Show orders having item_description {item_description}.</t>
  </si>
  <si>
    <t>Show orders having /item_description {item_description}.</t>
  </si>
  <si>
    <t xml:space="preserve">orders having item description </t>
  </si>
  <si>
    <t>SELECT  DISTINCT
    OA_NUMBER,
    CUSTOMER_NAME,
    ORG_NAME,
    PG AS PRODUCT_GROUP,
    PRODUCT_MODEL,
    PARENT_DESCRIPTION,
    PLANNING_MONTH,
    OA_QUANTITY,
    OA_STATUS,
    MARKETING_REMARK
FROM 
    KPCL_REPORTING.OA_TROLLEY_STATUS
WHERE 
    (PARENT_DESCRIPTION) LIKE ('%{item_description}%')
ORDER BY 
    OA_NUMBER ASC;</t>
  </si>
  <si>
    <t>Display orders having item_type {item_type}.</t>
  </si>
  <si>
    <t>Show orders having /item_type {item_type}.</t>
  </si>
  <si>
    <t xml:space="preserve">orders having item type </t>
  </si>
  <si>
    <t>View orders placed on order date for date {date} for customer {customer}.</t>
  </si>
  <si>
    <t>Show orders placed on order date for date {date} for /customer {customer}.</t>
  </si>
  <si>
    <t xml:space="preserve">orders placed on order date for date for customer  </t>
  </si>
  <si>
    <t>SELECT  DISTINCT
    OA_NUMBER,
    CUSTOMER_NAME,
    ORG_NAME,
    PG AS PRODUCT_GROUP,
    PRODUCT_MODEL,
    ORDER_DATE,
    PLANNING_MONTH,
    OA_QUANTITY,
    OA_STATUS,
    MARKETING_REMARK
FROM 
    KPCL_REPORTING.OA_TROLLEY_STATUS
WHERE 
    TRUNC(ORDER_DATE) = TO_DATE('{date}', 'YYYY-MM-DD')
    AND (CUSTOMER_NAME) LIKE ('%{customer}%')
ORDER BY 
    OA_NUMBER ASC;</t>
  </si>
  <si>
    <t>Display orders placed on order date for date {date}.</t>
  </si>
  <si>
    <t>Show orders placed on order date for date {date}.</t>
  </si>
  <si>
    <t xml:space="preserve">orders placed on order date for date </t>
  </si>
  <si>
    <t>SELECT  DISTINCT
    OA_NUMBER,
    CUSTOMER_NAME,
    ORG_NAME,
    PG AS PRODUCT_GROUP,
    PRODUCT_MODEL,
    ORDER_DATE,
    PLANNING_MONTH,
    OA_QUANTITY,
    OA_STATUS,
    MARKETING_REMARK
FROM 
    KPCL_REPORTING.OA_TROLLEY_STATUS
WHERE 
    TRUNC(ORDER_DATE) = TO_DATE('{date}', 'DD-MM-YY')
ORDER BY 
    OA_NUMBER ASC;</t>
  </si>
  <si>
    <t>Show orders scheduled after ssd for date {date}.</t>
  </si>
  <si>
    <t>Show orders scheduled after ssd for /date {date}.</t>
  </si>
  <si>
    <t>orders scheduled after ssd for date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</si>
  <si>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TRUNC(SCHEDULE_SHIP_DATE) &gt; TO_DATE('{date}', 'DD-MM-YY')
ORDER BY 
    SCHEDULE_SHIP_DATE ASC;</t>
  </si>
  <si>
    <t>Show orders scheduled between ssd for date {date} and cdd for date {date}.</t>
  </si>
  <si>
    <t>Show orders scheduled between ssd for /date {date} and cdd for /date {date}.</t>
  </si>
  <si>
    <t xml:space="preserve">orders scheduled between ssd for date and cdd for date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</si>
  <si>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TRUNC(SCHEDULE_SHIP_DATE) BETWEEN TO_DATE('{date}', 'YYYY-MM-DD') AND TO_DATE('{date}', 'YYYY-MM-DD')
ORDER BY 
    SCHEDULE_SHIP_DATE ASC;</t>
  </si>
  <si>
    <t>Display orders scheduled on ssd for date {date}.</t>
  </si>
  <si>
    <t>Show orders scheduled on ssd for /date {date}.</t>
  </si>
  <si>
    <t>orders scheduled on ssd for date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</si>
  <si>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TRUNC(SCHEDULE_SHIP_DATE) = TO_DATE('{date}', 'DD-MM-YY')
ORDER BY 
    OA_NUMBER ASC;</t>
  </si>
  <si>
    <t>Display orders shipped on ssd for date {date} for org_name {org_name}.</t>
  </si>
  <si>
    <t>Show orders shipped on ssd for /date {date} for /org_name {org_name}.</t>
  </si>
  <si>
    <t xml:space="preserve">orders shipped on ssd for date for org name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</si>
  <si>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TRUNC(SCHEDULE_SHIP_DATE) = TO_DATE('{date}', 'DD-MM-YY')
    AND (ORG_NAME) LIKE ('%{org_name}%')
ORDER BY 
    OA_NUMBER ASC;</t>
  </si>
  <si>
    <t>org_name, date</t>
  </si>
  <si>
    <t>Display orders with inspection_norm {inspection_norm}, customer {customer}, and org_name {org_name}.</t>
  </si>
  <si>
    <t>Show orders with /inspection_norm {inspection_norm},  /customer {customer}, and /org_name {org_name}.</t>
  </si>
  <si>
    <t xml:space="preserve">orders with inspection norm, customer , and org name </t>
  </si>
  <si>
    <t>SELECT DISTINCT
    OA_NUMBER,
    CUSTOMER_NAME,
    ORG_NAME,
    PG AS PRODUCT_GROUP,
    PRODUCT_MODEL,
    PLANNING_MONTH,
    OA_QUANTITY,
    OA_STATUS,
    INSPECTION_NORM,
    MARKETING_REMARK
FROM 
    KPCL_REPORTING.OA_TROLLEY_STATUS
WHERE 
    (INSPECTION_NORM) LIKE ('%{inspection_norm}%')
    AND (CUSTOMER_NAME) LIKE ('%{customer}%')
    AND (ORG_NAME) LIKE ('%{org_name}%')
ORDER BY 
    OA_NUMBER ASC;</t>
  </si>
  <si>
    <t>Show orders with ld_clause {ld_clause}.</t>
  </si>
  <si>
    <t>Show orders with /ld_clause {ld_clause}.</t>
  </si>
  <si>
    <t xml:space="preserve">orders with ld clause </t>
  </si>
  <si>
    <t>SELECT  DISTINCT
    OA_NUMBER,
    CUSTOMER_NAME,
    ORG_NAME,
    PG AS PRODUCT_GROUP,
    PRODUCT_MODEL,
    PLANNING_MONTH,
    OA_QUANTITY,
    OA_STATUS,
    LD_CLAUSE,
    MARKETING_REMARK
FROM 
    KPCL_REPORTING.OA_TROLLEY_STATUS
WHERE 
    (LD_CLAUSE) LIKE ('%{ld_clause}%')
ORDER BY 
    OA_NUMBER ASC;</t>
  </si>
  <si>
    <t>SELECT  DISTINCT
    OA_NUMBER,
    CUSTOMER_NAME,
    ORG_NAME,
    PG AS PRODUCT_GROUP,
    PRODUCT_MODEL,
    PLANNING_MONTH,
    OA_QUANTITY,
    OA_STATUS,
    MARKETING_REMARK
FROM 
    KPCL_REPORTING.OA_TROLLEY_STATUS
ORDER BY 
    OA_NUMBER ASC;</t>
  </si>
  <si>
    <t>Display orders with oa_status {oa_status}.</t>
  </si>
  <si>
    <t>Show orders with /oa_status {oa_status}.</t>
  </si>
  <si>
    <t xml:space="preserve">orders with oa status </t>
  </si>
  <si>
    <t>SELECT  DISTINCT
    OA_NUMBER,
    CUSTOMER_NAME,
    ORG_NAME,
    PG AS PRODUCT_GROUP,
    PRODUCT_MODEL,
    PLANNING_MONTH,
    OA_QUANTITY,
    OA_STATUS,
    MARKETING_REMARK
FROM 
    KPCL_REPORTING.OA_TROLLEY_STATUS
WHERE 
    (OA_STATUS) LIKE ('%{oa_status}%')
ORDER BY 
    OA_NUMBER ASC;</t>
  </si>
  <si>
    <t>oa_status</t>
  </si>
  <si>
    <t>Display orders with planning remarks.</t>
  </si>
  <si>
    <t>Show orders with planning remarks.</t>
  </si>
  <si>
    <t xml:space="preserve">orders with planning remarks </t>
  </si>
  <si>
    <t xml:space="preserve">SELECT  DISTINCT
    OA_NUMBER,
    CUSTOMER_NAME,
    ORG_NAME,
    PG AS PRODUCT_GROUP,
    PRODUCT_MODEL,
    PLANNING_MONTH,
    OA_QUANTITY,
    OA_STATUS,
    PLANNING_REMARK
FROM 
    KPCL_REPORTING.OA_TROLLEY_STATUS
ORDER BY 
    OA_NUMBER ASC;
    </t>
  </si>
  <si>
    <t>Show planning remarks for customer {customer}.</t>
  </si>
  <si>
    <t>Show planning remarks for  /customer {customer}.</t>
  </si>
  <si>
    <t xml:space="preserve">planning remarks for customer  </t>
  </si>
  <si>
    <t>SELECT  DISTINCT
    OA_NUMBER,
    CUSTOMER_NAME,
    ORG_NAME,
    PG AS PRODUCT_GROUP,
    PRODUCT_MODEL,
    PLANNING_MONTH,
    OA_QUANTITY,
    OA_STATUS,
    PLANNING_REMARK
FROM 
    KPCL_REPORTING.OA_TROLLEY_STATUS
WHERE 
    (CUSTOMER_NAME) LIKE ('%{customer}%');</t>
  </si>
  <si>
    <t>Show planning remarks for product_group {product_group} in month {month}.</t>
  </si>
  <si>
    <t>Show planning remarks for /product_group {product_group} in /month {month}.</t>
  </si>
  <si>
    <t xml:space="preserve">planning remarks for product group in month </t>
  </si>
  <si>
    <t>SELECT  DISTINCT
    OA_NUMBER,
    CUSTOMER_NAME,
    ORG_NAME,
    PG AS PRODUCT_GROUP,
    PRODUCT_MODEL,
    PLANNING_MONTH,
    OA_QUANTITY,
    OA_STATUS,
    PLANNING_REMARK
FROM 
    KPCL_REPORTING.OA_TROLLEY_STATUS
WHERE 
    (PG) LIKE ('%{product_group}%')
    AND (PLANNING_MONTH) LIKE ('%{month}%');</t>
  </si>
  <si>
    <t>month, product_group</t>
  </si>
  <si>
    <t>Show planning remarks for product_model {product_model}.</t>
  </si>
  <si>
    <t>Show planning remarks for /product_model {product_model}.</t>
  </si>
  <si>
    <t xml:space="preserve">planning remarks for product model </t>
  </si>
  <si>
    <t>SELECT  DISTINCT
    OA_NUMBER,
    CUSTOMER_NAME,
    ORG_NAME,
    PG AS PRODUCT_GROUP,
    PRODUCT_MODEL,
    PLANNING_MONTH,
    OA_QUANTITY,
    OA_STATUS,
    PLANNING_REMARK
FROM 
    KPCL_REPORTING.OA_TROLLEY_STATUS
WHERE 
    (PRODUCT_MODEL) LIKE ('%{product_model}%');</t>
  </si>
  <si>
    <t>Show scheduled shipments for product_model {product_model}, customer {customer}, and org_name {org_name}.</t>
  </si>
  <si>
    <t>Show scheduled shipments for /product_model {product_model}, /customer {customer}, and /org_name {org_name}.</t>
  </si>
  <si>
    <t xml:space="preserve">scheduled shipments for product model, customer , and org name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</si>
  <si>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(PRODUCT_MODEL) LIKE ('%{product_model}%')
    AND (CUSTOMER_NAME) LIKE ('%{customer}%')
    AND (ORG_NAME) LIKE ('%{org_name}%')
    AND SCHEDULE_SHIP_DATE IS NOT NULL
ORDER BY 
    SCHEDULE_SHIP_DATE ASC;</t>
  </si>
  <si>
    <t>Show scheduled shipments for customer {customer}, product_model {product_model}, and org_name {org_name}.</t>
  </si>
  <si>
    <t>Show scheduled shipments for  /customer {customer}, /product_model {product_model}, and /org_name {org_name}.</t>
  </si>
  <si>
    <t xml:space="preserve">scheduled shipments for customer , product model, and org name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</si>
  <si>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(CUSTOMER_NAME) LIKE ('%{customer}%')
    AND (PRODUCT_MODEL) LIKE ('%{product_model}%')
    AND (ORG_NAME) LIKE ('%{org_name}%')
    AND SCHEDULE_SHIP_DATE IS NOT NULL
ORDER BY 
    SCHEDULE_SHIP_DATE ASC;</t>
  </si>
  <si>
    <t>Display scheduled shipments for customer {customer}, product_model {product_model}, and ssd for date {date}.</t>
  </si>
  <si>
    <t>Show scheduled shipments for  /customer {customer}, /product_model {product_model}, and ssd for /date {date}.</t>
  </si>
  <si>
    <t>scheduled shipments for customer , product model, and ssd for date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</si>
  <si>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(CUSTOMER_NAME) LIKE ('%{customer}%')
    AND (PRODUCT_MODEL) LIKE ('%{product_model}%')
    AND TRUNC(SCHEDULE_SHIP_DATE) = TO_DATE('{date}', 'DD-MM-YY')
ORDER BY 
    SCHEDULE_SHIP_DATE ASC;</t>
  </si>
  <si>
    <t>customer, product_model, date</t>
  </si>
  <si>
    <t>Display scheduled shipments for product_group {product_group}.</t>
  </si>
  <si>
    <t>Show scheduled shipments for /product_group {product_group}.</t>
  </si>
  <si>
    <t xml:space="preserve">scheduled shipments for product group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</si>
  <si>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(PG) LIKE ('%{product_group}%')
    AND SCHEDULE_SHIP_DATE IS NOT NULL
ORDER BY 
    SCHEDULE_SHIP_DATE ASC;</t>
  </si>
  <si>
    <t>View scheduled shipments from org_name {org_name}.</t>
  </si>
  <si>
    <t>Show scheduled shipments from /org_name {org_name}.</t>
  </si>
  <si>
    <t xml:space="preserve">scheduled shipments from org name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</si>
  <si>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(ORG_NAME) LIKE ('%{org_name}%')
    AND SCHEDULE_SHIP_DATE IS NOT NULL
ORDER BY 
    SCHEDULE_SHIP_DATE ASC;</t>
  </si>
  <si>
    <t>View SCM remarks for org_name {org_name}, product_group {product_group}, and month {month}.</t>
  </si>
  <si>
    <t>Show SCM remarks for /org_name {org_name}, /product_group {product_group}, and /month {month}.</t>
  </si>
  <si>
    <t xml:space="preserve">SCM remarks for org name, product group, and month </t>
  </si>
  <si>
    <t>SELECT  DISTINCT
    OA_NUMBER,
    CUSTOMER_NAME,
    ORG_NAME,
    PG AS PRODUCT_GROUP,
    PRODUCT_MODEL,
    PLANNING_MONTH,
    OA_QUANTITY,
    OA_STATUS,
    SCM_REMARK
FROM 
    KPCL_REPORTING.OA_TROLLEY_STATUS
WHERE 
    (ORG_NAME) LIKE ('%{org_name}%')
    AND (PG) LIKE ('%{product_group}%')
    AND (PLANNING_MONTH) LIKE ('%{month}%');</t>
  </si>
  <si>
    <t>Show SCM remarks for customer {customer} and product_model {product_model}.</t>
  </si>
  <si>
    <t>Show SCM remarks for  /customer {customer} and /product_model {product_model}.</t>
  </si>
  <si>
    <t xml:space="preserve">SCM remarks for customer  and product model </t>
  </si>
  <si>
    <t>SELECT  DISTINCT
    OA_NUMBER,
    CUSTOMER_NAME,
    ORG_NAME,
    PG AS PRODUCT_GROUP,
    PRODUCT_MODEL,
    PLANNING_MONTH,
    OA_QUANTITY,
    OA_STATUS,
    SCM_REMARK
FROM 
    KPCL_REPORTING.OA_TROLLEY_STATUS
WHERE 
    (CUSTOMER_NAME) LIKE ('%{customer}%')
    AND (PRODUCT_MODEL) LIKE ('%{product_model}%');</t>
  </si>
  <si>
    <t>Show SCM remarks for customer {customer}.</t>
  </si>
  <si>
    <t>Show SCM remarks for  /customer {customer}.</t>
  </si>
  <si>
    <t xml:space="preserve">SCM remarks for customer  </t>
  </si>
  <si>
    <t>SELECT  DISTINCT
    OA_NUMBER,
    CUSTOMER_NAME,
    ORG_NAME,
    PG AS PRODUCT_GROUP,
    PRODUCT_MODEL,
    PLANNING_MONTH,
    OA_QUANTITY,
    OA_STATUS,
    SCM_REMARK
FROM 
    KPCL_REPORTING.OA_TROLLEY_STATUS
WHERE 
    (CUSTOMER_NAME) LIKE ('%{customer}%');</t>
  </si>
  <si>
    <t>View SCM remarks for org_name {org_name}.</t>
  </si>
  <si>
    <t>Show SCM remarks for /org_name {org_name}.</t>
  </si>
  <si>
    <t xml:space="preserve">SCM remarks for org name </t>
  </si>
  <si>
    <t>SELECT  DISTINCT
    OA_NUMBER,
    CUSTOMER_NAME,
    ORG_NAME,
    PG AS PRODUCT_GROUP,
    PRODUCT_MODEL,
    PLANNING_MONTH,
    OA_QUANTITY,
    OA_STATUS,
    SCM_REMARK
FROM 
    KPCL_REPORTING.OA_TROLLEY_STATUS
WHERE 
    (ORG_NAME) LIKE ('%{org_name}%');</t>
  </si>
  <si>
    <t>Display SCM remarks for product_group {product_group}.</t>
  </si>
  <si>
    <t>Show SCM remarks for /product_group {product_group}.</t>
  </si>
  <si>
    <t xml:space="preserve">SCM remarks for product group </t>
  </si>
  <si>
    <t>SELECT  DISTINCT
    OA_NUMBER,
    CUSTOMER_NAME,
    ORG_NAME,
    PG AS PRODUCT_GROUP,
    PRODUCT_MODEL,
    PLANNING_MONTH,
    OA_QUANTITY,
    OA_STATUS,
    SCM_REMARK
FROM 
    KPCL_REPORTING.OA_TROLLEY_STATUS
WHERE 
    (PG) LIKE ('%{product_group}%');</t>
  </si>
  <si>
    <t>Display store remarks for customer {customer}.</t>
  </si>
  <si>
    <t>Show store remarks for  /customer {customer}.</t>
  </si>
  <si>
    <t xml:space="preserve">store remarks for customer  </t>
  </si>
  <si>
    <t>SELECT  DISTINCT
    OA_NUMBER,
    CUSTOMER_NAME,
    ORG_NAME,
    PG AS PRODUCT_GROUP,
    PRODUCT_MODEL,
    OA_QUANTITY,
    OA_STATUS,
    STORE_REMARK
FROM 
    KPCL_REPORTING.OA_TROLLEY_STATUS
WHERE 
    (CUSTOMER_NAME) LIKE ('%{customer}%');</t>
  </si>
  <si>
    <t>Show store remarks for org_name {org_name}.</t>
  </si>
  <si>
    <t>Show store remarks for /org_name {org_name}.</t>
  </si>
  <si>
    <t xml:space="preserve">store remarks for org name </t>
  </si>
  <si>
    <t>SELECT  DISTINCT
    OA_NUMBER,
    CUSTOMER_NAME,
    ORG_NAME,
    PG AS PRODUCT_GROUP,
    PRODUCT_MODEL,
    OA_QUANTITY,
    OA_STATUS,
    STORE_REMARK
FROM 
    KPCL_REPORTING.OA_TROLLEY_STATUS
WHERE 
    (ORG_NAME) LIKE ('%{org_name}%');</t>
  </si>
  <si>
    <t>Show store remarks for product_group {product_group}.</t>
  </si>
  <si>
    <t>Show store remarks for /product_group {product_group}.</t>
  </si>
  <si>
    <t xml:space="preserve">store remarks for product group </t>
  </si>
  <si>
    <t>SELECT DISTINCT
    OA_NUMBER,
    CUSTOMER_NAME,
    ORG_NAME,
    PG AS PRODUCT_GROUP,
    PRODUCT_MODEL,
    OA_QUANTITY,
    OA_STATUS,
    STORE_REMARK
FROM 
    KPCL_REPORTING.OA_TROLLEY_STATUS
WHERE 
    (PG) LIKE ('%{product_group}%');</t>
  </si>
  <si>
    <t>Display store remarks for product_model {product_model}.</t>
  </si>
  <si>
    <t>Show store remarks for /product_model {product_model}.</t>
  </si>
  <si>
    <t xml:space="preserve">store remarks for product model </t>
  </si>
  <si>
    <t>SELECT DISTINCT
    OA_NUMBER,
    CUSTOMER_NAME,
    ORG_NAME,
    PG AS PRODUCT_GROUP,
    PRODUCT_MODEL,
    OA_QUANTITY,
    OA_STATUS,
    STORE_REMARK
FROM 
    KPCL_REPORTING.OA_TROLLEY_STATUS
WHERE 
    (PRODUCT_MODEL) LIKE ('%{product_model}%');</t>
  </si>
  <si>
    <t>Display the complete lifecycle of oa_number {oa_number} including planning, shipment, delivery, inspection, and departmental remarks.</t>
  </si>
  <si>
    <t>Show the complete lifecycle of /oa_number {oa_number} including planning, shipment, delivery, inspection, and departmental remarks.</t>
  </si>
  <si>
    <t xml:space="preserve">the complete lifecycle of oa number including planning, shipment, delivery, inspection, and departmental remarks </t>
  </si>
  <si>
    <t>SELECT  DISTINCT
    OA_NUMBER,
    CUSTOMER_NAME,
    ORG_NAME,
    PG AS PRODUCT_GROUP,
    PRODUCT_MODEL,
    OA_QUANTITY,
    SELLING_PRICE,
    CDD AS CUSTOMER_DELIVERY_DATE,
    SCHEDULE_SHIP_DATE,
    OA_STATUS
FROM 
    KPCL_REPORTING.OA_TROLLEY_STATUS
WHERE 
    (OA_NUMBER) LIKE ('%{oa_number}%');</t>
  </si>
  <si>
    <t>View me the trolley completion details for oa_number {oa_number}.</t>
  </si>
  <si>
    <t>Show me the trolley completion details for /oa_number {oa_number}.</t>
  </si>
  <si>
    <t xml:space="preserve">the trolley completion details for oa number </t>
  </si>
  <si>
    <t>SELECT  DISTINCT
    OA_NUMBER,
    CUSTOMER_NAME,
    ORG_NAME,
    PG AS PRODUCT_GROUP,
    PRODUCT_MODEL,
    PARENT_ITEM_TYPE,
    PARENT_DESCRIPTION,
    OA_QUANTITY,
    MAX_TROLLEY_BUYER_NAME,
    MAX_TROLLEY_DATE,
    OA_STATUS,
    MARKETING_REMARK
FROM 
    KPCL_REPORTING.OA_TROLLEY_STATUS
WHERE 
    (OA_NUMBER) LIKE ('%{oa_number}%')
ORDER BY 
    OA_NUMBER ASC;</t>
  </si>
  <si>
    <t>View OA has finalized the trolley and who was the last buyer to finalize it.</t>
  </si>
  <si>
    <t>Which OA has finalized the trolley and who was the last buyer to finalize it?</t>
  </si>
  <si>
    <t xml:space="preserve">OA has finalized the trolley and who was the last buyer to finalize it </t>
  </si>
  <si>
    <t>SELECT  DISTINCT
    OA_NUMBER,
    CUSTOMER_NAME,
    ORG_NAME,
    PG,
    PRODUCT_MODEL,
    MAX_TROLLEY_BUYER_NAME,
    MAX_TROLLEY_DATE,
    OA_STATUS,
    MARKETING_REMARK
FROM 
    KPCL_REPORTING.OA_TROLLEY_STATUS
WHERE 
    MAX_TROLLEY_DATE IS NOT NULL
ORDER BY 
    MAX_TROLLEY_DATE DESC,
    OA_NUMBER ASC;</t>
  </si>
  <si>
    <t>View customer deliveries for customer {customer}, product_group {product_group}.</t>
  </si>
  <si>
    <t>Show customer deliveries for  /customer {customer}, /product_group {product_group}.</t>
  </si>
  <si>
    <t>customer deliveries for customer , product group</t>
  </si>
  <si>
    <t>SELECT DISTINCT
    OA_NUMBER,
    CUSTOMER_NAME,
    PG AS PRODUCT_GROUP,
    ORG_NAME,
    PRODUCT_MODEL,
    OA_QUANTITY,
    SELLING_PRICE,
    SCHEDULE_SHIP_DATE,
    OA_STATUS
FROM 
    KPCL_REPORTING.OA_TROLLEY_STATUS
WHERE 
    CUSTOMER_NAME LIKE '%{customer}%'
    AND (PG) LIKE ('%{product_group}%');</t>
  </si>
  <si>
    <t>Show customer deliveries scheduled for month {month}.</t>
  </si>
  <si>
    <t>Show customer deliveries scheduled for /month {month}.</t>
  </si>
  <si>
    <t>customer deliveries scheduled for month</t>
  </si>
  <si>
    <t>SELECT DISTINCT
    OA_NUMBER,
    CUSTOMER_NAME,
    PG AS PRODUCT_GROUP,
    ORG_NAME,
    PRODUCT_MODEL,
    OA_QUANTITY,
    SELLING_PRICE,
    SCHEDULE_SHIP_DATE,
    OA_STATUS
FROM 
    KPCL_REPORTING.OA_TROLLEY_STATUS
WHERE 
    (PLANNING_MONTH) LIKE ('%{month}%');</t>
  </si>
  <si>
    <t>View customer delivery dates for product_group {product_group}, customer {customer}.</t>
  </si>
  <si>
    <t>Show customer delivery dates for /product_group {product_group}, /customer {customer}.</t>
  </si>
  <si>
    <t xml:space="preserve">customer delivery dates for, customer </t>
  </si>
  <si>
    <t>SELECT  DISTINCT
    OA_NUMBER,
    CUSTOMER_NAME,
    PG AS PRODUCT_GROUP,
    ORG_NAME,
    PRODUCT_MODEL,
    CDD,
    SCHEDULE_SHIP_DATE,
    OA_QUANTITY,
    SELLING_PRICE,
    OA_STATUS
FROM 
    KPCL_REPORTING.OA_TROLLEY_STATUS
WHERE 
    (PG) LIKE ('%{product_group}%')
    AND CUSTOMER_NAME LIKE '%{customer}%';</t>
  </si>
  <si>
    <t>View design remarks for product_model {product_model}, and month {month}.</t>
  </si>
  <si>
    <t>Show design remarks for /product_model {product_model}, and /month {month}.</t>
  </si>
  <si>
    <t>design remarks for product model, and month</t>
  </si>
  <si>
    <t>SELECT DISTINCT
    OA_NUMBER,
    CUSTOMER_NAME,
    ORG_NAME,
    PG AS PRODUCT_GROUP,
    PRODUCT_MODEL,
    PLANNING_MONTH,
    OA_QUANTITY,
    OA_STATUS,
    DESIGN_REMARK
FROM 
    KPCL_REPORTING.OA_TROLLEY_STATUS
WHERE 
    (PRODUCT_MODEL) LIKE ('%{product_model}%')
    AND (PLANNING_MONTH) LIKE ('%{month}%');</t>
  </si>
  <si>
    <t>month,  product_model</t>
  </si>
  <si>
    <t>Display inspection norm details for product_group {product_group} and inspection_norm {inspection_norm}.</t>
  </si>
  <si>
    <t>Show inspection norm details for /product_group {product_group} and /inspection_norm {inspection_norm}.</t>
  </si>
  <si>
    <t>inspection norm details for product group and inspection norm</t>
  </si>
  <si>
    <t>SELECT  DISTINCT
    OA_NUMBER,
    CUSTOMER_NAME,
    ORG_NAME,
    PG AS PRODUCT_GROUP,
    PRODUCT_MODEL,
    INSPECTION_NORM,
    OA_QUANTITY,
    SELLING_PRICE,
    PLANNING_MONTH,
    CDD AS CUSTOMER_DELIVERY_DATE,
    SCHEDULE_SHIP_DATE,
    OA_STATUS,
    DESIGN_REMARK,
    STORE_REMARK
FROM 
    KPCL_REPORTING.OA_TROLLEY_STATUS
WHERE 
    (PG) LIKE ('%{product_group}%')
    AND (INSPECTION_NORM) LIKE ('%{inspection_norm}%');</t>
  </si>
  <si>
    <t>inspection_norm, product_group</t>
  </si>
  <si>
    <t>Show LD clause details for customer {customer} and ld_clause {ld_clause}.</t>
  </si>
  <si>
    <t>Show LD clause details for /customer {customer} and /ld_clause {ld_clause}.</t>
  </si>
  <si>
    <t>lD clause details for customer  and ld clause</t>
  </si>
  <si>
    <t>SELECT  DISTINCT
    OA_NUMBER,
    CUSTOMER_NAME,
    ORG_NAME,
    PG AS PRODUCT_GROUP,
    PRODUCT_MODEL,
    LD_CLAUSE,
    OA_QUANTITY,
    SELLING_PRICE,
    PLANNING_MONTH,
    CDD AS CUSTOMER_DELIVERY_DATE,
    SCHEDULE_SHIP_DATE,
    OA_STATUS,
    DESIGN_REMARK,
    STORE_REMARK
FROM 
    KPCL_REPORTING.OA_TROLLEY_STATUS
WHERE 
    CUSTOMER_NAME LIKE '%{customer}%'
    AND (LD_CLAUSE) LIKE ('%{ld_clause}%');</t>
  </si>
  <si>
    <t>Show marketing remarks for customer {customer}, product_group {product_group}, and month {month}.</t>
  </si>
  <si>
    <t>Show marketing remarks for /customer {customer}, /product_group {product_group}, and /month {month}.</t>
  </si>
  <si>
    <t>marketing remarks for customer , product group, and month</t>
  </si>
  <si>
    <t>SELECT  DISTINCT
    OA_NUMBER,
    CUSTOMER_NAME,
    ORG_NAME,
    PG AS PRODUCT_GROUP,
    PRODUCT_MODEL,
    PLANNING_MONTH,
    OA_QUANTITY,
    OA_STATUS,
    MARKETING_REMARK
FROM 
    KPCL_REPORTING.OA_TROLLEY_STATUS
WHERE 
    CUSTOMER_NAME LIKE '%{customer}%'
    AND (PG) LIKE ('%{product_group}%')
    AND (PLANNING_MONTH) LIKE ('%{month}%');</t>
  </si>
  <si>
    <t>customer, month, product_group</t>
  </si>
  <si>
    <t>Display order details for oa_number {oa_number}, product_model {product_model}.</t>
  </si>
  <si>
    <t>Show order details for /oa_number {oa_number}, /product_model {product_model}.</t>
  </si>
  <si>
    <t>order details for oa number, product model</t>
  </si>
  <si>
    <t>Show order value for customer {customer}, product_group {product_group}.</t>
  </si>
  <si>
    <t>Show order value for  /customer {customer}, /product_group {product_group}.</t>
  </si>
  <si>
    <t>order value for customer , product group</t>
  </si>
  <si>
    <t>SELECT 
    CUSTOMER_NAME,
    ORG_NAME,
    PG AS PRODUCT_GROUP,
    PRODUCT_MODEL,
    OA_NUMBER,
    SUM(OA_QUANTITY) AS TOTAL_QUANTITY,
    SUM(OA_QUANTITY * SELLING_PRICE) AS TOTAL_ORDER_VALUE
FROM 
    KPCL_REPORTING.OA_TROLLEY_STATUS
WHERE 
    CUSTOMER_NAME LIKE '%{customer}%'
    AND (PG) LIKE ('%{product_group}%')
GROUP BY 
    CUSTOMER_NAME,
    ORG_NAME,
    PG,
    PRODUCT_MODEL,
    OA_NUMBER;</t>
  </si>
  <si>
    <t>customer,product_group</t>
  </si>
  <si>
    <t>Display order value for customer {customer}, product_group {product_group}, and month {month}.</t>
  </si>
  <si>
    <t>Show order value for  /customer {customer}, /product_group {product_group}, and /month {month}.</t>
  </si>
  <si>
    <t>order value for customer , product group, and month</t>
  </si>
  <si>
    <t>SELECT 
    CUSTOMER_NAME,
    PG AS PRODUCT_GROUP,
    PLANNING_MONTH,
    PRODUCT_MODEL,
    OA_NUMBER,
    SUM(OA_QUANTITY) AS TOTAL_QUANTITY,
    SUM(OA_QUANTITY * SELLING_PRICE) AS TOTAL_ORDER_VALUE
FROM 
    KPCL_REPORTING.OA_TROLLEY_STATUS
WHERE 
    CUSTOMER_NAME LIKE '%{customer}%'
    AND (PG) LIKE ('%{product_group}%')
    AND (PLANNING_MONTH) LIKE ('%{month}%')
GROUP BY 
    CUSTOMER_NAME,
    PG,
    PLANNING_MONTH,
    PRODUCT_MODEL,
    OA_NUMBER;</t>
  </si>
  <si>
    <t>View order value for customer {customer}, product_model {product_model}, and month {month}.</t>
  </si>
  <si>
    <t>Show order value for  /customer {customer}, /product_model {product_model}, and /month {month}.</t>
  </si>
  <si>
    <t>order value for customer , product model, and month</t>
  </si>
  <si>
    <t>SELECT 
    CUSTOMER_NAME,
    PRODUCT_MODEL,
    PLANNING_MONTH,
    OA_NUMBER,
    SUM(OA_QUANTITY) AS TOTAL_QUANTITY,
    SUM(OA_QUANTITY * SELLING_PRICE) AS TOTAL_ORDER_VALUE
FROM 
    KPCL_REPORTING.OA_TROLLEY_STATUS
WHERE 
    CUSTOMER_NAME LIKE '%{customer}%'
    AND (PRODUCT_MODEL) LIKE ('%{product_model}%')
    AND (PLANNING_MONTH) LIKE ('%{month}%')
GROUP BY 
    CUSTOMER_NAME,
    PRODUCT_MODEL,
    PLANNING_MONTH,
    OA_NUMBER;</t>
  </si>
  <si>
    <t>customer, month, product_model</t>
  </si>
  <si>
    <t>View ordered quantity for customer {customer} and month {month}.</t>
  </si>
  <si>
    <t>Show ordered quantity for  /customer {customer} and /month {month}.</t>
  </si>
  <si>
    <t>ordered quantity for customer  and month</t>
  </si>
  <si>
    <t>SELECT 
    CUSTOMER_NAME,
    ORG_NAME,
    PLANNING_MONTH,
    OA_NUMBER,
    PG AS PRODUCT_GROUP,
    PRODUCT_MODEL,
    SUM(OA_QUANTITY) AS TOTAL_ORDERED_QUANTITY
FROM 
    KPCL_REPORTING.OA_TROLLEY_STATUS
WHERE 
    CUSTOMER_NAME LIKE '%{customer}%'
    AND (PLANNING_MONTH) LIKE ('%{month}%')
GROUP BY 
    CUSTOMER_NAME,
    ORG_NAME,
    PLANNING_MONTH,
    OA_NUMBER,
    PG,
    PRODUCT_MODEL;</t>
  </si>
  <si>
    <t>customer,month</t>
  </si>
  <si>
    <t>Show ordered quantity for customer {customer}, product_group {product_group}, and month {month}.</t>
  </si>
  <si>
    <t>Show ordered quantity for  /customer {customer}, /product_group {product_group}, and /month {month}.</t>
  </si>
  <si>
    <t>ordered quantity for customer , product group, and month</t>
  </si>
  <si>
    <t>SELECT 
    CUSTOMER_NAME,
    PG AS PRODUCT_GROUP,
    PLANNING_MONTH,
    SUM(OA_QUANTITY) AS TOTAL_ORDERED_QUANTITY
FROM 
    KPCL_REPORTING.OA_TROLLEY_STATUS
WHERE 
    CUSTOMER_NAME LIKE '%{customer}%'
    AND (PG) LIKE ('%{product_group}%')
    AND (PLANNING_MONTH) LIKE ('%{month}%')
GROUP BY 
    CUSTOMER_NAME,
    PG,
    PLANNING_MONTH;</t>
  </si>
  <si>
    <t>View ordered quantity for customer {customer}, product_model {product_model}.</t>
  </si>
  <si>
    <t>Show ordered quantity for  /customer {customer}, /product_model {product_model}.</t>
  </si>
  <si>
    <t>ordered quantity for customer , product model</t>
  </si>
  <si>
    <t>SELECT 
    CUSTOMER_NAME,
    PG AS PRODUCT_GROUP,
    SUM(OA_QUANTITY) AS TOTAL_ORDERED_QUANTITY
FROM 
    KPCL_REPORTING.OA_TROLLEY_STATUS
WHERE 
    CUSTOMER_NAME LIKE '%{customer}%'
    AND (PRODUCT_MODEL) LIKE ('%{product_model}%')
GROUP BY 
    CUSTOMER_NAME,
    PG;</t>
  </si>
  <si>
    <t>customer,product_model</t>
  </si>
  <si>
    <t>Display orders created during month {month}.</t>
  </si>
  <si>
    <t>Show orders created during /month {month}.</t>
  </si>
  <si>
    <t>orders created during month</t>
  </si>
  <si>
    <t>SELECT DISTINCT
    OA_NUMBER,
    CUSTOMER_NAME,
    ORG_NAME,
    PG AS PRODUCT_GROUP,
    PRODUCT_MODEL,
    PLANNING_MONTH,
    OA_QUANTITY,
    OA_STATUS,
    MARKETING_REMARK
FROM 
    KPCL_REPORTING.OA_TROLLEY_STATUS
WHERE 
    (PLANNING_MONTH) LIKE ('%{month}%')
ORDER BY 
    OA_NUMBER ASC;</t>
  </si>
  <si>
    <t>Display orders for  product_group {product_group}, and oa_status {oa_status}.</t>
  </si>
  <si>
    <t>Show orders for /product_group {product_group}, and /oa_status {oa_status}.</t>
  </si>
  <si>
    <t>orders for product group, and oa status</t>
  </si>
  <si>
    <t>Display orders for month {month}.</t>
  </si>
  <si>
    <t>Show orders for /month {month}.</t>
  </si>
  <si>
    <t>orders for month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</si>
  <si>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(PLANNING_MONTH) LIKE ('%{month}%')
ORDER BY 
    OA_NUMBER ASC;</t>
  </si>
  <si>
    <t>Display orders for product_model {product_model}, item_type {item_type}, and month {month}.</t>
  </si>
  <si>
    <t>Show orders for /product_model {product_model}, /item_type {item_type}, and /month {month}.</t>
  </si>
  <si>
    <t>orders for product model, item type, and month</t>
  </si>
  <si>
    <t>SELECT  DISTINCT
    OA_NUMBER,
    CUSTOMER_NAME,
    ORG_NAME,
    PG AS PRODUCT_GROUP,
    PRODUCT_MODEL,
    PARENT_ITEM_TYPE,
    PLANNING_MONTH,
    OA_QUANTITY,
    OA_STATUS,
    MARKETING_REMARK
FROM 
    KPCL_REPORTING.OA_TROLLEY_STATUS
WHERE 
    (PRODUCT_MODEL) LIKE ('%{product_model}%')
    AND (PARENT_ITEM_TYPE) LIKE ('%{item_type}%')
    AND (PLANNING_MONTH) LIKE ('%{month}%')
ORDER BY 
    OA_NUMBER ASC;</t>
  </si>
  <si>
    <t>item_type, month, product_model</t>
  </si>
  <si>
    <t>Display orders shipped on ssd for date {date} .</t>
  </si>
  <si>
    <t>Show orders shipped on ssd for /date {date}.</t>
  </si>
  <si>
    <t>orders shipped on ssd for date</t>
  </si>
  <si>
    <t>Display orders with inspection_norm {inspection_norm}, customer {customer}.</t>
  </si>
  <si>
    <t>Show orders with /inspection_norm {inspection_norm},  /customer {customer}.</t>
  </si>
  <si>
    <t xml:space="preserve">orders with inspection norm, customer </t>
  </si>
  <si>
    <t>SELECT DISTINCT
    OA_NUMBER,
    CUSTOMER_NAME,
    ORG_NAME,
    PG AS PRODUCT_GROUP,
    PRODUCT_MODEL,
    PLANNING_MONTH,
    OA_QUANTITY,
    OA_STATUS,
    INSPECTION_NORM,
    MARKETING_REMARK
FROM 
    KPCL_REPORTING.OA_TROLLEY_STATUS
WHERE 
    (INSPECTION_NORM) LIKE ('%{inspection_norm}%')
    AND CUSTOMER_NAME LIKE '%{customer}%'
ORDER BY 
    OA_NUMBER ASC;</t>
  </si>
  <si>
    <t>Display orders with ld_clause {ld_clause}, product_group {product_group}, and month {month}.</t>
  </si>
  <si>
    <t>Show orders with /ld_clause {ld_clause}, /product_group {product_group}, and /month {month}.</t>
  </si>
  <si>
    <t>orders with ld clause, product group, and month</t>
  </si>
  <si>
    <t>SELECT  DISTINCT
    OA_NUMBER,
    CUSTOMER_NAME,
    ORG_NAME,
    PG AS PRODUCT_GROUP,
    PRODUCT_MODEL,
    PLANNING_MONTH,
    OA_QUANTITY,
    OA_STATUS,
    LD_CLAUSE,
    MARKETING_REMARK
FROM 
    KPCL_REPORTING.OA_TROLLEY_STATUS
WHERE 
    (LD_CLAUSE) LIKE ('%{ld_clause}%')
    AND (PG) LIKE ('%{product_group}%')
    AND (PLANNING_MONTH) LIKE ('%{month}%')
ORDER BY 
    OA_NUMBER ASC;</t>
  </si>
  <si>
    <t>ld_clause, month, product_group</t>
  </si>
  <si>
    <t>Display planning remarks for customer {customer} in month {month}.</t>
  </si>
  <si>
    <t>Show planning remarks for  /customer {customer} in /month {month}.</t>
  </si>
  <si>
    <t>planning remarks for customer  in month</t>
  </si>
  <si>
    <t>SELECT  DISTINCT
    OA_NUMBER,
    CUSTOMER_NAME,
    ORG_NAME,
    PG AS PRODUCT_GROUP,
    PRODUCT_MODEL,
    PLANNING_MONTH,
    OA_QUANTITY,
    OA_STATUS,
    PLANNING_REMARK
FROM 
    KPCL_REPORTING.OA_TROLLEY_STATUS
WHERE 
    CUSTOMER_NAME LIKE '%{customer}%'
    AND (PLANNING_MONTH) LIKE ('%{month}%');</t>
  </si>
  <si>
    <t>customer, month</t>
  </si>
  <si>
    <t>View planning remarks for customer {customer}, product_group {product_group}, and month {month}.</t>
  </si>
  <si>
    <t>Show planning remarks for  /customer {customer}, /product_group {product_group}, and /month {month}.</t>
  </si>
  <si>
    <t>planning remarks for customer , product group, and month</t>
  </si>
  <si>
    <t>SELECT  DISTINCT
    OA_NUMBER,
    CUSTOMER_NAME,
    ORG_NAME,
    PG AS PRODUCT_GROUP,
    PRODUCT_MODEL,
    PLANNING_MONTH,
    OA_QUANTITY,
    OA_STATUS,
    PLANNING_REMARK
FROM 
    KPCL_REPORTING.OA_TROLLEY_STATUS
WHERE 
    CUSTOMER_NAME LIKE '%{customer}%'
    AND (PG) LIKE ('%{product_group}%')
    AND (PLANNING_MONTH) LIKE ('%{month}%');</t>
  </si>
  <si>
    <t>View planning remarks for customer {customer}, product_model {product_model}, and month {month}.</t>
  </si>
  <si>
    <t>Show planning remarks for  /customer {customer}, /product_model {product_model}, and /month {month}.</t>
  </si>
  <si>
    <t>planning remarks for customer , product model, and month</t>
  </si>
  <si>
    <t>SELECT  DISTINCT
    OA_NUMBER,
    CUSTOMER_NAME,
    ORG_NAME,
    PG AS PRODUCT_GROUP,
    PRODUCT_MODEL,
    PLANNING_MONTH,
    OA_QUANTITY,
    OA_STATUS,
    PLANNING_REMARK
FROM 
    KPCL_REPORTING.OA_TROLLEY_STATUS
WHERE 
    CUSTOMER_NAME LIKE '%{customer}%'
    AND (PRODUCT_MODEL) LIKE ('%{product_model}%')
    AND (PLANNING_MONTH) LIKE ('%{month}%');</t>
  </si>
  <si>
    <t>Show planning sale dates for customer {customer}, product_model {product_model}, and month {month}.</t>
  </si>
  <si>
    <t>Show planning sale dates for /customer {customer}, /product_model {product_model}, and /month {month}.</t>
  </si>
  <si>
    <t>planning sale dates for customer , product model, and month</t>
  </si>
  <si>
    <t>SELECT  DISTINCT
    OA_NUMBER,
    CUSTOMER_NAME,
    ORG_NAME,
    PG AS PRODUCT_GROUP,
    PRODUCT_MODEL,
    PLANNING_MONTH,
    PLANNING_SALE_DATE,
    OA_QUANTITY,
    OA_STATUS,
    MARKETING_REMARK
FROM 
    KPCL_REPORTING.OA_TROLLEY_STATUS
WHERE 
    CUSTOMER_NAME LIKE '%{customer}%'
    AND (PRODUCT_MODEL) LIKE ('%{product_model}%')
    AND (PLANNING_MONTH) LIKE ('%{month}%')
ORDER BY 
    PLANNING_SALE_DATE ASC;</t>
  </si>
  <si>
    <t>Show scheduled shipments for product_model {product_model}, customer {customer}.</t>
  </si>
  <si>
    <t>Show scheduled shipments for /product_model {product_model}, /customer {customer}.</t>
  </si>
  <si>
    <t xml:space="preserve">scheduled shipments for product model, customer 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</si>
  <si>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(PRODUCT_MODEL) LIKE ('%{product_model}%')
    AND CUSTOMER_NAME LIKE '%{customer}%'
    AND SCHEDULE_SHIP_DATE IS NOT NULL
ORDER BY 
    SCHEDULE_SHIP_DATE ASC;</t>
  </si>
  <si>
    <t>Show scheduled shipments for customer {customer}, product_model {product_model}.</t>
  </si>
  <si>
    <t>Show scheduled shipments for  /customer {customer}, /product_model {product_model}.</t>
  </si>
  <si>
    <t>scheduled shipments for customer , product model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</si>
  <si>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CUSTOMER_NAME LIKE '%{customer}%'
    AND (PRODUCT_MODEL) LIKE ('%{product_model}%')
    AND SCHEDULE_SHIP_DATE IS NOT NULL
ORDER BY 
    SCHEDULE_SHIP_DATE ASC;</t>
  </si>
  <si>
    <t>View scheduled shipments for month {month}.</t>
  </si>
  <si>
    <t>Show scheduled shipments for /month {month}.</t>
  </si>
  <si>
    <t>scheduled shipments for month</t>
  </si>
  <si>
    <t>SELECT  DISTINCT
    OA_NUMBER,
    CUSTOMER_NAME,
    ORG_NAME,
    PG AS PRODUCT_GROUP,
    PRODUCT_MODEL,
    OA_QUANTITY,
    SCHEDULE_SHIP_DATE,
    CDD AS CUSTOMER_DELIVERY_DATE,
    PLANNING_MONTH,
    OA_STATUS,
    MARKETING_REMARK
FROM 
    KPCL_REPORTING.OA_TROLLEY_STATUS
WHERE 
    (PLANNING_MONTH) LIKE ('%{month}%')
    AND SCHEDULE_SHIP_DATE IS NOT NULL
ORDER BY 
    SCHEDULE_SHIP_DATE ASC;</t>
  </si>
  <si>
    <t>View SCM remarks product_group {product_group}, and month {month}.</t>
  </si>
  <si>
    <t>Show SCM remarks for /product_group {product_group}, and /month {month}.</t>
  </si>
  <si>
    <t>SCM remarks for product group, and month</t>
  </si>
  <si>
    <t>SELECT  DISTINCT
    OA_NUMBER,
    CUSTOMER_NAME,
    ORG_NAME,
    PG AS PRODUCT_GROUP,
    PRODUCT_MODEL,
    PLANNING_MONTH,
    OA_QUANTITY,
    OA_STATUS,
    SCM_REMARK
FROM 
    KPCL_REPORTING.OA_TROLLEY_STATUS
WHERE 
   (PG) LIKE ('%{product_group}%')
    AND (PLANNING_MONTH) LIKE ('%{month}%');</t>
  </si>
  <si>
    <t>Show store remarks for customer {customer}, product_model {product_model}, and month {month}.</t>
  </si>
  <si>
    <t>Show store remarks for /customer {customer}, /product_model {product_model}, and /month {month}.</t>
  </si>
  <si>
    <t>store remarks for customer , product model, and month</t>
  </si>
  <si>
    <t>SELECT  DISTINCT
    OA_NUMBER,
    CUSTOMER_NAME,
    ORG_NAME,
    PG AS PRODUCT_GROUP,
    PRODUCT_MODEL,
    PLANNING_MONTH,
    OA_QUANTITY,
    OA_STATUS,
    STORE_REMARK
FROM 
    KPCL_REPORTING.OA_TROLLEY_STATUS
WHERE 
    CUSTOMER_NAME LIKE '%{customer}%'
    AND (PRODUCT_MODEL) LIKE ('%{product_model}%')
    AND (PLANNING_MONTH) LIKE ('%{month}%');</t>
  </si>
  <si>
    <t>View OA / Order Number  has finalized the trolley and who was the last buyer to finalize it.</t>
  </si>
  <si>
    <t>Which OA / Order Number  has finalized the trolley and who was the last buyer to finalize it?</t>
  </si>
  <si>
    <t>OA has finalized the trolley and who was the last buyer to finalize it</t>
  </si>
  <si>
    <t>Show orders for customer {customer} with inspection_norm {inspection_norm} in year {year}.</t>
  </si>
  <si>
    <t>Show orders for /customer {customer} with /inspection_norm {inspection_norm} in /year {year}.</t>
  </si>
  <si>
    <t xml:space="preserve">orders for customer with inspection norm in year </t>
  </si>
  <si>
    <t>SELECT DISTINCT
    OA_NUMBER,
    CUSTOMER_NAME,
    PRODUCT_MODEL,
    INSPECTION_NORM,
    CDD AS CUSTOMER_DELIVERY_DATE,
    SCHEDULE_SHIP_DATE,
    OA_QUANTITY,
    OA_STATUS
FROM KPCL_REPORTING.OA_TROLLEY_STATUS
WHERE UPPER(CUSTOMER_NAME) LIKE UPPER('%{customer}%')
  AND UPPER(INSPECTION_NORM) LIKE UPPER('%{inspection_norm}%')
  AND TO_CHAR(CDD, 'YY') = SUBSTR('{year}', -2)
ORDER BY CDD ASC;</t>
  </si>
  <si>
    <t>customer, inspection_norm, year</t>
  </si>
  <si>
    <t>Show orders with customer delivery date for year {year}.</t>
  </si>
  <si>
    <t>Show orders with customer delivery date for /year {year}.</t>
  </si>
  <si>
    <t xml:space="preserve">orders with customer delivery date for year </t>
  </si>
  <si>
    <t>SELECT DISTINCT
    OA_NUMBER,
    CUSTOMER_NAME,
    PRODUCT_MODEL,
    PG AS PRODUCT_GROUP,
    CDD AS CUSTOMER_DELIVERY_DATE,
    SCHEDULE_SHIP_DATE,
    OA_STATUS,
    OA_QUANTITY
FROM KPCL_REPORTING.OA_TROLLEY_STATUS
WHERE CDD IS NOT NULL
  AND TO_CHAR(CDD, 'YY') = SUBSTR('{year}', -2)
ORDER BY CDD ASC;</t>
  </si>
  <si>
    <t>Display orders with customer delivery date for year {year}.</t>
  </si>
  <si>
    <t>Display orders with customer delivery date for /year {year}.</t>
  </si>
  <si>
    <t>Show orders with customer delivery date for month{month} and year {year}.</t>
  </si>
  <si>
    <t>Show orders with customer delivery date for /month{month} and /year {year}.</t>
  </si>
  <si>
    <t xml:space="preserve">orders with customer delivery date for month and year </t>
  </si>
  <si>
    <t>SELECT DISTINCT
    OA_NUMBER,
    CUSTOMER_NAME,
    PRODUCT_MODEL,
    PG AS PRODUCT_GROUP,
    CDD AS CUSTOMER_DELIVERY_DATE,
    SCHEDULE_SHIP_DATE,
    OA_STATUS,
    OA_QUANTITY
FROM KPCL_REPORTING.OA_TROLLEY_STATUS
WHERE CDD IS NOT NULL
  AND UPPER(TO_CHAR(CDD, 'MON', 'NLS_DATE_LANGUAGE=American')) =
      SUBSTR(UPPER('APR'), 1, 3)
  AND TO_CHAR(CDD, 'YY') = SUBSTR('{year}', -2)
ORDER BY CDD ASC;</t>
  </si>
  <si>
    <t xml:space="preserve">month, year </t>
  </si>
  <si>
    <t>View scheduled shipments for month {month} and year{year}.</t>
  </si>
  <si>
    <t>View scheduled shipments for /month {month} and /year{year}.</t>
  </si>
  <si>
    <t>scheduled shipments for month and year</t>
  </si>
  <si>
    <t>SELECT DISTINCT
    OA_NUMBER,
    CUSTOMER_NAME,
    ORG_NAME,
    PG AS PRODUCT_GROUP,
    PRODUCT_MODEL,
    OA_QUANTITY,
    SCHEDULE_SHIP_DATE,
    CDD AS CUSTOMER_DELIVERY_DATE,
    PLANNING_MONTH,
    OA_STATUS,
    MARKETING_REMARK
FROM KPCL_REPORTING.OA_TROLLEY_STATUS
WHERE UPPER(TO_CHAR(SCHEDULE_SHIP_DATE, 'MON', 'NLS_DATE_LANGUAGE=American')) =
      SUBSTR(UPPER('{month}'), 1, 3)
  AND TO_CHAR(SCHEDULE_SHIP_DATE, 'YY') = SUBSTR('{year}', -2)
  AND SCHEDULE_SHIP_DATE IS NOT NULL
ORDER BY SCHEDULE_SHIP_DATE ASC;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</si>
</sst>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1.0"/>
      <color theme="1"/>
      <name val="Calibri"/>
      <scheme val="minor"/>
    </font>
    <font>
      <b/>
      <sz val="11.0"/>
      <color theme="1"/>
      <name val="Calibri"/>
    </font>
    <font>
      <sz val="11.0"/>
      <color theme="1"/>
      <name val="Arial"/>
    </font>
    <font>
      <color theme="1"/>
      <name val="Calibri"/>
      <scheme val="minor"/>
    </font>
    <font>
      <sz val="11.0"/>
      <color theme="1"/>
      <name val="Calibri"/>
    </font>
    <font>
      <color rgb="FF1F1F1F"/>
      <name val="Calibri"/>
      <scheme val="minor"/>
    </font>
    <font>
      <i/>
      <color theme="1"/>
      <name val="Calibri"/>
      <scheme val="minor"/>
    </font>
    <font>
      <b/>
      <sz val="10.0"/>
      <color theme="1"/>
      <name val="Calibri"/>
    </font>
    <font>
      <sz val="10.0"/>
      <color theme="1"/>
      <name val="Calibri"/>
    </font>
    <font>
      <color theme="1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theme="9"/>
        <bgColor theme="9"/>
      </patternFill>
    </fill>
    <fill>
      <patternFill patternType="solid">
        <fgColor rgb="FFB6D7A8"/>
        <bgColor rgb="FFB6D7A8"/>
      </patternFill>
    </fill>
    <fill>
      <patternFill patternType="solid">
        <fgColor rgb="FFEAD1DC"/>
        <bgColor rgb="FFEAD1DC"/>
      </patternFill>
    </fill>
    <fill>
      <patternFill patternType="solid">
        <fgColor rgb="FFFFE599"/>
        <bgColor rgb="FFFFE599"/>
      </patternFill>
    </fill>
    <fill>
      <patternFill patternType="solid">
        <fgColor rgb="FFFF9900"/>
        <bgColor rgb="FFFF9900"/>
      </patternFill>
    </fill>
    <fill>
      <patternFill patternType="solid">
        <fgColor rgb="FFEFEFEF"/>
        <bgColor rgb="FFEFEFEF"/>
      </patternFill>
    </fill>
    <fill>
      <patternFill patternType="solid">
        <fgColor rgb="FF93C47D"/>
        <bgColor rgb="FF93C47D"/>
      </patternFill>
    </fill>
    <fill>
      <patternFill patternType="solid">
        <fgColor rgb="FF6AA84F"/>
        <bgColor rgb="FF6AA84F"/>
      </patternFill>
    </fill>
    <fill>
      <patternFill patternType="solid">
        <fgColor rgb="FFFF0000"/>
        <bgColor rgb="FFFF0000"/>
      </patternFill>
    </fill>
    <fill>
      <patternFill patternType="solid">
        <fgColor rgb="FFC9DAF8"/>
        <bgColor rgb="FFC9DAF8"/>
      </patternFill>
    </fill>
    <fill>
      <patternFill patternType="solid">
        <fgColor rgb="FFF3F3F3"/>
        <bgColor rgb="FFF3F3F3"/>
      </patternFill>
    </fill>
    <fill>
      <patternFill patternType="solid">
        <fgColor rgb="FFD9D9D9"/>
        <bgColor rgb="FFD9D9D9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8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shrinkToFit="0" wrapText="1"/>
    </xf>
    <xf borderId="1" fillId="0" fontId="1" numFmtId="0" xfId="0" applyAlignment="1" applyBorder="1" applyFont="1">
      <alignment shrinkToFit="0" vertical="bottom" wrapText="1"/>
    </xf>
    <xf borderId="0" fillId="0" fontId="2" numFmtId="0" xfId="0" applyAlignment="1" applyFont="1">
      <alignment vertical="bottom"/>
    </xf>
    <xf borderId="1" fillId="0" fontId="1" numFmtId="0" xfId="0" applyAlignment="1" applyBorder="1" applyFont="1">
      <alignment shrinkToFit="0" wrapText="0"/>
    </xf>
    <xf borderId="1" fillId="0" fontId="1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0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2" fontId="4" numFmtId="0" xfId="0" applyAlignment="1" applyFill="1" applyFont="1">
      <alignment shrinkToFit="0" wrapText="1"/>
    </xf>
    <xf borderId="0" fillId="3" fontId="4" numFmtId="0" xfId="0" applyAlignment="1" applyFill="1" applyFont="1">
      <alignment shrinkToFit="0" wrapText="1"/>
    </xf>
    <xf borderId="0" fillId="2" fontId="4" numFmtId="0" xfId="0" applyAlignment="1" applyFill="1" applyFont="1">
      <alignment shrinkToFit="0" vertical="bottom" wrapText="1"/>
    </xf>
    <xf borderId="1" fillId="0" fontId="1" numFmtId="0" xfId="0" applyAlignment="1" applyBorder="1" applyFont="1">
      <alignment horizontal="center" shrinkToFit="0" vertical="center" wrapText="1"/>
    </xf>
    <xf borderId="0" fillId="2" fontId="2" numFmtId="0" xfId="0" applyAlignment="1" applyFill="1" applyFont="1">
      <alignment vertical="bottom"/>
    </xf>
    <xf borderId="0" fillId="3" fontId="4" numFmtId="0" xfId="0" applyAlignment="1" applyFill="1" applyFont="1">
      <alignment readingOrder="0" shrinkToFit="0" vertical="bottom" wrapText="1"/>
    </xf>
    <xf borderId="0" fillId="0" fontId="4" numFmtId="0" xfId="0" applyAlignment="1" applyFont="1">
      <alignment shrinkToFit="0" wrapText="1"/>
    </xf>
    <xf borderId="0" fillId="0" fontId="4" numFmtId="0" xfId="0" applyAlignment="1" applyFont="1">
      <alignment horizontal="center" shrinkToFit="0" wrapText="1"/>
    </xf>
    <xf borderId="0" fillId="3" fontId="2" numFmtId="0" xfId="0" applyAlignment="1" applyFill="1" applyFont="1">
      <alignment shrinkToFit="0" wrapText="0"/>
    </xf>
    <xf borderId="0" fillId="0" fontId="4" numFmtId="0" xfId="0" applyAlignment="1" applyFont="1">
      <alignment shrinkToFit="0" wrapText="1"/>
    </xf>
    <xf borderId="0" fillId="4" fontId="4" numFmtId="0" xfId="0" applyAlignment="1" applyFill="1" applyFont="1">
      <alignment shrinkToFit="0" wrapText="1"/>
    </xf>
    <xf borderId="0" fillId="0" fontId="2" numFmtId="0" xfId="0" applyAlignment="1" applyFont="1">
      <alignment shrinkToFit="0" wrapText="1"/>
    </xf>
    <xf borderId="0" fillId="4" fontId="4" numFmtId="0" xfId="0" applyAlignment="1" applyFill="1" applyFont="1">
      <alignment shrinkToFit="0" vertical="bottom" wrapText="1"/>
    </xf>
    <xf borderId="0" fillId="4" fontId="4" numFmtId="0" xfId="0" applyFill="1" applyFont="1"/>
    <xf borderId="0" fillId="2" fontId="4" numFmtId="0" xfId="0" applyAlignment="1" applyFill="1" applyFont="1">
      <alignment shrinkToFit="0" vertical="center" wrapText="1"/>
    </xf>
    <xf borderId="0" fillId="4" fontId="2" numFmtId="0" xfId="0" applyAlignment="1" applyFill="1" applyFont="1">
      <alignment vertical="bottom"/>
    </xf>
    <xf borderId="0" fillId="2" fontId="4" numFmtId="0" xfId="0" applyAlignment="1" applyFill="1" applyFont="1">
      <alignment readingOrder="0" shrinkToFit="0" wrapText="1"/>
    </xf>
    <xf borderId="0" fillId="3" fontId="4" numFmtId="0" xfId="0" applyAlignment="1" applyFill="1" applyFont="1">
      <alignment shrinkToFit="0" vertical="center" wrapText="1"/>
    </xf>
    <xf borderId="0" fillId="3" fontId="4" numFmtId="0" xfId="0" applyAlignment="1" applyFill="1" applyFont="1">
      <alignment readingOrder="0" shrinkToFit="0" wrapText="1"/>
    </xf>
    <xf borderId="0" fillId="0" fontId="2" numFmtId="0" xfId="0" applyFont="1"/>
    <xf borderId="0" fillId="2" fontId="4" numFmtId="0" xfId="0" applyAlignment="1" applyFill="1" applyFont="1">
      <alignment readingOrder="0" shrinkToFit="0" vertical="bottom" wrapText="1"/>
    </xf>
    <xf borderId="0" fillId="3" fontId="4" numFmtId="0" xfId="0" applyAlignment="1" applyFill="1" applyFont="1">
      <alignment readingOrder="0" shrinkToFit="0" wrapText="0"/>
    </xf>
    <xf borderId="0" fillId="5" fontId="4" numFmtId="0" xfId="0" applyAlignment="1" applyFill="1" applyFont="1">
      <alignment shrinkToFit="0" vertical="center" wrapText="1"/>
    </xf>
    <xf borderId="0" fillId="5" fontId="4" numFmtId="0" xfId="0" applyAlignment="1" applyFill="1" applyFont="1">
      <alignment readingOrder="0" shrinkToFit="0" wrapText="1"/>
    </xf>
    <xf borderId="0" fillId="5" fontId="2" numFmtId="0" xfId="0" applyFill="1" applyFont="1"/>
    <xf borderId="0" fillId="2" fontId="4" numFmtId="0" xfId="0" applyAlignment="1" applyFill="1" applyFont="1">
      <alignment horizontal="center" readingOrder="0" shrinkToFit="0" wrapText="1"/>
    </xf>
    <xf borderId="0" fillId="5" fontId="2" numFmtId="0" xfId="0" applyAlignment="1" applyFill="1" applyFont="1">
      <alignment vertical="bottom"/>
    </xf>
    <xf borderId="0" fillId="0" fontId="4" numFmtId="0" xfId="0" applyAlignment="1" applyFont="1">
      <alignment readingOrder="0" shrinkToFit="0" vertical="bottom" wrapText="1"/>
    </xf>
    <xf borderId="0" fillId="0" fontId="2" numFmtId="0" xfId="0" applyAlignment="1" applyFont="1">
      <alignment shrinkToFit="0" wrapText="0"/>
    </xf>
    <xf borderId="0" fillId="0" fontId="4" numFmtId="0" xfId="0" applyAlignment="1" applyFont="1">
      <alignment shrinkToFit="0" vertical="center" wrapText="1"/>
    </xf>
    <xf borderId="0" fillId="3" fontId="3" numFmtId="0" xfId="0" applyAlignment="1" applyFill="1" applyFont="1">
      <alignment shrinkToFit="0" wrapText="0"/>
    </xf>
    <xf borderId="0" fillId="6" fontId="4" numFmtId="0" xfId="0" applyAlignment="1" applyFill="1" applyFont="1">
      <alignment shrinkToFit="0" vertical="center" wrapText="1"/>
    </xf>
    <xf borderId="0" fillId="6" fontId="4" numFmtId="0" xfId="0" applyAlignment="1" applyFill="1" applyFont="1">
      <alignment readingOrder="0" shrinkToFit="0" wrapText="1"/>
    </xf>
    <xf borderId="0" fillId="6" fontId="2" numFmtId="0" xfId="0" applyFill="1" applyFont="1"/>
    <xf borderId="0" fillId="6" fontId="2" numFmtId="0" xfId="0" applyAlignment="1" applyFill="1" applyFont="1">
      <alignment vertical="bottom"/>
    </xf>
    <xf borderId="0" fillId="3" fontId="4" numFmtId="0" xfId="0" applyAlignment="1" applyFill="1" applyFont="1">
      <alignment shrinkToFit="0" vertical="center" wrapText="1"/>
    </xf>
    <xf borderId="0" fillId="2" fontId="2" numFmtId="0" xfId="0" applyAlignment="1" applyFill="1" applyFont="1">
      <alignment shrinkToFit="0" wrapText="0"/>
    </xf>
    <xf borderId="0" fillId="2" fontId="4" numFmtId="0" xfId="0" applyAlignment="1" applyFill="1" applyFont="1">
      <alignment shrinkToFit="0" wrapText="1"/>
    </xf>
    <xf borderId="0" fillId="2" fontId="4" numFmtId="0" xfId="0" applyAlignment="1" applyFill="1" applyFont="1">
      <alignment horizontal="center" shrinkToFit="0" wrapText="1"/>
    </xf>
    <xf borderId="0" fillId="0" fontId="3" numFmtId="0" xfId="0" applyAlignment="1" applyFont="1">
      <alignment readingOrder="0" shrinkToFit="0" wrapText="1"/>
    </xf>
    <xf borderId="0" fillId="2" fontId="2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wrapText="0"/>
    </xf>
    <xf borderId="0" fillId="2" fontId="4" numFmtId="0" xfId="0" applyAlignment="1" applyFill="1" applyFont="1">
      <alignment shrinkToFit="0" vertical="bottom" wrapText="1"/>
    </xf>
    <xf borderId="0" fillId="3" fontId="4" numFmtId="0" xfId="0" applyAlignment="1" applyFill="1" applyFont="1">
      <alignment shrinkToFit="0" wrapText="1"/>
    </xf>
    <xf borderId="0" fillId="3" fontId="4" numFmtId="0" xfId="0" applyAlignment="1" applyFill="1" applyFont="1">
      <alignment horizontal="center" shrinkToFit="0" wrapText="1"/>
    </xf>
    <xf borderId="0" fillId="3" fontId="2" numFmtId="0" xfId="0" applyAlignment="1" applyFill="1" applyFont="1">
      <alignment vertical="bottom"/>
    </xf>
    <xf borderId="0" fillId="2" fontId="2" numFmtId="0" xfId="0" applyFill="1" applyFont="1"/>
    <xf borderId="0" fillId="5" fontId="4" numFmtId="0" xfId="0" applyAlignment="1" applyFill="1" applyFont="1">
      <alignment shrinkToFit="0" wrapText="1"/>
    </xf>
    <xf borderId="0" fillId="5" fontId="4" numFmtId="0" xfId="0" applyAlignment="1" applyFill="1" applyFont="1">
      <alignment horizontal="center" shrinkToFit="0" wrapText="1"/>
    </xf>
    <xf borderId="0" fillId="5" fontId="4" numFmtId="0" xfId="0" applyAlignment="1" applyFill="1" applyFont="1">
      <alignment shrinkToFit="0" wrapText="1"/>
    </xf>
    <xf borderId="0" fillId="5" fontId="2" numFmtId="0" xfId="0" applyAlignment="1" applyFill="1" applyFont="1">
      <alignment shrinkToFit="0" wrapText="1"/>
    </xf>
    <xf borderId="0" fillId="7" fontId="4" numFmtId="0" xfId="0" applyAlignment="1" applyFill="1" applyFont="1">
      <alignment shrinkToFit="0" vertical="center" wrapText="1"/>
    </xf>
    <xf borderId="0" fillId="3" fontId="4" numFmtId="0" xfId="0" applyAlignment="1" applyFill="1" applyFont="1">
      <alignment shrinkToFit="0" vertical="bottom" wrapText="1"/>
    </xf>
    <xf borderId="0" fillId="7" fontId="4" numFmtId="0" xfId="0" applyAlignment="1" applyFill="1" applyFont="1">
      <alignment shrinkToFit="0" vertical="center" wrapText="1"/>
    </xf>
    <xf borderId="0" fillId="3" fontId="4" numFmtId="0" xfId="0" applyFill="1" applyFont="1"/>
    <xf borderId="0" fillId="7" fontId="4" numFmtId="0" xfId="0" applyAlignment="1" applyFill="1" applyFont="1">
      <alignment readingOrder="0" shrinkToFit="0" wrapText="1"/>
    </xf>
    <xf borderId="0" fillId="7" fontId="4" numFmtId="0" xfId="0" applyAlignment="1" applyFill="1" applyFont="1">
      <alignment shrinkToFit="0" wrapText="1"/>
    </xf>
    <xf borderId="0" fillId="7" fontId="2" numFmtId="0" xfId="0" applyAlignment="1" applyFill="1" applyFont="1">
      <alignment vertical="bottom"/>
    </xf>
    <xf borderId="0" fillId="5" fontId="4" numFmtId="0" xfId="0" applyAlignment="1" applyFill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3" fontId="4" numFmtId="0" xfId="0" applyAlignment="1" applyFill="1" applyFont="1">
      <alignment horizontal="center" readingOrder="0" shrinkToFit="0" wrapText="1"/>
    </xf>
    <xf borderId="0" fillId="8" fontId="3" numFmtId="0" xfId="0" applyAlignment="1" applyFill="1" applyFont="1">
      <alignment readingOrder="0" shrinkToFit="0" wrapText="1"/>
    </xf>
    <xf borderId="0" fillId="8" fontId="4" numFmtId="0" xfId="0" applyAlignment="1" applyFill="1" applyFont="1">
      <alignment readingOrder="0" shrinkToFit="0" vertical="bottom" wrapText="1"/>
    </xf>
    <xf borderId="0" fillId="8" fontId="3" numFmtId="0" xfId="0" applyAlignment="1" applyFill="1" applyFont="1">
      <alignment readingOrder="0" shrinkToFit="0" wrapText="0"/>
    </xf>
    <xf borderId="0" fillId="8" fontId="3" numFmtId="0" xfId="0" applyAlignment="1" applyFill="1" applyFont="1">
      <alignment shrinkToFit="0" wrapText="0"/>
    </xf>
    <xf borderId="0" fillId="5" fontId="4" numFmtId="0" xfId="0" applyFill="1" applyFont="1"/>
    <xf borderId="0" fillId="0" fontId="4" numFmtId="0" xfId="0" applyFont="1"/>
    <xf borderId="0" fillId="5" fontId="4" numFmtId="0" xfId="0" applyAlignment="1" applyFill="1" applyFont="1">
      <alignment readingOrder="0" shrinkToFit="0" vertical="bottom" wrapText="1"/>
    </xf>
    <xf borderId="0" fillId="7" fontId="4" numFmtId="0" xfId="0" applyAlignment="1" applyFill="1" applyFont="1">
      <alignment shrinkToFit="0" vertical="bottom" wrapText="1"/>
    </xf>
    <xf borderId="0" fillId="7" fontId="4" numFmtId="0" xfId="0" applyFill="1" applyFont="1"/>
    <xf borderId="0" fillId="3" fontId="4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4" numFmtId="0" xfId="0" applyAlignment="1" applyFont="1">
      <alignment readingOrder="0" shrinkToFit="0" vertical="center" wrapText="1"/>
    </xf>
    <xf borderId="0" fillId="3" fontId="2" numFmtId="0" xfId="0" applyFill="1" applyFont="1"/>
    <xf borderId="0" fillId="2" fontId="4" numFmtId="0" xfId="0" applyFill="1" applyFont="1"/>
    <xf borderId="0" fillId="2" fontId="4" numFmtId="0" xfId="0" applyAlignment="1" applyFill="1" applyFont="1">
      <alignment horizontal="center" shrinkToFit="0" wrapText="1"/>
    </xf>
    <xf borderId="0" fillId="0" fontId="2" numFmtId="0" xfId="0" applyAlignment="1" applyFont="1">
      <alignment shrinkToFit="0" vertical="bottom" wrapText="1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 shrinkToFit="0" wrapText="0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vertical="bottom"/>
    </xf>
    <xf borderId="0" fillId="3" fontId="2" numFmtId="0" xfId="0" applyAlignment="1" applyFill="1" applyFont="1">
      <alignment shrinkToFit="0" vertical="bottom" wrapText="1"/>
    </xf>
    <xf borderId="0" fillId="0" fontId="0" numFmtId="0" xfId="0" applyAlignment="1" applyFont="1">
      <alignment readingOrder="0" shrinkToFit="0" vertical="center" wrapText="1"/>
    </xf>
    <xf borderId="0" fillId="0" fontId="0" numFmtId="0" xfId="0" applyAlignment="1" applyFont="1">
      <alignment shrinkToFit="0" vertical="center" wrapText="1"/>
    </xf>
    <xf borderId="0" fillId="0" fontId="0" numFmtId="0" xfId="0" applyAlignment="1" applyFont="1">
      <alignment vertical="bottom"/>
    </xf>
    <xf borderId="0" fillId="0" fontId="2" numFmtId="0" xfId="0" applyAlignment="1" applyFont="1">
      <alignment readingOrder="0"/>
    </xf>
    <xf borderId="0" fillId="3" fontId="2" numFmtId="0" xfId="0" applyAlignment="1" applyFill="1" applyFont="1">
      <alignment readingOrder="0"/>
    </xf>
    <xf borderId="0" fillId="0" fontId="2" numFmtId="0" xfId="0" applyFont="1"/>
    <xf borderId="0" fillId="3" fontId="4" numFmtId="0" xfId="0" applyAlignment="1" applyFill="1" applyFont="1">
      <alignment readingOrder="0" shrinkToFit="0" vertical="center" wrapText="1"/>
    </xf>
    <xf borderId="0" fillId="2" fontId="0" numFmtId="0" xfId="0" applyAlignment="1" applyFill="1" applyFont="1">
      <alignment readingOrder="0" shrinkToFit="0" vertical="center" wrapText="1"/>
    </xf>
    <xf borderId="0" fillId="2" fontId="3" numFmtId="0" xfId="0" applyAlignment="1" applyFill="1" applyFont="1">
      <alignment readingOrder="0" shrinkToFit="0" vertical="center" wrapText="1"/>
    </xf>
    <xf borderId="0" fillId="2" fontId="0" numFmtId="0" xfId="0" applyAlignment="1" applyFill="1" applyFont="1">
      <alignment shrinkToFit="0" vertical="center" wrapText="1"/>
    </xf>
    <xf borderId="0" fillId="3" fontId="0" numFmtId="0" xfId="0" applyAlignment="1" applyFill="1" applyFont="1">
      <alignment readingOrder="0" shrinkToFit="0" vertical="center" wrapText="1"/>
    </xf>
    <xf borderId="0" fillId="3" fontId="3" numFmtId="0" xfId="0" applyAlignment="1" applyFill="1" applyFont="1">
      <alignment readingOrder="0" shrinkToFit="0" vertical="center" wrapText="1"/>
    </xf>
    <xf borderId="0" fillId="3" fontId="0" numFmtId="0" xfId="0" applyAlignment="1" applyFill="1" applyFont="1">
      <alignment shrinkToFit="0" vertical="center" wrapText="1"/>
    </xf>
    <xf borderId="0" fillId="3" fontId="0" numFmtId="0" xfId="0" applyAlignment="1" applyFill="1" applyFont="1">
      <alignment shrinkToFit="0" vertical="center" wrapText="1"/>
    </xf>
    <xf borderId="0" fillId="0" fontId="5" numFmtId="0" xfId="0" applyAlignment="1" applyFont="1">
      <alignment readingOrder="0" shrinkToFit="0" vertical="center" wrapText="1"/>
    </xf>
    <xf borderId="0" fillId="0" fontId="0" numFmtId="0" xfId="0" applyAlignment="1" applyFont="1">
      <alignment readingOrder="0" vertical="center"/>
    </xf>
    <xf borderId="0" fillId="0" fontId="0" numFmtId="0" xfId="0" applyAlignment="1" applyFont="1">
      <alignment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vertical="center"/>
    </xf>
    <xf borderId="0" fillId="0" fontId="3" numFmtId="0" xfId="0" applyAlignment="1" applyFont="1">
      <alignment vertical="bottom"/>
    </xf>
    <xf borderId="0" fillId="3" fontId="3" numFmtId="0" xfId="0" applyAlignment="1" applyFill="1" applyFont="1">
      <alignment vertical="bottom"/>
    </xf>
    <xf borderId="1" fillId="3" fontId="1" numFmtId="0" xfId="0" applyAlignment="1" applyBorder="1" applyFill="1" applyFont="1">
      <alignment shrinkToFit="0" wrapText="1"/>
    </xf>
    <xf borderId="0" fillId="9" fontId="2" numFmtId="0" xfId="0" applyAlignment="1" applyFill="1" applyFont="1">
      <alignment vertical="bottom"/>
    </xf>
    <xf borderId="0" fillId="0" fontId="4" numFmtId="0" xfId="0" applyAlignment="1" applyFont="1">
      <alignment vertical="bottom"/>
    </xf>
    <xf borderId="0" fillId="9" fontId="3" numFmtId="0" xfId="0" applyAlignment="1" applyFill="1" applyFont="1">
      <alignment vertical="bottom"/>
    </xf>
    <xf borderId="0" fillId="10" fontId="4" numFmtId="0" xfId="0" applyAlignment="1" applyFill="1" applyFont="1">
      <alignment readingOrder="0" shrinkToFit="0" vertical="bottom" wrapText="1"/>
    </xf>
    <xf borderId="0" fillId="10" fontId="2" numFmtId="0" xfId="0" applyAlignment="1" applyFill="1" applyFont="1">
      <alignment vertical="bottom"/>
    </xf>
    <xf borderId="0" fillId="10" fontId="4" numFmtId="0" xfId="0" applyAlignment="1" applyFill="1" applyFont="1">
      <alignment shrinkToFit="0" vertical="bottom" wrapText="1"/>
    </xf>
    <xf borderId="0" fillId="10" fontId="4" numFmtId="0" xfId="0" applyAlignment="1" applyFill="1" applyFont="1">
      <alignment shrinkToFit="0" vertical="bottom" wrapText="1"/>
    </xf>
    <xf borderId="0" fillId="10" fontId="2" numFmtId="0" xfId="0" applyAlignment="1" applyFill="1" applyFont="1">
      <alignment vertical="bottom"/>
    </xf>
    <xf borderId="0" fillId="11" fontId="4" numFmtId="0" xfId="0" applyAlignment="1" applyFill="1" applyFont="1">
      <alignment shrinkToFit="0" vertical="bottom" wrapText="1"/>
    </xf>
    <xf borderId="0" fillId="11" fontId="4" numFmtId="0" xfId="0" applyAlignment="1" applyFill="1" applyFont="1">
      <alignment shrinkToFit="0" vertical="bottom" wrapText="1"/>
    </xf>
    <xf borderId="0" fillId="11" fontId="2" numFmtId="0" xfId="0" applyAlignment="1" applyFill="1" applyFont="1">
      <alignment vertical="bottom"/>
    </xf>
    <xf borderId="0" fillId="11" fontId="2" numFmtId="0" xfId="0" applyAlignment="1" applyFill="1" applyFont="1">
      <alignment vertical="bottom"/>
    </xf>
    <xf borderId="0" fillId="11" fontId="4" numFmtId="0" xfId="0" applyAlignment="1" applyFill="1" applyFont="1">
      <alignment readingOrder="0" shrinkToFit="0" vertical="bottom" wrapText="1"/>
    </xf>
    <xf borderId="0" fillId="0" fontId="2" numFmtId="0" xfId="0" applyAlignment="1" applyFont="1">
      <alignment vertical="bottom"/>
    </xf>
    <xf borderId="0" fillId="5" fontId="4" numFmtId="0" xfId="0" applyAlignment="1" applyFill="1" applyFont="1">
      <alignment shrinkToFit="0" vertical="bottom" wrapText="1"/>
    </xf>
    <xf borderId="0" fillId="5" fontId="2" numFmtId="0" xfId="0" applyAlignment="1" applyFill="1" applyFont="1">
      <alignment vertical="bottom"/>
    </xf>
    <xf borderId="0" fillId="3" fontId="2" numFmtId="0" xfId="0" applyFill="1" applyFont="1"/>
    <xf borderId="0" fillId="0" fontId="3" numFmtId="0" xfId="0" applyAlignment="1" applyFont="1">
      <alignment shrinkToFit="0" vertical="center" wrapText="1"/>
    </xf>
    <xf borderId="0" fillId="0" fontId="6" numFmtId="0" xfId="0" applyAlignment="1" applyFont="1">
      <alignment readingOrder="0"/>
    </xf>
    <xf borderId="0" fillId="0" fontId="6" numFmtId="0" xfId="0" applyFont="1"/>
    <xf borderId="0" fillId="12" fontId="4" numFmtId="0" xfId="0" applyAlignment="1" applyFill="1" applyFont="1">
      <alignment shrinkToFit="0" wrapText="1"/>
    </xf>
    <xf borderId="0" fillId="12" fontId="4" numFmtId="0" xfId="0" applyAlignment="1" applyFill="1" applyFont="1">
      <alignment readingOrder="0" shrinkToFit="0" wrapText="1"/>
    </xf>
    <xf borderId="0" fillId="12" fontId="2" numFmtId="0" xfId="0" applyFill="1" applyFont="1"/>
    <xf borderId="0" fillId="12" fontId="2" numFmtId="0" xfId="0" applyAlignment="1" applyFill="1" applyFont="1">
      <alignment vertical="bottom"/>
    </xf>
    <xf borderId="0" fillId="0" fontId="7" numFmtId="0" xfId="0" applyAlignment="1" applyFont="1">
      <alignment horizontal="center" vertical="bottom"/>
    </xf>
    <xf borderId="0" fillId="0" fontId="4" numFmtId="0" xfId="0" applyFont="1"/>
    <xf borderId="0" fillId="0" fontId="8" numFmtId="0" xfId="0" applyAlignment="1" applyFont="1">
      <alignment vertical="bottom"/>
    </xf>
    <xf borderId="0" fillId="3" fontId="2" numFmtId="0" xfId="0" applyAlignment="1" applyFill="1" applyFont="1">
      <alignment vertical="bottom"/>
    </xf>
    <xf borderId="0" fillId="9" fontId="8" numFmtId="0" xfId="0" applyAlignment="1" applyFill="1" applyFont="1">
      <alignment vertical="bottom"/>
    </xf>
    <xf borderId="0" fillId="3" fontId="8" numFmtId="0" xfId="0" applyAlignment="1" applyFill="1" applyFont="1">
      <alignment vertical="bottom"/>
    </xf>
    <xf borderId="0" fillId="5" fontId="8" numFmtId="0" xfId="0" applyAlignment="1" applyFill="1" applyFont="1">
      <alignment vertical="bottom"/>
    </xf>
    <xf borderId="0" fillId="2" fontId="8" numFmtId="0" xfId="0" applyAlignment="1" applyFill="1" applyFont="1">
      <alignment vertical="bottom"/>
    </xf>
    <xf borderId="0" fillId="9" fontId="4" numFmtId="0" xfId="0" applyAlignment="1" applyFill="1" applyFont="1">
      <alignment vertical="bottom"/>
    </xf>
    <xf borderId="0" fillId="0" fontId="3" numFmtId="0" xfId="0" applyAlignment="1" applyFont="1">
      <alignment readingOrder="0"/>
    </xf>
    <xf borderId="0" fillId="3" fontId="4" numFmtId="0" xfId="0" applyFill="1" applyFont="1"/>
    <xf borderId="0" fillId="3" fontId="4" numFmtId="0" xfId="0" applyAlignment="1" applyFill="1" applyFont="1">
      <alignment vertical="bottom"/>
    </xf>
    <xf borderId="0" fillId="0" fontId="8" numFmtId="0" xfId="0" applyFont="1"/>
    <xf borderId="0" fillId="0" fontId="8" numFmtId="0" xfId="0" applyAlignment="1" applyFont="1">
      <alignment shrinkToFit="0" wrapText="1"/>
    </xf>
    <xf borderId="0" fillId="0" fontId="8" numFmtId="0" xfId="0" applyAlignment="1" applyFont="1">
      <alignment shrinkToFit="0" wrapText="1"/>
    </xf>
    <xf borderId="0" fillId="0" fontId="8" numFmtId="0" xfId="0" applyFont="1"/>
    <xf borderId="0" fillId="3" fontId="3" numFmtId="0" xfId="0" applyAlignment="1" applyFill="1" applyFont="1">
      <alignment horizontal="left" shrinkToFit="0" vertical="center" wrapText="1"/>
    </xf>
    <xf borderId="0" fillId="3" fontId="3" numFmtId="0" xfId="0" applyFill="1" applyFont="1"/>
    <xf borderId="1" fillId="13" fontId="1" numFmtId="0" xfId="0" applyAlignment="1" applyBorder="1" applyFill="1" applyFont="1">
      <alignment shrinkToFit="0" wrapText="1"/>
    </xf>
    <xf borderId="1" fillId="13" fontId="1" numFmtId="0" xfId="0" applyAlignment="1" applyBorder="1" applyFill="1" applyFont="1">
      <alignment shrinkToFit="0" vertical="bottom" wrapText="1"/>
    </xf>
    <xf borderId="0" fillId="13" fontId="2" numFmtId="0" xfId="0" applyAlignment="1" applyFill="1" applyFont="1">
      <alignment vertical="bottom"/>
    </xf>
    <xf borderId="0" fillId="2" fontId="2" numFmtId="0" xfId="0" applyFill="1" applyFont="1"/>
    <xf borderId="0" fillId="2" fontId="2" numFmtId="0" xfId="0" applyAlignment="1" applyFill="1" applyFont="1">
      <alignment vertical="bottom"/>
    </xf>
    <xf borderId="0" fillId="5" fontId="4" numFmtId="0" xfId="0" applyAlignment="1" applyFill="1" applyFont="1">
      <alignment horizontal="center" shrinkToFit="0" vertical="center" wrapText="1"/>
    </xf>
    <xf borderId="0" fillId="5" fontId="4" numFmtId="0" xfId="0" applyAlignment="1" applyFill="1" applyFont="1">
      <alignment horizontal="center" readingOrder="0" shrinkToFit="0" vertical="center" wrapText="1"/>
    </xf>
    <xf borderId="0" fillId="3" fontId="4" numFmtId="0" xfId="0" applyAlignment="1" applyFill="1" applyFont="1">
      <alignment horizontal="center" shrinkToFit="0" vertical="center" wrapText="1"/>
    </xf>
    <xf borderId="0" fillId="3" fontId="4" numFmtId="0" xfId="0" applyAlignment="1" applyFill="1" applyFont="1">
      <alignment vertical="bottom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10" fontId="4" numFmtId="0" xfId="0" applyAlignment="1" applyFill="1" applyFont="1">
      <alignment horizontal="center" shrinkToFit="0" vertical="center" wrapText="1"/>
    </xf>
    <xf borderId="0" fillId="10" fontId="4" numFmtId="0" xfId="0" applyAlignment="1" applyFill="1" applyFont="1">
      <alignment horizontal="center" readingOrder="0" shrinkToFit="0" vertical="center" wrapText="1"/>
    </xf>
    <xf borderId="0" fillId="3" fontId="4" numFmtId="0" xfId="0" applyAlignment="1" applyFill="1" applyFont="1">
      <alignment horizontal="center" readingOrder="0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5" fontId="2" numFmtId="0" xfId="0" applyFill="1" applyFont="1"/>
    <xf borderId="0" fillId="14" fontId="2" numFmtId="0" xfId="0" applyAlignment="1" applyFill="1" applyFont="1">
      <alignment vertical="bottom"/>
    </xf>
    <xf borderId="0" fillId="14" fontId="2" numFmtId="0" xfId="0" applyAlignment="1" applyFill="1" applyFont="1">
      <alignment vertical="bottom"/>
    </xf>
    <xf borderId="0" fillId="15" fontId="4" numFmtId="0" xfId="0" applyAlignment="1" applyFill="1" applyFont="1">
      <alignment horizontal="center" readingOrder="0" shrinkToFit="0" vertical="center" wrapText="1"/>
    </xf>
    <xf borderId="0" fillId="15" fontId="4" numFmtId="0" xfId="0" applyAlignment="1" applyFill="1" applyFont="1">
      <alignment horizontal="center" shrinkToFit="0" vertical="center" wrapText="1"/>
    </xf>
    <xf borderId="0" fillId="15" fontId="4" numFmtId="0" xfId="0" applyAlignment="1" applyFill="1" applyFont="1">
      <alignment vertical="bottom"/>
    </xf>
    <xf borderId="0" fillId="15" fontId="9" numFmtId="0" xfId="0" applyAlignment="1" applyFill="1" applyFont="1">
      <alignment horizontal="center" readingOrder="0" shrinkToFit="0" vertical="center" wrapText="1"/>
    </xf>
    <xf borderId="0" fillId="0" fontId="0" numFmtId="0" xfId="0" applyAlignment="1" applyFont="1">
      <alignment readingOrder="0" vertical="bottom"/>
    </xf>
    <xf borderId="0" fillId="0" fontId="8" numFmtId="0" xfId="0" applyAlignment="1" applyFont="1">
      <alignment shrinkToFit="0" vertical="bottom" wrapText="1"/>
    </xf>
  </cellXfs>
  <cellStyles count="1">
    <cellStyle xfId="0" name="Normal" builtinId="0"/>
  </cellStyles>
  <dxfs count="1">
    <dxf>
      <font/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46.43"/>
    <col customWidth="1" min="2" max="2" width="26.71"/>
    <col customWidth="1" min="3" max="3" width="30.86"/>
    <col customWidth="1" min="4" max="4" width="55.57"/>
    <col customWidth="1" min="5" max="5" width="33.29"/>
    <col customWidth="1" min="6" max="26" width="8.71"/>
  </cols>
  <sheetData>
    <row r="1">
      <c r="A1" s="1" t="s">
        <v>0</v>
      </c>
      <c r="B1" s="1" t="s">
        <v>1</v>
      </c>
      <c r="C1" s="1" t="s">
        <v>2</v>
      </c>
      <c r="D1" s="3" t="s">
        <v>3</v>
      </c>
      <c r="E1" s="1" t="s">
        <v>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9" t="s">
        <v>5</v>
      </c>
      <c r="B2" s="10" t="s">
        <v>6</v>
      </c>
      <c r="C2" s="9" t="s">
        <v>8</v>
      </c>
      <c r="D2" s="9" t="s">
        <v>9</v>
      </c>
      <c r="E2" s="9" t="s">
        <v>10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9" t="s">
        <v>12</v>
      </c>
      <c r="B3" s="10" t="s">
        <v>13</v>
      </c>
      <c r="C3" s="9" t="s">
        <v>14</v>
      </c>
      <c r="D3" s="9" t="s">
        <v>16</v>
      </c>
      <c r="E3" s="9" t="s">
        <v>18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17" t="s">
        <v>24</v>
      </c>
      <c r="B4" s="18" t="s">
        <v>25</v>
      </c>
      <c r="C4" s="20" t="s">
        <v>27</v>
      </c>
      <c r="D4" s="9" t="s">
        <v>28</v>
      </c>
      <c r="E4" s="22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9" t="s">
        <v>33</v>
      </c>
      <c r="B5" s="10" t="s">
        <v>35</v>
      </c>
      <c r="C5" s="9" t="s">
        <v>37</v>
      </c>
      <c r="D5" s="9" t="s">
        <v>39</v>
      </c>
      <c r="E5" s="9" t="s">
        <v>41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9" t="s">
        <v>56</v>
      </c>
      <c r="B6" s="10" t="s">
        <v>58</v>
      </c>
      <c r="C6" s="9" t="s">
        <v>59</v>
      </c>
      <c r="D6" s="9" t="s">
        <v>62</v>
      </c>
      <c r="E6" s="9" t="s">
        <v>10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27" t="s">
        <v>70</v>
      </c>
      <c r="B7" s="36" t="s">
        <v>76</v>
      </c>
      <c r="C7" s="27" t="s">
        <v>80</v>
      </c>
      <c r="D7" s="27" t="s">
        <v>82</v>
      </c>
      <c r="E7" s="27" t="s">
        <v>18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7" t="s">
        <v>96</v>
      </c>
      <c r="B8" s="18" t="s">
        <v>98</v>
      </c>
      <c r="C8" s="20" t="s">
        <v>100</v>
      </c>
      <c r="D8" s="9" t="s">
        <v>103</v>
      </c>
      <c r="E8" s="22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9" t="s">
        <v>111</v>
      </c>
      <c r="B9" s="10" t="s">
        <v>113</v>
      </c>
      <c r="C9" s="9" t="s">
        <v>114</v>
      </c>
      <c r="D9" s="29" t="s">
        <v>116</v>
      </c>
      <c r="E9" s="9" t="s">
        <v>41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9" t="s">
        <v>125</v>
      </c>
      <c r="B10" s="10" t="s">
        <v>127</v>
      </c>
      <c r="C10" s="9" t="s">
        <v>128</v>
      </c>
      <c r="D10" s="9" t="s">
        <v>129</v>
      </c>
      <c r="E10" s="9" t="s">
        <v>10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27" t="s">
        <v>137</v>
      </c>
      <c r="B11" s="36" t="s">
        <v>140</v>
      </c>
      <c r="C11" s="27" t="s">
        <v>141</v>
      </c>
      <c r="D11" s="27" t="s">
        <v>144</v>
      </c>
      <c r="E11" s="27" t="s">
        <v>18</v>
      </c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48" t="s">
        <v>157</v>
      </c>
      <c r="B12" s="49" t="s">
        <v>162</v>
      </c>
      <c r="C12" s="11" t="s">
        <v>164</v>
      </c>
      <c r="D12" s="27" t="s">
        <v>168</v>
      </c>
      <c r="E12" s="51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t="15.75" customHeight="1">
      <c r="A13" s="17" t="s">
        <v>176</v>
      </c>
      <c r="B13" s="18" t="s">
        <v>179</v>
      </c>
      <c r="C13" s="20" t="s">
        <v>182</v>
      </c>
      <c r="D13" s="9" t="s">
        <v>185</v>
      </c>
      <c r="E13" s="20" t="s">
        <v>186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 ht="15.75" customHeight="1">
      <c r="A14" s="9" t="s">
        <v>193</v>
      </c>
      <c r="B14" s="10" t="s">
        <v>195</v>
      </c>
      <c r="C14" s="9" t="s">
        <v>197</v>
      </c>
      <c r="D14" s="9" t="s">
        <v>199</v>
      </c>
      <c r="E14" s="9" t="s">
        <v>201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 ht="15.75" customHeight="1">
      <c r="A15" s="9" t="s">
        <v>208</v>
      </c>
      <c r="B15" s="10" t="s">
        <v>211</v>
      </c>
      <c r="C15" s="9" t="s">
        <v>213</v>
      </c>
      <c r="D15" s="9" t="s">
        <v>215</v>
      </c>
      <c r="E15" s="9" t="s">
        <v>216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 ht="15.75" customHeight="1">
      <c r="A16" s="9" t="s">
        <v>225</v>
      </c>
      <c r="B16" s="10" t="s">
        <v>226</v>
      </c>
      <c r="C16" s="9" t="s">
        <v>227</v>
      </c>
      <c r="D16" s="9" t="s">
        <v>228</v>
      </c>
      <c r="E16" s="9" t="s">
        <v>229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ht="15.75" customHeight="1">
      <c r="A17" s="17" t="s">
        <v>239</v>
      </c>
      <c r="B17" s="18" t="s">
        <v>240</v>
      </c>
      <c r="C17" s="20" t="s">
        <v>241</v>
      </c>
      <c r="D17" s="9" t="s">
        <v>242</v>
      </c>
      <c r="E17" s="20" t="s">
        <v>186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 ht="15.75" customHeight="1">
      <c r="A18" s="9" t="s">
        <v>256</v>
      </c>
      <c r="B18" s="10" t="s">
        <v>257</v>
      </c>
      <c r="C18" s="9" t="s">
        <v>258</v>
      </c>
      <c r="D18" s="9" t="s">
        <v>259</v>
      </c>
      <c r="E18" s="9" t="s">
        <v>201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ht="15.75" customHeight="1">
      <c r="A19" s="9" t="s">
        <v>267</v>
      </c>
      <c r="B19" s="10" t="s">
        <v>270</v>
      </c>
      <c r="C19" s="9" t="s">
        <v>272</v>
      </c>
      <c r="D19" s="9" t="s">
        <v>275</v>
      </c>
      <c r="E19" s="9" t="s">
        <v>216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 ht="15.75" customHeight="1">
      <c r="A20" s="9" t="s">
        <v>277</v>
      </c>
      <c r="B20" s="10" t="s">
        <v>279</v>
      </c>
      <c r="C20" s="9" t="s">
        <v>285</v>
      </c>
      <c r="D20" s="9" t="s">
        <v>289</v>
      </c>
      <c r="E20" s="9" t="s">
        <v>229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17" t="s">
        <v>293</v>
      </c>
      <c r="B21" s="18" t="s">
        <v>294</v>
      </c>
      <c r="C21" s="20" t="s">
        <v>297</v>
      </c>
      <c r="D21" s="9" t="s">
        <v>300</v>
      </c>
      <c r="E21" s="20" t="s">
        <v>186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56" t="s">
        <v>310</v>
      </c>
      <c r="B22" s="57" t="s">
        <v>317</v>
      </c>
      <c r="C22" s="12" t="s">
        <v>323</v>
      </c>
      <c r="D22" s="29" t="s">
        <v>326</v>
      </c>
      <c r="E22" s="12" t="s">
        <v>186</v>
      </c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</row>
    <row r="23" ht="15.75" customHeight="1">
      <c r="A23" s="60" t="s">
        <v>336</v>
      </c>
      <c r="B23" s="61" t="s">
        <v>338</v>
      </c>
      <c r="C23" s="62" t="s">
        <v>339</v>
      </c>
      <c r="D23" s="34" t="s">
        <v>342</v>
      </c>
      <c r="E23" s="63"/>
      <c r="F23" s="37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</row>
    <row r="24" ht="15.75" customHeight="1">
      <c r="A24" s="20" t="s">
        <v>353</v>
      </c>
      <c r="B24" s="57" t="s">
        <v>354</v>
      </c>
      <c r="C24" s="20" t="s">
        <v>355</v>
      </c>
      <c r="D24" s="9" t="s">
        <v>357</v>
      </c>
      <c r="E24" s="22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27" t="s">
        <v>365</v>
      </c>
      <c r="B25" s="36" t="s">
        <v>366</v>
      </c>
      <c r="C25" s="27" t="s">
        <v>367</v>
      </c>
      <c r="D25" s="27" t="s">
        <v>370</v>
      </c>
      <c r="E25" s="27" t="s">
        <v>41</v>
      </c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5.75" customHeight="1">
      <c r="A26" s="9" t="s">
        <v>381</v>
      </c>
      <c r="B26" s="10" t="s">
        <v>382</v>
      </c>
      <c r="C26" s="9" t="s">
        <v>384</v>
      </c>
      <c r="D26" s="9" t="s">
        <v>390</v>
      </c>
      <c r="E26" s="9" t="s">
        <v>10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29" t="s">
        <v>397</v>
      </c>
      <c r="B27" s="73" t="s">
        <v>404</v>
      </c>
      <c r="C27" s="29" t="s">
        <v>406</v>
      </c>
      <c r="D27" s="29" t="s">
        <v>408</v>
      </c>
      <c r="E27" s="29" t="s">
        <v>18</v>
      </c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</row>
    <row r="28" ht="15.75" customHeight="1">
      <c r="A28" s="17" t="s">
        <v>416</v>
      </c>
      <c r="B28" s="18" t="s">
        <v>416</v>
      </c>
      <c r="C28" s="20" t="s">
        <v>420</v>
      </c>
      <c r="D28" s="9" t="s">
        <v>421</v>
      </c>
      <c r="E28" s="22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20" t="s">
        <v>427</v>
      </c>
      <c r="B29" s="18" t="s">
        <v>431</v>
      </c>
      <c r="C29" s="20" t="s">
        <v>433</v>
      </c>
      <c r="D29" s="9" t="s">
        <v>436</v>
      </c>
      <c r="E29" s="22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9" t="s">
        <v>438</v>
      </c>
      <c r="B30" s="10" t="s">
        <v>440</v>
      </c>
      <c r="C30" s="9" t="s">
        <v>442</v>
      </c>
      <c r="D30" s="9" t="s">
        <v>444</v>
      </c>
      <c r="E30" s="9" t="s">
        <v>41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9" t="s">
        <v>449</v>
      </c>
      <c r="B31" s="10" t="s">
        <v>450</v>
      </c>
      <c r="C31" s="9" t="s">
        <v>451</v>
      </c>
      <c r="D31" s="9" t="s">
        <v>452</v>
      </c>
      <c r="E31" s="9" t="s">
        <v>10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9" t="s">
        <v>465</v>
      </c>
      <c r="B32" s="10" t="s">
        <v>467</v>
      </c>
      <c r="C32" s="9" t="s">
        <v>469</v>
      </c>
      <c r="D32" s="9" t="s">
        <v>472</v>
      </c>
      <c r="E32" s="9" t="s">
        <v>18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 ht="15.75" customHeight="1">
      <c r="A33" s="11" t="s">
        <v>480</v>
      </c>
      <c r="B33" s="49" t="s">
        <v>482</v>
      </c>
      <c r="C33" s="11" t="s">
        <v>484</v>
      </c>
      <c r="D33" s="27" t="s">
        <v>485</v>
      </c>
      <c r="E33" s="11" t="s">
        <v>186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t="15.75" customHeight="1">
      <c r="A34" s="9" t="s">
        <v>494</v>
      </c>
      <c r="B34" s="10" t="s">
        <v>496</v>
      </c>
      <c r="C34" s="9" t="s">
        <v>497</v>
      </c>
      <c r="D34" s="9" t="s">
        <v>498</v>
      </c>
      <c r="E34" s="9" t="s">
        <v>201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27" t="s">
        <v>507</v>
      </c>
      <c r="B35" s="36" t="s">
        <v>508</v>
      </c>
      <c r="C35" s="27" t="s">
        <v>509</v>
      </c>
      <c r="D35" s="27" t="s">
        <v>511</v>
      </c>
      <c r="E35" s="27" t="s">
        <v>216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15.75" customHeight="1">
      <c r="A36" s="9" t="s">
        <v>527</v>
      </c>
      <c r="B36" s="10" t="s">
        <v>530</v>
      </c>
      <c r="C36" s="9" t="s">
        <v>532</v>
      </c>
      <c r="D36" s="9" t="s">
        <v>534</v>
      </c>
      <c r="E36" s="9" t="s">
        <v>229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27" t="s">
        <v>543</v>
      </c>
      <c r="B37" s="36" t="s">
        <v>544</v>
      </c>
      <c r="C37" s="27" t="s">
        <v>546</v>
      </c>
      <c r="D37" s="27" t="s">
        <v>552</v>
      </c>
      <c r="E37" s="27" t="s">
        <v>554</v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t="15.75" customHeight="1">
      <c r="A38" s="9" t="s">
        <v>566</v>
      </c>
      <c r="B38" s="36" t="s">
        <v>568</v>
      </c>
      <c r="C38" s="27" t="s">
        <v>571</v>
      </c>
      <c r="D38" s="9" t="s">
        <v>574</v>
      </c>
      <c r="E38" s="9" t="s">
        <v>554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9" t="s">
        <v>580</v>
      </c>
      <c r="B39" s="10" t="s">
        <v>581</v>
      </c>
      <c r="C39" s="9" t="s">
        <v>583</v>
      </c>
      <c r="D39" s="9" t="s">
        <v>587</v>
      </c>
      <c r="E39" s="20" t="s">
        <v>186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27" t="s">
        <v>596</v>
      </c>
      <c r="B40" s="36" t="s">
        <v>597</v>
      </c>
      <c r="C40" s="27" t="s">
        <v>598</v>
      </c>
      <c r="D40" s="27" t="s">
        <v>599</v>
      </c>
      <c r="E40" s="27" t="s">
        <v>554</v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5.75" customHeight="1">
      <c r="A41" s="9" t="s">
        <v>612</v>
      </c>
      <c r="B41" s="10" t="s">
        <v>613</v>
      </c>
      <c r="C41" s="9" t="s">
        <v>615</v>
      </c>
      <c r="D41" s="9" t="s">
        <v>618</v>
      </c>
      <c r="E41" s="9" t="s">
        <v>620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48" t="s">
        <v>625</v>
      </c>
      <c r="B42" s="49" t="s">
        <v>626</v>
      </c>
      <c r="C42" s="11" t="s">
        <v>627</v>
      </c>
      <c r="D42" s="27" t="s">
        <v>631</v>
      </c>
      <c r="E42" s="51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5.75" customHeight="1">
      <c r="A43" s="9" t="s">
        <v>641</v>
      </c>
      <c r="B43" s="10" t="s">
        <v>642</v>
      </c>
      <c r="C43" s="9" t="s">
        <v>644</v>
      </c>
      <c r="D43" s="9" t="s">
        <v>647</v>
      </c>
      <c r="E43" s="9" t="s">
        <v>10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27" t="s">
        <v>654</v>
      </c>
      <c r="B44" s="36" t="s">
        <v>656</v>
      </c>
      <c r="C44" s="27" t="s">
        <v>658</v>
      </c>
      <c r="D44" s="27" t="s">
        <v>662</v>
      </c>
      <c r="E44" s="27" t="s">
        <v>664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5.75" customHeight="1">
      <c r="A45" s="20" t="s">
        <v>671</v>
      </c>
      <c r="B45" s="18" t="s">
        <v>671</v>
      </c>
      <c r="C45" s="20" t="s">
        <v>672</v>
      </c>
      <c r="D45" s="9" t="s">
        <v>674</v>
      </c>
      <c r="E45" s="22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ht="15.75" customHeight="1">
      <c r="A46" s="48" t="s">
        <v>682</v>
      </c>
      <c r="B46" s="49" t="s">
        <v>682</v>
      </c>
      <c r="C46" s="11" t="s">
        <v>684</v>
      </c>
      <c r="D46" s="27" t="s">
        <v>689</v>
      </c>
      <c r="E46" s="51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5.75" customHeight="1">
      <c r="A47" s="17" t="s">
        <v>697</v>
      </c>
      <c r="B47" s="18" t="s">
        <v>698</v>
      </c>
      <c r="C47" s="20" t="s">
        <v>699</v>
      </c>
      <c r="D47" s="9" t="s">
        <v>701</v>
      </c>
      <c r="E47" s="22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9" t="s">
        <v>709</v>
      </c>
      <c r="B48" s="10" t="s">
        <v>710</v>
      </c>
      <c r="C48" s="9" t="s">
        <v>711</v>
      </c>
      <c r="D48" s="9" t="s">
        <v>712</v>
      </c>
      <c r="E48" s="9" t="s">
        <v>554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9" t="s">
        <v>715</v>
      </c>
      <c r="B49" s="10" t="s">
        <v>717</v>
      </c>
      <c r="C49" s="20" t="s">
        <v>719</v>
      </c>
      <c r="D49" s="9" t="s">
        <v>722</v>
      </c>
      <c r="E49" s="9" t="s">
        <v>554</v>
      </c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9" t="s">
        <v>727</v>
      </c>
      <c r="B50" s="10" t="s">
        <v>728</v>
      </c>
      <c r="C50" s="9" t="s">
        <v>729</v>
      </c>
      <c r="D50" s="9" t="s">
        <v>730</v>
      </c>
      <c r="E50" s="9" t="s">
        <v>10</v>
      </c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27" t="s">
        <v>739</v>
      </c>
      <c r="B51" s="36" t="s">
        <v>740</v>
      </c>
      <c r="C51" s="27" t="s">
        <v>741</v>
      </c>
      <c r="D51" s="27" t="s">
        <v>745</v>
      </c>
      <c r="E51" s="27" t="s">
        <v>18</v>
      </c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t="15.75" customHeight="1">
      <c r="A52" s="9" t="s">
        <v>752</v>
      </c>
      <c r="B52" s="10" t="s">
        <v>753</v>
      </c>
      <c r="C52" s="9" t="s">
        <v>755</v>
      </c>
      <c r="D52" s="9" t="s">
        <v>758</v>
      </c>
      <c r="E52" s="9" t="s">
        <v>41</v>
      </c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27" t="s">
        <v>764</v>
      </c>
      <c r="B53" s="36" t="s">
        <v>765</v>
      </c>
      <c r="C53" s="27" t="s">
        <v>766</v>
      </c>
      <c r="D53" s="27" t="s">
        <v>767</v>
      </c>
      <c r="E53" s="27" t="s">
        <v>41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5.75" customHeight="1">
      <c r="A54" s="9" t="s">
        <v>769</v>
      </c>
      <c r="B54" s="10" t="s">
        <v>772</v>
      </c>
      <c r="C54" s="9" t="s">
        <v>773</v>
      </c>
      <c r="D54" s="9" t="s">
        <v>774</v>
      </c>
      <c r="E54" s="9" t="s">
        <v>10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27" t="s">
        <v>779</v>
      </c>
      <c r="B55" s="36" t="s">
        <v>781</v>
      </c>
      <c r="C55" s="27" t="s">
        <v>783</v>
      </c>
      <c r="D55" s="27" t="s">
        <v>786</v>
      </c>
      <c r="E55" s="27" t="s">
        <v>18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5.75" customHeight="1">
      <c r="A56" s="17" t="s">
        <v>791</v>
      </c>
      <c r="B56" s="18" t="s">
        <v>791</v>
      </c>
      <c r="C56" s="20" t="s">
        <v>792</v>
      </c>
      <c r="D56" s="9" t="s">
        <v>794</v>
      </c>
      <c r="E56" s="84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20" t="s">
        <v>803</v>
      </c>
      <c r="B57" s="18" t="s">
        <v>803</v>
      </c>
      <c r="C57" s="20" t="s">
        <v>804</v>
      </c>
      <c r="D57" s="9" t="s">
        <v>805</v>
      </c>
      <c r="E57" s="22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9" t="s">
        <v>814</v>
      </c>
      <c r="B58" s="10" t="s">
        <v>815</v>
      </c>
      <c r="C58" s="9" t="s">
        <v>816</v>
      </c>
      <c r="D58" s="9" t="s">
        <v>817</v>
      </c>
      <c r="E58" s="9" t="s">
        <v>41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9" t="s">
        <v>824</v>
      </c>
      <c r="B59" s="10" t="s">
        <v>826</v>
      </c>
      <c r="C59" s="9" t="s">
        <v>827</v>
      </c>
      <c r="D59" s="9" t="s">
        <v>830</v>
      </c>
      <c r="E59" s="9" t="s">
        <v>10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27" t="s">
        <v>834</v>
      </c>
      <c r="B60" s="36" t="s">
        <v>836</v>
      </c>
      <c r="C60" s="27" t="s">
        <v>837</v>
      </c>
      <c r="D60" s="27" t="s">
        <v>840</v>
      </c>
      <c r="E60" s="27" t="s">
        <v>18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5.75" customHeight="1">
      <c r="A61" s="9" t="s">
        <v>847</v>
      </c>
      <c r="B61" s="10" t="s">
        <v>849</v>
      </c>
      <c r="C61" s="9" t="s">
        <v>851</v>
      </c>
      <c r="D61" s="9" t="s">
        <v>853</v>
      </c>
      <c r="E61" s="9" t="s">
        <v>10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9" t="s">
        <v>859</v>
      </c>
      <c r="B62" s="10" t="s">
        <v>860</v>
      </c>
      <c r="C62" s="9" t="s">
        <v>861</v>
      </c>
      <c r="D62" s="29" t="s">
        <v>862</v>
      </c>
      <c r="E62" s="9" t="s">
        <v>10</v>
      </c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7" t="s">
        <v>868</v>
      </c>
      <c r="B63" s="36" t="s">
        <v>870</v>
      </c>
      <c r="C63" s="27" t="s">
        <v>872</v>
      </c>
      <c r="D63" s="27" t="s">
        <v>873</v>
      </c>
      <c r="E63" s="27" t="s">
        <v>41</v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5.75" customHeight="1">
      <c r="A64" s="9" t="s">
        <v>881</v>
      </c>
      <c r="B64" s="10" t="s">
        <v>883</v>
      </c>
      <c r="C64" s="9" t="s">
        <v>884</v>
      </c>
      <c r="D64" s="9" t="s">
        <v>885</v>
      </c>
      <c r="E64" s="9" t="s">
        <v>10</v>
      </c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27" t="s">
        <v>893</v>
      </c>
      <c r="B65" s="36" t="s">
        <v>895</v>
      </c>
      <c r="C65" s="27" t="s">
        <v>896</v>
      </c>
      <c r="D65" s="27" t="s">
        <v>897</v>
      </c>
      <c r="E65" s="27" t="s">
        <v>41</v>
      </c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5.75" customHeight="1">
      <c r="A66" s="9" t="s">
        <v>906</v>
      </c>
      <c r="B66" s="10" t="s">
        <v>907</v>
      </c>
      <c r="C66" s="9" t="s">
        <v>908</v>
      </c>
      <c r="D66" s="9" t="s">
        <v>909</v>
      </c>
      <c r="E66" s="9" t="s">
        <v>910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27" t="s">
        <v>918</v>
      </c>
      <c r="B67" s="36" t="s">
        <v>920</v>
      </c>
      <c r="C67" s="27" t="s">
        <v>921</v>
      </c>
      <c r="D67" s="27" t="s">
        <v>922</v>
      </c>
      <c r="E67" s="27" t="s">
        <v>910</v>
      </c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5.75" customHeight="1">
      <c r="A68" s="9" t="s">
        <v>931</v>
      </c>
      <c r="B68" s="10" t="s">
        <v>932</v>
      </c>
      <c r="C68" s="9" t="s">
        <v>933</v>
      </c>
      <c r="D68" s="9" t="s">
        <v>935</v>
      </c>
      <c r="E68" s="9" t="s">
        <v>910</v>
      </c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27" t="s">
        <v>942</v>
      </c>
      <c r="B69" s="36" t="s">
        <v>944</v>
      </c>
      <c r="C69" s="27" t="s">
        <v>946</v>
      </c>
      <c r="D69" s="27" t="s">
        <v>949</v>
      </c>
      <c r="E69" s="27" t="s">
        <v>910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5.75" customHeight="1">
      <c r="A70" s="9" t="s">
        <v>957</v>
      </c>
      <c r="B70" s="10" t="s">
        <v>958</v>
      </c>
      <c r="C70" s="9" t="s">
        <v>959</v>
      </c>
      <c r="D70" s="9" t="s">
        <v>960</v>
      </c>
      <c r="E70" s="9" t="s">
        <v>910</v>
      </c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27" t="s">
        <v>965</v>
      </c>
      <c r="B71" s="36" t="s">
        <v>967</v>
      </c>
      <c r="C71" s="27" t="s">
        <v>970</v>
      </c>
      <c r="D71" s="27" t="s">
        <v>971</v>
      </c>
      <c r="E71" s="27" t="s">
        <v>972</v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5.75" customHeight="1">
      <c r="A72" s="9" t="s">
        <v>978</v>
      </c>
      <c r="B72" s="10" t="s">
        <v>980</v>
      </c>
      <c r="C72" s="9" t="s">
        <v>982</v>
      </c>
      <c r="D72" s="9" t="s">
        <v>984</v>
      </c>
      <c r="E72" s="9" t="s">
        <v>910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48" t="s">
        <v>988</v>
      </c>
      <c r="B73" s="88" t="s">
        <v>988</v>
      </c>
      <c r="C73" s="48" t="s">
        <v>990</v>
      </c>
      <c r="D73" s="27" t="s">
        <v>991</v>
      </c>
      <c r="E73" s="51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5.75" customHeight="1">
      <c r="A74" s="48" t="s">
        <v>997</v>
      </c>
      <c r="B74" s="49" t="s">
        <v>999</v>
      </c>
      <c r="C74" s="11" t="s">
        <v>1001</v>
      </c>
      <c r="D74" s="27" t="s">
        <v>1003</v>
      </c>
      <c r="E74" s="51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5.75" customHeight="1">
      <c r="A75" s="38" t="s">
        <v>1008</v>
      </c>
      <c r="B75" s="9" t="s">
        <v>1008</v>
      </c>
      <c r="C75" s="52" t="str">
        <f t="shared" ref="C75:C102" si="1">MID(A75,FIND(" ",A75) + 1,FIND(".",A75) - 1 - (FIND(" ",A75)))</f>
        <v>all items with their item types</v>
      </c>
      <c r="D75" s="9" t="s">
        <v>1031</v>
      </c>
      <c r="E75" s="89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53" t="s">
        <v>1037</v>
      </c>
      <c r="B76" s="20" t="s">
        <v>1037</v>
      </c>
      <c r="C76" s="52" t="str">
        <f t="shared" si="1"/>
        <v>all product groups available in inventory</v>
      </c>
      <c r="D76" s="9" t="s">
        <v>1040</v>
      </c>
      <c r="E76" s="89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52" t="s">
        <v>1045</v>
      </c>
      <c r="B77" s="20" t="s">
        <v>1045</v>
      </c>
      <c r="C77" s="52" t="str">
        <f t="shared" si="1"/>
        <v>all models available in inventory</v>
      </c>
      <c r="D77" s="9" t="s">
        <v>1046</v>
      </c>
      <c r="E77" s="89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52" t="s">
        <v>1054</v>
      </c>
      <c r="B78" s="18" t="s">
        <v>1054</v>
      </c>
      <c r="C78" s="52" t="str">
        <f t="shared" si="1"/>
        <v>buyer wise inventory summary</v>
      </c>
      <c r="D78" s="90" t="s">
        <v>1057</v>
      </c>
      <c r="E78" s="89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52" t="s">
        <v>1062</v>
      </c>
      <c r="B79" s="18" t="s">
        <v>1062</v>
      </c>
      <c r="C79" s="52" t="str">
        <f t="shared" si="1"/>
        <v>organization wise inventory summary</v>
      </c>
      <c r="D79" s="91" t="s">
        <v>1068</v>
      </c>
      <c r="E79" s="89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52" t="s">
        <v>1072</v>
      </c>
      <c r="B80" s="18" t="s">
        <v>1072</v>
      </c>
      <c r="C80" s="52" t="str">
        <f t="shared" si="1"/>
        <v>product group wise stock value</v>
      </c>
      <c r="D80" s="9" t="s">
        <v>1073</v>
      </c>
      <c r="E80" s="89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52" t="s">
        <v>1082</v>
      </c>
      <c r="B81" s="18" t="s">
        <v>1082</v>
      </c>
      <c r="C81" s="52" t="str">
        <f t="shared" si="1"/>
        <v>model wise stock value</v>
      </c>
      <c r="D81" s="9" t="s">
        <v>1083</v>
      </c>
      <c r="E81" s="89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 ht="15.75" customHeight="1">
      <c r="A82" s="52" t="s">
        <v>1087</v>
      </c>
      <c r="B82" s="18" t="s">
        <v>1087</v>
      </c>
      <c r="C82" s="52" t="str">
        <f t="shared" si="1"/>
        <v>organization wise stock quantity</v>
      </c>
      <c r="D82" s="9" t="s">
        <v>1092</v>
      </c>
      <c r="E82" s="89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52" t="s">
        <v>1094</v>
      </c>
      <c r="B83" s="18" t="s">
        <v>1094</v>
      </c>
      <c r="C83" s="52" t="str">
        <f t="shared" si="1"/>
        <v>buyer wise stock quantity</v>
      </c>
      <c r="D83" s="9" t="s">
        <v>1098</v>
      </c>
      <c r="E83" s="89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52" t="s">
        <v>1101</v>
      </c>
      <c r="B84" s="18" t="s">
        <v>1101</v>
      </c>
      <c r="C84" s="52" t="str">
        <f t="shared" si="1"/>
        <v>total MRP demand</v>
      </c>
      <c r="D84" s="9" t="s">
        <v>1105</v>
      </c>
      <c r="E84" s="89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52" t="s">
        <v>1112</v>
      </c>
      <c r="B85" s="20" t="s">
        <v>1112</v>
      </c>
      <c r="C85" s="52" t="str">
        <f t="shared" si="1"/>
        <v>total remaining quantity after allocation</v>
      </c>
      <c r="D85" s="9" t="s">
        <v>1113</v>
      </c>
      <c r="E85" s="89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52" t="s">
        <v>1118</v>
      </c>
      <c r="B86" s="20" t="s">
        <v>1118</v>
      </c>
      <c r="C86" s="52" t="str">
        <f t="shared" si="1"/>
        <v>total safety stock maintained</v>
      </c>
      <c r="D86" s="9" t="s">
        <v>1124</v>
      </c>
      <c r="E86" s="89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52" t="s">
        <v>1126</v>
      </c>
      <c r="B87" s="20" t="s">
        <v>1126</v>
      </c>
      <c r="C87" s="52" t="str">
        <f t="shared" si="1"/>
        <v>total allocation from safety stock</v>
      </c>
      <c r="D87" s="9" t="s">
        <v>1131</v>
      </c>
      <c r="E87" s="89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38" t="s">
        <v>1136</v>
      </c>
      <c r="B88" s="20" t="s">
        <v>1137</v>
      </c>
      <c r="C88" s="52" t="str">
        <f t="shared" si="1"/>
        <v>total allocation against MOQ/ minimum order quantity</v>
      </c>
      <c r="D88" s="9" t="s">
        <v>1139</v>
      </c>
      <c r="E88" s="89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52" t="s">
        <v>1145</v>
      </c>
      <c r="B89" s="20" t="s">
        <v>1145</v>
      </c>
      <c r="C89" s="52" t="str">
        <f t="shared" si="1"/>
        <v>average procurement lead time</v>
      </c>
      <c r="D89" s="9" t="s">
        <v>1148</v>
      </c>
      <c r="E89" s="89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52" t="s">
        <v>1156</v>
      </c>
      <c r="B90" s="20" t="s">
        <v>1156</v>
      </c>
      <c r="C90" s="52" t="str">
        <f t="shared" si="1"/>
        <v>average item cost</v>
      </c>
      <c r="D90" s="9" t="s">
        <v>1158</v>
      </c>
      <c r="E90" s="89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52" t="s">
        <v>1167</v>
      </c>
      <c r="B91" s="20" t="s">
        <v>1167</v>
      </c>
      <c r="C91" s="52" t="str">
        <f t="shared" si="1"/>
        <v>minimum and maximum Min-Max quantities</v>
      </c>
      <c r="D91" s="9" t="s">
        <v>1173</v>
      </c>
      <c r="E91" s="89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52" t="s">
        <v>1183</v>
      </c>
      <c r="B92" s="20" t="s">
        <v>1183</v>
      </c>
      <c r="C92" s="52" t="str">
        <f t="shared" si="1"/>
        <v>minimum and maximum order quantities</v>
      </c>
      <c r="D92" s="9" t="s">
        <v>1184</v>
      </c>
      <c r="E92" s="89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52" t="s">
        <v>1193</v>
      </c>
      <c r="B93" s="20" t="s">
        <v>1193</v>
      </c>
      <c r="C93" s="52" t="str">
        <f t="shared" si="1"/>
        <v>all fixed order quantity items</v>
      </c>
      <c r="D93" s="9" t="s">
        <v>1194</v>
      </c>
      <c r="E93" s="89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38" t="s">
        <v>1202</v>
      </c>
      <c r="B94" s="9" t="s">
        <v>1202</v>
      </c>
      <c r="C94" s="52" t="str">
        <f t="shared" si="1"/>
        <v>inventory grouped by item type</v>
      </c>
      <c r="D94" s="9" t="s">
        <v>1205</v>
      </c>
      <c r="E94" s="89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52" t="s">
        <v>1207</v>
      </c>
      <c r="B95" s="20" t="s">
        <v>1207</v>
      </c>
      <c r="C95" s="52" t="str">
        <f t="shared" si="1"/>
        <v>inventory grouped by product group and model</v>
      </c>
      <c r="D95" s="9" t="s">
        <v>1213</v>
      </c>
      <c r="E95" s="89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83" t="s">
        <v>1217</v>
      </c>
      <c r="B96" s="12" t="s">
        <v>1217</v>
      </c>
      <c r="C96" s="83" t="str">
        <f t="shared" si="1"/>
        <v>stock available in Finished Component inventory</v>
      </c>
      <c r="D96" s="29" t="s">
        <v>1218</v>
      </c>
      <c r="E96" s="94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ht="15.75" customHeight="1">
      <c r="A97" s="52" t="s">
        <v>1227</v>
      </c>
      <c r="B97" s="20" t="s">
        <v>1227</v>
      </c>
      <c r="C97" s="52" t="str">
        <f t="shared" si="1"/>
        <v>stock available in Finished Goods inventory</v>
      </c>
      <c r="D97" s="9" t="s">
        <v>1238</v>
      </c>
      <c r="E97" s="89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52" t="s">
        <v>1240</v>
      </c>
      <c r="B98" s="20" t="s">
        <v>1240</v>
      </c>
      <c r="C98" s="52" t="str">
        <f t="shared" si="1"/>
        <v>stock available in Assembly inventory</v>
      </c>
      <c r="D98" s="9" t="s">
        <v>1246</v>
      </c>
      <c r="E98" s="89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52" t="s">
        <v>1250</v>
      </c>
      <c r="B99" s="20" t="s">
        <v>1250</v>
      </c>
      <c r="C99" s="52" t="str">
        <f t="shared" si="1"/>
        <v>stock available in Machine Shop inventory</v>
      </c>
      <c r="D99" s="9" t="s">
        <v>1256</v>
      </c>
      <c r="E99" s="89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52" t="s">
        <v>1262</v>
      </c>
      <c r="B100" s="20" t="s">
        <v>1262</v>
      </c>
      <c r="C100" s="52" t="str">
        <f t="shared" si="1"/>
        <v>stock available in General Store inventory</v>
      </c>
      <c r="D100" s="9" t="s">
        <v>1267</v>
      </c>
      <c r="E100" s="89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52" t="s">
        <v>1268</v>
      </c>
      <c r="B101" s="20" t="s">
        <v>1268</v>
      </c>
      <c r="C101" s="52" t="str">
        <f t="shared" si="1"/>
        <v>stock available in Rejection Store inventory</v>
      </c>
      <c r="D101" s="9" t="s">
        <v>1273</v>
      </c>
      <c r="E101" s="89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52" t="s">
        <v>1279</v>
      </c>
      <c r="B102" s="20" t="s">
        <v>1279</v>
      </c>
      <c r="C102" s="52" t="str">
        <f t="shared" si="1"/>
        <v>stock available in OSP inventory</v>
      </c>
      <c r="D102" s="9" t="s">
        <v>1280</v>
      </c>
      <c r="E102" s="89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52" t="s">
        <v>1284</v>
      </c>
      <c r="B103" s="20" t="s">
        <v>1284</v>
      </c>
      <c r="C103" s="52" t="s">
        <v>1287</v>
      </c>
      <c r="D103" s="9" t="s">
        <v>1288</v>
      </c>
      <c r="E103" s="89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52" t="s">
        <v>1292</v>
      </c>
      <c r="B104" s="20" t="s">
        <v>1292</v>
      </c>
      <c r="C104" s="52" t="s">
        <v>1294</v>
      </c>
      <c r="D104" s="9" t="s">
        <v>1295</v>
      </c>
      <c r="E104" s="89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52" t="s">
        <v>1300</v>
      </c>
      <c r="B105" s="20" t="s">
        <v>1300</v>
      </c>
      <c r="C105" s="52" t="s">
        <v>1302</v>
      </c>
      <c r="D105" s="9" t="s">
        <v>1304</v>
      </c>
      <c r="E105" s="89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52" t="s">
        <v>1312</v>
      </c>
      <c r="B106" s="20" t="s">
        <v>1312</v>
      </c>
      <c r="C106" s="52" t="s">
        <v>1313</v>
      </c>
      <c r="D106" s="9" t="s">
        <v>1314</v>
      </c>
      <c r="E106" s="89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52" t="s">
        <v>1316</v>
      </c>
      <c r="B107" s="20" t="s">
        <v>1316</v>
      </c>
      <c r="C107" s="52" t="s">
        <v>1321</v>
      </c>
      <c r="D107" s="9" t="s">
        <v>1324</v>
      </c>
      <c r="E107" s="89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2" t="s">
        <v>1326</v>
      </c>
      <c r="B108" s="20" t="s">
        <v>1326</v>
      </c>
      <c r="C108" s="52" t="str">
        <f t="shared" ref="C108:C112" si="2">MID(A108,FIND(" ",A108) + 1,FIND(".",A108) - 1 - (FIND(" ",A108)))</f>
        <v>items having fixed order quantity</v>
      </c>
      <c r="D108" s="9" t="s">
        <v>1342</v>
      </c>
      <c r="E108" s="89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83" t="s">
        <v>1344</v>
      </c>
      <c r="B109" s="12" t="s">
        <v>1344</v>
      </c>
      <c r="C109" s="83" t="str">
        <f t="shared" si="2"/>
        <v>inventory creation summary</v>
      </c>
      <c r="D109" s="29" t="s">
        <v>1348</v>
      </c>
      <c r="E109" s="94"/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</row>
    <row r="110" ht="15.75" customHeight="1">
      <c r="A110" s="52" t="s">
        <v>1356</v>
      </c>
      <c r="B110" s="20" t="s">
        <v>1356</v>
      </c>
      <c r="C110" s="52" t="str">
        <f t="shared" si="2"/>
        <v>recently updated inventory records</v>
      </c>
      <c r="D110" s="9" t="s">
        <v>1360</v>
      </c>
      <c r="E110" s="89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2" t="s">
        <v>1362</v>
      </c>
      <c r="B111" s="20" t="s">
        <v>1362</v>
      </c>
      <c r="C111" s="52" t="str">
        <f t="shared" si="2"/>
        <v>all reasons recorded for excess inventory</v>
      </c>
      <c r="D111" s="9" t="s">
        <v>1367</v>
      </c>
      <c r="E111" s="89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2" t="s">
        <v>1372</v>
      </c>
      <c r="B112" s="20" t="s">
        <v>1372</v>
      </c>
      <c r="C112" s="52" t="str">
        <f t="shared" si="2"/>
        <v>all actions taken against excess inventory</v>
      </c>
      <c r="D112" s="9" t="s">
        <v>1374</v>
      </c>
      <c r="E112" s="89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38" t="s">
        <v>1379</v>
      </c>
      <c r="B113" s="10" t="s">
        <v>1380</v>
      </c>
      <c r="C113" s="38" t="s">
        <v>1381</v>
      </c>
      <c r="D113" s="9" t="s">
        <v>1382</v>
      </c>
      <c r="E113" s="38" t="s">
        <v>10</v>
      </c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38" t="s">
        <v>1390</v>
      </c>
      <c r="B114" s="9" t="s">
        <v>1391</v>
      </c>
      <c r="C114" s="9" t="s">
        <v>1393</v>
      </c>
      <c r="D114" s="9" t="s">
        <v>1394</v>
      </c>
      <c r="E114" s="38" t="s">
        <v>10</v>
      </c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38" t="s">
        <v>1399</v>
      </c>
      <c r="B115" s="10" t="s">
        <v>1400</v>
      </c>
      <c r="C115" s="10" t="s">
        <v>1401</v>
      </c>
      <c r="D115" s="9" t="s">
        <v>1402</v>
      </c>
      <c r="E115" s="38" t="s">
        <v>10</v>
      </c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38" t="s">
        <v>1403</v>
      </c>
      <c r="B116" s="10" t="s">
        <v>1404</v>
      </c>
      <c r="C116" s="10" t="s">
        <v>1406</v>
      </c>
      <c r="D116" s="9" t="s">
        <v>1408</v>
      </c>
      <c r="E116" s="38" t="s">
        <v>10</v>
      </c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38" t="s">
        <v>1411</v>
      </c>
      <c r="B117" s="10" t="s">
        <v>1412</v>
      </c>
      <c r="C117" s="38" t="s">
        <v>1413</v>
      </c>
      <c r="D117" s="9" t="s">
        <v>1414</v>
      </c>
      <c r="E117" s="38" t="s">
        <v>10</v>
      </c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38" t="s">
        <v>1415</v>
      </c>
      <c r="B118" s="10" t="s">
        <v>1416</v>
      </c>
      <c r="C118" s="38" t="s">
        <v>1417</v>
      </c>
      <c r="D118" s="9" t="s">
        <v>1418</v>
      </c>
      <c r="E118" s="38" t="s">
        <v>10</v>
      </c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38" t="s">
        <v>1420</v>
      </c>
      <c r="B119" s="10" t="s">
        <v>1422</v>
      </c>
      <c r="C119" s="38" t="s">
        <v>1423</v>
      </c>
      <c r="D119" s="9" t="s">
        <v>1424</v>
      </c>
      <c r="E119" s="38" t="s">
        <v>10</v>
      </c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38" t="s">
        <v>1426</v>
      </c>
      <c r="B120" s="10" t="s">
        <v>1427</v>
      </c>
      <c r="C120" s="38" t="s">
        <v>1428</v>
      </c>
      <c r="D120" s="9" t="s">
        <v>1429</v>
      </c>
      <c r="E120" s="38" t="s">
        <v>10</v>
      </c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38" t="s">
        <v>1430</v>
      </c>
      <c r="B121" s="10" t="s">
        <v>1431</v>
      </c>
      <c r="C121" s="38" t="s">
        <v>1432</v>
      </c>
      <c r="D121" s="9" t="s">
        <v>1433</v>
      </c>
      <c r="E121" s="38" t="s">
        <v>910</v>
      </c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38" t="s">
        <v>1437</v>
      </c>
      <c r="B122" s="10" t="s">
        <v>1438</v>
      </c>
      <c r="C122" s="38" t="s">
        <v>1440</v>
      </c>
      <c r="D122" s="9" t="s">
        <v>1441</v>
      </c>
      <c r="E122" s="38" t="s">
        <v>910</v>
      </c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38" t="s">
        <v>1442</v>
      </c>
      <c r="B123" s="10" t="s">
        <v>1443</v>
      </c>
      <c r="C123" s="38" t="s">
        <v>1444</v>
      </c>
      <c r="D123" s="9" t="s">
        <v>1445</v>
      </c>
      <c r="E123" s="38" t="s">
        <v>910</v>
      </c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38" t="s">
        <v>1447</v>
      </c>
      <c r="B124" s="9" t="s">
        <v>1448</v>
      </c>
      <c r="C124" s="38" t="s">
        <v>1450</v>
      </c>
      <c r="D124" s="9" t="s">
        <v>1453</v>
      </c>
      <c r="E124" s="38" t="s">
        <v>41</v>
      </c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38" t="s">
        <v>1454</v>
      </c>
      <c r="B125" s="10" t="s">
        <v>1455</v>
      </c>
      <c r="C125" s="38" t="s">
        <v>1456</v>
      </c>
      <c r="D125" s="9" t="s">
        <v>1457</v>
      </c>
      <c r="E125" s="38" t="s">
        <v>41</v>
      </c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38" t="s">
        <v>1458</v>
      </c>
      <c r="B126" s="10" t="s">
        <v>1459</v>
      </c>
      <c r="C126" s="38" t="s">
        <v>1461</v>
      </c>
      <c r="D126" s="9" t="s">
        <v>1463</v>
      </c>
      <c r="E126" s="38" t="s">
        <v>41</v>
      </c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38" t="s">
        <v>1466</v>
      </c>
      <c r="B127" s="9" t="s">
        <v>1467</v>
      </c>
      <c r="C127" s="38" t="s">
        <v>1468</v>
      </c>
      <c r="D127" s="9" t="s">
        <v>1469</v>
      </c>
      <c r="E127" s="38" t="s">
        <v>41</v>
      </c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38" t="s">
        <v>1470</v>
      </c>
      <c r="B128" s="9" t="s">
        <v>1471</v>
      </c>
      <c r="C128" s="38" t="s">
        <v>1472</v>
      </c>
      <c r="D128" s="9" t="s">
        <v>1473</v>
      </c>
      <c r="E128" s="38" t="s">
        <v>41</v>
      </c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38" t="s">
        <v>1477</v>
      </c>
      <c r="B129" s="10" t="s">
        <v>1479</v>
      </c>
      <c r="C129" s="38" t="s">
        <v>1480</v>
      </c>
      <c r="D129" s="9" t="s">
        <v>1481</v>
      </c>
      <c r="E129" s="38" t="s">
        <v>41</v>
      </c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38" t="s">
        <v>1482</v>
      </c>
      <c r="B130" s="9" t="s">
        <v>1483</v>
      </c>
      <c r="C130" s="38" t="s">
        <v>1484</v>
      </c>
      <c r="D130" s="9" t="s">
        <v>1485</v>
      </c>
      <c r="E130" s="38" t="s">
        <v>41</v>
      </c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52" t="s">
        <v>1490</v>
      </c>
      <c r="B131" s="20" t="s">
        <v>1491</v>
      </c>
      <c r="C131" s="52" t="s">
        <v>1493</v>
      </c>
      <c r="D131" s="9" t="s">
        <v>1495</v>
      </c>
      <c r="E131" s="52" t="s">
        <v>800</v>
      </c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52" t="s">
        <v>1497</v>
      </c>
      <c r="B132" s="18" t="s">
        <v>1498</v>
      </c>
      <c r="C132" s="52" t="s">
        <v>1499</v>
      </c>
      <c r="D132" s="9" t="s">
        <v>1500</v>
      </c>
      <c r="E132" s="52" t="s">
        <v>800</v>
      </c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52" t="s">
        <v>1505</v>
      </c>
      <c r="B133" s="20" t="s">
        <v>1506</v>
      </c>
      <c r="C133" s="52" t="s">
        <v>1507</v>
      </c>
      <c r="D133" s="9" t="s">
        <v>1508</v>
      </c>
      <c r="E133" s="52" t="s">
        <v>800</v>
      </c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52" t="s">
        <v>1510</v>
      </c>
      <c r="B134" s="20" t="s">
        <v>1511</v>
      </c>
      <c r="C134" s="52" t="s">
        <v>1513</v>
      </c>
      <c r="D134" s="9" t="s">
        <v>1515</v>
      </c>
      <c r="E134" s="52" t="s">
        <v>800</v>
      </c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52" t="s">
        <v>1519</v>
      </c>
      <c r="B135" s="18" t="s">
        <v>1520</v>
      </c>
      <c r="C135" s="52" t="s">
        <v>1522</v>
      </c>
      <c r="D135" s="9" t="s">
        <v>1515</v>
      </c>
      <c r="E135" s="52" t="s">
        <v>800</v>
      </c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38" t="s">
        <v>1523</v>
      </c>
      <c r="B136" s="10" t="s">
        <v>1524</v>
      </c>
      <c r="C136" s="38" t="s">
        <v>1525</v>
      </c>
      <c r="D136" s="9" t="s">
        <v>1529</v>
      </c>
      <c r="E136" s="38" t="s">
        <v>419</v>
      </c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38" t="s">
        <v>1531</v>
      </c>
      <c r="B137" s="10" t="s">
        <v>1532</v>
      </c>
      <c r="C137" s="38" t="s">
        <v>1533</v>
      </c>
      <c r="D137" s="9" t="s">
        <v>1534</v>
      </c>
      <c r="E137" s="38" t="s">
        <v>419</v>
      </c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38" t="s">
        <v>1539</v>
      </c>
      <c r="B138" s="9" t="s">
        <v>1540</v>
      </c>
      <c r="C138" s="38" t="s">
        <v>1541</v>
      </c>
      <c r="D138" s="9" t="s">
        <v>1542</v>
      </c>
      <c r="E138" s="38" t="s">
        <v>419</v>
      </c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38" t="s">
        <v>1544</v>
      </c>
      <c r="B139" s="10" t="s">
        <v>1546</v>
      </c>
      <c r="C139" s="38" t="s">
        <v>1548</v>
      </c>
      <c r="D139" s="9" t="s">
        <v>1550</v>
      </c>
      <c r="E139" s="38" t="s">
        <v>419</v>
      </c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38" t="s">
        <v>1551</v>
      </c>
      <c r="B140" s="10" t="s">
        <v>1552</v>
      </c>
      <c r="C140" s="38" t="s">
        <v>1555</v>
      </c>
      <c r="D140" s="9" t="s">
        <v>1557</v>
      </c>
      <c r="E140" s="38" t="s">
        <v>419</v>
      </c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38" t="s">
        <v>1559</v>
      </c>
      <c r="B141" s="10" t="s">
        <v>1560</v>
      </c>
      <c r="C141" s="38" t="s">
        <v>1561</v>
      </c>
      <c r="D141" s="9" t="s">
        <v>1562</v>
      </c>
      <c r="E141" s="38" t="s">
        <v>1563</v>
      </c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16" t="s">
        <v>1568</v>
      </c>
      <c r="B142" s="73" t="s">
        <v>1569</v>
      </c>
      <c r="C142" s="16" t="s">
        <v>1570</v>
      </c>
      <c r="D142" s="29" t="s">
        <v>1571</v>
      </c>
      <c r="E142" s="16" t="s">
        <v>1563</v>
      </c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</row>
    <row r="143" ht="15.75" customHeight="1">
      <c r="A143" s="38" t="s">
        <v>1577</v>
      </c>
      <c r="B143" s="10" t="s">
        <v>1578</v>
      </c>
      <c r="C143" s="38" t="s">
        <v>1579</v>
      </c>
      <c r="D143" s="9" t="s">
        <v>1580</v>
      </c>
      <c r="E143" s="38" t="s">
        <v>1563</v>
      </c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52" t="s">
        <v>1585</v>
      </c>
      <c r="B144" s="18" t="s">
        <v>1586</v>
      </c>
      <c r="C144" s="52" t="s">
        <v>1587</v>
      </c>
      <c r="D144" s="9" t="s">
        <v>1588</v>
      </c>
      <c r="E144" s="52" t="s">
        <v>696</v>
      </c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52" t="s">
        <v>1593</v>
      </c>
      <c r="B145" s="20" t="s">
        <v>1594</v>
      </c>
      <c r="C145" s="52" t="s">
        <v>1595</v>
      </c>
      <c r="D145" s="9" t="s">
        <v>1596</v>
      </c>
      <c r="E145" s="52" t="s">
        <v>696</v>
      </c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52" t="s">
        <v>1598</v>
      </c>
      <c r="B146" s="18" t="s">
        <v>1600</v>
      </c>
      <c r="C146" s="52" t="s">
        <v>1601</v>
      </c>
      <c r="D146" s="9" t="s">
        <v>1603</v>
      </c>
      <c r="E146" s="52" t="s">
        <v>696</v>
      </c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83" t="s">
        <v>1605</v>
      </c>
      <c r="B147" s="57" t="s">
        <v>1606</v>
      </c>
      <c r="C147" s="83" t="s">
        <v>1607</v>
      </c>
      <c r="D147" s="29" t="s">
        <v>1608</v>
      </c>
      <c r="E147" s="83" t="s">
        <v>554</v>
      </c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</row>
    <row r="148" ht="15.75" customHeight="1">
      <c r="A148" s="83" t="s">
        <v>1613</v>
      </c>
      <c r="B148" s="57" t="s">
        <v>1614</v>
      </c>
      <c r="C148" s="83" t="s">
        <v>1615</v>
      </c>
      <c r="D148" s="29" t="s">
        <v>1616</v>
      </c>
      <c r="E148" s="83" t="s">
        <v>554</v>
      </c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</row>
    <row r="149" ht="15.75" customHeight="1">
      <c r="A149" s="83" t="s">
        <v>1621</v>
      </c>
      <c r="B149" s="57" t="s">
        <v>1622</v>
      </c>
      <c r="C149" s="83" t="s">
        <v>1623</v>
      </c>
      <c r="D149" s="29" t="s">
        <v>1624</v>
      </c>
      <c r="E149" s="83" t="s">
        <v>554</v>
      </c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</row>
    <row r="150" ht="15.75" customHeight="1">
      <c r="A150" s="83" t="s">
        <v>1628</v>
      </c>
      <c r="B150" s="57" t="s">
        <v>1629</v>
      </c>
      <c r="C150" s="83" t="s">
        <v>1631</v>
      </c>
      <c r="D150" s="29" t="s">
        <v>1632</v>
      </c>
      <c r="E150" s="83" t="s">
        <v>554</v>
      </c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ht="15.75" customHeight="1">
      <c r="A151" s="83" t="s">
        <v>1633</v>
      </c>
      <c r="B151" s="57" t="s">
        <v>1634</v>
      </c>
      <c r="C151" s="83" t="s">
        <v>1635</v>
      </c>
      <c r="D151" s="29" t="s">
        <v>1636</v>
      </c>
      <c r="E151" s="83" t="s">
        <v>554</v>
      </c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ht="15.75" customHeight="1">
      <c r="A152" s="83" t="s">
        <v>1641</v>
      </c>
      <c r="B152" s="57" t="s">
        <v>1642</v>
      </c>
      <c r="C152" s="83" t="s">
        <v>1643</v>
      </c>
      <c r="D152" s="29" t="s">
        <v>1644</v>
      </c>
      <c r="E152" s="83" t="s">
        <v>554</v>
      </c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ht="15.75" customHeight="1">
      <c r="A153" s="83" t="s">
        <v>1645</v>
      </c>
      <c r="B153" s="57" t="s">
        <v>1647</v>
      </c>
      <c r="C153" s="83" t="s">
        <v>1649</v>
      </c>
      <c r="D153" s="29" t="s">
        <v>1651</v>
      </c>
      <c r="E153" s="83" t="s">
        <v>554</v>
      </c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ht="15.75" customHeight="1">
      <c r="A154" s="83" t="s">
        <v>1654</v>
      </c>
      <c r="B154" s="57" t="s">
        <v>1655</v>
      </c>
      <c r="C154" s="83" t="s">
        <v>1656</v>
      </c>
      <c r="D154" s="29" t="s">
        <v>1657</v>
      </c>
      <c r="E154" s="83" t="s">
        <v>554</v>
      </c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ht="15.75" customHeight="1">
      <c r="A155" s="83" t="s">
        <v>1662</v>
      </c>
      <c r="B155" s="57" t="s">
        <v>1663</v>
      </c>
      <c r="C155" s="83" t="s">
        <v>1664</v>
      </c>
      <c r="D155" s="29" t="s">
        <v>1665</v>
      </c>
      <c r="E155" s="83" t="s">
        <v>1061</v>
      </c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ht="15.75" customHeight="1">
      <c r="A156" s="83" t="s">
        <v>1666</v>
      </c>
      <c r="B156" s="57" t="s">
        <v>1667</v>
      </c>
      <c r="C156" s="83" t="s">
        <v>1668</v>
      </c>
      <c r="D156" s="29" t="s">
        <v>1672</v>
      </c>
      <c r="E156" s="83" t="s">
        <v>1061</v>
      </c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ht="15.75" customHeight="1">
      <c r="A157" s="83" t="s">
        <v>1674</v>
      </c>
      <c r="B157" s="57" t="s">
        <v>1679</v>
      </c>
      <c r="C157" s="83" t="s">
        <v>1680</v>
      </c>
      <c r="D157" s="29" t="s">
        <v>1681</v>
      </c>
      <c r="E157" s="83" t="s">
        <v>1061</v>
      </c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ht="15.75" customHeight="1">
      <c r="A158" s="83" t="s">
        <v>1682</v>
      </c>
      <c r="B158" s="12" t="s">
        <v>1682</v>
      </c>
      <c r="C158" s="83" t="s">
        <v>1683</v>
      </c>
      <c r="D158" s="29" t="s">
        <v>1687</v>
      </c>
      <c r="E158" s="94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ht="15.75" customHeight="1">
      <c r="A159" s="83" t="s">
        <v>1689</v>
      </c>
      <c r="B159" s="57" t="s">
        <v>1690</v>
      </c>
      <c r="C159" s="83" t="s">
        <v>1691</v>
      </c>
      <c r="D159" s="29" t="s">
        <v>1692</v>
      </c>
      <c r="E159" s="83" t="s">
        <v>554</v>
      </c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ht="15.75" customHeight="1">
      <c r="A160" s="83" t="s">
        <v>1697</v>
      </c>
      <c r="B160" s="57" t="s">
        <v>1698</v>
      </c>
      <c r="C160" s="83" t="s">
        <v>1699</v>
      </c>
      <c r="D160" s="29" t="s">
        <v>1700</v>
      </c>
      <c r="E160" s="83" t="s">
        <v>554</v>
      </c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ht="15.75" customHeight="1">
      <c r="A161" s="83" t="s">
        <v>1701</v>
      </c>
      <c r="B161" s="12" t="s">
        <v>1701</v>
      </c>
      <c r="C161" s="83" t="s">
        <v>1702</v>
      </c>
      <c r="D161" s="29" t="s">
        <v>1706</v>
      </c>
      <c r="E161" s="94"/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ht="15.75" customHeight="1">
      <c r="A162" s="83" t="s">
        <v>1708</v>
      </c>
      <c r="B162" s="57" t="s">
        <v>1709</v>
      </c>
      <c r="C162" s="83" t="s">
        <v>1710</v>
      </c>
      <c r="D162" s="29" t="s">
        <v>1711</v>
      </c>
      <c r="E162" s="83" t="s">
        <v>554</v>
      </c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ht="15.75" customHeight="1">
      <c r="A163" s="83" t="s">
        <v>1490</v>
      </c>
      <c r="B163" s="57" t="s">
        <v>1491</v>
      </c>
      <c r="C163" s="83" t="s">
        <v>1716</v>
      </c>
      <c r="D163" s="29" t="s">
        <v>1717</v>
      </c>
      <c r="E163" s="83" t="s">
        <v>800</v>
      </c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ht="15.75" customHeight="1">
      <c r="A164" s="16" t="s">
        <v>1718</v>
      </c>
      <c r="B164" s="73" t="s">
        <v>1719</v>
      </c>
      <c r="C164" s="16" t="s">
        <v>1721</v>
      </c>
      <c r="D164" s="29" t="s">
        <v>1724</v>
      </c>
      <c r="E164" s="16" t="s">
        <v>419</v>
      </c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ht="15.75" customHeight="1">
      <c r="A165" s="16" t="s">
        <v>1726</v>
      </c>
      <c r="B165" s="73" t="s">
        <v>1727</v>
      </c>
      <c r="C165" s="16" t="s">
        <v>1728</v>
      </c>
      <c r="D165" s="29" t="s">
        <v>1729</v>
      </c>
      <c r="E165" s="16" t="s">
        <v>1730</v>
      </c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ht="15.75" customHeight="1">
      <c r="A166" s="16" t="s">
        <v>1735</v>
      </c>
      <c r="B166" s="73" t="s">
        <v>1736</v>
      </c>
      <c r="C166" s="16" t="s">
        <v>1737</v>
      </c>
      <c r="D166" s="29" t="s">
        <v>1738</v>
      </c>
      <c r="E166" s="16" t="s">
        <v>1172</v>
      </c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ht="15.75" customHeight="1">
      <c r="A167" s="83" t="s">
        <v>1741</v>
      </c>
      <c r="B167" s="57" t="s">
        <v>1742</v>
      </c>
      <c r="C167" s="83" t="s">
        <v>1744</v>
      </c>
      <c r="D167" s="29" t="s">
        <v>1745</v>
      </c>
      <c r="E167" s="83" t="s">
        <v>800</v>
      </c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ht="15.75" customHeight="1">
      <c r="A168" s="16" t="s">
        <v>1746</v>
      </c>
      <c r="B168" s="73" t="s">
        <v>1747</v>
      </c>
      <c r="C168" s="16" t="s">
        <v>1748</v>
      </c>
      <c r="D168" s="29" t="s">
        <v>1749</v>
      </c>
      <c r="E168" s="16" t="s">
        <v>419</v>
      </c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</row>
    <row r="169" ht="15.75" customHeight="1">
      <c r="A169" s="83" t="s">
        <v>1754</v>
      </c>
      <c r="B169" s="57" t="s">
        <v>1755</v>
      </c>
      <c r="C169" s="83" t="s">
        <v>1756</v>
      </c>
      <c r="D169" s="29" t="s">
        <v>1757</v>
      </c>
      <c r="E169" s="83" t="s">
        <v>800</v>
      </c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</row>
    <row r="170" ht="15.75" customHeight="1">
      <c r="A170" s="16" t="s">
        <v>1758</v>
      </c>
      <c r="B170" s="73" t="s">
        <v>1760</v>
      </c>
      <c r="C170" s="16" t="s">
        <v>1761</v>
      </c>
      <c r="D170" s="29" t="s">
        <v>1763</v>
      </c>
      <c r="E170" s="16" t="s">
        <v>1172</v>
      </c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</row>
    <row r="171" ht="15.75" customHeight="1">
      <c r="A171" s="83" t="s">
        <v>1765</v>
      </c>
      <c r="B171" s="57" t="s">
        <v>1766</v>
      </c>
      <c r="C171" s="83" t="s">
        <v>1767</v>
      </c>
      <c r="D171" s="29" t="s">
        <v>1768</v>
      </c>
      <c r="E171" s="83" t="s">
        <v>800</v>
      </c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</row>
    <row r="172" ht="15.75" customHeight="1">
      <c r="A172" s="16" t="s">
        <v>1772</v>
      </c>
      <c r="B172" s="29" t="s">
        <v>1774</v>
      </c>
      <c r="C172" s="16" t="s">
        <v>1775</v>
      </c>
      <c r="D172" s="29" t="s">
        <v>1776</v>
      </c>
      <c r="E172" s="16" t="s">
        <v>419</v>
      </c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</row>
    <row r="173" ht="15.75" customHeight="1">
      <c r="A173" s="16" t="s">
        <v>1777</v>
      </c>
      <c r="B173" s="73" t="s">
        <v>1778</v>
      </c>
      <c r="C173" s="16" t="s">
        <v>1779</v>
      </c>
      <c r="D173" s="29" t="s">
        <v>1781</v>
      </c>
      <c r="E173" s="16" t="s">
        <v>1783</v>
      </c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</row>
    <row r="174" ht="15.75" customHeight="1">
      <c r="A174" s="16" t="s">
        <v>1786</v>
      </c>
      <c r="B174" s="29" t="s">
        <v>1787</v>
      </c>
      <c r="C174" s="16" t="s">
        <v>1788</v>
      </c>
      <c r="D174" s="29" t="s">
        <v>1789</v>
      </c>
      <c r="E174" s="16" t="s">
        <v>1783</v>
      </c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 ht="15.75" customHeight="1">
      <c r="A175" s="16" t="s">
        <v>1794</v>
      </c>
      <c r="B175" s="73" t="s">
        <v>1795</v>
      </c>
      <c r="C175" s="16" t="s">
        <v>1796</v>
      </c>
      <c r="D175" s="29" t="s">
        <v>1797</v>
      </c>
      <c r="E175" s="16" t="s">
        <v>1798</v>
      </c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 ht="15.75" customHeight="1">
      <c r="A176" s="16" t="s">
        <v>1799</v>
      </c>
      <c r="B176" s="73" t="s">
        <v>1801</v>
      </c>
      <c r="C176" s="16" t="s">
        <v>1804</v>
      </c>
      <c r="D176" s="29" t="s">
        <v>1806</v>
      </c>
      <c r="E176" s="16" t="s">
        <v>1807</v>
      </c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 ht="15.75" customHeight="1">
      <c r="A177" s="16" t="s">
        <v>1808</v>
      </c>
      <c r="B177" s="73" t="s">
        <v>1809</v>
      </c>
      <c r="C177" s="16" t="s">
        <v>1810</v>
      </c>
      <c r="D177" s="29" t="s">
        <v>1813</v>
      </c>
      <c r="E177" s="16" t="s">
        <v>1807</v>
      </c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 ht="15.75" customHeight="1">
      <c r="A178" s="16" t="s">
        <v>1816</v>
      </c>
      <c r="B178" s="73" t="s">
        <v>1817</v>
      </c>
      <c r="C178" s="16" t="s">
        <v>1818</v>
      </c>
      <c r="D178" s="29" t="s">
        <v>1819</v>
      </c>
      <c r="E178" s="16" t="s">
        <v>1783</v>
      </c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 ht="15.75" customHeight="1">
      <c r="A179" s="16" t="s">
        <v>1824</v>
      </c>
      <c r="B179" s="73" t="s">
        <v>1825</v>
      </c>
      <c r="C179" s="16" t="s">
        <v>1826</v>
      </c>
      <c r="D179" s="29" t="s">
        <v>1827</v>
      </c>
      <c r="E179" s="16" t="s">
        <v>1783</v>
      </c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 ht="15.75" customHeight="1">
      <c r="A180" s="16" t="s">
        <v>1831</v>
      </c>
      <c r="B180" s="73" t="s">
        <v>1832</v>
      </c>
      <c r="C180" s="16" t="s">
        <v>1833</v>
      </c>
      <c r="D180" s="29" t="s">
        <v>1834</v>
      </c>
      <c r="E180" s="16" t="s">
        <v>1807</v>
      </c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 ht="15.75" customHeight="1">
      <c r="A181" s="16" t="s">
        <v>1839</v>
      </c>
      <c r="B181" s="73" t="s">
        <v>1840</v>
      </c>
      <c r="C181" s="16" t="s">
        <v>1841</v>
      </c>
      <c r="D181" s="29" t="s">
        <v>1842</v>
      </c>
      <c r="E181" s="16" t="s">
        <v>1843</v>
      </c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 ht="15.75" customHeight="1">
      <c r="A182" s="16" t="s">
        <v>1845</v>
      </c>
      <c r="B182" s="73" t="s">
        <v>1847</v>
      </c>
      <c r="C182" s="16" t="s">
        <v>1848</v>
      </c>
      <c r="D182" s="29" t="s">
        <v>1850</v>
      </c>
      <c r="E182" s="16" t="s">
        <v>1851</v>
      </c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 ht="15.75" customHeight="1">
      <c r="A183" s="16" t="s">
        <v>1852</v>
      </c>
      <c r="B183" s="73" t="s">
        <v>1853</v>
      </c>
      <c r="C183" s="16" t="s">
        <v>1854</v>
      </c>
      <c r="D183" s="29" t="s">
        <v>1855</v>
      </c>
      <c r="E183" s="16" t="s">
        <v>1856</v>
      </c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 ht="15.75" customHeight="1">
      <c r="A184" s="16" t="s">
        <v>1861</v>
      </c>
      <c r="B184" s="73" t="s">
        <v>1862</v>
      </c>
      <c r="C184" s="16" t="s">
        <v>1863</v>
      </c>
      <c r="D184" s="29" t="s">
        <v>1864</v>
      </c>
      <c r="E184" s="16" t="s">
        <v>1865</v>
      </c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 ht="15.75" customHeight="1">
      <c r="A185" s="16" t="s">
        <v>1866</v>
      </c>
      <c r="B185" s="73" t="s">
        <v>1867</v>
      </c>
      <c r="C185" s="16" t="s">
        <v>1869</v>
      </c>
      <c r="D185" s="29" t="s">
        <v>1871</v>
      </c>
      <c r="E185" s="16" t="s">
        <v>1873</v>
      </c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 ht="15.75" customHeight="1">
      <c r="A186" s="16" t="s">
        <v>1875</v>
      </c>
      <c r="B186" s="73" t="s">
        <v>1876</v>
      </c>
      <c r="C186" s="16" t="s">
        <v>1877</v>
      </c>
      <c r="D186" s="29" t="s">
        <v>1878</v>
      </c>
      <c r="E186" s="16" t="s">
        <v>1879</v>
      </c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 ht="15.75" customHeight="1">
      <c r="A187" s="58"/>
      <c r="B187" s="86"/>
      <c r="C187" s="94"/>
      <c r="D187" s="86"/>
      <c r="E187" s="94"/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</row>
    <row r="188" ht="15.75" customHeight="1">
      <c r="A188" s="58"/>
      <c r="B188" s="86"/>
      <c r="C188" s="94"/>
      <c r="D188" s="86"/>
      <c r="E188" s="94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</row>
    <row r="189" ht="15.75" customHeight="1">
      <c r="A189" s="58"/>
      <c r="B189" s="86"/>
      <c r="C189" s="94"/>
      <c r="D189" s="86"/>
      <c r="E189" s="94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</row>
    <row r="190" ht="15.75" customHeight="1">
      <c r="A190" s="5"/>
      <c r="B190" s="30"/>
      <c r="C190" s="89"/>
      <c r="D190" s="30"/>
      <c r="E190" s="89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5"/>
      <c r="B191" s="30"/>
      <c r="C191" s="89"/>
      <c r="D191" s="30"/>
      <c r="E191" s="89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5"/>
      <c r="B192" s="30"/>
      <c r="C192" s="89"/>
      <c r="D192" s="30"/>
      <c r="E192" s="89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5"/>
      <c r="B193" s="30"/>
      <c r="C193" s="89"/>
      <c r="D193" s="30"/>
      <c r="E193" s="89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5"/>
      <c r="B194" s="30"/>
      <c r="C194" s="89"/>
      <c r="D194" s="30"/>
      <c r="E194" s="89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5"/>
      <c r="B195" s="30"/>
      <c r="C195" s="89"/>
      <c r="D195" s="30"/>
      <c r="E195" s="89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5"/>
      <c r="B196" s="30"/>
      <c r="C196" s="89"/>
      <c r="D196" s="30"/>
      <c r="E196" s="89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5"/>
      <c r="B197" s="30"/>
      <c r="C197" s="89"/>
      <c r="D197" s="30"/>
      <c r="E197" s="89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5"/>
      <c r="B198" s="30"/>
      <c r="C198" s="89"/>
      <c r="D198" s="30"/>
      <c r="E198" s="89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5"/>
      <c r="B199" s="30"/>
      <c r="C199" s="89"/>
      <c r="D199" s="30"/>
      <c r="E199" s="89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5"/>
      <c r="B200" s="30"/>
      <c r="C200" s="89"/>
      <c r="D200" s="30"/>
      <c r="E200" s="89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5"/>
      <c r="B201" s="30"/>
      <c r="C201" s="89"/>
      <c r="D201" s="30"/>
      <c r="E201" s="89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5"/>
      <c r="B202" s="30"/>
      <c r="C202" s="89"/>
      <c r="D202" s="30"/>
      <c r="E202" s="89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5"/>
      <c r="B203" s="30"/>
      <c r="C203" s="89"/>
      <c r="D203" s="30"/>
      <c r="E203" s="89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5"/>
      <c r="B204" s="30"/>
      <c r="C204" s="89"/>
      <c r="D204" s="30"/>
      <c r="E204" s="89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5"/>
      <c r="B205" s="30"/>
      <c r="C205" s="89"/>
      <c r="D205" s="30"/>
      <c r="E205" s="89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5"/>
      <c r="B206" s="30"/>
      <c r="C206" s="89"/>
      <c r="D206" s="30"/>
      <c r="E206" s="89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5"/>
      <c r="B207" s="30"/>
      <c r="C207" s="89"/>
      <c r="D207" s="30"/>
      <c r="E207" s="89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5"/>
      <c r="B208" s="30"/>
      <c r="C208" s="89"/>
      <c r="D208" s="30"/>
      <c r="E208" s="89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5"/>
      <c r="B209" s="30"/>
      <c r="C209" s="89"/>
      <c r="D209" s="30"/>
      <c r="E209" s="89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5"/>
      <c r="B210" s="30"/>
      <c r="C210" s="89"/>
      <c r="D210" s="30"/>
      <c r="E210" s="89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5"/>
      <c r="B211" s="30"/>
      <c r="C211" s="89"/>
      <c r="D211" s="30"/>
      <c r="E211" s="89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5"/>
      <c r="B212" s="30"/>
      <c r="C212" s="89"/>
      <c r="D212" s="30"/>
      <c r="E212" s="89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5"/>
      <c r="B213" s="30"/>
      <c r="C213" s="89"/>
      <c r="D213" s="30"/>
      <c r="E213" s="89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5"/>
      <c r="B214" s="30"/>
      <c r="C214" s="89"/>
      <c r="D214" s="30"/>
      <c r="E214" s="89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5"/>
      <c r="B215" s="30"/>
      <c r="C215" s="89"/>
      <c r="D215" s="30"/>
      <c r="E215" s="89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5"/>
      <c r="B216" s="30"/>
      <c r="C216" s="89"/>
      <c r="D216" s="30"/>
      <c r="E216" s="89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5"/>
      <c r="B217" s="30"/>
      <c r="C217" s="89"/>
      <c r="D217" s="30"/>
      <c r="E217" s="89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5"/>
      <c r="B218" s="30"/>
      <c r="C218" s="89"/>
      <c r="D218" s="30"/>
      <c r="E218" s="89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5"/>
      <c r="B219" s="30"/>
      <c r="C219" s="89"/>
      <c r="D219" s="30"/>
      <c r="E219" s="89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5"/>
      <c r="B220" s="30"/>
      <c r="C220" s="89"/>
      <c r="D220" s="30"/>
      <c r="E220" s="89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5"/>
      <c r="B221" s="30"/>
      <c r="C221" s="89"/>
      <c r="D221" s="30"/>
      <c r="E221" s="89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5"/>
      <c r="B222" s="30"/>
      <c r="C222" s="89"/>
      <c r="D222" s="30"/>
      <c r="E222" s="89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5"/>
      <c r="B223" s="30"/>
      <c r="C223" s="89"/>
      <c r="D223" s="30"/>
      <c r="E223" s="89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5"/>
      <c r="B224" s="30"/>
      <c r="C224" s="89"/>
      <c r="D224" s="30"/>
      <c r="E224" s="89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5"/>
      <c r="B225" s="30"/>
      <c r="C225" s="89"/>
      <c r="D225" s="30"/>
      <c r="E225" s="89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5"/>
      <c r="B226" s="30"/>
      <c r="C226" s="89"/>
      <c r="D226" s="30"/>
      <c r="E226" s="89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5"/>
      <c r="B227" s="30"/>
      <c r="C227" s="89"/>
      <c r="D227" s="30"/>
      <c r="E227" s="89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5"/>
      <c r="B228" s="30"/>
      <c r="C228" s="89"/>
      <c r="D228" s="30"/>
      <c r="E228" s="89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5"/>
      <c r="B229" s="30"/>
      <c r="C229" s="89"/>
      <c r="D229" s="30"/>
      <c r="E229" s="89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5"/>
      <c r="B230" s="30"/>
      <c r="C230" s="89"/>
      <c r="D230" s="30"/>
      <c r="E230" s="89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5"/>
      <c r="B231" s="30"/>
      <c r="C231" s="89"/>
      <c r="D231" s="30"/>
      <c r="E231" s="89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5"/>
      <c r="B232" s="30"/>
      <c r="C232" s="89"/>
      <c r="D232" s="30"/>
      <c r="E232" s="89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5"/>
      <c r="B233" s="30"/>
      <c r="C233" s="89"/>
      <c r="D233" s="30"/>
      <c r="E233" s="89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5"/>
      <c r="B234" s="30"/>
      <c r="C234" s="89"/>
      <c r="D234" s="30"/>
      <c r="E234" s="89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5"/>
      <c r="B235" s="30"/>
      <c r="C235" s="89"/>
      <c r="D235" s="30"/>
      <c r="E235" s="89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5"/>
      <c r="B236" s="30"/>
      <c r="C236" s="89"/>
      <c r="D236" s="30"/>
      <c r="E236" s="89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5"/>
      <c r="B237" s="30"/>
      <c r="C237" s="89"/>
      <c r="D237" s="30"/>
      <c r="E237" s="89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5"/>
      <c r="B238" s="30"/>
      <c r="C238" s="89"/>
      <c r="D238" s="30"/>
      <c r="E238" s="89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5"/>
      <c r="B239" s="30"/>
      <c r="C239" s="89"/>
      <c r="D239" s="30"/>
      <c r="E239" s="89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5"/>
      <c r="B240" s="30"/>
      <c r="C240" s="89"/>
      <c r="D240" s="30"/>
      <c r="E240" s="89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5"/>
      <c r="B241" s="30"/>
      <c r="C241" s="89"/>
      <c r="D241" s="30"/>
      <c r="E241" s="89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5"/>
      <c r="B242" s="30"/>
      <c r="C242" s="89"/>
      <c r="D242" s="30"/>
      <c r="E242" s="89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5"/>
      <c r="B243" s="30"/>
      <c r="C243" s="89"/>
      <c r="D243" s="30"/>
      <c r="E243" s="89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5"/>
      <c r="B244" s="30"/>
      <c r="C244" s="89"/>
      <c r="D244" s="30"/>
      <c r="E244" s="89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5"/>
      <c r="B245" s="30"/>
      <c r="C245" s="89"/>
      <c r="D245" s="30"/>
      <c r="E245" s="89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5"/>
      <c r="B246" s="30"/>
      <c r="C246" s="89"/>
      <c r="D246" s="30"/>
      <c r="E246" s="89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5"/>
      <c r="B247" s="30"/>
      <c r="C247" s="89"/>
      <c r="D247" s="30"/>
      <c r="E247" s="89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5"/>
      <c r="B248" s="30"/>
      <c r="C248" s="89"/>
      <c r="D248" s="30"/>
      <c r="E248" s="89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5"/>
      <c r="B249" s="30"/>
      <c r="C249" s="89"/>
      <c r="D249" s="30"/>
      <c r="E249" s="89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5"/>
      <c r="B250" s="30"/>
      <c r="C250" s="89"/>
      <c r="D250" s="30"/>
      <c r="E250" s="89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5"/>
      <c r="B251" s="30"/>
      <c r="C251" s="89"/>
      <c r="D251" s="30"/>
      <c r="E251" s="89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5"/>
      <c r="B252" s="30"/>
      <c r="C252" s="89"/>
      <c r="D252" s="30"/>
      <c r="E252" s="89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5"/>
      <c r="B253" s="30"/>
      <c r="C253" s="89"/>
      <c r="D253" s="30"/>
      <c r="E253" s="89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5"/>
      <c r="B254" s="30"/>
      <c r="C254" s="89"/>
      <c r="D254" s="30"/>
      <c r="E254" s="89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5"/>
      <c r="B255" s="30"/>
      <c r="C255" s="89"/>
      <c r="D255" s="30"/>
      <c r="E255" s="89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5"/>
      <c r="B256" s="30"/>
      <c r="C256" s="89"/>
      <c r="D256" s="30"/>
      <c r="E256" s="89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5"/>
      <c r="B257" s="30"/>
      <c r="C257" s="89"/>
      <c r="D257" s="30"/>
      <c r="E257" s="89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5"/>
      <c r="B258" s="30"/>
      <c r="C258" s="89"/>
      <c r="D258" s="30"/>
      <c r="E258" s="89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5"/>
      <c r="B259" s="30"/>
      <c r="C259" s="89"/>
      <c r="D259" s="30"/>
      <c r="E259" s="89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5"/>
      <c r="B260" s="30"/>
      <c r="C260" s="89"/>
      <c r="D260" s="30"/>
      <c r="E260" s="89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5"/>
      <c r="B261" s="30"/>
      <c r="C261" s="89"/>
      <c r="D261" s="30"/>
      <c r="E261" s="89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5"/>
      <c r="B262" s="30"/>
      <c r="C262" s="89"/>
      <c r="D262" s="30"/>
      <c r="E262" s="89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5"/>
      <c r="B263" s="30"/>
      <c r="C263" s="89"/>
      <c r="D263" s="30"/>
      <c r="E263" s="89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5"/>
      <c r="B264" s="30"/>
      <c r="C264" s="89"/>
      <c r="D264" s="30"/>
      <c r="E264" s="89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5"/>
      <c r="B265" s="30"/>
      <c r="C265" s="89"/>
      <c r="D265" s="30"/>
      <c r="E265" s="89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5"/>
      <c r="B266" s="30"/>
      <c r="C266" s="89"/>
      <c r="D266" s="30"/>
      <c r="E266" s="89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5"/>
      <c r="B267" s="30"/>
      <c r="C267" s="89"/>
      <c r="D267" s="30"/>
      <c r="E267" s="89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5"/>
      <c r="B268" s="30"/>
      <c r="C268" s="89"/>
      <c r="D268" s="30"/>
      <c r="E268" s="89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5"/>
      <c r="B269" s="30"/>
      <c r="C269" s="89"/>
      <c r="D269" s="30"/>
      <c r="E269" s="89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5"/>
      <c r="B270" s="30"/>
      <c r="C270" s="89"/>
      <c r="D270" s="30"/>
      <c r="E270" s="89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5"/>
      <c r="B271" s="30"/>
      <c r="C271" s="89"/>
      <c r="D271" s="30"/>
      <c r="E271" s="89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5"/>
      <c r="B272" s="30"/>
      <c r="C272" s="89"/>
      <c r="D272" s="30"/>
      <c r="E272" s="89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5"/>
      <c r="B273" s="30"/>
      <c r="C273" s="89"/>
      <c r="D273" s="30"/>
      <c r="E273" s="89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5"/>
      <c r="B274" s="30"/>
      <c r="C274" s="89"/>
      <c r="D274" s="30"/>
      <c r="E274" s="89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5"/>
      <c r="B275" s="30"/>
      <c r="C275" s="89"/>
      <c r="D275" s="30"/>
      <c r="E275" s="89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5"/>
      <c r="B276" s="30"/>
      <c r="C276" s="89"/>
      <c r="D276" s="30"/>
      <c r="E276" s="89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5"/>
      <c r="B277" s="30"/>
      <c r="C277" s="89"/>
      <c r="D277" s="30"/>
      <c r="E277" s="89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5"/>
      <c r="B278" s="30"/>
      <c r="C278" s="89"/>
      <c r="D278" s="30"/>
      <c r="E278" s="89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5"/>
      <c r="B279" s="30"/>
      <c r="C279" s="89"/>
      <c r="D279" s="30"/>
      <c r="E279" s="89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5"/>
      <c r="B280" s="30"/>
      <c r="C280" s="89"/>
      <c r="D280" s="30"/>
      <c r="E280" s="89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5"/>
      <c r="B281" s="30"/>
      <c r="C281" s="89"/>
      <c r="D281" s="30"/>
      <c r="E281" s="89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5"/>
      <c r="B282" s="30"/>
      <c r="C282" s="89"/>
      <c r="D282" s="30"/>
      <c r="E282" s="89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5"/>
      <c r="B283" s="30"/>
      <c r="C283" s="89"/>
      <c r="D283" s="30"/>
      <c r="E283" s="89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5"/>
      <c r="B284" s="30"/>
      <c r="C284" s="89"/>
      <c r="D284" s="30"/>
      <c r="E284" s="89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5"/>
      <c r="B285" s="30"/>
      <c r="C285" s="89"/>
      <c r="D285" s="30"/>
      <c r="E285" s="89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5"/>
      <c r="B286" s="30"/>
      <c r="C286" s="89"/>
      <c r="D286" s="30"/>
      <c r="E286" s="89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5"/>
      <c r="B287" s="30"/>
      <c r="C287" s="89"/>
      <c r="D287" s="30"/>
      <c r="E287" s="89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5"/>
      <c r="B288" s="30"/>
      <c r="C288" s="89"/>
      <c r="D288" s="30"/>
      <c r="E288" s="89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5"/>
      <c r="B289" s="30"/>
      <c r="C289" s="89"/>
      <c r="D289" s="30"/>
      <c r="E289" s="89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5"/>
      <c r="B290" s="30"/>
      <c r="C290" s="89"/>
      <c r="D290" s="30"/>
      <c r="E290" s="89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5"/>
      <c r="B291" s="30"/>
      <c r="C291" s="89"/>
      <c r="D291" s="30"/>
      <c r="E291" s="89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5"/>
      <c r="B292" s="30"/>
      <c r="C292" s="89"/>
      <c r="D292" s="30"/>
      <c r="E292" s="89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5"/>
      <c r="B293" s="30"/>
      <c r="C293" s="89"/>
      <c r="D293" s="30"/>
      <c r="E293" s="89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5"/>
      <c r="B294" s="30"/>
      <c r="C294" s="89"/>
      <c r="D294" s="30"/>
      <c r="E294" s="89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5"/>
      <c r="B295" s="30"/>
      <c r="C295" s="89"/>
      <c r="D295" s="30"/>
      <c r="E295" s="89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5"/>
      <c r="B296" s="30"/>
      <c r="C296" s="89"/>
      <c r="D296" s="30"/>
      <c r="E296" s="89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5"/>
      <c r="B297" s="30"/>
      <c r="C297" s="89"/>
      <c r="D297" s="30"/>
      <c r="E297" s="89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5"/>
      <c r="B298" s="30"/>
      <c r="C298" s="89"/>
      <c r="D298" s="30"/>
      <c r="E298" s="89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5"/>
      <c r="B299" s="30"/>
      <c r="C299" s="89"/>
      <c r="D299" s="30"/>
      <c r="E299" s="89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5"/>
      <c r="B300" s="30"/>
      <c r="C300" s="89"/>
      <c r="D300" s="30"/>
      <c r="E300" s="89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5"/>
      <c r="B301" s="30"/>
      <c r="C301" s="89"/>
      <c r="D301" s="30"/>
      <c r="E301" s="89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5"/>
      <c r="B302" s="30"/>
      <c r="C302" s="89"/>
      <c r="D302" s="30"/>
      <c r="E302" s="89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5"/>
      <c r="B303" s="30"/>
      <c r="C303" s="89"/>
      <c r="D303" s="30"/>
      <c r="E303" s="89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5"/>
      <c r="B304" s="30"/>
      <c r="C304" s="89"/>
      <c r="D304" s="30"/>
      <c r="E304" s="89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5"/>
      <c r="B305" s="30"/>
      <c r="C305" s="89"/>
      <c r="D305" s="30"/>
      <c r="E305" s="89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5"/>
      <c r="B306" s="30"/>
      <c r="C306" s="89"/>
      <c r="D306" s="30"/>
      <c r="E306" s="89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5"/>
      <c r="B307" s="30"/>
      <c r="C307" s="89"/>
      <c r="D307" s="30"/>
      <c r="E307" s="89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5"/>
      <c r="B308" s="30"/>
      <c r="C308" s="89"/>
      <c r="D308" s="30"/>
      <c r="E308" s="89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5"/>
      <c r="B309" s="30"/>
      <c r="C309" s="89"/>
      <c r="D309" s="30"/>
      <c r="E309" s="89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5"/>
      <c r="B310" s="30"/>
      <c r="C310" s="89"/>
      <c r="D310" s="30"/>
      <c r="E310" s="89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5"/>
      <c r="B311" s="30"/>
      <c r="C311" s="89"/>
      <c r="D311" s="30"/>
      <c r="E311" s="89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5"/>
      <c r="B312" s="30"/>
      <c r="C312" s="89"/>
      <c r="D312" s="30"/>
      <c r="E312" s="89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5"/>
      <c r="B313" s="30"/>
      <c r="C313" s="89"/>
      <c r="D313" s="30"/>
      <c r="E313" s="89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5"/>
      <c r="B314" s="30"/>
      <c r="C314" s="89"/>
      <c r="D314" s="30"/>
      <c r="E314" s="89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5"/>
      <c r="B315" s="30"/>
      <c r="C315" s="89"/>
      <c r="D315" s="30"/>
      <c r="E315" s="89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5"/>
      <c r="B316" s="30"/>
      <c r="C316" s="89"/>
      <c r="D316" s="30"/>
      <c r="E316" s="89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5"/>
      <c r="B317" s="30"/>
      <c r="C317" s="89"/>
      <c r="D317" s="30"/>
      <c r="E317" s="89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5"/>
      <c r="B318" s="30"/>
      <c r="C318" s="89"/>
      <c r="D318" s="30"/>
      <c r="E318" s="89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5"/>
      <c r="B319" s="30"/>
      <c r="C319" s="89"/>
      <c r="D319" s="30"/>
      <c r="E319" s="89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5"/>
      <c r="B320" s="30"/>
      <c r="C320" s="89"/>
      <c r="D320" s="30"/>
      <c r="E320" s="89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5"/>
      <c r="B321" s="30"/>
      <c r="C321" s="89"/>
      <c r="D321" s="30"/>
      <c r="E321" s="89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5"/>
      <c r="B322" s="30"/>
      <c r="C322" s="89"/>
      <c r="D322" s="30"/>
      <c r="E322" s="89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5"/>
      <c r="B323" s="30"/>
      <c r="C323" s="89"/>
      <c r="D323" s="30"/>
      <c r="E323" s="89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5"/>
      <c r="B324" s="30"/>
      <c r="C324" s="89"/>
      <c r="D324" s="30"/>
      <c r="E324" s="89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5"/>
      <c r="B325" s="30"/>
      <c r="C325" s="89"/>
      <c r="D325" s="30"/>
      <c r="E325" s="89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5"/>
      <c r="B326" s="30"/>
      <c r="C326" s="89"/>
      <c r="D326" s="30"/>
      <c r="E326" s="89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5"/>
      <c r="B327" s="30"/>
      <c r="C327" s="89"/>
      <c r="D327" s="30"/>
      <c r="E327" s="89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5"/>
      <c r="B328" s="30"/>
      <c r="C328" s="89"/>
      <c r="D328" s="30"/>
      <c r="E328" s="89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5"/>
      <c r="B329" s="30"/>
      <c r="C329" s="89"/>
      <c r="D329" s="30"/>
      <c r="E329" s="89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5"/>
      <c r="B330" s="30"/>
      <c r="C330" s="89"/>
      <c r="D330" s="30"/>
      <c r="E330" s="89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5"/>
      <c r="B331" s="30"/>
      <c r="C331" s="89"/>
      <c r="D331" s="30"/>
      <c r="E331" s="89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5"/>
      <c r="B332" s="30"/>
      <c r="C332" s="89"/>
      <c r="D332" s="30"/>
      <c r="E332" s="89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5"/>
      <c r="B333" s="30"/>
      <c r="C333" s="89"/>
      <c r="D333" s="30"/>
      <c r="E333" s="89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5"/>
      <c r="B334" s="30"/>
      <c r="C334" s="89"/>
      <c r="D334" s="30"/>
      <c r="E334" s="89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5"/>
      <c r="B335" s="30"/>
      <c r="C335" s="89"/>
      <c r="D335" s="30"/>
      <c r="E335" s="89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5"/>
      <c r="B336" s="30"/>
      <c r="C336" s="89"/>
      <c r="D336" s="30"/>
      <c r="E336" s="89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5"/>
      <c r="B337" s="30"/>
      <c r="C337" s="89"/>
      <c r="D337" s="30"/>
      <c r="E337" s="89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5"/>
      <c r="B338" s="30"/>
      <c r="C338" s="89"/>
      <c r="D338" s="30"/>
      <c r="E338" s="89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5"/>
      <c r="B339" s="30"/>
      <c r="C339" s="89"/>
      <c r="D339" s="30"/>
      <c r="E339" s="89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5"/>
      <c r="B340" s="30"/>
      <c r="C340" s="89"/>
      <c r="D340" s="30"/>
      <c r="E340" s="89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5"/>
      <c r="B341" s="30"/>
      <c r="C341" s="89"/>
      <c r="D341" s="30"/>
      <c r="E341" s="89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5"/>
      <c r="B342" s="30"/>
      <c r="C342" s="89"/>
      <c r="D342" s="30"/>
      <c r="E342" s="89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5"/>
      <c r="B343" s="30"/>
      <c r="C343" s="89"/>
      <c r="D343" s="30"/>
      <c r="E343" s="89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5"/>
      <c r="B344" s="30"/>
      <c r="C344" s="89"/>
      <c r="D344" s="30"/>
      <c r="E344" s="89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5"/>
      <c r="B345" s="30"/>
      <c r="C345" s="89"/>
      <c r="D345" s="30"/>
      <c r="E345" s="89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5"/>
      <c r="B346" s="30"/>
      <c r="C346" s="89"/>
      <c r="D346" s="30"/>
      <c r="E346" s="89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5"/>
      <c r="B347" s="30"/>
      <c r="C347" s="89"/>
      <c r="D347" s="30"/>
      <c r="E347" s="89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5"/>
      <c r="B348" s="30"/>
      <c r="C348" s="89"/>
      <c r="D348" s="30"/>
      <c r="E348" s="89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5"/>
      <c r="B349" s="30"/>
      <c r="C349" s="89"/>
      <c r="D349" s="30"/>
      <c r="E349" s="89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5"/>
      <c r="B350" s="30"/>
      <c r="C350" s="89"/>
      <c r="D350" s="30"/>
      <c r="E350" s="89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5"/>
      <c r="B351" s="30"/>
      <c r="C351" s="89"/>
      <c r="D351" s="30"/>
      <c r="E351" s="89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5"/>
      <c r="B352" s="30"/>
      <c r="C352" s="89"/>
      <c r="D352" s="30"/>
      <c r="E352" s="89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5"/>
      <c r="B353" s="30"/>
      <c r="C353" s="89"/>
      <c r="D353" s="30"/>
      <c r="E353" s="89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5"/>
      <c r="B354" s="30"/>
      <c r="C354" s="89"/>
      <c r="D354" s="30"/>
      <c r="E354" s="89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5"/>
      <c r="B355" s="30"/>
      <c r="C355" s="89"/>
      <c r="D355" s="30"/>
      <c r="E355" s="89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5"/>
      <c r="B356" s="30"/>
      <c r="C356" s="89"/>
      <c r="D356" s="30"/>
      <c r="E356" s="89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5"/>
      <c r="B357" s="30"/>
      <c r="C357" s="89"/>
      <c r="D357" s="30"/>
      <c r="E357" s="89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5"/>
      <c r="B358" s="30"/>
      <c r="C358" s="89"/>
      <c r="D358" s="30"/>
      <c r="E358" s="89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5"/>
      <c r="B359" s="30"/>
      <c r="C359" s="89"/>
      <c r="D359" s="30"/>
      <c r="E359" s="89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5"/>
      <c r="B360" s="30"/>
      <c r="C360" s="89"/>
      <c r="D360" s="30"/>
      <c r="E360" s="89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5"/>
      <c r="B361" s="30"/>
      <c r="C361" s="89"/>
      <c r="D361" s="30"/>
      <c r="E361" s="89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5"/>
      <c r="B362" s="30"/>
      <c r="C362" s="89"/>
      <c r="D362" s="30"/>
      <c r="E362" s="89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5"/>
      <c r="B363" s="30"/>
      <c r="C363" s="89"/>
      <c r="D363" s="30"/>
      <c r="E363" s="89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5"/>
      <c r="B364" s="30"/>
      <c r="C364" s="89"/>
      <c r="D364" s="30"/>
      <c r="E364" s="89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5"/>
      <c r="B365" s="30"/>
      <c r="C365" s="89"/>
      <c r="D365" s="30"/>
      <c r="E365" s="89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5"/>
      <c r="B366" s="30"/>
      <c r="C366" s="89"/>
      <c r="D366" s="30"/>
      <c r="E366" s="89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5"/>
      <c r="B367" s="30"/>
      <c r="C367" s="89"/>
      <c r="D367" s="30"/>
      <c r="E367" s="89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5"/>
      <c r="B368" s="30"/>
      <c r="C368" s="89"/>
      <c r="D368" s="30"/>
      <c r="E368" s="89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5"/>
      <c r="B369" s="30"/>
      <c r="C369" s="89"/>
      <c r="D369" s="30"/>
      <c r="E369" s="89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5"/>
      <c r="B370" s="30"/>
      <c r="C370" s="89"/>
      <c r="D370" s="30"/>
      <c r="E370" s="89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5"/>
      <c r="B371" s="30"/>
      <c r="C371" s="89"/>
      <c r="D371" s="30"/>
      <c r="E371" s="89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5"/>
      <c r="B372" s="30"/>
      <c r="C372" s="89"/>
      <c r="D372" s="30"/>
      <c r="E372" s="89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5"/>
      <c r="B373" s="30"/>
      <c r="C373" s="89"/>
      <c r="D373" s="30"/>
      <c r="E373" s="89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5"/>
      <c r="B374" s="30"/>
      <c r="C374" s="89"/>
      <c r="D374" s="30"/>
      <c r="E374" s="89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5"/>
      <c r="B375" s="30"/>
      <c r="C375" s="89"/>
      <c r="D375" s="30"/>
      <c r="E375" s="89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5"/>
      <c r="B376" s="30"/>
      <c r="C376" s="89"/>
      <c r="D376" s="30"/>
      <c r="E376" s="89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5"/>
      <c r="B377" s="30"/>
      <c r="C377" s="89"/>
      <c r="D377" s="30"/>
      <c r="E377" s="89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5"/>
      <c r="B378" s="30"/>
      <c r="C378" s="89"/>
      <c r="D378" s="30"/>
      <c r="E378" s="89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5"/>
      <c r="B379" s="30"/>
      <c r="C379" s="89"/>
      <c r="D379" s="30"/>
      <c r="E379" s="89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5"/>
      <c r="B380" s="30"/>
      <c r="C380" s="89"/>
      <c r="D380" s="30"/>
      <c r="E380" s="89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5"/>
      <c r="B381" s="30"/>
      <c r="C381" s="89"/>
      <c r="D381" s="30"/>
      <c r="E381" s="89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5"/>
      <c r="B382" s="30"/>
      <c r="C382" s="89"/>
      <c r="D382" s="30"/>
      <c r="E382" s="89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5"/>
      <c r="B383" s="30"/>
      <c r="C383" s="89"/>
      <c r="D383" s="30"/>
      <c r="E383" s="89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5"/>
      <c r="B384" s="30"/>
      <c r="C384" s="89"/>
      <c r="D384" s="30"/>
      <c r="E384" s="89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5"/>
      <c r="B385" s="30"/>
      <c r="C385" s="89"/>
      <c r="D385" s="30"/>
      <c r="E385" s="89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5"/>
      <c r="B386" s="30"/>
      <c r="C386" s="89"/>
      <c r="D386" s="30"/>
      <c r="E386" s="89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5"/>
      <c r="B387" s="30"/>
      <c r="C387" s="89"/>
      <c r="D387" s="30"/>
      <c r="E387" s="89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5"/>
      <c r="B388" s="30"/>
      <c r="C388" s="89"/>
      <c r="D388" s="30"/>
      <c r="E388" s="89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5"/>
      <c r="B389" s="30"/>
      <c r="C389" s="89"/>
      <c r="D389" s="30"/>
      <c r="E389" s="89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5"/>
      <c r="B390" s="30"/>
      <c r="C390" s="89"/>
      <c r="D390" s="30"/>
      <c r="E390" s="89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5"/>
      <c r="B391" s="30"/>
      <c r="C391" s="89"/>
      <c r="D391" s="30"/>
      <c r="E391" s="89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5"/>
      <c r="B392" s="30"/>
      <c r="C392" s="89"/>
      <c r="D392" s="30"/>
      <c r="E392" s="89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5"/>
      <c r="B393" s="30"/>
      <c r="C393" s="89"/>
      <c r="D393" s="30"/>
      <c r="E393" s="89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5"/>
      <c r="B394" s="30"/>
      <c r="C394" s="89"/>
      <c r="D394" s="30"/>
      <c r="E394" s="89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5"/>
      <c r="B395" s="30"/>
      <c r="C395" s="89"/>
      <c r="D395" s="30"/>
      <c r="E395" s="89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5"/>
      <c r="B396" s="30"/>
      <c r="C396" s="89"/>
      <c r="D396" s="30"/>
      <c r="E396" s="89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5"/>
      <c r="B397" s="30"/>
      <c r="C397" s="89"/>
      <c r="D397" s="30"/>
      <c r="E397" s="89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5"/>
      <c r="B398" s="30"/>
      <c r="C398" s="89"/>
      <c r="D398" s="30"/>
      <c r="E398" s="89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5"/>
      <c r="B399" s="30"/>
      <c r="C399" s="89"/>
      <c r="D399" s="30"/>
      <c r="E399" s="89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5"/>
      <c r="B400" s="30"/>
      <c r="C400" s="89"/>
      <c r="D400" s="30"/>
      <c r="E400" s="89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5"/>
      <c r="B401" s="30"/>
      <c r="C401" s="89"/>
      <c r="D401" s="30"/>
      <c r="E401" s="89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5"/>
      <c r="B402" s="30"/>
      <c r="C402" s="89"/>
      <c r="D402" s="30"/>
      <c r="E402" s="89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5"/>
      <c r="B403" s="30"/>
      <c r="C403" s="89"/>
      <c r="D403" s="30"/>
      <c r="E403" s="89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5"/>
      <c r="B404" s="30"/>
      <c r="C404" s="89"/>
      <c r="D404" s="30"/>
      <c r="E404" s="89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5"/>
      <c r="B405" s="30"/>
      <c r="C405" s="89"/>
      <c r="D405" s="30"/>
      <c r="E405" s="89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5"/>
      <c r="B406" s="30"/>
      <c r="C406" s="89"/>
      <c r="D406" s="30"/>
      <c r="E406" s="89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5"/>
      <c r="B407" s="30"/>
      <c r="C407" s="89"/>
      <c r="D407" s="30"/>
      <c r="E407" s="89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5"/>
      <c r="B408" s="30"/>
      <c r="C408" s="89"/>
      <c r="D408" s="30"/>
      <c r="E408" s="89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5"/>
      <c r="B409" s="30"/>
      <c r="C409" s="89"/>
      <c r="D409" s="30"/>
      <c r="E409" s="89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5"/>
      <c r="B410" s="30"/>
      <c r="C410" s="89"/>
      <c r="D410" s="30"/>
      <c r="E410" s="89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5"/>
      <c r="B411" s="30"/>
      <c r="C411" s="89"/>
      <c r="D411" s="30"/>
      <c r="E411" s="89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5"/>
      <c r="B412" s="30"/>
      <c r="C412" s="89"/>
      <c r="D412" s="30"/>
      <c r="E412" s="89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5"/>
      <c r="B413" s="30"/>
      <c r="C413" s="89"/>
      <c r="D413" s="30"/>
      <c r="E413" s="89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5"/>
      <c r="B414" s="30"/>
      <c r="C414" s="89"/>
      <c r="D414" s="30"/>
      <c r="E414" s="89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5"/>
      <c r="B415" s="30"/>
      <c r="C415" s="89"/>
      <c r="D415" s="30"/>
      <c r="E415" s="89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5"/>
      <c r="B416" s="30"/>
      <c r="C416" s="89"/>
      <c r="D416" s="30"/>
      <c r="E416" s="89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5"/>
      <c r="B417" s="30"/>
      <c r="C417" s="89"/>
      <c r="D417" s="30"/>
      <c r="E417" s="89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5"/>
      <c r="B418" s="30"/>
      <c r="C418" s="89"/>
      <c r="D418" s="30"/>
      <c r="E418" s="89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5"/>
      <c r="B419" s="30"/>
      <c r="C419" s="89"/>
      <c r="D419" s="30"/>
      <c r="E419" s="89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5"/>
      <c r="B420" s="30"/>
      <c r="C420" s="89"/>
      <c r="D420" s="30"/>
      <c r="E420" s="89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5"/>
      <c r="B421" s="30"/>
      <c r="C421" s="89"/>
      <c r="D421" s="30"/>
      <c r="E421" s="89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5"/>
      <c r="B422" s="30"/>
      <c r="C422" s="89"/>
      <c r="D422" s="30"/>
      <c r="E422" s="89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5"/>
      <c r="B423" s="30"/>
      <c r="C423" s="89"/>
      <c r="D423" s="30"/>
      <c r="E423" s="89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5"/>
      <c r="B424" s="30"/>
      <c r="C424" s="89"/>
      <c r="D424" s="30"/>
      <c r="E424" s="89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5"/>
      <c r="B425" s="30"/>
      <c r="C425" s="89"/>
      <c r="D425" s="30"/>
      <c r="E425" s="89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5"/>
      <c r="B426" s="30"/>
      <c r="C426" s="89"/>
      <c r="D426" s="30"/>
      <c r="E426" s="89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5"/>
      <c r="B427" s="30"/>
      <c r="C427" s="89"/>
      <c r="D427" s="30"/>
      <c r="E427" s="89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5"/>
      <c r="B428" s="30"/>
      <c r="C428" s="89"/>
      <c r="D428" s="30"/>
      <c r="E428" s="89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5"/>
      <c r="B429" s="30"/>
      <c r="C429" s="89"/>
      <c r="D429" s="30"/>
      <c r="E429" s="89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5"/>
      <c r="B430" s="30"/>
      <c r="C430" s="89"/>
      <c r="D430" s="30"/>
      <c r="E430" s="89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5"/>
      <c r="B431" s="30"/>
      <c r="C431" s="89"/>
      <c r="D431" s="30"/>
      <c r="E431" s="89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5"/>
      <c r="B432" s="30"/>
      <c r="C432" s="89"/>
      <c r="D432" s="30"/>
      <c r="E432" s="89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5"/>
      <c r="B433" s="30"/>
      <c r="C433" s="89"/>
      <c r="D433" s="30"/>
      <c r="E433" s="89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5"/>
      <c r="B434" s="30"/>
      <c r="C434" s="89"/>
      <c r="D434" s="30"/>
      <c r="E434" s="89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5"/>
      <c r="B435" s="30"/>
      <c r="C435" s="89"/>
      <c r="D435" s="30"/>
      <c r="E435" s="89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5"/>
      <c r="B436" s="30"/>
      <c r="C436" s="89"/>
      <c r="D436" s="30"/>
      <c r="E436" s="89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5"/>
      <c r="B437" s="30"/>
      <c r="C437" s="89"/>
      <c r="D437" s="30"/>
      <c r="E437" s="89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5"/>
      <c r="B438" s="30"/>
      <c r="C438" s="89"/>
      <c r="D438" s="30"/>
      <c r="E438" s="89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5"/>
      <c r="B439" s="30"/>
      <c r="C439" s="89"/>
      <c r="D439" s="30"/>
      <c r="E439" s="89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5"/>
      <c r="B440" s="30"/>
      <c r="C440" s="89"/>
      <c r="D440" s="30"/>
      <c r="E440" s="89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5"/>
      <c r="B441" s="30"/>
      <c r="C441" s="89"/>
      <c r="D441" s="30"/>
      <c r="E441" s="89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5"/>
      <c r="B442" s="30"/>
      <c r="C442" s="89"/>
      <c r="D442" s="30"/>
      <c r="E442" s="89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5"/>
      <c r="B443" s="30"/>
      <c r="C443" s="89"/>
      <c r="D443" s="30"/>
      <c r="E443" s="89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5"/>
      <c r="B444" s="30"/>
      <c r="C444" s="89"/>
      <c r="D444" s="30"/>
      <c r="E444" s="89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5"/>
      <c r="B445" s="30"/>
      <c r="C445" s="89"/>
      <c r="D445" s="30"/>
      <c r="E445" s="89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5"/>
      <c r="B446" s="30"/>
      <c r="C446" s="89"/>
      <c r="D446" s="30"/>
      <c r="E446" s="89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5"/>
      <c r="B447" s="30"/>
      <c r="C447" s="89"/>
      <c r="D447" s="30"/>
      <c r="E447" s="89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5"/>
      <c r="B448" s="30"/>
      <c r="C448" s="89"/>
      <c r="D448" s="30"/>
      <c r="E448" s="89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5"/>
      <c r="B449" s="30"/>
      <c r="C449" s="89"/>
      <c r="D449" s="30"/>
      <c r="E449" s="89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5"/>
      <c r="B450" s="30"/>
      <c r="C450" s="89"/>
      <c r="D450" s="30"/>
      <c r="E450" s="89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5"/>
      <c r="B451" s="30"/>
      <c r="C451" s="89"/>
      <c r="D451" s="30"/>
      <c r="E451" s="89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5"/>
      <c r="B452" s="30"/>
      <c r="C452" s="89"/>
      <c r="D452" s="30"/>
      <c r="E452" s="89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5"/>
      <c r="B453" s="30"/>
      <c r="C453" s="89"/>
      <c r="D453" s="30"/>
      <c r="E453" s="89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5"/>
      <c r="B454" s="30"/>
      <c r="C454" s="89"/>
      <c r="D454" s="30"/>
      <c r="E454" s="89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5"/>
      <c r="B455" s="30"/>
      <c r="C455" s="89"/>
      <c r="D455" s="30"/>
      <c r="E455" s="89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5"/>
      <c r="B456" s="30"/>
      <c r="C456" s="89"/>
      <c r="D456" s="30"/>
      <c r="E456" s="89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5"/>
      <c r="B457" s="30"/>
      <c r="C457" s="89"/>
      <c r="D457" s="30"/>
      <c r="E457" s="89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5"/>
      <c r="B458" s="30"/>
      <c r="C458" s="89"/>
      <c r="D458" s="30"/>
      <c r="E458" s="89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5"/>
      <c r="B459" s="30"/>
      <c r="C459" s="89"/>
      <c r="D459" s="30"/>
      <c r="E459" s="89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5"/>
      <c r="B460" s="30"/>
      <c r="C460" s="89"/>
      <c r="D460" s="30"/>
      <c r="E460" s="89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5"/>
      <c r="B461" s="30"/>
      <c r="C461" s="89"/>
      <c r="D461" s="30"/>
      <c r="E461" s="89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5"/>
      <c r="B462" s="30"/>
      <c r="C462" s="89"/>
      <c r="D462" s="30"/>
      <c r="E462" s="89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5"/>
      <c r="B463" s="30"/>
      <c r="C463" s="89"/>
      <c r="D463" s="30"/>
      <c r="E463" s="89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5"/>
      <c r="B464" s="30"/>
      <c r="C464" s="89"/>
      <c r="D464" s="30"/>
      <c r="E464" s="89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5"/>
      <c r="B465" s="30"/>
      <c r="C465" s="89"/>
      <c r="D465" s="30"/>
      <c r="E465" s="89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5"/>
      <c r="B466" s="30"/>
      <c r="C466" s="89"/>
      <c r="D466" s="30"/>
      <c r="E466" s="89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5"/>
      <c r="B467" s="30"/>
      <c r="C467" s="89"/>
      <c r="D467" s="30"/>
      <c r="E467" s="89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5"/>
      <c r="B468" s="30"/>
      <c r="C468" s="89"/>
      <c r="D468" s="30"/>
      <c r="E468" s="89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5"/>
      <c r="B469" s="30"/>
      <c r="C469" s="89"/>
      <c r="D469" s="30"/>
      <c r="E469" s="89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5"/>
      <c r="B470" s="30"/>
      <c r="C470" s="89"/>
      <c r="D470" s="30"/>
      <c r="E470" s="89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5"/>
      <c r="B471" s="30"/>
      <c r="C471" s="89"/>
      <c r="D471" s="30"/>
      <c r="E471" s="89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5"/>
      <c r="B472" s="30"/>
      <c r="C472" s="89"/>
      <c r="D472" s="30"/>
      <c r="E472" s="89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5"/>
      <c r="B473" s="30"/>
      <c r="C473" s="89"/>
      <c r="D473" s="30"/>
      <c r="E473" s="89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5"/>
      <c r="B474" s="30"/>
      <c r="C474" s="89"/>
      <c r="D474" s="30"/>
      <c r="E474" s="89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5"/>
      <c r="B475" s="30"/>
      <c r="C475" s="89"/>
      <c r="D475" s="30"/>
      <c r="E475" s="89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5"/>
      <c r="B476" s="30"/>
      <c r="C476" s="89"/>
      <c r="D476" s="30"/>
      <c r="E476" s="89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5"/>
      <c r="B477" s="30"/>
      <c r="C477" s="89"/>
      <c r="D477" s="30"/>
      <c r="E477" s="89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5"/>
      <c r="B478" s="30"/>
      <c r="C478" s="89"/>
      <c r="D478" s="30"/>
      <c r="E478" s="89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5"/>
      <c r="B479" s="30"/>
      <c r="C479" s="89"/>
      <c r="D479" s="30"/>
      <c r="E479" s="89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5"/>
      <c r="B480" s="30"/>
      <c r="C480" s="89"/>
      <c r="D480" s="30"/>
      <c r="E480" s="89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5"/>
      <c r="B481" s="30"/>
      <c r="C481" s="89"/>
      <c r="D481" s="30"/>
      <c r="E481" s="89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5"/>
      <c r="B482" s="30"/>
      <c r="C482" s="89"/>
      <c r="D482" s="30"/>
      <c r="E482" s="89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5"/>
      <c r="B483" s="30"/>
      <c r="C483" s="89"/>
      <c r="D483" s="30"/>
      <c r="E483" s="89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5"/>
      <c r="B484" s="30"/>
      <c r="C484" s="89"/>
      <c r="D484" s="30"/>
      <c r="E484" s="89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5"/>
      <c r="B485" s="30"/>
      <c r="C485" s="89"/>
      <c r="D485" s="30"/>
      <c r="E485" s="89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5"/>
      <c r="B486" s="30"/>
      <c r="C486" s="89"/>
      <c r="D486" s="30"/>
      <c r="E486" s="89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5"/>
      <c r="B487" s="30"/>
      <c r="C487" s="89"/>
      <c r="D487" s="30"/>
      <c r="E487" s="89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5"/>
      <c r="B488" s="30"/>
      <c r="C488" s="89"/>
      <c r="D488" s="30"/>
      <c r="E488" s="89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5"/>
      <c r="B489" s="30"/>
      <c r="C489" s="89"/>
      <c r="D489" s="30"/>
      <c r="E489" s="89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5"/>
      <c r="B490" s="30"/>
      <c r="C490" s="89"/>
      <c r="D490" s="30"/>
      <c r="E490" s="89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5"/>
      <c r="B491" s="30"/>
      <c r="C491" s="89"/>
      <c r="D491" s="30"/>
      <c r="E491" s="89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5"/>
      <c r="B492" s="30"/>
      <c r="C492" s="89"/>
      <c r="D492" s="30"/>
      <c r="E492" s="89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5"/>
      <c r="B493" s="30"/>
      <c r="C493" s="89"/>
      <c r="D493" s="30"/>
      <c r="E493" s="89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5"/>
      <c r="B494" s="30"/>
      <c r="C494" s="89"/>
      <c r="D494" s="30"/>
      <c r="E494" s="89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5"/>
      <c r="B495" s="30"/>
      <c r="C495" s="89"/>
      <c r="D495" s="30"/>
      <c r="E495" s="89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5"/>
      <c r="B496" s="30"/>
      <c r="C496" s="89"/>
      <c r="D496" s="30"/>
      <c r="E496" s="89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5"/>
      <c r="B497" s="30"/>
      <c r="C497" s="89"/>
      <c r="D497" s="30"/>
      <c r="E497" s="89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5"/>
      <c r="B498" s="30"/>
      <c r="C498" s="89"/>
      <c r="D498" s="30"/>
      <c r="E498" s="89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5"/>
      <c r="B499" s="30"/>
      <c r="C499" s="89"/>
      <c r="D499" s="30"/>
      <c r="E499" s="89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5"/>
      <c r="B500" s="30"/>
      <c r="C500" s="89"/>
      <c r="D500" s="30"/>
      <c r="E500" s="89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5"/>
      <c r="B501" s="30"/>
      <c r="C501" s="89"/>
      <c r="D501" s="30"/>
      <c r="E501" s="89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5"/>
      <c r="B502" s="30"/>
      <c r="C502" s="89"/>
      <c r="D502" s="30"/>
      <c r="E502" s="89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5"/>
      <c r="B503" s="30"/>
      <c r="C503" s="89"/>
      <c r="D503" s="30"/>
      <c r="E503" s="89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5"/>
      <c r="B504" s="30"/>
      <c r="C504" s="89"/>
      <c r="D504" s="30"/>
      <c r="E504" s="89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5"/>
      <c r="B505" s="30"/>
      <c r="C505" s="89"/>
      <c r="D505" s="30"/>
      <c r="E505" s="89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5"/>
      <c r="B506" s="30"/>
      <c r="C506" s="89"/>
      <c r="D506" s="30"/>
      <c r="E506" s="89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5"/>
      <c r="B507" s="30"/>
      <c r="C507" s="89"/>
      <c r="D507" s="30"/>
      <c r="E507" s="89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5"/>
      <c r="B508" s="30"/>
      <c r="C508" s="89"/>
      <c r="D508" s="30"/>
      <c r="E508" s="89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5"/>
      <c r="B509" s="30"/>
      <c r="C509" s="89"/>
      <c r="D509" s="30"/>
      <c r="E509" s="89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5"/>
      <c r="B510" s="30"/>
      <c r="C510" s="89"/>
      <c r="D510" s="30"/>
      <c r="E510" s="89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5"/>
      <c r="B511" s="30"/>
      <c r="C511" s="89"/>
      <c r="D511" s="30"/>
      <c r="E511" s="89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5"/>
      <c r="B512" s="30"/>
      <c r="C512" s="89"/>
      <c r="D512" s="30"/>
      <c r="E512" s="89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5"/>
      <c r="B513" s="30"/>
      <c r="C513" s="89"/>
      <c r="D513" s="30"/>
      <c r="E513" s="89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5"/>
      <c r="B514" s="30"/>
      <c r="C514" s="89"/>
      <c r="D514" s="30"/>
      <c r="E514" s="89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5"/>
      <c r="B515" s="30"/>
      <c r="C515" s="89"/>
      <c r="D515" s="30"/>
      <c r="E515" s="89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5"/>
      <c r="B516" s="30"/>
      <c r="C516" s="89"/>
      <c r="D516" s="30"/>
      <c r="E516" s="89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5"/>
      <c r="B517" s="30"/>
      <c r="C517" s="89"/>
      <c r="D517" s="30"/>
      <c r="E517" s="89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5"/>
      <c r="B518" s="30"/>
      <c r="C518" s="89"/>
      <c r="D518" s="30"/>
      <c r="E518" s="89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5"/>
      <c r="B519" s="30"/>
      <c r="C519" s="89"/>
      <c r="D519" s="30"/>
      <c r="E519" s="89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5"/>
      <c r="B520" s="30"/>
      <c r="C520" s="89"/>
      <c r="D520" s="30"/>
      <c r="E520" s="89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5"/>
      <c r="B521" s="30"/>
      <c r="C521" s="89"/>
      <c r="D521" s="30"/>
      <c r="E521" s="89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5"/>
      <c r="B522" s="30"/>
      <c r="C522" s="89"/>
      <c r="D522" s="30"/>
      <c r="E522" s="89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5"/>
      <c r="B523" s="30"/>
      <c r="C523" s="89"/>
      <c r="D523" s="30"/>
      <c r="E523" s="89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5"/>
      <c r="B524" s="30"/>
      <c r="C524" s="89"/>
      <c r="D524" s="30"/>
      <c r="E524" s="89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5"/>
      <c r="B525" s="30"/>
      <c r="C525" s="89"/>
      <c r="D525" s="30"/>
      <c r="E525" s="89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5"/>
      <c r="B526" s="30"/>
      <c r="C526" s="89"/>
      <c r="D526" s="30"/>
      <c r="E526" s="89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5"/>
      <c r="B527" s="30"/>
      <c r="C527" s="89"/>
      <c r="D527" s="30"/>
      <c r="E527" s="89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5"/>
      <c r="B528" s="30"/>
      <c r="C528" s="89"/>
      <c r="D528" s="30"/>
      <c r="E528" s="89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5"/>
      <c r="B529" s="30"/>
      <c r="C529" s="89"/>
      <c r="D529" s="30"/>
      <c r="E529" s="89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5"/>
      <c r="B530" s="30"/>
      <c r="C530" s="89"/>
      <c r="D530" s="30"/>
      <c r="E530" s="89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5"/>
      <c r="B531" s="30"/>
      <c r="C531" s="89"/>
      <c r="D531" s="30"/>
      <c r="E531" s="89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5"/>
      <c r="B532" s="30"/>
      <c r="C532" s="89"/>
      <c r="D532" s="30"/>
      <c r="E532" s="89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5"/>
      <c r="B533" s="30"/>
      <c r="C533" s="89"/>
      <c r="D533" s="30"/>
      <c r="E533" s="89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5"/>
      <c r="B534" s="30"/>
      <c r="C534" s="89"/>
      <c r="D534" s="30"/>
      <c r="E534" s="89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5"/>
      <c r="B535" s="30"/>
      <c r="C535" s="89"/>
      <c r="D535" s="30"/>
      <c r="E535" s="89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5"/>
      <c r="B536" s="30"/>
      <c r="C536" s="89"/>
      <c r="D536" s="30"/>
      <c r="E536" s="89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5"/>
      <c r="B537" s="30"/>
      <c r="C537" s="89"/>
      <c r="D537" s="30"/>
      <c r="E537" s="89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5"/>
      <c r="B538" s="30"/>
      <c r="C538" s="89"/>
      <c r="D538" s="30"/>
      <c r="E538" s="89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5"/>
      <c r="B539" s="30"/>
      <c r="C539" s="89"/>
      <c r="D539" s="30"/>
      <c r="E539" s="89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5"/>
      <c r="B540" s="30"/>
      <c r="C540" s="89"/>
      <c r="D540" s="30"/>
      <c r="E540" s="89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5"/>
      <c r="B541" s="30"/>
      <c r="C541" s="89"/>
      <c r="D541" s="30"/>
      <c r="E541" s="89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5"/>
      <c r="B542" s="30"/>
      <c r="C542" s="89"/>
      <c r="D542" s="30"/>
      <c r="E542" s="89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5"/>
      <c r="B543" s="30"/>
      <c r="C543" s="89"/>
      <c r="D543" s="30"/>
      <c r="E543" s="89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5"/>
      <c r="B544" s="30"/>
      <c r="C544" s="89"/>
      <c r="D544" s="30"/>
      <c r="E544" s="89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5"/>
      <c r="B545" s="30"/>
      <c r="C545" s="89"/>
      <c r="D545" s="30"/>
      <c r="E545" s="89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5"/>
      <c r="B546" s="30"/>
      <c r="C546" s="89"/>
      <c r="D546" s="30"/>
      <c r="E546" s="89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5"/>
      <c r="B547" s="30"/>
      <c r="C547" s="89"/>
      <c r="D547" s="30"/>
      <c r="E547" s="89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5"/>
      <c r="B548" s="30"/>
      <c r="C548" s="89"/>
      <c r="D548" s="30"/>
      <c r="E548" s="89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5"/>
      <c r="B549" s="30"/>
      <c r="C549" s="89"/>
      <c r="D549" s="30"/>
      <c r="E549" s="89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5"/>
      <c r="B550" s="30"/>
      <c r="C550" s="89"/>
      <c r="D550" s="30"/>
      <c r="E550" s="89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5"/>
      <c r="B551" s="30"/>
      <c r="C551" s="89"/>
      <c r="D551" s="30"/>
      <c r="E551" s="89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5"/>
      <c r="B552" s="30"/>
      <c r="C552" s="89"/>
      <c r="D552" s="30"/>
      <c r="E552" s="89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5"/>
      <c r="B553" s="30"/>
      <c r="C553" s="89"/>
      <c r="D553" s="30"/>
      <c r="E553" s="89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5"/>
      <c r="B554" s="30"/>
      <c r="C554" s="89"/>
      <c r="D554" s="30"/>
      <c r="E554" s="89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5"/>
      <c r="B555" s="30"/>
      <c r="C555" s="89"/>
      <c r="D555" s="30"/>
      <c r="E555" s="89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5"/>
      <c r="B556" s="30"/>
      <c r="C556" s="89"/>
      <c r="D556" s="30"/>
      <c r="E556" s="89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5"/>
      <c r="B557" s="30"/>
      <c r="C557" s="89"/>
      <c r="D557" s="30"/>
      <c r="E557" s="89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5"/>
      <c r="B558" s="30"/>
      <c r="C558" s="89"/>
      <c r="D558" s="30"/>
      <c r="E558" s="89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5"/>
      <c r="B559" s="30"/>
      <c r="C559" s="89"/>
      <c r="D559" s="30"/>
      <c r="E559" s="89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5"/>
      <c r="B560" s="30"/>
      <c r="C560" s="89"/>
      <c r="D560" s="30"/>
      <c r="E560" s="89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5"/>
      <c r="B561" s="30"/>
      <c r="C561" s="89"/>
      <c r="D561" s="30"/>
      <c r="E561" s="89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5"/>
      <c r="B562" s="30"/>
      <c r="C562" s="89"/>
      <c r="D562" s="30"/>
      <c r="E562" s="89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5"/>
      <c r="B563" s="30"/>
      <c r="C563" s="89"/>
      <c r="D563" s="30"/>
      <c r="E563" s="89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5"/>
      <c r="B564" s="30"/>
      <c r="C564" s="89"/>
      <c r="D564" s="30"/>
      <c r="E564" s="89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5"/>
      <c r="B565" s="30"/>
      <c r="C565" s="89"/>
      <c r="D565" s="30"/>
      <c r="E565" s="89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5"/>
      <c r="B566" s="30"/>
      <c r="C566" s="89"/>
      <c r="D566" s="30"/>
      <c r="E566" s="89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5"/>
      <c r="B567" s="30"/>
      <c r="C567" s="89"/>
      <c r="D567" s="30"/>
      <c r="E567" s="89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5"/>
      <c r="B568" s="30"/>
      <c r="C568" s="89"/>
      <c r="D568" s="30"/>
      <c r="E568" s="89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5"/>
      <c r="B569" s="30"/>
      <c r="C569" s="89"/>
      <c r="D569" s="30"/>
      <c r="E569" s="89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5"/>
      <c r="B570" s="30"/>
      <c r="C570" s="89"/>
      <c r="D570" s="30"/>
      <c r="E570" s="89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5"/>
      <c r="B571" s="30"/>
      <c r="C571" s="89"/>
      <c r="D571" s="30"/>
      <c r="E571" s="89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5"/>
      <c r="B572" s="30"/>
      <c r="C572" s="89"/>
      <c r="D572" s="30"/>
      <c r="E572" s="89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5"/>
      <c r="B573" s="30"/>
      <c r="C573" s="89"/>
      <c r="D573" s="30"/>
      <c r="E573" s="89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5"/>
      <c r="B574" s="30"/>
      <c r="C574" s="89"/>
      <c r="D574" s="30"/>
      <c r="E574" s="89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5"/>
      <c r="B575" s="30"/>
      <c r="C575" s="89"/>
      <c r="D575" s="30"/>
      <c r="E575" s="89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5"/>
      <c r="B576" s="30"/>
      <c r="C576" s="89"/>
      <c r="D576" s="30"/>
      <c r="E576" s="89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5"/>
      <c r="B577" s="30"/>
      <c r="C577" s="89"/>
      <c r="D577" s="30"/>
      <c r="E577" s="89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5"/>
      <c r="B578" s="30"/>
      <c r="C578" s="89"/>
      <c r="D578" s="30"/>
      <c r="E578" s="89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5"/>
      <c r="B579" s="30"/>
      <c r="C579" s="89"/>
      <c r="D579" s="30"/>
      <c r="E579" s="89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5"/>
      <c r="B580" s="30"/>
      <c r="C580" s="89"/>
      <c r="D580" s="30"/>
      <c r="E580" s="89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5"/>
      <c r="B581" s="30"/>
      <c r="C581" s="89"/>
      <c r="D581" s="30"/>
      <c r="E581" s="89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5"/>
      <c r="B582" s="30"/>
      <c r="C582" s="89"/>
      <c r="D582" s="30"/>
      <c r="E582" s="89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5"/>
      <c r="B583" s="30"/>
      <c r="C583" s="89"/>
      <c r="D583" s="30"/>
      <c r="E583" s="89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5"/>
      <c r="B584" s="30"/>
      <c r="C584" s="89"/>
      <c r="D584" s="30"/>
      <c r="E584" s="89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5"/>
      <c r="B585" s="30"/>
      <c r="C585" s="89"/>
      <c r="D585" s="30"/>
      <c r="E585" s="89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5"/>
      <c r="B586" s="30"/>
      <c r="C586" s="89"/>
      <c r="D586" s="30"/>
      <c r="E586" s="89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5"/>
      <c r="B587" s="30"/>
      <c r="C587" s="89"/>
      <c r="D587" s="30"/>
      <c r="E587" s="89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5"/>
      <c r="B588" s="30"/>
      <c r="C588" s="89"/>
      <c r="D588" s="30"/>
      <c r="E588" s="89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5"/>
      <c r="B589" s="30"/>
      <c r="C589" s="89"/>
      <c r="D589" s="30"/>
      <c r="E589" s="89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5"/>
      <c r="B590" s="30"/>
      <c r="C590" s="89"/>
      <c r="D590" s="30"/>
      <c r="E590" s="89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5"/>
      <c r="B591" s="30"/>
      <c r="C591" s="89"/>
      <c r="D591" s="30"/>
      <c r="E591" s="89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5"/>
      <c r="B592" s="30"/>
      <c r="C592" s="89"/>
      <c r="D592" s="30"/>
      <c r="E592" s="89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5"/>
      <c r="B593" s="30"/>
      <c r="C593" s="89"/>
      <c r="D593" s="30"/>
      <c r="E593" s="89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5"/>
      <c r="B594" s="30"/>
      <c r="C594" s="89"/>
      <c r="D594" s="30"/>
      <c r="E594" s="89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5"/>
      <c r="B595" s="30"/>
      <c r="C595" s="89"/>
      <c r="D595" s="30"/>
      <c r="E595" s="89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5"/>
      <c r="B596" s="30"/>
      <c r="C596" s="89"/>
      <c r="D596" s="30"/>
      <c r="E596" s="89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5"/>
      <c r="B597" s="30"/>
      <c r="C597" s="89"/>
      <c r="D597" s="30"/>
      <c r="E597" s="89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5"/>
      <c r="B598" s="30"/>
      <c r="C598" s="89"/>
      <c r="D598" s="30"/>
      <c r="E598" s="89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5"/>
      <c r="B599" s="30"/>
      <c r="C599" s="89"/>
      <c r="D599" s="30"/>
      <c r="E599" s="89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5"/>
      <c r="B600" s="30"/>
      <c r="C600" s="89"/>
      <c r="D600" s="30"/>
      <c r="E600" s="89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5"/>
      <c r="B601" s="30"/>
      <c r="C601" s="89"/>
      <c r="D601" s="30"/>
      <c r="E601" s="89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5"/>
      <c r="B602" s="30"/>
      <c r="C602" s="89"/>
      <c r="D602" s="30"/>
      <c r="E602" s="89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5"/>
      <c r="B603" s="30"/>
      <c r="C603" s="89"/>
      <c r="D603" s="30"/>
      <c r="E603" s="89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5"/>
      <c r="B604" s="30"/>
      <c r="C604" s="89"/>
      <c r="D604" s="30"/>
      <c r="E604" s="89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5"/>
      <c r="B605" s="30"/>
      <c r="C605" s="89"/>
      <c r="D605" s="30"/>
      <c r="E605" s="89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5"/>
      <c r="B606" s="30"/>
      <c r="C606" s="89"/>
      <c r="D606" s="30"/>
      <c r="E606" s="89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5"/>
      <c r="B607" s="30"/>
      <c r="C607" s="89"/>
      <c r="D607" s="30"/>
      <c r="E607" s="89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5"/>
      <c r="B608" s="30"/>
      <c r="C608" s="89"/>
      <c r="D608" s="30"/>
      <c r="E608" s="89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5"/>
      <c r="B609" s="30"/>
      <c r="C609" s="89"/>
      <c r="D609" s="30"/>
      <c r="E609" s="89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5"/>
      <c r="B610" s="30"/>
      <c r="C610" s="89"/>
      <c r="D610" s="30"/>
      <c r="E610" s="89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5"/>
      <c r="B611" s="30"/>
      <c r="C611" s="89"/>
      <c r="D611" s="30"/>
      <c r="E611" s="89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5"/>
      <c r="B612" s="30"/>
      <c r="C612" s="89"/>
      <c r="D612" s="30"/>
      <c r="E612" s="89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5"/>
      <c r="B613" s="30"/>
      <c r="C613" s="89"/>
      <c r="D613" s="30"/>
      <c r="E613" s="89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5"/>
      <c r="B614" s="30"/>
      <c r="C614" s="89"/>
      <c r="D614" s="30"/>
      <c r="E614" s="89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5"/>
      <c r="B615" s="30"/>
      <c r="C615" s="89"/>
      <c r="D615" s="30"/>
      <c r="E615" s="89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5"/>
      <c r="B616" s="30"/>
      <c r="C616" s="89"/>
      <c r="D616" s="30"/>
      <c r="E616" s="89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5"/>
      <c r="B617" s="30"/>
      <c r="C617" s="89"/>
      <c r="D617" s="30"/>
      <c r="E617" s="89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5"/>
      <c r="B618" s="30"/>
      <c r="C618" s="89"/>
      <c r="D618" s="30"/>
      <c r="E618" s="89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5"/>
      <c r="B619" s="30"/>
      <c r="C619" s="89"/>
      <c r="D619" s="30"/>
      <c r="E619" s="89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5"/>
      <c r="B620" s="30"/>
      <c r="C620" s="89"/>
      <c r="D620" s="30"/>
      <c r="E620" s="89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5"/>
      <c r="B621" s="30"/>
      <c r="C621" s="89"/>
      <c r="D621" s="30"/>
      <c r="E621" s="89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5"/>
      <c r="B622" s="30"/>
      <c r="C622" s="89"/>
      <c r="D622" s="30"/>
      <c r="E622" s="89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5"/>
      <c r="B623" s="30"/>
      <c r="C623" s="89"/>
      <c r="D623" s="30"/>
      <c r="E623" s="89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5"/>
      <c r="B624" s="30"/>
      <c r="C624" s="89"/>
      <c r="D624" s="30"/>
      <c r="E624" s="89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5"/>
      <c r="B625" s="30"/>
      <c r="C625" s="89"/>
      <c r="D625" s="30"/>
      <c r="E625" s="89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5"/>
      <c r="B626" s="30"/>
      <c r="C626" s="89"/>
      <c r="D626" s="30"/>
      <c r="E626" s="89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5"/>
      <c r="B627" s="30"/>
      <c r="C627" s="89"/>
      <c r="D627" s="30"/>
      <c r="E627" s="89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5"/>
      <c r="B628" s="30"/>
      <c r="C628" s="89"/>
      <c r="D628" s="30"/>
      <c r="E628" s="89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5"/>
      <c r="B629" s="30"/>
      <c r="C629" s="89"/>
      <c r="D629" s="30"/>
      <c r="E629" s="89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5"/>
      <c r="B630" s="30"/>
      <c r="C630" s="89"/>
      <c r="D630" s="30"/>
      <c r="E630" s="89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5"/>
      <c r="B631" s="30"/>
      <c r="C631" s="89"/>
      <c r="D631" s="30"/>
      <c r="E631" s="89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5"/>
      <c r="B632" s="30"/>
      <c r="C632" s="89"/>
      <c r="D632" s="30"/>
      <c r="E632" s="89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5"/>
      <c r="B633" s="30"/>
      <c r="C633" s="89"/>
      <c r="D633" s="30"/>
      <c r="E633" s="89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5"/>
      <c r="B634" s="30"/>
      <c r="C634" s="89"/>
      <c r="D634" s="30"/>
      <c r="E634" s="89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5"/>
      <c r="B635" s="30"/>
      <c r="C635" s="89"/>
      <c r="D635" s="30"/>
      <c r="E635" s="89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5"/>
      <c r="B636" s="30"/>
      <c r="C636" s="89"/>
      <c r="D636" s="30"/>
      <c r="E636" s="89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5"/>
      <c r="B637" s="30"/>
      <c r="C637" s="89"/>
      <c r="D637" s="30"/>
      <c r="E637" s="89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5"/>
      <c r="B638" s="30"/>
      <c r="C638" s="89"/>
      <c r="D638" s="30"/>
      <c r="E638" s="89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5"/>
      <c r="B639" s="30"/>
      <c r="C639" s="89"/>
      <c r="D639" s="30"/>
      <c r="E639" s="89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5"/>
      <c r="B640" s="30"/>
      <c r="C640" s="89"/>
      <c r="D640" s="30"/>
      <c r="E640" s="89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5"/>
      <c r="B641" s="30"/>
      <c r="C641" s="89"/>
      <c r="D641" s="30"/>
      <c r="E641" s="89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5"/>
      <c r="B642" s="30"/>
      <c r="C642" s="89"/>
      <c r="D642" s="30"/>
      <c r="E642" s="89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5"/>
      <c r="B643" s="30"/>
      <c r="C643" s="89"/>
      <c r="D643" s="30"/>
      <c r="E643" s="89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5"/>
      <c r="B644" s="30"/>
      <c r="C644" s="89"/>
      <c r="D644" s="30"/>
      <c r="E644" s="89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5"/>
      <c r="B645" s="30"/>
      <c r="C645" s="89"/>
      <c r="D645" s="30"/>
      <c r="E645" s="89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5"/>
      <c r="B646" s="30"/>
      <c r="C646" s="89"/>
      <c r="D646" s="30"/>
      <c r="E646" s="89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5"/>
      <c r="B647" s="30"/>
      <c r="C647" s="89"/>
      <c r="D647" s="30"/>
      <c r="E647" s="89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5"/>
      <c r="B648" s="30"/>
      <c r="C648" s="89"/>
      <c r="D648" s="30"/>
      <c r="E648" s="89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5"/>
      <c r="B649" s="30"/>
      <c r="C649" s="89"/>
      <c r="D649" s="30"/>
      <c r="E649" s="89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5"/>
      <c r="B650" s="30"/>
      <c r="C650" s="89"/>
      <c r="D650" s="30"/>
      <c r="E650" s="89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5"/>
      <c r="B651" s="30"/>
      <c r="C651" s="89"/>
      <c r="D651" s="30"/>
      <c r="E651" s="89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5"/>
      <c r="B652" s="30"/>
      <c r="C652" s="89"/>
      <c r="D652" s="30"/>
      <c r="E652" s="89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5"/>
      <c r="B653" s="30"/>
      <c r="C653" s="89"/>
      <c r="D653" s="30"/>
      <c r="E653" s="89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5"/>
      <c r="B654" s="30"/>
      <c r="C654" s="89"/>
      <c r="D654" s="30"/>
      <c r="E654" s="89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5"/>
      <c r="B655" s="30"/>
      <c r="C655" s="89"/>
      <c r="D655" s="30"/>
      <c r="E655" s="89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5"/>
      <c r="B656" s="30"/>
      <c r="C656" s="89"/>
      <c r="D656" s="30"/>
      <c r="E656" s="89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5"/>
      <c r="B657" s="30"/>
      <c r="C657" s="89"/>
      <c r="D657" s="30"/>
      <c r="E657" s="89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5"/>
      <c r="B658" s="30"/>
      <c r="C658" s="89"/>
      <c r="D658" s="30"/>
      <c r="E658" s="89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5"/>
      <c r="B659" s="30"/>
      <c r="C659" s="89"/>
      <c r="D659" s="30"/>
      <c r="E659" s="89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5"/>
      <c r="B660" s="30"/>
      <c r="C660" s="89"/>
      <c r="D660" s="30"/>
      <c r="E660" s="89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5"/>
      <c r="B661" s="30"/>
      <c r="C661" s="89"/>
      <c r="D661" s="30"/>
      <c r="E661" s="89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5"/>
      <c r="B662" s="30"/>
      <c r="C662" s="89"/>
      <c r="D662" s="30"/>
      <c r="E662" s="89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5"/>
      <c r="B663" s="30"/>
      <c r="C663" s="89"/>
      <c r="D663" s="30"/>
      <c r="E663" s="89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5"/>
      <c r="B664" s="30"/>
      <c r="C664" s="89"/>
      <c r="D664" s="30"/>
      <c r="E664" s="89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5"/>
      <c r="B665" s="30"/>
      <c r="C665" s="89"/>
      <c r="D665" s="30"/>
      <c r="E665" s="89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5"/>
      <c r="B666" s="30"/>
      <c r="C666" s="89"/>
      <c r="D666" s="30"/>
      <c r="E666" s="89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5"/>
      <c r="B667" s="30"/>
      <c r="C667" s="89"/>
      <c r="D667" s="30"/>
      <c r="E667" s="89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5"/>
      <c r="B668" s="30"/>
      <c r="C668" s="89"/>
      <c r="D668" s="30"/>
      <c r="E668" s="89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5"/>
      <c r="B669" s="30"/>
      <c r="C669" s="89"/>
      <c r="D669" s="30"/>
      <c r="E669" s="89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5"/>
      <c r="B670" s="30"/>
      <c r="C670" s="89"/>
      <c r="D670" s="30"/>
      <c r="E670" s="89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5"/>
      <c r="B671" s="30"/>
      <c r="C671" s="89"/>
      <c r="D671" s="30"/>
      <c r="E671" s="89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5"/>
      <c r="B672" s="30"/>
      <c r="C672" s="89"/>
      <c r="D672" s="30"/>
      <c r="E672" s="89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5"/>
      <c r="B673" s="30"/>
      <c r="C673" s="89"/>
      <c r="D673" s="30"/>
      <c r="E673" s="89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5"/>
      <c r="B674" s="30"/>
      <c r="C674" s="89"/>
      <c r="D674" s="30"/>
      <c r="E674" s="89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5"/>
      <c r="B675" s="30"/>
      <c r="C675" s="89"/>
      <c r="D675" s="30"/>
      <c r="E675" s="89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5"/>
      <c r="B676" s="30"/>
      <c r="C676" s="89"/>
      <c r="D676" s="30"/>
      <c r="E676" s="89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5"/>
      <c r="B677" s="30"/>
      <c r="C677" s="89"/>
      <c r="D677" s="30"/>
      <c r="E677" s="89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5"/>
      <c r="B678" s="30"/>
      <c r="C678" s="89"/>
      <c r="D678" s="30"/>
      <c r="E678" s="89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5"/>
      <c r="B679" s="30"/>
      <c r="C679" s="89"/>
      <c r="D679" s="30"/>
      <c r="E679" s="89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5"/>
      <c r="B680" s="30"/>
      <c r="C680" s="89"/>
      <c r="D680" s="30"/>
      <c r="E680" s="89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5"/>
      <c r="B681" s="30"/>
      <c r="C681" s="89"/>
      <c r="D681" s="30"/>
      <c r="E681" s="89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5"/>
      <c r="B682" s="30"/>
      <c r="C682" s="89"/>
      <c r="D682" s="30"/>
      <c r="E682" s="89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5"/>
      <c r="B683" s="30"/>
      <c r="C683" s="89"/>
      <c r="D683" s="30"/>
      <c r="E683" s="89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5"/>
      <c r="B684" s="30"/>
      <c r="C684" s="89"/>
      <c r="D684" s="30"/>
      <c r="E684" s="89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5"/>
      <c r="B685" s="30"/>
      <c r="C685" s="89"/>
      <c r="D685" s="30"/>
      <c r="E685" s="89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5"/>
      <c r="B686" s="30"/>
      <c r="C686" s="89"/>
      <c r="D686" s="30"/>
      <c r="E686" s="89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5"/>
      <c r="B687" s="30"/>
      <c r="C687" s="89"/>
      <c r="D687" s="30"/>
      <c r="E687" s="89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5"/>
      <c r="B688" s="30"/>
      <c r="C688" s="89"/>
      <c r="D688" s="30"/>
      <c r="E688" s="89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5"/>
      <c r="B689" s="30"/>
      <c r="C689" s="89"/>
      <c r="D689" s="30"/>
      <c r="E689" s="89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5"/>
      <c r="B690" s="30"/>
      <c r="C690" s="89"/>
      <c r="D690" s="30"/>
      <c r="E690" s="89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5"/>
      <c r="B691" s="30"/>
      <c r="C691" s="89"/>
      <c r="D691" s="30"/>
      <c r="E691" s="89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5"/>
      <c r="B692" s="30"/>
      <c r="C692" s="89"/>
      <c r="D692" s="30"/>
      <c r="E692" s="89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5"/>
      <c r="B693" s="30"/>
      <c r="C693" s="89"/>
      <c r="D693" s="30"/>
      <c r="E693" s="89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5"/>
      <c r="B694" s="30"/>
      <c r="C694" s="89"/>
      <c r="D694" s="30"/>
      <c r="E694" s="89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5"/>
      <c r="B695" s="30"/>
      <c r="C695" s="89"/>
      <c r="D695" s="30"/>
      <c r="E695" s="89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5"/>
      <c r="B696" s="30"/>
      <c r="C696" s="89"/>
      <c r="D696" s="30"/>
      <c r="E696" s="89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5"/>
      <c r="B697" s="30"/>
      <c r="C697" s="89"/>
      <c r="D697" s="30"/>
      <c r="E697" s="89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5"/>
      <c r="B698" s="30"/>
      <c r="C698" s="89"/>
      <c r="D698" s="30"/>
      <c r="E698" s="89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5"/>
      <c r="B699" s="30"/>
      <c r="C699" s="89"/>
      <c r="D699" s="30"/>
      <c r="E699" s="89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5"/>
      <c r="B700" s="30"/>
      <c r="C700" s="89"/>
      <c r="D700" s="30"/>
      <c r="E700" s="89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5"/>
      <c r="B701" s="30"/>
      <c r="C701" s="89"/>
      <c r="D701" s="30"/>
      <c r="E701" s="89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5"/>
      <c r="B702" s="30"/>
      <c r="C702" s="89"/>
      <c r="D702" s="30"/>
      <c r="E702" s="89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5"/>
      <c r="B703" s="30"/>
      <c r="C703" s="89"/>
      <c r="D703" s="30"/>
      <c r="E703" s="89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5"/>
      <c r="B704" s="30"/>
      <c r="C704" s="89"/>
      <c r="D704" s="30"/>
      <c r="E704" s="89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5"/>
      <c r="B705" s="30"/>
      <c r="C705" s="89"/>
      <c r="D705" s="30"/>
      <c r="E705" s="89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5"/>
      <c r="B706" s="30"/>
      <c r="C706" s="89"/>
      <c r="D706" s="30"/>
      <c r="E706" s="89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5"/>
      <c r="B707" s="30"/>
      <c r="C707" s="89"/>
      <c r="D707" s="30"/>
      <c r="E707" s="89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5"/>
      <c r="B708" s="30"/>
      <c r="C708" s="89"/>
      <c r="D708" s="30"/>
      <c r="E708" s="89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5"/>
      <c r="B709" s="30"/>
      <c r="C709" s="89"/>
      <c r="D709" s="30"/>
      <c r="E709" s="89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5"/>
      <c r="B710" s="30"/>
      <c r="C710" s="89"/>
      <c r="D710" s="30"/>
      <c r="E710" s="89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5"/>
      <c r="B711" s="30"/>
      <c r="C711" s="89"/>
      <c r="D711" s="30"/>
      <c r="E711" s="89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5"/>
      <c r="B712" s="30"/>
      <c r="C712" s="89"/>
      <c r="D712" s="30"/>
      <c r="E712" s="89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5"/>
      <c r="B713" s="30"/>
      <c r="C713" s="89"/>
      <c r="D713" s="30"/>
      <c r="E713" s="89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5"/>
      <c r="B714" s="30"/>
      <c r="C714" s="89"/>
      <c r="D714" s="30"/>
      <c r="E714" s="89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5"/>
      <c r="B715" s="30"/>
      <c r="C715" s="89"/>
      <c r="D715" s="30"/>
      <c r="E715" s="89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5"/>
      <c r="B716" s="30"/>
      <c r="C716" s="89"/>
      <c r="D716" s="30"/>
      <c r="E716" s="89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5"/>
      <c r="B717" s="30"/>
      <c r="C717" s="89"/>
      <c r="D717" s="30"/>
      <c r="E717" s="89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5"/>
      <c r="B718" s="30"/>
      <c r="C718" s="89"/>
      <c r="D718" s="30"/>
      <c r="E718" s="89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5"/>
      <c r="B719" s="30"/>
      <c r="C719" s="89"/>
      <c r="D719" s="30"/>
      <c r="E719" s="89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5"/>
      <c r="B720" s="30"/>
      <c r="C720" s="89"/>
      <c r="D720" s="30"/>
      <c r="E720" s="89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5"/>
      <c r="B721" s="30"/>
      <c r="C721" s="89"/>
      <c r="D721" s="30"/>
      <c r="E721" s="89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5"/>
      <c r="B722" s="30"/>
      <c r="C722" s="89"/>
      <c r="D722" s="30"/>
      <c r="E722" s="89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5"/>
      <c r="B723" s="30"/>
      <c r="C723" s="89"/>
      <c r="D723" s="30"/>
      <c r="E723" s="89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5"/>
      <c r="B724" s="30"/>
      <c r="C724" s="89"/>
      <c r="D724" s="30"/>
      <c r="E724" s="89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5"/>
      <c r="B725" s="30"/>
      <c r="C725" s="89"/>
      <c r="D725" s="30"/>
      <c r="E725" s="89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5"/>
      <c r="B726" s="30"/>
      <c r="C726" s="89"/>
      <c r="D726" s="30"/>
      <c r="E726" s="89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5"/>
      <c r="B727" s="30"/>
      <c r="C727" s="89"/>
      <c r="D727" s="30"/>
      <c r="E727" s="89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5"/>
      <c r="B728" s="30"/>
      <c r="C728" s="89"/>
      <c r="D728" s="30"/>
      <c r="E728" s="89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5"/>
      <c r="B729" s="30"/>
      <c r="C729" s="89"/>
      <c r="D729" s="30"/>
      <c r="E729" s="89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5"/>
      <c r="B730" s="30"/>
      <c r="C730" s="89"/>
      <c r="D730" s="30"/>
      <c r="E730" s="89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5"/>
      <c r="B731" s="30"/>
      <c r="C731" s="89"/>
      <c r="D731" s="30"/>
      <c r="E731" s="89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5"/>
      <c r="B732" s="30"/>
      <c r="C732" s="89"/>
      <c r="D732" s="30"/>
      <c r="E732" s="89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5"/>
      <c r="B733" s="30"/>
      <c r="C733" s="89"/>
      <c r="D733" s="30"/>
      <c r="E733" s="89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5"/>
      <c r="B734" s="30"/>
      <c r="C734" s="89"/>
      <c r="D734" s="30"/>
      <c r="E734" s="89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5"/>
      <c r="B735" s="30"/>
      <c r="C735" s="89"/>
      <c r="D735" s="30"/>
      <c r="E735" s="89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5"/>
      <c r="B736" s="30"/>
      <c r="C736" s="89"/>
      <c r="D736" s="30"/>
      <c r="E736" s="89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5"/>
      <c r="B737" s="30"/>
      <c r="C737" s="89"/>
      <c r="D737" s="30"/>
      <c r="E737" s="89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5"/>
      <c r="B738" s="30"/>
      <c r="C738" s="89"/>
      <c r="D738" s="30"/>
      <c r="E738" s="89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5"/>
      <c r="B739" s="30"/>
      <c r="C739" s="89"/>
      <c r="D739" s="30"/>
      <c r="E739" s="89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5"/>
      <c r="B740" s="30"/>
      <c r="C740" s="89"/>
      <c r="D740" s="30"/>
      <c r="E740" s="89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5"/>
      <c r="B741" s="30"/>
      <c r="C741" s="89"/>
      <c r="D741" s="30"/>
      <c r="E741" s="89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5"/>
      <c r="B742" s="30"/>
      <c r="C742" s="89"/>
      <c r="D742" s="30"/>
      <c r="E742" s="89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5"/>
      <c r="B743" s="30"/>
      <c r="C743" s="89"/>
      <c r="D743" s="30"/>
      <c r="E743" s="89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5"/>
      <c r="B744" s="30"/>
      <c r="C744" s="89"/>
      <c r="D744" s="30"/>
      <c r="E744" s="89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5"/>
      <c r="B745" s="30"/>
      <c r="C745" s="89"/>
      <c r="D745" s="30"/>
      <c r="E745" s="89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5"/>
      <c r="B746" s="30"/>
      <c r="C746" s="89"/>
      <c r="D746" s="30"/>
      <c r="E746" s="89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5"/>
      <c r="B747" s="30"/>
      <c r="C747" s="89"/>
      <c r="D747" s="30"/>
      <c r="E747" s="89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5"/>
      <c r="B748" s="30"/>
      <c r="C748" s="89"/>
      <c r="D748" s="30"/>
      <c r="E748" s="89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5"/>
      <c r="B749" s="30"/>
      <c r="C749" s="89"/>
      <c r="D749" s="30"/>
      <c r="E749" s="89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5"/>
      <c r="B750" s="30"/>
      <c r="C750" s="89"/>
      <c r="D750" s="30"/>
      <c r="E750" s="89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5"/>
      <c r="B751" s="30"/>
      <c r="C751" s="89"/>
      <c r="D751" s="30"/>
      <c r="E751" s="89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5"/>
      <c r="B752" s="30"/>
      <c r="C752" s="89"/>
      <c r="D752" s="30"/>
      <c r="E752" s="89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5"/>
      <c r="B753" s="30"/>
      <c r="C753" s="89"/>
      <c r="D753" s="30"/>
      <c r="E753" s="89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5"/>
      <c r="B754" s="30"/>
      <c r="C754" s="89"/>
      <c r="D754" s="30"/>
      <c r="E754" s="89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5"/>
      <c r="B755" s="30"/>
      <c r="C755" s="89"/>
      <c r="D755" s="30"/>
      <c r="E755" s="89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5"/>
      <c r="B756" s="30"/>
      <c r="C756" s="89"/>
      <c r="D756" s="30"/>
      <c r="E756" s="89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5"/>
      <c r="B757" s="30"/>
      <c r="C757" s="89"/>
      <c r="D757" s="30"/>
      <c r="E757" s="89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5"/>
      <c r="B758" s="30"/>
      <c r="C758" s="89"/>
      <c r="D758" s="30"/>
      <c r="E758" s="89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5"/>
      <c r="B759" s="30"/>
      <c r="C759" s="89"/>
      <c r="D759" s="30"/>
      <c r="E759" s="89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5"/>
      <c r="B760" s="30"/>
      <c r="C760" s="89"/>
      <c r="D760" s="30"/>
      <c r="E760" s="89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5"/>
      <c r="B761" s="30"/>
      <c r="C761" s="89"/>
      <c r="D761" s="30"/>
      <c r="E761" s="89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5"/>
      <c r="B762" s="30"/>
      <c r="C762" s="89"/>
      <c r="D762" s="30"/>
      <c r="E762" s="89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5"/>
      <c r="B763" s="30"/>
      <c r="C763" s="89"/>
      <c r="D763" s="30"/>
      <c r="E763" s="89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5"/>
      <c r="B764" s="30"/>
      <c r="C764" s="89"/>
      <c r="D764" s="30"/>
      <c r="E764" s="89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5"/>
      <c r="B765" s="30"/>
      <c r="C765" s="89"/>
      <c r="D765" s="30"/>
      <c r="E765" s="89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5"/>
      <c r="B766" s="30"/>
      <c r="C766" s="89"/>
      <c r="D766" s="30"/>
      <c r="E766" s="89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5"/>
      <c r="B767" s="30"/>
      <c r="C767" s="89"/>
      <c r="D767" s="30"/>
      <c r="E767" s="89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5"/>
      <c r="B768" s="30"/>
      <c r="C768" s="89"/>
      <c r="D768" s="30"/>
      <c r="E768" s="89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5"/>
      <c r="B769" s="30"/>
      <c r="C769" s="89"/>
      <c r="D769" s="30"/>
      <c r="E769" s="89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5"/>
      <c r="B770" s="30"/>
      <c r="C770" s="89"/>
      <c r="D770" s="30"/>
      <c r="E770" s="89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5"/>
      <c r="B771" s="30"/>
      <c r="C771" s="89"/>
      <c r="D771" s="30"/>
      <c r="E771" s="89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5"/>
      <c r="B772" s="30"/>
      <c r="C772" s="89"/>
      <c r="D772" s="30"/>
      <c r="E772" s="89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5"/>
      <c r="B773" s="30"/>
      <c r="C773" s="89"/>
      <c r="D773" s="30"/>
      <c r="E773" s="89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5"/>
      <c r="B774" s="30"/>
      <c r="C774" s="89"/>
      <c r="D774" s="30"/>
      <c r="E774" s="89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5"/>
      <c r="B775" s="30"/>
      <c r="C775" s="89"/>
      <c r="D775" s="30"/>
      <c r="E775" s="89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5"/>
      <c r="B776" s="30"/>
      <c r="C776" s="89"/>
      <c r="D776" s="30"/>
      <c r="E776" s="89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5"/>
      <c r="B777" s="30"/>
      <c r="C777" s="89"/>
      <c r="D777" s="30"/>
      <c r="E777" s="89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5"/>
      <c r="B778" s="30"/>
      <c r="C778" s="89"/>
      <c r="D778" s="30"/>
      <c r="E778" s="89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5"/>
      <c r="B779" s="30"/>
      <c r="C779" s="89"/>
      <c r="D779" s="30"/>
      <c r="E779" s="89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5"/>
      <c r="B780" s="30"/>
      <c r="C780" s="89"/>
      <c r="D780" s="30"/>
      <c r="E780" s="89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5"/>
      <c r="B781" s="30"/>
      <c r="C781" s="89"/>
      <c r="D781" s="30"/>
      <c r="E781" s="89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5"/>
      <c r="B782" s="30"/>
      <c r="C782" s="89"/>
      <c r="D782" s="30"/>
      <c r="E782" s="89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5"/>
      <c r="B783" s="30"/>
      <c r="C783" s="89"/>
      <c r="D783" s="30"/>
      <c r="E783" s="89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5"/>
      <c r="B784" s="30"/>
      <c r="C784" s="89"/>
      <c r="D784" s="30"/>
      <c r="E784" s="89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5"/>
      <c r="B785" s="30"/>
      <c r="C785" s="89"/>
      <c r="D785" s="30"/>
      <c r="E785" s="89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5"/>
      <c r="B786" s="30"/>
      <c r="C786" s="89"/>
      <c r="D786" s="30"/>
      <c r="E786" s="89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5"/>
      <c r="B787" s="30"/>
      <c r="C787" s="89"/>
      <c r="D787" s="30"/>
      <c r="E787" s="89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5"/>
      <c r="B788" s="30"/>
      <c r="C788" s="89"/>
      <c r="D788" s="30"/>
      <c r="E788" s="89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5"/>
      <c r="B789" s="30"/>
      <c r="C789" s="89"/>
      <c r="D789" s="30"/>
      <c r="E789" s="89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5"/>
      <c r="B790" s="30"/>
      <c r="C790" s="89"/>
      <c r="D790" s="30"/>
      <c r="E790" s="89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5"/>
      <c r="B791" s="30"/>
      <c r="C791" s="89"/>
      <c r="D791" s="30"/>
      <c r="E791" s="89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5"/>
      <c r="B792" s="30"/>
      <c r="C792" s="89"/>
      <c r="D792" s="30"/>
      <c r="E792" s="89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5"/>
      <c r="B793" s="30"/>
      <c r="C793" s="89"/>
      <c r="D793" s="30"/>
      <c r="E793" s="89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5"/>
      <c r="B794" s="30"/>
      <c r="C794" s="89"/>
      <c r="D794" s="30"/>
      <c r="E794" s="89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5"/>
      <c r="B795" s="30"/>
      <c r="C795" s="89"/>
      <c r="D795" s="30"/>
      <c r="E795" s="89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5"/>
      <c r="B796" s="30"/>
      <c r="C796" s="89"/>
      <c r="D796" s="30"/>
      <c r="E796" s="89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5"/>
      <c r="B797" s="30"/>
      <c r="C797" s="89"/>
      <c r="D797" s="30"/>
      <c r="E797" s="89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5"/>
      <c r="B798" s="30"/>
      <c r="C798" s="89"/>
      <c r="D798" s="30"/>
      <c r="E798" s="89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5"/>
      <c r="B799" s="30"/>
      <c r="C799" s="89"/>
      <c r="D799" s="30"/>
      <c r="E799" s="89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5"/>
      <c r="B800" s="30"/>
      <c r="C800" s="89"/>
      <c r="D800" s="30"/>
      <c r="E800" s="89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5"/>
      <c r="B801" s="30"/>
      <c r="C801" s="89"/>
      <c r="D801" s="30"/>
      <c r="E801" s="89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5"/>
      <c r="B802" s="30"/>
      <c r="C802" s="89"/>
      <c r="D802" s="30"/>
      <c r="E802" s="89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5"/>
      <c r="B803" s="30"/>
      <c r="C803" s="89"/>
      <c r="D803" s="30"/>
      <c r="E803" s="89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5"/>
      <c r="B804" s="30"/>
      <c r="C804" s="89"/>
      <c r="D804" s="30"/>
      <c r="E804" s="89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5"/>
      <c r="B805" s="30"/>
      <c r="C805" s="89"/>
      <c r="D805" s="30"/>
      <c r="E805" s="89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5"/>
      <c r="B806" s="30"/>
      <c r="C806" s="89"/>
      <c r="D806" s="30"/>
      <c r="E806" s="89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5"/>
      <c r="B807" s="30"/>
      <c r="C807" s="89"/>
      <c r="D807" s="30"/>
      <c r="E807" s="89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5"/>
      <c r="B808" s="30"/>
      <c r="C808" s="89"/>
      <c r="D808" s="30"/>
      <c r="E808" s="89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5"/>
      <c r="B809" s="30"/>
      <c r="C809" s="89"/>
      <c r="D809" s="30"/>
      <c r="E809" s="89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5"/>
      <c r="B810" s="30"/>
      <c r="C810" s="89"/>
      <c r="D810" s="30"/>
      <c r="E810" s="89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5"/>
      <c r="B811" s="30"/>
      <c r="C811" s="89"/>
      <c r="D811" s="30"/>
      <c r="E811" s="89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5"/>
      <c r="B812" s="30"/>
      <c r="C812" s="89"/>
      <c r="D812" s="30"/>
      <c r="E812" s="89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5"/>
      <c r="B813" s="30"/>
      <c r="C813" s="89"/>
      <c r="D813" s="30"/>
      <c r="E813" s="89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5"/>
      <c r="B814" s="30"/>
      <c r="C814" s="89"/>
      <c r="D814" s="30"/>
      <c r="E814" s="89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5"/>
      <c r="B815" s="30"/>
      <c r="C815" s="89"/>
      <c r="D815" s="30"/>
      <c r="E815" s="89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5"/>
      <c r="B816" s="30"/>
      <c r="C816" s="89"/>
      <c r="D816" s="30"/>
      <c r="E816" s="89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5"/>
      <c r="B817" s="30"/>
      <c r="C817" s="89"/>
      <c r="D817" s="30"/>
      <c r="E817" s="89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5"/>
      <c r="B818" s="30"/>
      <c r="C818" s="89"/>
      <c r="D818" s="30"/>
      <c r="E818" s="89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5"/>
      <c r="B819" s="30"/>
      <c r="C819" s="89"/>
      <c r="D819" s="30"/>
      <c r="E819" s="89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5"/>
      <c r="B820" s="30"/>
      <c r="C820" s="89"/>
      <c r="D820" s="30"/>
      <c r="E820" s="89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5"/>
      <c r="B821" s="30"/>
      <c r="C821" s="89"/>
      <c r="D821" s="30"/>
      <c r="E821" s="89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5"/>
      <c r="B822" s="30"/>
      <c r="C822" s="89"/>
      <c r="D822" s="30"/>
      <c r="E822" s="89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5"/>
      <c r="B823" s="30"/>
      <c r="C823" s="89"/>
      <c r="D823" s="30"/>
      <c r="E823" s="89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5"/>
      <c r="B824" s="30"/>
      <c r="C824" s="89"/>
      <c r="D824" s="30"/>
      <c r="E824" s="89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5"/>
      <c r="B825" s="30"/>
      <c r="C825" s="89"/>
      <c r="D825" s="30"/>
      <c r="E825" s="89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5"/>
      <c r="B826" s="30"/>
      <c r="C826" s="89"/>
      <c r="D826" s="30"/>
      <c r="E826" s="89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5"/>
      <c r="B827" s="30"/>
      <c r="C827" s="89"/>
      <c r="D827" s="30"/>
      <c r="E827" s="89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5"/>
      <c r="B828" s="30"/>
      <c r="C828" s="89"/>
      <c r="D828" s="30"/>
      <c r="E828" s="89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5"/>
      <c r="B829" s="30"/>
      <c r="C829" s="89"/>
      <c r="D829" s="30"/>
      <c r="E829" s="89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5"/>
      <c r="B830" s="30"/>
      <c r="C830" s="89"/>
      <c r="D830" s="30"/>
      <c r="E830" s="89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5"/>
      <c r="B831" s="30"/>
      <c r="C831" s="89"/>
      <c r="D831" s="30"/>
      <c r="E831" s="89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5"/>
      <c r="B832" s="30"/>
      <c r="C832" s="89"/>
      <c r="D832" s="30"/>
      <c r="E832" s="89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5"/>
      <c r="B833" s="30"/>
      <c r="C833" s="89"/>
      <c r="D833" s="30"/>
      <c r="E833" s="89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5"/>
      <c r="B834" s="30"/>
      <c r="C834" s="89"/>
      <c r="D834" s="30"/>
      <c r="E834" s="89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5"/>
      <c r="B835" s="30"/>
      <c r="C835" s="89"/>
      <c r="D835" s="30"/>
      <c r="E835" s="89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5"/>
      <c r="B836" s="30"/>
      <c r="C836" s="89"/>
      <c r="D836" s="30"/>
      <c r="E836" s="89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5"/>
      <c r="B837" s="30"/>
      <c r="C837" s="89"/>
      <c r="D837" s="30"/>
      <c r="E837" s="89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5"/>
      <c r="B838" s="30"/>
      <c r="C838" s="89"/>
      <c r="D838" s="30"/>
      <c r="E838" s="89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5"/>
      <c r="B839" s="30"/>
      <c r="C839" s="89"/>
      <c r="D839" s="30"/>
      <c r="E839" s="89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5"/>
      <c r="B840" s="30"/>
      <c r="C840" s="89"/>
      <c r="D840" s="30"/>
      <c r="E840" s="89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5"/>
      <c r="B841" s="30"/>
      <c r="C841" s="89"/>
      <c r="D841" s="30"/>
      <c r="E841" s="89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5"/>
      <c r="B842" s="30"/>
      <c r="C842" s="89"/>
      <c r="D842" s="30"/>
      <c r="E842" s="89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5"/>
      <c r="B843" s="30"/>
      <c r="C843" s="89"/>
      <c r="D843" s="30"/>
      <c r="E843" s="89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5"/>
      <c r="B844" s="30"/>
      <c r="C844" s="89"/>
      <c r="D844" s="30"/>
      <c r="E844" s="89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5"/>
      <c r="B845" s="30"/>
      <c r="C845" s="89"/>
      <c r="D845" s="30"/>
      <c r="E845" s="89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5"/>
      <c r="B846" s="30"/>
      <c r="C846" s="89"/>
      <c r="D846" s="30"/>
      <c r="E846" s="89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5"/>
      <c r="B847" s="30"/>
      <c r="C847" s="89"/>
      <c r="D847" s="30"/>
      <c r="E847" s="89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5"/>
      <c r="B848" s="30"/>
      <c r="C848" s="89"/>
      <c r="D848" s="30"/>
      <c r="E848" s="89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5"/>
      <c r="B849" s="30"/>
      <c r="C849" s="89"/>
      <c r="D849" s="30"/>
      <c r="E849" s="89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5"/>
      <c r="B850" s="30"/>
      <c r="C850" s="89"/>
      <c r="D850" s="30"/>
      <c r="E850" s="89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5"/>
      <c r="B851" s="30"/>
      <c r="C851" s="89"/>
      <c r="D851" s="30"/>
      <c r="E851" s="89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5"/>
      <c r="B852" s="30"/>
      <c r="C852" s="89"/>
      <c r="D852" s="30"/>
      <c r="E852" s="89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5"/>
      <c r="B853" s="30"/>
      <c r="C853" s="89"/>
      <c r="D853" s="30"/>
      <c r="E853" s="89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5"/>
      <c r="B854" s="30"/>
      <c r="C854" s="89"/>
      <c r="D854" s="30"/>
      <c r="E854" s="89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5"/>
      <c r="B855" s="30"/>
      <c r="C855" s="89"/>
      <c r="D855" s="30"/>
      <c r="E855" s="89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5"/>
      <c r="B856" s="30"/>
      <c r="C856" s="89"/>
      <c r="D856" s="30"/>
      <c r="E856" s="89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5"/>
      <c r="B857" s="30"/>
      <c r="C857" s="89"/>
      <c r="D857" s="30"/>
      <c r="E857" s="89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5"/>
      <c r="B858" s="30"/>
      <c r="C858" s="89"/>
      <c r="D858" s="30"/>
      <c r="E858" s="89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5"/>
      <c r="B859" s="30"/>
      <c r="C859" s="89"/>
      <c r="D859" s="30"/>
      <c r="E859" s="89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5"/>
      <c r="B860" s="30"/>
      <c r="C860" s="89"/>
      <c r="D860" s="30"/>
      <c r="E860" s="89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5"/>
      <c r="B861" s="30"/>
      <c r="C861" s="89"/>
      <c r="D861" s="30"/>
      <c r="E861" s="89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5"/>
      <c r="B862" s="30"/>
      <c r="C862" s="89"/>
      <c r="D862" s="30"/>
      <c r="E862" s="89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5"/>
      <c r="B863" s="30"/>
      <c r="C863" s="89"/>
      <c r="D863" s="30"/>
      <c r="E863" s="89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5"/>
      <c r="B864" s="30"/>
      <c r="C864" s="89"/>
      <c r="D864" s="30"/>
      <c r="E864" s="89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5"/>
      <c r="B865" s="30"/>
      <c r="C865" s="89"/>
      <c r="D865" s="30"/>
      <c r="E865" s="89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5"/>
      <c r="B866" s="30"/>
      <c r="C866" s="89"/>
      <c r="D866" s="30"/>
      <c r="E866" s="89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5"/>
      <c r="B867" s="30"/>
      <c r="C867" s="89"/>
      <c r="D867" s="30"/>
      <c r="E867" s="89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5"/>
      <c r="B868" s="30"/>
      <c r="C868" s="89"/>
      <c r="D868" s="30"/>
      <c r="E868" s="89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5"/>
      <c r="B869" s="30"/>
      <c r="C869" s="89"/>
      <c r="D869" s="30"/>
      <c r="E869" s="89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5"/>
      <c r="B870" s="30"/>
      <c r="C870" s="89"/>
      <c r="D870" s="30"/>
      <c r="E870" s="89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5"/>
      <c r="B871" s="30"/>
      <c r="C871" s="89"/>
      <c r="D871" s="30"/>
      <c r="E871" s="89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5"/>
      <c r="B872" s="30"/>
      <c r="C872" s="89"/>
      <c r="D872" s="30"/>
      <c r="E872" s="89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5"/>
      <c r="B873" s="30"/>
      <c r="C873" s="89"/>
      <c r="D873" s="30"/>
      <c r="E873" s="89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5"/>
      <c r="B874" s="30"/>
      <c r="C874" s="89"/>
      <c r="D874" s="30"/>
      <c r="E874" s="89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5"/>
      <c r="B875" s="30"/>
      <c r="C875" s="89"/>
      <c r="D875" s="30"/>
      <c r="E875" s="89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5"/>
      <c r="B876" s="30"/>
      <c r="C876" s="89"/>
      <c r="D876" s="30"/>
      <c r="E876" s="89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5"/>
      <c r="B877" s="30"/>
      <c r="C877" s="89"/>
      <c r="D877" s="30"/>
      <c r="E877" s="89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5"/>
      <c r="B878" s="30"/>
      <c r="C878" s="89"/>
      <c r="D878" s="30"/>
      <c r="E878" s="89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5"/>
      <c r="B879" s="30"/>
      <c r="C879" s="89"/>
      <c r="D879" s="30"/>
      <c r="E879" s="89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5"/>
      <c r="B880" s="30"/>
      <c r="C880" s="89"/>
      <c r="D880" s="30"/>
      <c r="E880" s="89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5"/>
      <c r="B881" s="30"/>
      <c r="C881" s="89"/>
      <c r="D881" s="30"/>
      <c r="E881" s="89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5"/>
      <c r="B882" s="30"/>
      <c r="C882" s="89"/>
      <c r="D882" s="30"/>
      <c r="E882" s="89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5"/>
      <c r="B883" s="30"/>
      <c r="C883" s="89"/>
      <c r="D883" s="30"/>
      <c r="E883" s="89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5"/>
      <c r="B884" s="30"/>
      <c r="C884" s="89"/>
      <c r="D884" s="30"/>
      <c r="E884" s="89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5"/>
      <c r="B885" s="30"/>
      <c r="C885" s="89"/>
      <c r="D885" s="30"/>
      <c r="E885" s="89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5"/>
      <c r="B886" s="30"/>
      <c r="C886" s="89"/>
      <c r="D886" s="30"/>
      <c r="E886" s="89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5"/>
      <c r="B887" s="30"/>
      <c r="C887" s="89"/>
      <c r="D887" s="30"/>
      <c r="E887" s="89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5"/>
      <c r="B888" s="30"/>
      <c r="C888" s="89"/>
      <c r="D888" s="30"/>
      <c r="E888" s="89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5"/>
      <c r="B889" s="30"/>
      <c r="C889" s="89"/>
      <c r="D889" s="30"/>
      <c r="E889" s="89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5"/>
      <c r="B890" s="30"/>
      <c r="C890" s="89"/>
      <c r="D890" s="30"/>
      <c r="E890" s="89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5"/>
      <c r="B891" s="30"/>
      <c r="C891" s="89"/>
      <c r="D891" s="30"/>
      <c r="E891" s="89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5"/>
      <c r="B892" s="30"/>
      <c r="C892" s="89"/>
      <c r="D892" s="30"/>
      <c r="E892" s="89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5"/>
      <c r="B893" s="30"/>
      <c r="C893" s="89"/>
      <c r="D893" s="30"/>
      <c r="E893" s="89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5"/>
      <c r="B894" s="30"/>
      <c r="C894" s="89"/>
      <c r="D894" s="30"/>
      <c r="E894" s="89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5"/>
      <c r="B895" s="30"/>
      <c r="C895" s="89"/>
      <c r="D895" s="30"/>
      <c r="E895" s="89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5"/>
      <c r="B896" s="30"/>
      <c r="C896" s="89"/>
      <c r="D896" s="30"/>
      <c r="E896" s="89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5"/>
      <c r="B897" s="30"/>
      <c r="C897" s="89"/>
      <c r="D897" s="30"/>
      <c r="E897" s="89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5"/>
      <c r="B898" s="30"/>
      <c r="C898" s="89"/>
      <c r="D898" s="30"/>
      <c r="E898" s="89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5"/>
      <c r="B899" s="30"/>
      <c r="C899" s="89"/>
      <c r="D899" s="30"/>
      <c r="E899" s="89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5"/>
      <c r="B900" s="30"/>
      <c r="C900" s="89"/>
      <c r="D900" s="30"/>
      <c r="E900" s="89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5"/>
      <c r="B901" s="30"/>
      <c r="C901" s="89"/>
      <c r="D901" s="30"/>
      <c r="E901" s="89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5"/>
      <c r="B902" s="30"/>
      <c r="C902" s="89"/>
      <c r="D902" s="30"/>
      <c r="E902" s="89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5"/>
      <c r="B903" s="30"/>
      <c r="C903" s="89"/>
      <c r="D903" s="30"/>
      <c r="E903" s="89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5"/>
      <c r="B904" s="30"/>
      <c r="C904" s="89"/>
      <c r="D904" s="30"/>
      <c r="E904" s="89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5"/>
      <c r="B905" s="30"/>
      <c r="C905" s="89"/>
      <c r="D905" s="30"/>
      <c r="E905" s="89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5"/>
      <c r="B906" s="30"/>
      <c r="C906" s="89"/>
      <c r="D906" s="30"/>
      <c r="E906" s="89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5"/>
      <c r="B907" s="30"/>
      <c r="C907" s="89"/>
      <c r="D907" s="30"/>
      <c r="E907" s="89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5"/>
      <c r="B908" s="30"/>
      <c r="C908" s="89"/>
      <c r="D908" s="30"/>
      <c r="E908" s="89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5"/>
      <c r="B909" s="30"/>
      <c r="C909" s="89"/>
      <c r="D909" s="30"/>
      <c r="E909" s="89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5"/>
      <c r="B910" s="30"/>
      <c r="C910" s="89"/>
      <c r="D910" s="30"/>
      <c r="E910" s="89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5"/>
      <c r="B911" s="30"/>
      <c r="C911" s="89"/>
      <c r="D911" s="30"/>
      <c r="E911" s="89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5"/>
      <c r="B912" s="30"/>
      <c r="C912" s="89"/>
      <c r="D912" s="30"/>
      <c r="E912" s="89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5"/>
      <c r="B913" s="30"/>
      <c r="C913" s="89"/>
      <c r="D913" s="30"/>
      <c r="E913" s="89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5"/>
      <c r="B914" s="30"/>
      <c r="C914" s="89"/>
      <c r="D914" s="30"/>
      <c r="E914" s="89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5"/>
      <c r="B915" s="30"/>
      <c r="C915" s="89"/>
      <c r="D915" s="30"/>
      <c r="E915" s="89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5"/>
      <c r="B916" s="30"/>
      <c r="C916" s="89"/>
      <c r="D916" s="30"/>
      <c r="E916" s="89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5"/>
      <c r="B917" s="30"/>
      <c r="C917" s="89"/>
      <c r="D917" s="30"/>
      <c r="E917" s="89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5"/>
      <c r="B918" s="30"/>
      <c r="C918" s="89"/>
      <c r="D918" s="30"/>
      <c r="E918" s="89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5"/>
      <c r="B919" s="30"/>
      <c r="C919" s="89"/>
      <c r="D919" s="30"/>
      <c r="E919" s="89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5"/>
      <c r="B920" s="30"/>
      <c r="C920" s="89"/>
      <c r="D920" s="30"/>
      <c r="E920" s="89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5"/>
      <c r="B921" s="30"/>
      <c r="C921" s="89"/>
      <c r="D921" s="30"/>
      <c r="E921" s="89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5"/>
      <c r="B922" s="30"/>
      <c r="C922" s="89"/>
      <c r="D922" s="30"/>
      <c r="E922" s="89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5"/>
      <c r="B923" s="30"/>
      <c r="C923" s="89"/>
      <c r="D923" s="30"/>
      <c r="E923" s="89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5"/>
      <c r="B924" s="30"/>
      <c r="C924" s="89"/>
      <c r="D924" s="30"/>
      <c r="E924" s="89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5"/>
      <c r="B925" s="30"/>
      <c r="C925" s="89"/>
      <c r="D925" s="30"/>
      <c r="E925" s="89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5"/>
      <c r="B926" s="30"/>
      <c r="C926" s="89"/>
      <c r="D926" s="30"/>
      <c r="E926" s="89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5"/>
      <c r="B927" s="30"/>
      <c r="C927" s="89"/>
      <c r="D927" s="30"/>
      <c r="E927" s="89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5"/>
      <c r="B928" s="30"/>
      <c r="C928" s="89"/>
      <c r="D928" s="30"/>
      <c r="E928" s="89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5"/>
      <c r="B929" s="30"/>
      <c r="C929" s="89"/>
      <c r="D929" s="30"/>
      <c r="E929" s="89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5"/>
      <c r="B930" s="30"/>
      <c r="C930" s="89"/>
      <c r="D930" s="30"/>
      <c r="E930" s="89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5"/>
      <c r="B931" s="30"/>
      <c r="C931" s="89"/>
      <c r="D931" s="30"/>
      <c r="E931" s="89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5"/>
      <c r="B932" s="30"/>
      <c r="C932" s="89"/>
      <c r="D932" s="30"/>
      <c r="E932" s="89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5"/>
      <c r="B933" s="30"/>
      <c r="C933" s="89"/>
      <c r="D933" s="30"/>
      <c r="E933" s="89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5"/>
      <c r="B934" s="30"/>
      <c r="C934" s="89"/>
      <c r="D934" s="30"/>
      <c r="E934" s="89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5"/>
      <c r="B935" s="30"/>
      <c r="C935" s="89"/>
      <c r="D935" s="30"/>
      <c r="E935" s="89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5"/>
      <c r="B936" s="30"/>
      <c r="C936" s="89"/>
      <c r="D936" s="30"/>
      <c r="E936" s="89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5"/>
      <c r="B937" s="30"/>
      <c r="C937" s="89"/>
      <c r="D937" s="30"/>
      <c r="E937" s="89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5"/>
      <c r="B938" s="30"/>
      <c r="C938" s="89"/>
      <c r="D938" s="30"/>
      <c r="E938" s="89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5"/>
      <c r="B939" s="30"/>
      <c r="C939" s="89"/>
      <c r="D939" s="30"/>
      <c r="E939" s="89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5"/>
      <c r="B940" s="30"/>
      <c r="C940" s="89"/>
      <c r="D940" s="30"/>
      <c r="E940" s="89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5"/>
      <c r="B941" s="30"/>
      <c r="C941" s="89"/>
      <c r="D941" s="30"/>
      <c r="E941" s="89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5"/>
      <c r="B942" s="30"/>
      <c r="C942" s="89"/>
      <c r="D942" s="30"/>
      <c r="E942" s="89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5"/>
      <c r="B943" s="30"/>
      <c r="C943" s="89"/>
      <c r="D943" s="30"/>
      <c r="E943" s="89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5"/>
      <c r="B944" s="30"/>
      <c r="C944" s="89"/>
      <c r="D944" s="30"/>
      <c r="E944" s="89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5"/>
      <c r="B945" s="30"/>
      <c r="C945" s="89"/>
      <c r="D945" s="30"/>
      <c r="E945" s="89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5"/>
      <c r="B946" s="30"/>
      <c r="C946" s="89"/>
      <c r="D946" s="30"/>
      <c r="E946" s="89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5"/>
      <c r="B947" s="30"/>
      <c r="C947" s="89"/>
      <c r="D947" s="30"/>
      <c r="E947" s="89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5"/>
      <c r="B948" s="30"/>
      <c r="C948" s="89"/>
      <c r="D948" s="30"/>
      <c r="E948" s="89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5"/>
      <c r="B949" s="30"/>
      <c r="C949" s="89"/>
      <c r="D949" s="30"/>
      <c r="E949" s="89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5"/>
      <c r="B950" s="30"/>
      <c r="C950" s="89"/>
      <c r="D950" s="30"/>
      <c r="E950" s="89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5"/>
      <c r="B951" s="30"/>
      <c r="C951" s="89"/>
      <c r="D951" s="30"/>
      <c r="E951" s="89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5"/>
      <c r="B952" s="30"/>
      <c r="C952" s="89"/>
      <c r="D952" s="30"/>
      <c r="E952" s="89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5"/>
      <c r="B953" s="30"/>
      <c r="C953" s="89"/>
      <c r="D953" s="30"/>
      <c r="E953" s="89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5"/>
      <c r="B954" s="30"/>
      <c r="C954" s="89"/>
      <c r="D954" s="30"/>
      <c r="E954" s="89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5"/>
      <c r="B955" s="30"/>
      <c r="C955" s="89"/>
      <c r="D955" s="30"/>
      <c r="E955" s="89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5"/>
      <c r="B956" s="30"/>
      <c r="C956" s="89"/>
      <c r="D956" s="30"/>
      <c r="E956" s="89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5"/>
      <c r="B957" s="30"/>
      <c r="C957" s="89"/>
      <c r="D957" s="30"/>
      <c r="E957" s="89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5"/>
      <c r="B958" s="30"/>
      <c r="C958" s="89"/>
      <c r="D958" s="30"/>
      <c r="E958" s="89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5"/>
      <c r="B959" s="30"/>
      <c r="C959" s="89"/>
      <c r="D959" s="30"/>
      <c r="E959" s="89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5"/>
      <c r="B960" s="30"/>
      <c r="C960" s="89"/>
      <c r="D960" s="30"/>
      <c r="E960" s="89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5"/>
      <c r="B961" s="30"/>
      <c r="C961" s="89"/>
      <c r="D961" s="30"/>
      <c r="E961" s="89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5"/>
      <c r="B962" s="30"/>
      <c r="C962" s="89"/>
      <c r="D962" s="30"/>
      <c r="E962" s="89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5"/>
      <c r="B963" s="30"/>
      <c r="C963" s="89"/>
      <c r="D963" s="30"/>
      <c r="E963" s="89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5"/>
      <c r="B964" s="30"/>
      <c r="C964" s="89"/>
      <c r="D964" s="30"/>
      <c r="E964" s="89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5"/>
      <c r="B965" s="30"/>
      <c r="C965" s="89"/>
      <c r="D965" s="30"/>
      <c r="E965" s="89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5"/>
      <c r="B966" s="30"/>
      <c r="C966" s="89"/>
      <c r="D966" s="30"/>
      <c r="E966" s="89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5"/>
      <c r="B967" s="30"/>
      <c r="C967" s="89"/>
      <c r="D967" s="30"/>
      <c r="E967" s="89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5"/>
      <c r="B968" s="30"/>
      <c r="C968" s="89"/>
      <c r="D968" s="30"/>
      <c r="E968" s="89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5"/>
      <c r="B969" s="30"/>
      <c r="C969" s="89"/>
      <c r="D969" s="30"/>
      <c r="E969" s="89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5"/>
      <c r="B970" s="30"/>
      <c r="C970" s="89"/>
      <c r="D970" s="30"/>
      <c r="E970" s="89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5"/>
      <c r="B971" s="30"/>
      <c r="C971" s="89"/>
      <c r="D971" s="30"/>
      <c r="E971" s="89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5"/>
      <c r="B972" s="30"/>
      <c r="C972" s="89"/>
      <c r="D972" s="30"/>
      <c r="E972" s="89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30"/>
      <c r="C973" s="89"/>
      <c r="D973" s="30"/>
      <c r="E973" s="89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30"/>
      <c r="C974" s="89"/>
      <c r="D974" s="30"/>
      <c r="E974" s="89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30"/>
      <c r="C975" s="89"/>
      <c r="D975" s="30"/>
      <c r="E975" s="89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30"/>
      <c r="C976" s="89"/>
      <c r="D976" s="30"/>
      <c r="E976" s="89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30"/>
      <c r="C977" s="89"/>
      <c r="D977" s="30"/>
      <c r="E977" s="89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30"/>
      <c r="C978" s="89"/>
      <c r="D978" s="30"/>
      <c r="E978" s="89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30"/>
      <c r="C979" s="89"/>
      <c r="D979" s="30"/>
      <c r="E979" s="89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30"/>
      <c r="C980" s="89"/>
      <c r="D980" s="30"/>
      <c r="E980" s="89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30"/>
      <c r="C981" s="89"/>
      <c r="D981" s="30"/>
      <c r="E981" s="89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30"/>
      <c r="C982" s="89"/>
      <c r="D982" s="30"/>
      <c r="E982" s="89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C983" s="72"/>
      <c r="E983" s="72"/>
    </row>
  </sheetData>
  <autoFilter ref="$E$1:$E$983"/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35.14"/>
    <col customWidth="1" min="2" max="2" width="41.71"/>
    <col customWidth="1" min="3" max="3" width="28.86"/>
    <col customWidth="1" min="4" max="4" width="57.29"/>
    <col customWidth="1" min="5" max="26" width="40.0"/>
  </cols>
  <sheetData>
    <row r="1">
      <c r="A1" s="2" t="s">
        <v>0</v>
      </c>
      <c r="B1" s="2" t="s">
        <v>1</v>
      </c>
      <c r="C1" s="2" t="s">
        <v>2</v>
      </c>
      <c r="D1" s="4" t="s">
        <v>3</v>
      </c>
      <c r="E1" s="6" t="s">
        <v>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12" t="s">
        <v>7</v>
      </c>
      <c r="B2" s="12" t="s">
        <v>21</v>
      </c>
      <c r="C2" s="12" t="s">
        <v>22</v>
      </c>
      <c r="D2" s="16" t="s">
        <v>23</v>
      </c>
      <c r="E2" s="19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12" t="s">
        <v>31</v>
      </c>
      <c r="B3" s="12" t="s">
        <v>32</v>
      </c>
      <c r="C3" s="12" t="s">
        <v>34</v>
      </c>
      <c r="D3" s="16" t="s">
        <v>38</v>
      </c>
      <c r="E3" s="19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12" t="s">
        <v>44</v>
      </c>
      <c r="B4" s="12" t="s">
        <v>44</v>
      </c>
      <c r="C4" s="12" t="s">
        <v>45</v>
      </c>
      <c r="D4" s="16" t="s">
        <v>47</v>
      </c>
      <c r="E4" s="19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29" t="s">
        <v>54</v>
      </c>
      <c r="B5" s="29" t="s">
        <v>63</v>
      </c>
      <c r="C5" s="29" t="s">
        <v>64</v>
      </c>
      <c r="D5" s="16" t="s">
        <v>66</v>
      </c>
      <c r="E5" s="32" t="s">
        <v>41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9" t="s">
        <v>75</v>
      </c>
      <c r="B6" s="9" t="s">
        <v>78</v>
      </c>
      <c r="C6" s="9" t="s">
        <v>79</v>
      </c>
      <c r="D6" s="38" t="s">
        <v>81</v>
      </c>
      <c r="E6" s="39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20" t="s">
        <v>88</v>
      </c>
      <c r="B7" s="20" t="s">
        <v>90</v>
      </c>
      <c r="C7" s="20" t="s">
        <v>91</v>
      </c>
      <c r="D7" s="38" t="s">
        <v>94</v>
      </c>
      <c r="E7" s="39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29" t="s">
        <v>101</v>
      </c>
      <c r="B8" s="29" t="s">
        <v>110</v>
      </c>
      <c r="C8" s="29" t="s">
        <v>112</v>
      </c>
      <c r="D8" s="16" t="s">
        <v>115</v>
      </c>
      <c r="E8" s="32" t="s">
        <v>41</v>
      </c>
      <c r="F8" s="41"/>
      <c r="G8" s="41"/>
      <c r="H8" s="41"/>
      <c r="I8" s="41"/>
      <c r="J8" s="41"/>
      <c r="K8" s="41"/>
      <c r="L8" s="41"/>
      <c r="M8" s="41"/>
      <c r="N8" s="41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>
      <c r="A9" s="12" t="s">
        <v>130</v>
      </c>
      <c r="B9" s="12" t="s">
        <v>131</v>
      </c>
      <c r="C9" s="12" t="s">
        <v>132</v>
      </c>
      <c r="D9" s="16" t="s">
        <v>133</v>
      </c>
      <c r="E9" s="19"/>
      <c r="F9" s="41"/>
      <c r="G9" s="41"/>
      <c r="H9" s="41"/>
      <c r="I9" s="41"/>
      <c r="J9" s="41"/>
      <c r="K9" s="41"/>
      <c r="L9" s="41"/>
      <c r="M9" s="41"/>
      <c r="N9" s="41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</row>
    <row r="10">
      <c r="A10" s="11" t="s">
        <v>146</v>
      </c>
      <c r="B10" s="11" t="s">
        <v>147</v>
      </c>
      <c r="C10" s="11" t="s">
        <v>148</v>
      </c>
      <c r="D10" s="31" t="s">
        <v>153</v>
      </c>
      <c r="E10" s="47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50" t="s">
        <v>166</v>
      </c>
      <c r="B11" s="50" t="s">
        <v>170</v>
      </c>
      <c r="C11" s="50" t="s">
        <v>172</v>
      </c>
      <c r="D11" s="50" t="s">
        <v>173</v>
      </c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50" t="s">
        <v>175</v>
      </c>
      <c r="B12" s="50" t="s">
        <v>177</v>
      </c>
      <c r="C12" s="50" t="s">
        <v>180</v>
      </c>
      <c r="D12" s="50" t="s">
        <v>183</v>
      </c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50" t="s">
        <v>187</v>
      </c>
      <c r="B13" s="50" t="s">
        <v>188</v>
      </c>
      <c r="C13" s="50" t="s">
        <v>189</v>
      </c>
      <c r="D13" s="50" t="s">
        <v>191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50" t="s">
        <v>198</v>
      </c>
      <c r="B14" s="38" t="s">
        <v>200</v>
      </c>
      <c r="C14" s="50" t="s">
        <v>202</v>
      </c>
      <c r="D14" s="50" t="s">
        <v>203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50" t="s">
        <v>209</v>
      </c>
      <c r="B15" s="38" t="s">
        <v>210</v>
      </c>
      <c r="C15" s="50" t="s">
        <v>212</v>
      </c>
      <c r="D15" s="50" t="s">
        <v>214</v>
      </c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50" t="s">
        <v>220</v>
      </c>
      <c r="B16" s="50" t="s">
        <v>221</v>
      </c>
      <c r="C16" s="50" t="s">
        <v>223</v>
      </c>
      <c r="D16" s="50" t="s">
        <v>224</v>
      </c>
      <c r="E16" s="54" t="s">
        <v>41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50" t="s">
        <v>232</v>
      </c>
      <c r="B17" s="50" t="s">
        <v>234</v>
      </c>
      <c r="C17" s="50" t="s">
        <v>235</v>
      </c>
      <c r="D17" s="50" t="s">
        <v>236</v>
      </c>
      <c r="E17" s="54" t="s">
        <v>238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50" t="s">
        <v>246</v>
      </c>
      <c r="B18" s="38" t="s">
        <v>248</v>
      </c>
      <c r="C18" s="50" t="s">
        <v>251</v>
      </c>
      <c r="D18" s="50" t="s">
        <v>253</v>
      </c>
      <c r="E18" s="54" t="s">
        <v>254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50" t="s">
        <v>264</v>
      </c>
      <c r="B19" s="38" t="s">
        <v>268</v>
      </c>
      <c r="C19" s="50" t="s">
        <v>271</v>
      </c>
      <c r="D19" s="50" t="s">
        <v>274</v>
      </c>
      <c r="E19" s="54" t="s">
        <v>41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50" t="s">
        <v>281</v>
      </c>
      <c r="B20" s="38" t="s">
        <v>283</v>
      </c>
      <c r="C20" s="50" t="s">
        <v>287</v>
      </c>
      <c r="D20" s="50" t="s">
        <v>291</v>
      </c>
      <c r="E20" s="54" t="s">
        <v>238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50" t="s">
        <v>295</v>
      </c>
      <c r="B21" s="38" t="s">
        <v>298</v>
      </c>
      <c r="C21" s="50" t="s">
        <v>302</v>
      </c>
      <c r="D21" s="50" t="s">
        <v>306</v>
      </c>
      <c r="E21" s="54" t="s">
        <v>308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50" t="s">
        <v>312</v>
      </c>
      <c r="B22" s="38" t="s">
        <v>314</v>
      </c>
      <c r="C22" s="50" t="s">
        <v>316</v>
      </c>
      <c r="D22" s="50" t="s">
        <v>319</v>
      </c>
      <c r="E22" s="54" t="s">
        <v>322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50" t="s">
        <v>330</v>
      </c>
      <c r="B23" s="38" t="s">
        <v>332</v>
      </c>
      <c r="C23" s="50" t="s">
        <v>334</v>
      </c>
      <c r="D23" s="50" t="s">
        <v>335</v>
      </c>
      <c r="E23" s="54" t="s">
        <v>337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50" t="s">
        <v>343</v>
      </c>
      <c r="B24" s="38" t="s">
        <v>345</v>
      </c>
      <c r="C24" s="50" t="s">
        <v>347</v>
      </c>
      <c r="D24" s="50" t="s">
        <v>349</v>
      </c>
      <c r="E24" s="54" t="s">
        <v>308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50" t="s">
        <v>356</v>
      </c>
      <c r="B25" s="38" t="s">
        <v>358</v>
      </c>
      <c r="C25" s="50" t="s">
        <v>359</v>
      </c>
      <c r="D25" s="50" t="s">
        <v>361</v>
      </c>
      <c r="E25" s="54" t="s">
        <v>337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72"/>
      <c r="B26" s="38" t="s">
        <v>373</v>
      </c>
      <c r="C26" s="50" t="s">
        <v>374</v>
      </c>
      <c r="D26" s="50" t="s">
        <v>375</v>
      </c>
      <c r="E26" s="54" t="s">
        <v>376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50" t="s">
        <v>383</v>
      </c>
      <c r="B27" s="38" t="s">
        <v>388</v>
      </c>
      <c r="C27" s="50" t="s">
        <v>392</v>
      </c>
      <c r="D27" s="50" t="s">
        <v>396</v>
      </c>
      <c r="E27" s="54" t="s">
        <v>376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50" t="s">
        <v>401</v>
      </c>
      <c r="B28" s="38" t="s">
        <v>403</v>
      </c>
      <c r="C28" s="50" t="s">
        <v>405</v>
      </c>
      <c r="D28" s="50" t="s">
        <v>407</v>
      </c>
      <c r="E28" s="54" t="s">
        <v>376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74" t="s">
        <v>417</v>
      </c>
      <c r="B29" s="75" t="s">
        <v>423</v>
      </c>
      <c r="C29" s="74" t="s">
        <v>429</v>
      </c>
      <c r="D29" s="74" t="s">
        <v>434</v>
      </c>
      <c r="E29" s="76" t="s">
        <v>376</v>
      </c>
      <c r="F29" s="77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</row>
    <row r="30">
      <c r="A30" s="50" t="s">
        <v>453</v>
      </c>
      <c r="B30" s="38" t="s">
        <v>455</v>
      </c>
      <c r="C30" s="50" t="s">
        <v>456</v>
      </c>
      <c r="D30" s="50" t="s">
        <v>458</v>
      </c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50" t="s">
        <v>464</v>
      </c>
      <c r="B31" s="50" t="s">
        <v>466</v>
      </c>
      <c r="C31" s="50" t="s">
        <v>468</v>
      </c>
      <c r="D31" s="50" t="s">
        <v>470</v>
      </c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50" t="s">
        <v>479</v>
      </c>
      <c r="B32" s="50" t="s">
        <v>479</v>
      </c>
      <c r="C32" s="50" t="s">
        <v>481</v>
      </c>
      <c r="D32" s="50" t="s">
        <v>483</v>
      </c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50" t="s">
        <v>487</v>
      </c>
      <c r="B33" s="50" t="s">
        <v>489</v>
      </c>
      <c r="C33" s="50" t="s">
        <v>490</v>
      </c>
      <c r="D33" s="50" t="s">
        <v>492</v>
      </c>
      <c r="E33" s="54" t="s">
        <v>41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50" t="s">
        <v>499</v>
      </c>
      <c r="B34" s="50" t="s">
        <v>500</v>
      </c>
      <c r="C34" s="50" t="s">
        <v>501</v>
      </c>
      <c r="D34" s="50" t="s">
        <v>503</v>
      </c>
      <c r="E34" s="54" t="s">
        <v>238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50" t="s">
        <v>513</v>
      </c>
      <c r="B35" s="50" t="s">
        <v>515</v>
      </c>
      <c r="C35" s="50" t="s">
        <v>517</v>
      </c>
      <c r="D35" s="50" t="s">
        <v>518</v>
      </c>
      <c r="E35" s="54" t="s">
        <v>254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50" t="s">
        <v>523</v>
      </c>
      <c r="B36" s="50" t="s">
        <v>524</v>
      </c>
      <c r="C36" s="50" t="s">
        <v>526</v>
      </c>
      <c r="D36" s="50" t="s">
        <v>529</v>
      </c>
      <c r="E36" s="54" t="s">
        <v>41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50" t="s">
        <v>539</v>
      </c>
      <c r="B37" s="50" t="s">
        <v>540</v>
      </c>
      <c r="C37" s="50" t="s">
        <v>541</v>
      </c>
      <c r="D37" s="50" t="s">
        <v>542</v>
      </c>
      <c r="E37" s="54" t="s">
        <v>254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50" t="s">
        <v>555</v>
      </c>
      <c r="B38" s="50" t="s">
        <v>557</v>
      </c>
      <c r="C38" s="50" t="s">
        <v>558</v>
      </c>
      <c r="D38" s="50" t="s">
        <v>559</v>
      </c>
      <c r="E38" s="54" t="s">
        <v>238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50" t="s">
        <v>560</v>
      </c>
      <c r="B39" s="50" t="s">
        <v>562</v>
      </c>
      <c r="C39" s="50" t="s">
        <v>564</v>
      </c>
      <c r="D39" s="50" t="s">
        <v>567</v>
      </c>
      <c r="E39" s="54" t="s">
        <v>308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50" t="s">
        <v>576</v>
      </c>
      <c r="B40" s="50" t="s">
        <v>577</v>
      </c>
      <c r="C40" s="50" t="s">
        <v>578</v>
      </c>
      <c r="D40" s="50" t="s">
        <v>579</v>
      </c>
      <c r="E40" s="54" t="s">
        <v>322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50" t="s">
        <v>592</v>
      </c>
      <c r="B41" s="50" t="s">
        <v>593</v>
      </c>
      <c r="C41" s="50" t="s">
        <v>594</v>
      </c>
      <c r="D41" s="50" t="s">
        <v>595</v>
      </c>
      <c r="E41" s="54" t="s">
        <v>337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50" t="s">
        <v>602</v>
      </c>
      <c r="B42" s="50" t="s">
        <v>604</v>
      </c>
      <c r="C42" s="50" t="s">
        <v>605</v>
      </c>
      <c r="D42" s="50" t="s">
        <v>608</v>
      </c>
      <c r="E42" s="54" t="s">
        <v>322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50" t="s">
        <v>614</v>
      </c>
      <c r="B43" s="50" t="s">
        <v>616</v>
      </c>
      <c r="C43" s="50" t="s">
        <v>617</v>
      </c>
      <c r="D43" s="50" t="s">
        <v>621</v>
      </c>
      <c r="E43" s="54" t="s">
        <v>337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50" t="s">
        <v>632</v>
      </c>
      <c r="B44" s="50" t="s">
        <v>634</v>
      </c>
      <c r="C44" s="50" t="s">
        <v>635</v>
      </c>
      <c r="D44" s="50" t="s">
        <v>636</v>
      </c>
      <c r="E44" s="54" t="s">
        <v>308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50" t="s">
        <v>643</v>
      </c>
      <c r="B45" s="50" t="s">
        <v>645</v>
      </c>
      <c r="C45" s="50" t="s">
        <v>646</v>
      </c>
      <c r="D45" s="50" t="s">
        <v>649</v>
      </c>
      <c r="E45" s="54" t="s">
        <v>376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50" t="s">
        <v>653</v>
      </c>
      <c r="B46" s="50" t="s">
        <v>655</v>
      </c>
      <c r="C46" s="50" t="s">
        <v>657</v>
      </c>
      <c r="D46" s="50" t="s">
        <v>660</v>
      </c>
      <c r="E46" s="54" t="s">
        <v>376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50" t="s">
        <v>383</v>
      </c>
      <c r="B47" s="50" t="s">
        <v>388</v>
      </c>
      <c r="C47" s="50" t="s">
        <v>392</v>
      </c>
      <c r="D47" s="50" t="s">
        <v>669</v>
      </c>
      <c r="E47" s="54" t="s">
        <v>376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50" t="s">
        <v>678</v>
      </c>
      <c r="B48" s="50" t="s">
        <v>679</v>
      </c>
      <c r="C48" s="50" t="s">
        <v>680</v>
      </c>
      <c r="D48" s="50" t="s">
        <v>681</v>
      </c>
      <c r="E48" s="54" t="s">
        <v>376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50" t="s">
        <v>687</v>
      </c>
      <c r="B49" s="50" t="s">
        <v>690</v>
      </c>
      <c r="C49" s="50" t="s">
        <v>693</v>
      </c>
      <c r="D49" s="50" t="s">
        <v>695</v>
      </c>
      <c r="E49" s="54" t="s">
        <v>376</v>
      </c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72"/>
      <c r="B50" s="72"/>
      <c r="C50" s="72"/>
      <c r="D50" s="72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72"/>
      <c r="B51" s="72"/>
      <c r="C51" s="72"/>
      <c r="D51" s="72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72"/>
      <c r="B52" s="72"/>
      <c r="C52" s="72"/>
      <c r="D52" s="72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72"/>
      <c r="B53" s="72"/>
      <c r="C53" s="72"/>
      <c r="D53" s="72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72"/>
      <c r="B54" s="72"/>
      <c r="C54" s="72"/>
      <c r="D54" s="72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72"/>
      <c r="B55" s="72"/>
      <c r="C55" s="72"/>
      <c r="D55" s="72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72"/>
      <c r="B56" s="72"/>
      <c r="C56" s="72"/>
      <c r="D56" s="72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72"/>
      <c r="B57" s="72"/>
      <c r="C57" s="72"/>
      <c r="D57" s="72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72"/>
      <c r="B58" s="72"/>
      <c r="C58" s="72"/>
      <c r="D58" s="72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72"/>
      <c r="B59" s="72"/>
      <c r="C59" s="72"/>
      <c r="D59" s="72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72"/>
      <c r="B60" s="72"/>
      <c r="C60" s="72"/>
      <c r="D60" s="72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72"/>
      <c r="B61" s="72"/>
      <c r="C61" s="72"/>
      <c r="D61" s="72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72"/>
      <c r="B62" s="72"/>
      <c r="C62" s="72"/>
      <c r="D62" s="72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72"/>
      <c r="B63" s="72"/>
      <c r="C63" s="72"/>
      <c r="D63" s="72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72"/>
      <c r="B64" s="72"/>
      <c r="C64" s="72"/>
      <c r="D64" s="72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72"/>
      <c r="B65" s="72"/>
      <c r="C65" s="72"/>
      <c r="D65" s="72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72"/>
      <c r="B66" s="72"/>
      <c r="C66" s="72"/>
      <c r="D66" s="72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72"/>
      <c r="B67" s="72"/>
      <c r="C67" s="72"/>
      <c r="D67" s="72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72"/>
      <c r="B68" s="72"/>
      <c r="C68" s="72"/>
      <c r="D68" s="72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72"/>
      <c r="B69" s="72"/>
      <c r="C69" s="72"/>
      <c r="D69" s="72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72"/>
      <c r="B70" s="72"/>
      <c r="C70" s="72"/>
      <c r="D70" s="72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72"/>
      <c r="B71" s="72"/>
      <c r="C71" s="72"/>
      <c r="D71" s="72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72"/>
      <c r="B72" s="72"/>
      <c r="C72" s="72"/>
      <c r="D72" s="72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72"/>
      <c r="B73" s="72"/>
      <c r="C73" s="72"/>
      <c r="D73" s="72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72"/>
      <c r="B74" s="72"/>
      <c r="C74" s="72"/>
      <c r="D74" s="72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72"/>
      <c r="B75" s="72"/>
      <c r="C75" s="72"/>
      <c r="D75" s="72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72"/>
      <c r="B76" s="72"/>
      <c r="C76" s="72"/>
      <c r="D76" s="72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72"/>
      <c r="B77" s="72"/>
      <c r="C77" s="72"/>
      <c r="D77" s="72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72"/>
      <c r="B78" s="72"/>
      <c r="C78" s="72"/>
      <c r="D78" s="72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72"/>
      <c r="B79" s="72"/>
      <c r="C79" s="72"/>
      <c r="D79" s="72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72"/>
      <c r="B80" s="72"/>
      <c r="C80" s="72"/>
      <c r="D80" s="72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72"/>
      <c r="B81" s="72"/>
      <c r="C81" s="72"/>
      <c r="D81" s="72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72"/>
      <c r="B82" s="72"/>
      <c r="C82" s="72"/>
      <c r="D82" s="72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72"/>
      <c r="B83" s="72"/>
      <c r="C83" s="72"/>
      <c r="D83" s="72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72"/>
      <c r="B84" s="72"/>
      <c r="C84" s="72"/>
      <c r="D84" s="72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72"/>
      <c r="B85" s="72"/>
      <c r="C85" s="72"/>
      <c r="D85" s="72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72"/>
      <c r="B86" s="72"/>
      <c r="C86" s="72"/>
      <c r="D86" s="72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72"/>
      <c r="B87" s="72"/>
      <c r="C87" s="72"/>
      <c r="D87" s="72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72"/>
      <c r="B88" s="72"/>
      <c r="C88" s="72"/>
      <c r="D88" s="72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72"/>
      <c r="B89" s="72"/>
      <c r="C89" s="72"/>
      <c r="D89" s="72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72"/>
      <c r="B90" s="72"/>
      <c r="C90" s="72"/>
      <c r="D90" s="72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72"/>
      <c r="B91" s="72"/>
      <c r="C91" s="72"/>
      <c r="D91" s="72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72"/>
      <c r="B92" s="72"/>
      <c r="C92" s="72"/>
      <c r="D92" s="72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72"/>
      <c r="B93" s="72"/>
      <c r="C93" s="72"/>
      <c r="D93" s="72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72"/>
      <c r="B94" s="72"/>
      <c r="C94" s="72"/>
      <c r="D94" s="72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72"/>
      <c r="B95" s="72"/>
      <c r="C95" s="72"/>
      <c r="D95" s="72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72"/>
      <c r="B96" s="72"/>
      <c r="C96" s="72"/>
      <c r="D96" s="72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72"/>
      <c r="B97" s="72"/>
      <c r="C97" s="72"/>
      <c r="D97" s="72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72"/>
      <c r="B98" s="72"/>
      <c r="C98" s="72"/>
      <c r="D98" s="72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72"/>
      <c r="B99" s="72"/>
      <c r="C99" s="72"/>
      <c r="D99" s="72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72"/>
      <c r="B100" s="72"/>
      <c r="C100" s="72"/>
      <c r="D100" s="72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72"/>
      <c r="B101" s="72"/>
      <c r="C101" s="72"/>
      <c r="D101" s="72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72"/>
      <c r="B102" s="72"/>
      <c r="C102" s="72"/>
      <c r="D102" s="72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72"/>
      <c r="B103" s="72"/>
      <c r="C103" s="72"/>
      <c r="D103" s="72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72"/>
      <c r="B104" s="72"/>
      <c r="C104" s="72"/>
      <c r="D104" s="72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72"/>
      <c r="B105" s="72"/>
      <c r="C105" s="72"/>
      <c r="D105" s="72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72"/>
      <c r="B106" s="72"/>
      <c r="C106" s="72"/>
      <c r="D106" s="72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72"/>
      <c r="B107" s="72"/>
      <c r="C107" s="72"/>
      <c r="D107" s="72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72"/>
      <c r="B108" s="72"/>
      <c r="C108" s="72"/>
      <c r="D108" s="72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72"/>
      <c r="B109" s="72"/>
      <c r="C109" s="72"/>
      <c r="D109" s="72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72"/>
      <c r="B110" s="72"/>
      <c r="C110" s="72"/>
      <c r="D110" s="72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72"/>
      <c r="B111" s="72"/>
      <c r="C111" s="72"/>
      <c r="D111" s="72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72"/>
      <c r="B112" s="72"/>
      <c r="C112" s="72"/>
      <c r="D112" s="72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72"/>
      <c r="B113" s="72"/>
      <c r="C113" s="72"/>
      <c r="D113" s="72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72"/>
      <c r="B114" s="72"/>
      <c r="C114" s="72"/>
      <c r="D114" s="72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72"/>
      <c r="B115" s="72"/>
      <c r="C115" s="72"/>
      <c r="D115" s="72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72"/>
      <c r="B116" s="72"/>
      <c r="C116" s="72"/>
      <c r="D116" s="72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72"/>
      <c r="B117" s="72"/>
      <c r="C117" s="72"/>
      <c r="D117" s="72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72"/>
      <c r="B118" s="72"/>
      <c r="C118" s="72"/>
      <c r="D118" s="72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72"/>
      <c r="B119" s="72"/>
      <c r="C119" s="72"/>
      <c r="D119" s="72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72"/>
      <c r="B120" s="72"/>
      <c r="C120" s="72"/>
      <c r="D120" s="72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72"/>
      <c r="B121" s="72"/>
      <c r="C121" s="72"/>
      <c r="D121" s="72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72"/>
      <c r="B122" s="72"/>
      <c r="C122" s="72"/>
      <c r="D122" s="72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72"/>
      <c r="B123" s="72"/>
      <c r="C123" s="72"/>
      <c r="D123" s="72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72"/>
      <c r="B124" s="72"/>
      <c r="C124" s="72"/>
      <c r="D124" s="72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72"/>
      <c r="B125" s="72"/>
      <c r="C125" s="72"/>
      <c r="D125" s="72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72"/>
      <c r="B126" s="72"/>
      <c r="C126" s="72"/>
      <c r="D126" s="72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72"/>
      <c r="B127" s="72"/>
      <c r="C127" s="72"/>
      <c r="D127" s="72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72"/>
      <c r="B128" s="72"/>
      <c r="C128" s="72"/>
      <c r="D128" s="72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72"/>
      <c r="B129" s="72"/>
      <c r="C129" s="72"/>
      <c r="D129" s="72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72"/>
      <c r="B130" s="72"/>
      <c r="C130" s="72"/>
      <c r="D130" s="72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72"/>
      <c r="B131" s="72"/>
      <c r="C131" s="72"/>
      <c r="D131" s="72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72"/>
      <c r="B132" s="72"/>
      <c r="C132" s="72"/>
      <c r="D132" s="72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72"/>
      <c r="B133" s="72"/>
      <c r="C133" s="72"/>
      <c r="D133" s="72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72"/>
      <c r="B134" s="72"/>
      <c r="C134" s="72"/>
      <c r="D134" s="72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72"/>
      <c r="B135" s="72"/>
      <c r="C135" s="72"/>
      <c r="D135" s="72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72"/>
      <c r="B136" s="72"/>
      <c r="C136" s="72"/>
      <c r="D136" s="72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72"/>
      <c r="B137" s="72"/>
      <c r="C137" s="72"/>
      <c r="D137" s="72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72"/>
      <c r="B138" s="72"/>
      <c r="C138" s="72"/>
      <c r="D138" s="72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72"/>
      <c r="B139" s="72"/>
      <c r="C139" s="72"/>
      <c r="D139" s="72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72"/>
      <c r="B140" s="72"/>
      <c r="C140" s="72"/>
      <c r="D140" s="72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72"/>
      <c r="B141" s="72"/>
      <c r="C141" s="72"/>
      <c r="D141" s="72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72"/>
      <c r="B142" s="72"/>
      <c r="C142" s="72"/>
      <c r="D142" s="72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72"/>
      <c r="B143" s="72"/>
      <c r="C143" s="72"/>
      <c r="D143" s="72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72"/>
      <c r="B144" s="72"/>
      <c r="C144" s="72"/>
      <c r="D144" s="72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72"/>
      <c r="B145" s="72"/>
      <c r="C145" s="72"/>
      <c r="D145" s="72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72"/>
      <c r="B146" s="72"/>
      <c r="C146" s="72"/>
      <c r="D146" s="72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72"/>
      <c r="B147" s="72"/>
      <c r="C147" s="72"/>
      <c r="D147" s="72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72"/>
      <c r="B148" s="72"/>
      <c r="C148" s="72"/>
      <c r="D148" s="72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72"/>
      <c r="B149" s="72"/>
      <c r="C149" s="72"/>
      <c r="D149" s="72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72"/>
      <c r="B150" s="72"/>
      <c r="C150" s="72"/>
      <c r="D150" s="72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72"/>
      <c r="B151" s="72"/>
      <c r="C151" s="72"/>
      <c r="D151" s="72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72"/>
      <c r="B152" s="72"/>
      <c r="C152" s="72"/>
      <c r="D152" s="72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72"/>
      <c r="B153" s="72"/>
      <c r="C153" s="72"/>
      <c r="D153" s="72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72"/>
      <c r="B154" s="72"/>
      <c r="C154" s="72"/>
      <c r="D154" s="72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72"/>
      <c r="B155" s="72"/>
      <c r="C155" s="72"/>
      <c r="D155" s="72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72"/>
      <c r="B156" s="72"/>
      <c r="C156" s="72"/>
      <c r="D156" s="72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72"/>
      <c r="B157" s="72"/>
      <c r="C157" s="72"/>
      <c r="D157" s="72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72"/>
      <c r="B158" s="72"/>
      <c r="C158" s="72"/>
      <c r="D158" s="72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72"/>
      <c r="B159" s="72"/>
      <c r="C159" s="72"/>
      <c r="D159" s="72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72"/>
      <c r="B160" s="72"/>
      <c r="C160" s="72"/>
      <c r="D160" s="72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72"/>
      <c r="B161" s="72"/>
      <c r="C161" s="72"/>
      <c r="D161" s="72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72"/>
      <c r="B162" s="72"/>
      <c r="C162" s="72"/>
      <c r="D162" s="72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72"/>
      <c r="B163" s="72"/>
      <c r="C163" s="72"/>
      <c r="D163" s="72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72"/>
      <c r="B164" s="72"/>
      <c r="C164" s="72"/>
      <c r="D164" s="72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72"/>
      <c r="B165" s="72"/>
      <c r="C165" s="72"/>
      <c r="D165" s="72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72"/>
      <c r="B166" s="72"/>
      <c r="C166" s="72"/>
      <c r="D166" s="72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72"/>
      <c r="B167" s="72"/>
      <c r="C167" s="72"/>
      <c r="D167" s="72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72"/>
      <c r="B168" s="72"/>
      <c r="C168" s="72"/>
      <c r="D168" s="72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72"/>
      <c r="B169" s="72"/>
      <c r="C169" s="72"/>
      <c r="D169" s="72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72"/>
      <c r="B170" s="72"/>
      <c r="C170" s="72"/>
      <c r="D170" s="72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72"/>
      <c r="B171" s="72"/>
      <c r="C171" s="72"/>
      <c r="D171" s="72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72"/>
      <c r="B172" s="72"/>
      <c r="C172" s="72"/>
      <c r="D172" s="72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72"/>
      <c r="B173" s="72"/>
      <c r="C173" s="72"/>
      <c r="D173" s="72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72"/>
      <c r="B174" s="72"/>
      <c r="C174" s="72"/>
      <c r="D174" s="72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72"/>
      <c r="B175" s="72"/>
      <c r="C175" s="72"/>
      <c r="D175" s="72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72"/>
      <c r="B176" s="72"/>
      <c r="C176" s="72"/>
      <c r="D176" s="72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72"/>
      <c r="B177" s="72"/>
      <c r="C177" s="72"/>
      <c r="D177" s="72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72"/>
      <c r="B178" s="72"/>
      <c r="C178" s="72"/>
      <c r="D178" s="72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72"/>
      <c r="B179" s="72"/>
      <c r="C179" s="72"/>
      <c r="D179" s="72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72"/>
      <c r="B180" s="72"/>
      <c r="C180" s="72"/>
      <c r="D180" s="72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72"/>
      <c r="B181" s="72"/>
      <c r="C181" s="72"/>
      <c r="D181" s="72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72"/>
      <c r="B182" s="72"/>
      <c r="C182" s="72"/>
      <c r="D182" s="72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72"/>
      <c r="B183" s="72"/>
      <c r="C183" s="72"/>
      <c r="D183" s="72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72"/>
      <c r="B184" s="72"/>
      <c r="C184" s="72"/>
      <c r="D184" s="72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72"/>
      <c r="B185" s="72"/>
      <c r="C185" s="72"/>
      <c r="D185" s="72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72"/>
      <c r="B186" s="72"/>
      <c r="C186" s="72"/>
      <c r="D186" s="72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72"/>
      <c r="B187" s="72"/>
      <c r="C187" s="72"/>
      <c r="D187" s="72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72"/>
      <c r="B188" s="72"/>
      <c r="C188" s="72"/>
      <c r="D188" s="72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72"/>
      <c r="B189" s="72"/>
      <c r="C189" s="72"/>
      <c r="D189" s="72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72"/>
      <c r="B190" s="72"/>
      <c r="C190" s="72"/>
      <c r="D190" s="72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72"/>
      <c r="B191" s="72"/>
      <c r="C191" s="72"/>
      <c r="D191" s="72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72"/>
      <c r="B192" s="72"/>
      <c r="C192" s="72"/>
      <c r="D192" s="72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72"/>
      <c r="B193" s="72"/>
      <c r="C193" s="72"/>
      <c r="D193" s="72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72"/>
      <c r="B194" s="72"/>
      <c r="C194" s="72"/>
      <c r="D194" s="72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72"/>
      <c r="B195" s="72"/>
      <c r="C195" s="72"/>
      <c r="D195" s="72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72"/>
      <c r="B196" s="72"/>
      <c r="C196" s="72"/>
      <c r="D196" s="72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72"/>
      <c r="B197" s="72"/>
      <c r="C197" s="72"/>
      <c r="D197" s="72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72"/>
      <c r="B198" s="72"/>
      <c r="C198" s="72"/>
      <c r="D198" s="72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72"/>
      <c r="B199" s="72"/>
      <c r="C199" s="72"/>
      <c r="D199" s="72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72"/>
      <c r="B200" s="72"/>
      <c r="C200" s="72"/>
      <c r="D200" s="72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72"/>
      <c r="B201" s="72"/>
      <c r="C201" s="72"/>
      <c r="D201" s="72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72"/>
      <c r="B202" s="72"/>
      <c r="C202" s="72"/>
      <c r="D202" s="72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72"/>
      <c r="B203" s="72"/>
      <c r="C203" s="72"/>
      <c r="D203" s="72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72"/>
      <c r="B204" s="72"/>
      <c r="C204" s="72"/>
      <c r="D204" s="72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72"/>
      <c r="B205" s="72"/>
      <c r="C205" s="72"/>
      <c r="D205" s="72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72"/>
      <c r="B206" s="72"/>
      <c r="C206" s="72"/>
      <c r="D206" s="72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72"/>
      <c r="B207" s="72"/>
      <c r="C207" s="72"/>
      <c r="D207" s="72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72"/>
      <c r="B208" s="72"/>
      <c r="C208" s="72"/>
      <c r="D208" s="72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72"/>
      <c r="B209" s="72"/>
      <c r="C209" s="72"/>
      <c r="D209" s="72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72"/>
      <c r="B210" s="72"/>
      <c r="C210" s="72"/>
      <c r="D210" s="72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72"/>
      <c r="B211" s="72"/>
      <c r="C211" s="72"/>
      <c r="D211" s="72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72"/>
      <c r="B212" s="72"/>
      <c r="C212" s="72"/>
      <c r="D212" s="72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72"/>
      <c r="B213" s="72"/>
      <c r="C213" s="72"/>
      <c r="D213" s="72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72"/>
      <c r="B214" s="72"/>
      <c r="C214" s="72"/>
      <c r="D214" s="72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72"/>
      <c r="B215" s="72"/>
      <c r="C215" s="72"/>
      <c r="D215" s="72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72"/>
      <c r="B216" s="72"/>
      <c r="C216" s="72"/>
      <c r="D216" s="72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72"/>
      <c r="B217" s="72"/>
      <c r="C217" s="72"/>
      <c r="D217" s="72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72"/>
      <c r="B218" s="72"/>
      <c r="C218" s="72"/>
      <c r="D218" s="72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72"/>
      <c r="B219" s="72"/>
      <c r="C219" s="72"/>
      <c r="D219" s="72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72"/>
      <c r="B220" s="72"/>
      <c r="C220" s="72"/>
      <c r="D220" s="72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72"/>
      <c r="B221" s="72"/>
      <c r="C221" s="72"/>
      <c r="D221" s="72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72"/>
      <c r="B222" s="72"/>
      <c r="C222" s="72"/>
      <c r="D222" s="72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72"/>
      <c r="B223" s="72"/>
      <c r="C223" s="72"/>
      <c r="D223" s="72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72"/>
      <c r="B224" s="72"/>
      <c r="C224" s="72"/>
      <c r="D224" s="72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72"/>
      <c r="B225" s="72"/>
      <c r="C225" s="72"/>
      <c r="D225" s="72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72"/>
      <c r="B226" s="72"/>
      <c r="C226" s="72"/>
      <c r="D226" s="72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72"/>
      <c r="B227" s="72"/>
      <c r="C227" s="72"/>
      <c r="D227" s="72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72"/>
      <c r="B228" s="72"/>
      <c r="C228" s="72"/>
      <c r="D228" s="72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72"/>
      <c r="B229" s="72"/>
      <c r="C229" s="72"/>
      <c r="D229" s="72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72"/>
      <c r="B230" s="72"/>
      <c r="C230" s="72"/>
      <c r="D230" s="72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72"/>
      <c r="B231" s="72"/>
      <c r="C231" s="72"/>
      <c r="D231" s="72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72"/>
      <c r="B232" s="72"/>
      <c r="C232" s="72"/>
      <c r="D232" s="72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72"/>
      <c r="B233" s="72"/>
      <c r="C233" s="72"/>
      <c r="D233" s="72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72"/>
      <c r="B234" s="72"/>
      <c r="C234" s="72"/>
      <c r="D234" s="72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72"/>
      <c r="B235" s="72"/>
      <c r="C235" s="72"/>
      <c r="D235" s="72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72"/>
      <c r="B236" s="72"/>
      <c r="C236" s="72"/>
      <c r="D236" s="72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72"/>
      <c r="B237" s="72"/>
      <c r="C237" s="72"/>
      <c r="D237" s="72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72"/>
      <c r="B238" s="72"/>
      <c r="C238" s="72"/>
      <c r="D238" s="72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72"/>
      <c r="B239" s="72"/>
      <c r="C239" s="72"/>
      <c r="D239" s="72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72"/>
      <c r="B240" s="72"/>
      <c r="C240" s="72"/>
      <c r="D240" s="72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72"/>
      <c r="B241" s="72"/>
      <c r="C241" s="72"/>
      <c r="D241" s="72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72"/>
      <c r="B242" s="72"/>
      <c r="C242" s="72"/>
      <c r="D242" s="72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72"/>
      <c r="B243" s="72"/>
      <c r="C243" s="72"/>
      <c r="D243" s="72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72"/>
      <c r="B244" s="72"/>
      <c r="C244" s="72"/>
      <c r="D244" s="72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72"/>
      <c r="B245" s="72"/>
      <c r="C245" s="72"/>
      <c r="D245" s="72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72"/>
      <c r="B246" s="72"/>
      <c r="C246" s="72"/>
      <c r="D246" s="72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72"/>
      <c r="B247" s="72"/>
      <c r="C247" s="72"/>
      <c r="D247" s="72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72"/>
      <c r="B248" s="72"/>
      <c r="C248" s="72"/>
      <c r="D248" s="72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72"/>
      <c r="B249" s="72"/>
      <c r="C249" s="72"/>
      <c r="D249" s="72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72"/>
      <c r="B250" s="72"/>
      <c r="C250" s="72"/>
      <c r="D250" s="72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72"/>
      <c r="B251" s="72"/>
      <c r="C251" s="72"/>
      <c r="D251" s="72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72"/>
      <c r="B252" s="72"/>
      <c r="C252" s="72"/>
      <c r="D252" s="72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72"/>
      <c r="B253" s="72"/>
      <c r="C253" s="72"/>
      <c r="D253" s="72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72"/>
      <c r="B254" s="72"/>
      <c r="C254" s="72"/>
      <c r="D254" s="72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72"/>
      <c r="B255" s="72"/>
      <c r="C255" s="72"/>
      <c r="D255" s="72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72"/>
      <c r="B256" s="72"/>
      <c r="C256" s="72"/>
      <c r="D256" s="72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72"/>
      <c r="B257" s="72"/>
      <c r="C257" s="72"/>
      <c r="D257" s="72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72"/>
      <c r="B258" s="72"/>
      <c r="C258" s="72"/>
      <c r="D258" s="72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72"/>
      <c r="B259" s="72"/>
      <c r="C259" s="72"/>
      <c r="D259" s="72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72"/>
      <c r="B260" s="72"/>
      <c r="C260" s="72"/>
      <c r="D260" s="72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72"/>
      <c r="B261" s="72"/>
      <c r="C261" s="72"/>
      <c r="D261" s="72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72"/>
      <c r="B262" s="72"/>
      <c r="C262" s="72"/>
      <c r="D262" s="72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72"/>
      <c r="B263" s="72"/>
      <c r="C263" s="72"/>
      <c r="D263" s="72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72"/>
      <c r="B264" s="72"/>
      <c r="C264" s="72"/>
      <c r="D264" s="72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72"/>
      <c r="B265" s="72"/>
      <c r="C265" s="72"/>
      <c r="D265" s="72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72"/>
      <c r="B266" s="72"/>
      <c r="C266" s="72"/>
      <c r="D266" s="72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72"/>
      <c r="B267" s="72"/>
      <c r="C267" s="72"/>
      <c r="D267" s="72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72"/>
      <c r="B268" s="72"/>
      <c r="C268" s="72"/>
      <c r="D268" s="72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72"/>
      <c r="B269" s="72"/>
      <c r="C269" s="72"/>
      <c r="D269" s="72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72"/>
      <c r="B270" s="72"/>
      <c r="C270" s="72"/>
      <c r="D270" s="72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72"/>
      <c r="B271" s="72"/>
      <c r="C271" s="72"/>
      <c r="D271" s="72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72"/>
      <c r="B272" s="72"/>
      <c r="C272" s="72"/>
      <c r="D272" s="72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72"/>
      <c r="B273" s="72"/>
      <c r="C273" s="72"/>
      <c r="D273" s="72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72"/>
      <c r="B274" s="72"/>
      <c r="C274" s="72"/>
      <c r="D274" s="72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72"/>
      <c r="B275" s="72"/>
      <c r="C275" s="72"/>
      <c r="D275" s="72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72"/>
      <c r="B276" s="72"/>
      <c r="C276" s="72"/>
      <c r="D276" s="72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72"/>
      <c r="B277" s="72"/>
      <c r="C277" s="72"/>
      <c r="D277" s="72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72"/>
      <c r="B278" s="72"/>
      <c r="C278" s="72"/>
      <c r="D278" s="72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72"/>
      <c r="B279" s="72"/>
      <c r="C279" s="72"/>
      <c r="D279" s="72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72"/>
      <c r="B280" s="72"/>
      <c r="C280" s="72"/>
      <c r="D280" s="72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72"/>
      <c r="B281" s="72"/>
      <c r="C281" s="72"/>
      <c r="D281" s="72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72"/>
      <c r="B282" s="72"/>
      <c r="C282" s="72"/>
      <c r="D282" s="72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72"/>
      <c r="B283" s="72"/>
      <c r="C283" s="72"/>
      <c r="D283" s="72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72"/>
      <c r="B284" s="72"/>
      <c r="C284" s="72"/>
      <c r="D284" s="72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72"/>
      <c r="B285" s="72"/>
      <c r="C285" s="72"/>
      <c r="D285" s="72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72"/>
      <c r="B286" s="72"/>
      <c r="C286" s="72"/>
      <c r="D286" s="72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72"/>
      <c r="B287" s="72"/>
      <c r="C287" s="72"/>
      <c r="D287" s="72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72"/>
      <c r="B288" s="72"/>
      <c r="C288" s="72"/>
      <c r="D288" s="72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72"/>
      <c r="B289" s="72"/>
      <c r="C289" s="72"/>
      <c r="D289" s="72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72"/>
      <c r="B290" s="72"/>
      <c r="C290" s="72"/>
      <c r="D290" s="72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72"/>
      <c r="B291" s="72"/>
      <c r="C291" s="72"/>
      <c r="D291" s="72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72"/>
      <c r="B292" s="72"/>
      <c r="C292" s="72"/>
      <c r="D292" s="72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72"/>
      <c r="B293" s="72"/>
      <c r="C293" s="72"/>
      <c r="D293" s="72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72"/>
      <c r="B294" s="72"/>
      <c r="C294" s="72"/>
      <c r="D294" s="72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72"/>
      <c r="B295" s="72"/>
      <c r="C295" s="72"/>
      <c r="D295" s="72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72"/>
      <c r="B296" s="72"/>
      <c r="C296" s="72"/>
      <c r="D296" s="72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72"/>
      <c r="B297" s="72"/>
      <c r="C297" s="72"/>
      <c r="D297" s="72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72"/>
      <c r="B298" s="72"/>
      <c r="C298" s="72"/>
      <c r="D298" s="72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72"/>
      <c r="B299" s="72"/>
      <c r="C299" s="72"/>
      <c r="D299" s="72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72"/>
      <c r="B300" s="72"/>
      <c r="C300" s="72"/>
      <c r="D300" s="72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72"/>
      <c r="B301" s="72"/>
      <c r="C301" s="72"/>
      <c r="D301" s="72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72"/>
      <c r="B302" s="72"/>
      <c r="C302" s="72"/>
      <c r="D302" s="72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72"/>
      <c r="B303" s="72"/>
      <c r="C303" s="72"/>
      <c r="D303" s="72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72"/>
      <c r="B304" s="72"/>
      <c r="C304" s="72"/>
      <c r="D304" s="72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72"/>
      <c r="B305" s="72"/>
      <c r="C305" s="72"/>
      <c r="D305" s="72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72"/>
      <c r="B306" s="72"/>
      <c r="C306" s="72"/>
      <c r="D306" s="72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72"/>
      <c r="B307" s="72"/>
      <c r="C307" s="72"/>
      <c r="D307" s="72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72"/>
      <c r="B308" s="72"/>
      <c r="C308" s="72"/>
      <c r="D308" s="72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72"/>
      <c r="B309" s="72"/>
      <c r="C309" s="72"/>
      <c r="D309" s="72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72"/>
      <c r="B310" s="72"/>
      <c r="C310" s="72"/>
      <c r="D310" s="72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72"/>
      <c r="B311" s="72"/>
      <c r="C311" s="72"/>
      <c r="D311" s="72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72"/>
      <c r="B312" s="72"/>
      <c r="C312" s="72"/>
      <c r="D312" s="72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72"/>
      <c r="B313" s="72"/>
      <c r="C313" s="72"/>
      <c r="D313" s="72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72"/>
      <c r="B314" s="72"/>
      <c r="C314" s="72"/>
      <c r="D314" s="72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72"/>
      <c r="B315" s="72"/>
      <c r="C315" s="72"/>
      <c r="D315" s="72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72"/>
      <c r="B316" s="72"/>
      <c r="C316" s="72"/>
      <c r="D316" s="72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72"/>
      <c r="B317" s="72"/>
      <c r="C317" s="72"/>
      <c r="D317" s="72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72"/>
      <c r="B318" s="72"/>
      <c r="C318" s="72"/>
      <c r="D318" s="72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72"/>
      <c r="B319" s="72"/>
      <c r="C319" s="72"/>
      <c r="D319" s="72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72"/>
      <c r="B320" s="72"/>
      <c r="C320" s="72"/>
      <c r="D320" s="72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72"/>
      <c r="B321" s="72"/>
      <c r="C321" s="72"/>
      <c r="D321" s="72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72"/>
      <c r="B322" s="72"/>
      <c r="C322" s="72"/>
      <c r="D322" s="72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72"/>
      <c r="B323" s="72"/>
      <c r="C323" s="72"/>
      <c r="D323" s="72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72"/>
      <c r="B324" s="72"/>
      <c r="C324" s="72"/>
      <c r="D324" s="72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72"/>
      <c r="B325" s="72"/>
      <c r="C325" s="72"/>
      <c r="D325" s="72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72"/>
      <c r="B326" s="72"/>
      <c r="C326" s="72"/>
      <c r="D326" s="72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72"/>
      <c r="B327" s="72"/>
      <c r="C327" s="72"/>
      <c r="D327" s="72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72"/>
      <c r="B328" s="72"/>
      <c r="C328" s="72"/>
      <c r="D328" s="72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72"/>
      <c r="B329" s="72"/>
      <c r="C329" s="72"/>
      <c r="D329" s="72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72"/>
      <c r="B330" s="72"/>
      <c r="C330" s="72"/>
      <c r="D330" s="72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72"/>
      <c r="B331" s="72"/>
      <c r="C331" s="72"/>
      <c r="D331" s="72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72"/>
      <c r="B332" s="72"/>
      <c r="C332" s="72"/>
      <c r="D332" s="72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72"/>
      <c r="B333" s="72"/>
      <c r="C333" s="72"/>
      <c r="D333" s="72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72"/>
      <c r="B334" s="72"/>
      <c r="C334" s="72"/>
      <c r="D334" s="72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72"/>
      <c r="B335" s="72"/>
      <c r="C335" s="72"/>
      <c r="D335" s="72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72"/>
      <c r="B336" s="72"/>
      <c r="C336" s="72"/>
      <c r="D336" s="72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72"/>
      <c r="B337" s="72"/>
      <c r="C337" s="72"/>
      <c r="D337" s="72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72"/>
      <c r="B338" s="72"/>
      <c r="C338" s="72"/>
      <c r="D338" s="72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72"/>
      <c r="B339" s="72"/>
      <c r="C339" s="72"/>
      <c r="D339" s="72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72"/>
      <c r="B340" s="72"/>
      <c r="C340" s="72"/>
      <c r="D340" s="72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72"/>
      <c r="B341" s="72"/>
      <c r="C341" s="72"/>
      <c r="D341" s="72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72"/>
      <c r="B342" s="72"/>
      <c r="C342" s="72"/>
      <c r="D342" s="72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72"/>
      <c r="B343" s="72"/>
      <c r="C343" s="72"/>
      <c r="D343" s="72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72"/>
      <c r="B344" s="72"/>
      <c r="C344" s="72"/>
      <c r="D344" s="72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72"/>
      <c r="B345" s="72"/>
      <c r="C345" s="72"/>
      <c r="D345" s="72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72"/>
      <c r="B346" s="72"/>
      <c r="C346" s="72"/>
      <c r="D346" s="72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72"/>
      <c r="B347" s="72"/>
      <c r="C347" s="72"/>
      <c r="D347" s="72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72"/>
      <c r="B348" s="72"/>
      <c r="C348" s="72"/>
      <c r="D348" s="72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72"/>
      <c r="B349" s="72"/>
      <c r="C349" s="72"/>
      <c r="D349" s="72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72"/>
      <c r="B350" s="72"/>
      <c r="C350" s="72"/>
      <c r="D350" s="72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72"/>
      <c r="B351" s="72"/>
      <c r="C351" s="72"/>
      <c r="D351" s="72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72"/>
      <c r="B352" s="72"/>
      <c r="C352" s="72"/>
      <c r="D352" s="72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72"/>
      <c r="B353" s="72"/>
      <c r="C353" s="72"/>
      <c r="D353" s="72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72"/>
      <c r="B354" s="72"/>
      <c r="C354" s="72"/>
      <c r="D354" s="72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72"/>
      <c r="B355" s="72"/>
      <c r="C355" s="72"/>
      <c r="D355" s="72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72"/>
      <c r="B356" s="72"/>
      <c r="C356" s="72"/>
      <c r="D356" s="72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72"/>
      <c r="B357" s="72"/>
      <c r="C357" s="72"/>
      <c r="D357" s="72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72"/>
      <c r="B358" s="72"/>
      <c r="C358" s="72"/>
      <c r="D358" s="72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72"/>
      <c r="B359" s="72"/>
      <c r="C359" s="72"/>
      <c r="D359" s="72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72"/>
      <c r="B360" s="72"/>
      <c r="C360" s="72"/>
      <c r="D360" s="72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72"/>
      <c r="B361" s="72"/>
      <c r="C361" s="72"/>
      <c r="D361" s="72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72"/>
      <c r="B362" s="72"/>
      <c r="C362" s="72"/>
      <c r="D362" s="72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72"/>
      <c r="B363" s="72"/>
      <c r="C363" s="72"/>
      <c r="D363" s="72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72"/>
      <c r="B364" s="72"/>
      <c r="C364" s="72"/>
      <c r="D364" s="72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72"/>
      <c r="B365" s="72"/>
      <c r="C365" s="72"/>
      <c r="D365" s="72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72"/>
      <c r="B366" s="72"/>
      <c r="C366" s="72"/>
      <c r="D366" s="72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72"/>
      <c r="B367" s="72"/>
      <c r="C367" s="72"/>
      <c r="D367" s="72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72"/>
      <c r="B368" s="72"/>
      <c r="C368" s="72"/>
      <c r="D368" s="72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72"/>
      <c r="B369" s="72"/>
      <c r="C369" s="72"/>
      <c r="D369" s="72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72"/>
      <c r="B370" s="72"/>
      <c r="C370" s="72"/>
      <c r="D370" s="72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72"/>
      <c r="B371" s="72"/>
      <c r="C371" s="72"/>
      <c r="D371" s="72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72"/>
      <c r="B372" s="72"/>
      <c r="C372" s="72"/>
      <c r="D372" s="72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72"/>
      <c r="B373" s="72"/>
      <c r="C373" s="72"/>
      <c r="D373" s="72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72"/>
      <c r="B374" s="72"/>
      <c r="C374" s="72"/>
      <c r="D374" s="72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72"/>
      <c r="B375" s="72"/>
      <c r="C375" s="72"/>
      <c r="D375" s="72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72"/>
      <c r="B376" s="72"/>
      <c r="C376" s="72"/>
      <c r="D376" s="72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72"/>
      <c r="B377" s="72"/>
      <c r="C377" s="72"/>
      <c r="D377" s="72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72"/>
      <c r="B378" s="72"/>
      <c r="C378" s="72"/>
      <c r="D378" s="72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72"/>
      <c r="B379" s="72"/>
      <c r="C379" s="72"/>
      <c r="D379" s="72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72"/>
      <c r="B380" s="72"/>
      <c r="C380" s="72"/>
      <c r="D380" s="72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72"/>
      <c r="B381" s="72"/>
      <c r="C381" s="72"/>
      <c r="D381" s="72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72"/>
      <c r="B382" s="72"/>
      <c r="C382" s="72"/>
      <c r="D382" s="72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72"/>
      <c r="B383" s="72"/>
      <c r="C383" s="72"/>
      <c r="D383" s="72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72"/>
      <c r="B384" s="72"/>
      <c r="C384" s="72"/>
      <c r="D384" s="72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72"/>
      <c r="B385" s="72"/>
      <c r="C385" s="72"/>
      <c r="D385" s="72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72"/>
      <c r="B386" s="72"/>
      <c r="C386" s="72"/>
      <c r="D386" s="72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72"/>
      <c r="B387" s="72"/>
      <c r="C387" s="72"/>
      <c r="D387" s="72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72"/>
      <c r="B388" s="72"/>
      <c r="C388" s="72"/>
      <c r="D388" s="72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72"/>
      <c r="B389" s="72"/>
      <c r="C389" s="72"/>
      <c r="D389" s="72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72"/>
      <c r="B390" s="72"/>
      <c r="C390" s="72"/>
      <c r="D390" s="72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72"/>
      <c r="B391" s="72"/>
      <c r="C391" s="72"/>
      <c r="D391" s="72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72"/>
      <c r="B392" s="72"/>
      <c r="C392" s="72"/>
      <c r="D392" s="72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72"/>
      <c r="B393" s="72"/>
      <c r="C393" s="72"/>
      <c r="D393" s="72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72"/>
      <c r="B394" s="72"/>
      <c r="C394" s="72"/>
      <c r="D394" s="72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72"/>
      <c r="B395" s="72"/>
      <c r="C395" s="72"/>
      <c r="D395" s="72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72"/>
      <c r="B396" s="72"/>
      <c r="C396" s="72"/>
      <c r="D396" s="72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72"/>
      <c r="B397" s="72"/>
      <c r="C397" s="72"/>
      <c r="D397" s="72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72"/>
      <c r="B398" s="72"/>
      <c r="C398" s="72"/>
      <c r="D398" s="72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72"/>
      <c r="B399" s="72"/>
      <c r="C399" s="72"/>
      <c r="D399" s="72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72"/>
      <c r="B400" s="72"/>
      <c r="C400" s="72"/>
      <c r="D400" s="72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72"/>
      <c r="B401" s="72"/>
      <c r="C401" s="72"/>
      <c r="D401" s="72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72"/>
      <c r="B402" s="72"/>
      <c r="C402" s="72"/>
      <c r="D402" s="72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72"/>
      <c r="B403" s="72"/>
      <c r="C403" s="72"/>
      <c r="D403" s="72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72"/>
      <c r="B404" s="72"/>
      <c r="C404" s="72"/>
      <c r="D404" s="72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72"/>
      <c r="B405" s="72"/>
      <c r="C405" s="72"/>
      <c r="D405" s="72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72"/>
      <c r="B406" s="72"/>
      <c r="C406" s="72"/>
      <c r="D406" s="72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72"/>
      <c r="B407" s="72"/>
      <c r="C407" s="72"/>
      <c r="D407" s="72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72"/>
      <c r="B408" s="72"/>
      <c r="C408" s="72"/>
      <c r="D408" s="72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72"/>
      <c r="B409" s="72"/>
      <c r="C409" s="72"/>
      <c r="D409" s="72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72"/>
      <c r="B410" s="72"/>
      <c r="C410" s="72"/>
      <c r="D410" s="72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72"/>
      <c r="B411" s="72"/>
      <c r="C411" s="72"/>
      <c r="D411" s="72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72"/>
      <c r="B412" s="72"/>
      <c r="C412" s="72"/>
      <c r="D412" s="72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72"/>
      <c r="B413" s="72"/>
      <c r="C413" s="72"/>
      <c r="D413" s="72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72"/>
      <c r="B414" s="72"/>
      <c r="C414" s="72"/>
      <c r="D414" s="72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72"/>
      <c r="B415" s="72"/>
      <c r="C415" s="72"/>
      <c r="D415" s="72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72"/>
      <c r="B416" s="72"/>
      <c r="C416" s="72"/>
      <c r="D416" s="72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72"/>
      <c r="B417" s="72"/>
      <c r="C417" s="72"/>
      <c r="D417" s="72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72"/>
      <c r="B418" s="72"/>
      <c r="C418" s="72"/>
      <c r="D418" s="72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72"/>
      <c r="B419" s="72"/>
      <c r="C419" s="72"/>
      <c r="D419" s="72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72"/>
      <c r="B420" s="72"/>
      <c r="C420" s="72"/>
      <c r="D420" s="72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72"/>
      <c r="B421" s="72"/>
      <c r="C421" s="72"/>
      <c r="D421" s="72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72"/>
      <c r="B422" s="72"/>
      <c r="C422" s="72"/>
      <c r="D422" s="72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72"/>
      <c r="B423" s="72"/>
      <c r="C423" s="72"/>
      <c r="D423" s="72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72"/>
      <c r="B424" s="72"/>
      <c r="C424" s="72"/>
      <c r="D424" s="72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72"/>
      <c r="B425" s="72"/>
      <c r="C425" s="72"/>
      <c r="D425" s="72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72"/>
      <c r="B426" s="72"/>
      <c r="C426" s="72"/>
      <c r="D426" s="72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72"/>
      <c r="B427" s="72"/>
      <c r="C427" s="72"/>
      <c r="D427" s="72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72"/>
      <c r="B428" s="72"/>
      <c r="C428" s="72"/>
      <c r="D428" s="72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72"/>
      <c r="B429" s="72"/>
      <c r="C429" s="72"/>
      <c r="D429" s="72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72"/>
      <c r="B430" s="72"/>
      <c r="C430" s="72"/>
      <c r="D430" s="72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72"/>
      <c r="B431" s="72"/>
      <c r="C431" s="72"/>
      <c r="D431" s="72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72"/>
      <c r="B432" s="72"/>
      <c r="C432" s="72"/>
      <c r="D432" s="72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72"/>
      <c r="B433" s="72"/>
      <c r="C433" s="72"/>
      <c r="D433" s="72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72"/>
      <c r="B434" s="72"/>
      <c r="C434" s="72"/>
      <c r="D434" s="72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72"/>
      <c r="B435" s="72"/>
      <c r="C435" s="72"/>
      <c r="D435" s="72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72"/>
      <c r="B436" s="72"/>
      <c r="C436" s="72"/>
      <c r="D436" s="72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72"/>
      <c r="B437" s="72"/>
      <c r="C437" s="72"/>
      <c r="D437" s="72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72"/>
      <c r="B438" s="72"/>
      <c r="C438" s="72"/>
      <c r="D438" s="72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72"/>
      <c r="B439" s="72"/>
      <c r="C439" s="72"/>
      <c r="D439" s="72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72"/>
      <c r="B440" s="72"/>
      <c r="C440" s="72"/>
      <c r="D440" s="72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72"/>
      <c r="B441" s="72"/>
      <c r="C441" s="72"/>
      <c r="D441" s="72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72"/>
      <c r="B442" s="72"/>
      <c r="C442" s="72"/>
      <c r="D442" s="72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72"/>
      <c r="B443" s="72"/>
      <c r="C443" s="72"/>
      <c r="D443" s="72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72"/>
      <c r="B444" s="72"/>
      <c r="C444" s="72"/>
      <c r="D444" s="72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72"/>
      <c r="B445" s="72"/>
      <c r="C445" s="72"/>
      <c r="D445" s="72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72"/>
      <c r="B446" s="72"/>
      <c r="C446" s="72"/>
      <c r="D446" s="72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72"/>
      <c r="B447" s="72"/>
      <c r="C447" s="72"/>
      <c r="D447" s="72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72"/>
      <c r="B448" s="72"/>
      <c r="C448" s="72"/>
      <c r="D448" s="72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72"/>
      <c r="B449" s="72"/>
      <c r="C449" s="72"/>
      <c r="D449" s="72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72"/>
      <c r="B450" s="72"/>
      <c r="C450" s="72"/>
      <c r="D450" s="72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72"/>
      <c r="B451" s="72"/>
      <c r="C451" s="72"/>
      <c r="D451" s="72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72"/>
      <c r="B452" s="72"/>
      <c r="C452" s="72"/>
      <c r="D452" s="72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72"/>
      <c r="B453" s="72"/>
      <c r="C453" s="72"/>
      <c r="D453" s="72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72"/>
      <c r="B454" s="72"/>
      <c r="C454" s="72"/>
      <c r="D454" s="72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72"/>
      <c r="B455" s="72"/>
      <c r="C455" s="72"/>
      <c r="D455" s="72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72"/>
      <c r="B456" s="72"/>
      <c r="C456" s="72"/>
      <c r="D456" s="72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72"/>
      <c r="B457" s="72"/>
      <c r="C457" s="72"/>
      <c r="D457" s="72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72"/>
      <c r="B458" s="72"/>
      <c r="C458" s="72"/>
      <c r="D458" s="72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72"/>
      <c r="B459" s="72"/>
      <c r="C459" s="72"/>
      <c r="D459" s="72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72"/>
      <c r="B460" s="72"/>
      <c r="C460" s="72"/>
      <c r="D460" s="72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72"/>
      <c r="B461" s="72"/>
      <c r="C461" s="72"/>
      <c r="D461" s="72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72"/>
      <c r="B462" s="72"/>
      <c r="C462" s="72"/>
      <c r="D462" s="72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72"/>
      <c r="B463" s="72"/>
      <c r="C463" s="72"/>
      <c r="D463" s="72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72"/>
      <c r="B464" s="72"/>
      <c r="C464" s="72"/>
      <c r="D464" s="72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72"/>
      <c r="B465" s="72"/>
      <c r="C465" s="72"/>
      <c r="D465" s="72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72"/>
      <c r="B466" s="72"/>
      <c r="C466" s="72"/>
      <c r="D466" s="72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72"/>
      <c r="B467" s="72"/>
      <c r="C467" s="72"/>
      <c r="D467" s="72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72"/>
      <c r="B468" s="72"/>
      <c r="C468" s="72"/>
      <c r="D468" s="72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72"/>
      <c r="B469" s="72"/>
      <c r="C469" s="72"/>
      <c r="D469" s="72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72"/>
      <c r="B470" s="72"/>
      <c r="C470" s="72"/>
      <c r="D470" s="72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72"/>
      <c r="B471" s="72"/>
      <c r="C471" s="72"/>
      <c r="D471" s="72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72"/>
      <c r="B472" s="72"/>
      <c r="C472" s="72"/>
      <c r="D472" s="72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72"/>
      <c r="B473" s="72"/>
      <c r="C473" s="72"/>
      <c r="D473" s="72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72"/>
      <c r="B474" s="72"/>
      <c r="C474" s="72"/>
      <c r="D474" s="72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72"/>
      <c r="B475" s="72"/>
      <c r="C475" s="72"/>
      <c r="D475" s="72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72"/>
      <c r="B476" s="72"/>
      <c r="C476" s="72"/>
      <c r="D476" s="72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72"/>
      <c r="B477" s="72"/>
      <c r="C477" s="72"/>
      <c r="D477" s="72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72"/>
      <c r="B478" s="72"/>
      <c r="C478" s="72"/>
      <c r="D478" s="72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72"/>
      <c r="B479" s="72"/>
      <c r="C479" s="72"/>
      <c r="D479" s="72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72"/>
      <c r="B480" s="72"/>
      <c r="C480" s="72"/>
      <c r="D480" s="72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72"/>
      <c r="B481" s="72"/>
      <c r="C481" s="72"/>
      <c r="D481" s="72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72"/>
      <c r="B482" s="72"/>
      <c r="C482" s="72"/>
      <c r="D482" s="72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72"/>
      <c r="B483" s="72"/>
      <c r="C483" s="72"/>
      <c r="D483" s="72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72"/>
      <c r="B484" s="72"/>
      <c r="C484" s="72"/>
      <c r="D484" s="72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72"/>
      <c r="B485" s="72"/>
      <c r="C485" s="72"/>
      <c r="D485" s="72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72"/>
      <c r="B486" s="72"/>
      <c r="C486" s="72"/>
      <c r="D486" s="72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72"/>
      <c r="B487" s="72"/>
      <c r="C487" s="72"/>
      <c r="D487" s="72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72"/>
      <c r="B488" s="72"/>
      <c r="C488" s="72"/>
      <c r="D488" s="72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72"/>
      <c r="B489" s="72"/>
      <c r="C489" s="72"/>
      <c r="D489" s="72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72"/>
      <c r="B490" s="72"/>
      <c r="C490" s="72"/>
      <c r="D490" s="72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72"/>
      <c r="B491" s="72"/>
      <c r="C491" s="72"/>
      <c r="D491" s="72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72"/>
      <c r="B492" s="72"/>
      <c r="C492" s="72"/>
      <c r="D492" s="72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72"/>
      <c r="B493" s="72"/>
      <c r="C493" s="72"/>
      <c r="D493" s="72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72"/>
      <c r="B494" s="72"/>
      <c r="C494" s="72"/>
      <c r="D494" s="72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72"/>
      <c r="B495" s="72"/>
      <c r="C495" s="72"/>
      <c r="D495" s="72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72"/>
      <c r="B496" s="72"/>
      <c r="C496" s="72"/>
      <c r="D496" s="72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72"/>
      <c r="B497" s="72"/>
      <c r="C497" s="72"/>
      <c r="D497" s="72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72"/>
      <c r="B498" s="72"/>
      <c r="C498" s="72"/>
      <c r="D498" s="72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72"/>
      <c r="B499" s="72"/>
      <c r="C499" s="72"/>
      <c r="D499" s="72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72"/>
      <c r="B500" s="72"/>
      <c r="C500" s="72"/>
      <c r="D500" s="72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72"/>
      <c r="B501" s="72"/>
      <c r="C501" s="72"/>
      <c r="D501" s="72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72"/>
      <c r="B502" s="72"/>
      <c r="C502" s="72"/>
      <c r="D502" s="72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72"/>
      <c r="B503" s="72"/>
      <c r="C503" s="72"/>
      <c r="D503" s="72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72"/>
      <c r="B504" s="72"/>
      <c r="C504" s="72"/>
      <c r="D504" s="72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72"/>
      <c r="B505" s="72"/>
      <c r="C505" s="72"/>
      <c r="D505" s="72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72"/>
      <c r="B506" s="72"/>
      <c r="C506" s="72"/>
      <c r="D506" s="72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72"/>
      <c r="B507" s="72"/>
      <c r="C507" s="72"/>
      <c r="D507" s="72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72"/>
      <c r="B508" s="72"/>
      <c r="C508" s="72"/>
      <c r="D508" s="72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72"/>
      <c r="B509" s="72"/>
      <c r="C509" s="72"/>
      <c r="D509" s="72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72"/>
      <c r="B510" s="72"/>
      <c r="C510" s="72"/>
      <c r="D510" s="72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72"/>
      <c r="B511" s="72"/>
      <c r="C511" s="72"/>
      <c r="D511" s="72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72"/>
      <c r="B512" s="72"/>
      <c r="C512" s="72"/>
      <c r="D512" s="72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72"/>
      <c r="B513" s="72"/>
      <c r="C513" s="72"/>
      <c r="D513" s="72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72"/>
      <c r="B514" s="72"/>
      <c r="C514" s="72"/>
      <c r="D514" s="72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72"/>
      <c r="B515" s="72"/>
      <c r="C515" s="72"/>
      <c r="D515" s="72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72"/>
      <c r="B516" s="72"/>
      <c r="C516" s="72"/>
      <c r="D516" s="72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72"/>
      <c r="B517" s="72"/>
      <c r="C517" s="72"/>
      <c r="D517" s="72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72"/>
      <c r="B518" s="72"/>
      <c r="C518" s="72"/>
      <c r="D518" s="72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72"/>
      <c r="B519" s="72"/>
      <c r="C519" s="72"/>
      <c r="D519" s="72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72"/>
      <c r="B520" s="72"/>
      <c r="C520" s="72"/>
      <c r="D520" s="72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72"/>
      <c r="B521" s="72"/>
      <c r="C521" s="72"/>
      <c r="D521" s="72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72"/>
      <c r="B522" s="72"/>
      <c r="C522" s="72"/>
      <c r="D522" s="72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72"/>
      <c r="B523" s="72"/>
      <c r="C523" s="72"/>
      <c r="D523" s="72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72"/>
      <c r="B524" s="72"/>
      <c r="C524" s="72"/>
      <c r="D524" s="72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72"/>
      <c r="B525" s="72"/>
      <c r="C525" s="72"/>
      <c r="D525" s="72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72"/>
      <c r="B526" s="72"/>
      <c r="C526" s="72"/>
      <c r="D526" s="72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72"/>
      <c r="B527" s="72"/>
      <c r="C527" s="72"/>
      <c r="D527" s="72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72"/>
      <c r="B528" s="72"/>
      <c r="C528" s="72"/>
      <c r="D528" s="72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72"/>
      <c r="B529" s="72"/>
      <c r="C529" s="72"/>
      <c r="D529" s="72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72"/>
      <c r="B530" s="72"/>
      <c r="C530" s="72"/>
      <c r="D530" s="72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72"/>
      <c r="B531" s="72"/>
      <c r="C531" s="72"/>
      <c r="D531" s="72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72"/>
      <c r="B532" s="72"/>
      <c r="C532" s="72"/>
      <c r="D532" s="72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72"/>
      <c r="B533" s="72"/>
      <c r="C533" s="72"/>
      <c r="D533" s="72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72"/>
      <c r="B534" s="72"/>
      <c r="C534" s="72"/>
      <c r="D534" s="72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72"/>
      <c r="B535" s="72"/>
      <c r="C535" s="72"/>
      <c r="D535" s="72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72"/>
      <c r="B536" s="72"/>
      <c r="C536" s="72"/>
      <c r="D536" s="72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72"/>
      <c r="B537" s="72"/>
      <c r="C537" s="72"/>
      <c r="D537" s="72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72"/>
      <c r="B538" s="72"/>
      <c r="C538" s="72"/>
      <c r="D538" s="72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72"/>
      <c r="B539" s="72"/>
      <c r="C539" s="72"/>
      <c r="D539" s="72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72"/>
      <c r="B540" s="72"/>
      <c r="C540" s="72"/>
      <c r="D540" s="72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72"/>
      <c r="B541" s="72"/>
      <c r="C541" s="72"/>
      <c r="D541" s="72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72"/>
      <c r="B542" s="72"/>
      <c r="C542" s="72"/>
      <c r="D542" s="72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72"/>
      <c r="B543" s="72"/>
      <c r="C543" s="72"/>
      <c r="D543" s="72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72"/>
      <c r="B544" s="72"/>
      <c r="C544" s="72"/>
      <c r="D544" s="72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72"/>
      <c r="B545" s="72"/>
      <c r="C545" s="72"/>
      <c r="D545" s="72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72"/>
      <c r="B546" s="72"/>
      <c r="C546" s="72"/>
      <c r="D546" s="72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72"/>
      <c r="B547" s="72"/>
      <c r="C547" s="72"/>
      <c r="D547" s="72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72"/>
      <c r="B548" s="72"/>
      <c r="C548" s="72"/>
      <c r="D548" s="72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72"/>
      <c r="B549" s="72"/>
      <c r="C549" s="72"/>
      <c r="D549" s="72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72"/>
      <c r="B550" s="72"/>
      <c r="C550" s="72"/>
      <c r="D550" s="72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72"/>
      <c r="B551" s="72"/>
      <c r="C551" s="72"/>
      <c r="D551" s="72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72"/>
      <c r="B552" s="72"/>
      <c r="C552" s="72"/>
      <c r="D552" s="72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72"/>
      <c r="B553" s="72"/>
      <c r="C553" s="72"/>
      <c r="D553" s="72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72"/>
      <c r="B554" s="72"/>
      <c r="C554" s="72"/>
      <c r="D554" s="72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72"/>
      <c r="B555" s="72"/>
      <c r="C555" s="72"/>
      <c r="D555" s="72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72"/>
      <c r="B556" s="72"/>
      <c r="C556" s="72"/>
      <c r="D556" s="72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72"/>
      <c r="B557" s="72"/>
      <c r="C557" s="72"/>
      <c r="D557" s="72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72"/>
      <c r="B558" s="72"/>
      <c r="C558" s="72"/>
      <c r="D558" s="72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72"/>
      <c r="B559" s="72"/>
      <c r="C559" s="72"/>
      <c r="D559" s="72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72"/>
      <c r="B560" s="72"/>
      <c r="C560" s="72"/>
      <c r="D560" s="72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72"/>
      <c r="B561" s="72"/>
      <c r="C561" s="72"/>
      <c r="D561" s="72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72"/>
      <c r="B562" s="72"/>
      <c r="C562" s="72"/>
      <c r="D562" s="72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72"/>
      <c r="B563" s="72"/>
      <c r="C563" s="72"/>
      <c r="D563" s="72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72"/>
      <c r="B564" s="72"/>
      <c r="C564" s="72"/>
      <c r="D564" s="72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72"/>
      <c r="B565" s="72"/>
      <c r="C565" s="72"/>
      <c r="D565" s="72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72"/>
      <c r="B566" s="72"/>
      <c r="C566" s="72"/>
      <c r="D566" s="72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72"/>
      <c r="B567" s="72"/>
      <c r="C567" s="72"/>
      <c r="D567" s="72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72"/>
      <c r="B568" s="72"/>
      <c r="C568" s="72"/>
      <c r="D568" s="72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72"/>
      <c r="B569" s="72"/>
      <c r="C569" s="72"/>
      <c r="D569" s="72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72"/>
      <c r="B570" s="72"/>
      <c r="C570" s="72"/>
      <c r="D570" s="72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72"/>
      <c r="B571" s="72"/>
      <c r="C571" s="72"/>
      <c r="D571" s="72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72"/>
      <c r="B572" s="72"/>
      <c r="C572" s="72"/>
      <c r="D572" s="72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72"/>
      <c r="B573" s="72"/>
      <c r="C573" s="72"/>
      <c r="D573" s="72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72"/>
      <c r="B574" s="72"/>
      <c r="C574" s="72"/>
      <c r="D574" s="72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72"/>
      <c r="B575" s="72"/>
      <c r="C575" s="72"/>
      <c r="D575" s="72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72"/>
      <c r="B576" s="72"/>
      <c r="C576" s="72"/>
      <c r="D576" s="72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72"/>
      <c r="B577" s="72"/>
      <c r="C577" s="72"/>
      <c r="D577" s="72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72"/>
      <c r="B578" s="72"/>
      <c r="C578" s="72"/>
      <c r="D578" s="72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72"/>
      <c r="B579" s="72"/>
      <c r="C579" s="72"/>
      <c r="D579" s="72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72"/>
      <c r="B580" s="72"/>
      <c r="C580" s="72"/>
      <c r="D580" s="72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72"/>
      <c r="B581" s="72"/>
      <c r="C581" s="72"/>
      <c r="D581" s="72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72"/>
      <c r="B582" s="72"/>
      <c r="C582" s="72"/>
      <c r="D582" s="72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72"/>
      <c r="B583" s="72"/>
      <c r="C583" s="72"/>
      <c r="D583" s="72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72"/>
      <c r="B584" s="72"/>
      <c r="C584" s="72"/>
      <c r="D584" s="72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72"/>
      <c r="B585" s="72"/>
      <c r="C585" s="72"/>
      <c r="D585" s="72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72"/>
      <c r="B586" s="72"/>
      <c r="C586" s="72"/>
      <c r="D586" s="72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72"/>
      <c r="B587" s="72"/>
      <c r="C587" s="72"/>
      <c r="D587" s="72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72"/>
      <c r="B588" s="72"/>
      <c r="C588" s="72"/>
      <c r="D588" s="72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72"/>
      <c r="B589" s="72"/>
      <c r="C589" s="72"/>
      <c r="D589" s="72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72"/>
      <c r="B590" s="72"/>
      <c r="C590" s="72"/>
      <c r="D590" s="72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72"/>
      <c r="B591" s="72"/>
      <c r="C591" s="72"/>
      <c r="D591" s="72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72"/>
      <c r="B592" s="72"/>
      <c r="C592" s="72"/>
      <c r="D592" s="72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72"/>
      <c r="B593" s="72"/>
      <c r="C593" s="72"/>
      <c r="D593" s="72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72"/>
      <c r="B594" s="72"/>
      <c r="C594" s="72"/>
      <c r="D594" s="72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72"/>
      <c r="B595" s="72"/>
      <c r="C595" s="72"/>
      <c r="D595" s="72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72"/>
      <c r="B596" s="72"/>
      <c r="C596" s="72"/>
      <c r="D596" s="72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72"/>
      <c r="B597" s="72"/>
      <c r="C597" s="72"/>
      <c r="D597" s="72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72"/>
      <c r="B598" s="72"/>
      <c r="C598" s="72"/>
      <c r="D598" s="72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72"/>
      <c r="B599" s="72"/>
      <c r="C599" s="72"/>
      <c r="D599" s="72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72"/>
      <c r="B600" s="72"/>
      <c r="C600" s="72"/>
      <c r="D600" s="72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72"/>
      <c r="B601" s="72"/>
      <c r="C601" s="72"/>
      <c r="D601" s="72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72"/>
      <c r="B602" s="72"/>
      <c r="C602" s="72"/>
      <c r="D602" s="72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72"/>
      <c r="B603" s="72"/>
      <c r="C603" s="72"/>
      <c r="D603" s="72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72"/>
      <c r="B604" s="72"/>
      <c r="C604" s="72"/>
      <c r="D604" s="72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72"/>
      <c r="B605" s="72"/>
      <c r="C605" s="72"/>
      <c r="D605" s="72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72"/>
      <c r="B606" s="72"/>
      <c r="C606" s="72"/>
      <c r="D606" s="72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72"/>
      <c r="B607" s="72"/>
      <c r="C607" s="72"/>
      <c r="D607" s="72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72"/>
      <c r="B608" s="72"/>
      <c r="C608" s="72"/>
      <c r="D608" s="72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72"/>
      <c r="B609" s="72"/>
      <c r="C609" s="72"/>
      <c r="D609" s="72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72"/>
      <c r="B610" s="72"/>
      <c r="C610" s="72"/>
      <c r="D610" s="72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72"/>
      <c r="B611" s="72"/>
      <c r="C611" s="72"/>
      <c r="D611" s="72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72"/>
      <c r="B612" s="72"/>
      <c r="C612" s="72"/>
      <c r="D612" s="72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72"/>
      <c r="B613" s="72"/>
      <c r="C613" s="72"/>
      <c r="D613" s="72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72"/>
      <c r="B614" s="72"/>
      <c r="C614" s="72"/>
      <c r="D614" s="72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72"/>
      <c r="B615" s="72"/>
      <c r="C615" s="72"/>
      <c r="D615" s="72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72"/>
      <c r="B616" s="72"/>
      <c r="C616" s="72"/>
      <c r="D616" s="72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72"/>
      <c r="B617" s="72"/>
      <c r="C617" s="72"/>
      <c r="D617" s="72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72"/>
      <c r="B618" s="72"/>
      <c r="C618" s="72"/>
      <c r="D618" s="72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72"/>
      <c r="B619" s="72"/>
      <c r="C619" s="72"/>
      <c r="D619" s="72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72"/>
      <c r="B620" s="72"/>
      <c r="C620" s="72"/>
      <c r="D620" s="72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72"/>
      <c r="B621" s="72"/>
      <c r="C621" s="72"/>
      <c r="D621" s="72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72"/>
      <c r="B622" s="72"/>
      <c r="C622" s="72"/>
      <c r="D622" s="72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72"/>
      <c r="B623" s="72"/>
      <c r="C623" s="72"/>
      <c r="D623" s="72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72"/>
      <c r="B624" s="72"/>
      <c r="C624" s="72"/>
      <c r="D624" s="72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72"/>
      <c r="B625" s="72"/>
      <c r="C625" s="72"/>
      <c r="D625" s="72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72"/>
      <c r="B626" s="72"/>
      <c r="C626" s="72"/>
      <c r="D626" s="72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72"/>
      <c r="B627" s="72"/>
      <c r="C627" s="72"/>
      <c r="D627" s="72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72"/>
      <c r="B628" s="72"/>
      <c r="C628" s="72"/>
      <c r="D628" s="72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72"/>
      <c r="B629" s="72"/>
      <c r="C629" s="72"/>
      <c r="D629" s="72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72"/>
      <c r="B630" s="72"/>
      <c r="C630" s="72"/>
      <c r="D630" s="72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72"/>
      <c r="B631" s="72"/>
      <c r="C631" s="72"/>
      <c r="D631" s="72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72"/>
      <c r="B632" s="72"/>
      <c r="C632" s="72"/>
      <c r="D632" s="72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72"/>
      <c r="B633" s="72"/>
      <c r="C633" s="72"/>
      <c r="D633" s="72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72"/>
      <c r="B634" s="72"/>
      <c r="C634" s="72"/>
      <c r="D634" s="72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72"/>
      <c r="B635" s="72"/>
      <c r="C635" s="72"/>
      <c r="D635" s="72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72"/>
      <c r="B636" s="72"/>
      <c r="C636" s="72"/>
      <c r="D636" s="72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72"/>
      <c r="B637" s="72"/>
      <c r="C637" s="72"/>
      <c r="D637" s="72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72"/>
      <c r="B638" s="72"/>
      <c r="C638" s="72"/>
      <c r="D638" s="72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72"/>
      <c r="B639" s="72"/>
      <c r="C639" s="72"/>
      <c r="D639" s="72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72"/>
      <c r="B640" s="72"/>
      <c r="C640" s="72"/>
      <c r="D640" s="72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72"/>
      <c r="B641" s="72"/>
      <c r="C641" s="72"/>
      <c r="D641" s="72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72"/>
      <c r="B642" s="72"/>
      <c r="C642" s="72"/>
      <c r="D642" s="72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72"/>
      <c r="B643" s="72"/>
      <c r="C643" s="72"/>
      <c r="D643" s="72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72"/>
      <c r="B644" s="72"/>
      <c r="C644" s="72"/>
      <c r="D644" s="72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72"/>
      <c r="B645" s="72"/>
      <c r="C645" s="72"/>
      <c r="D645" s="72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72"/>
      <c r="B646" s="72"/>
      <c r="C646" s="72"/>
      <c r="D646" s="72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72"/>
      <c r="B647" s="72"/>
      <c r="C647" s="72"/>
      <c r="D647" s="72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72"/>
      <c r="B648" s="72"/>
      <c r="C648" s="72"/>
      <c r="D648" s="72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72"/>
      <c r="B649" s="72"/>
      <c r="C649" s="72"/>
      <c r="D649" s="72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72"/>
      <c r="B650" s="72"/>
      <c r="C650" s="72"/>
      <c r="D650" s="72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72"/>
      <c r="B651" s="72"/>
      <c r="C651" s="72"/>
      <c r="D651" s="72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72"/>
      <c r="B652" s="72"/>
      <c r="C652" s="72"/>
      <c r="D652" s="72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72"/>
      <c r="B653" s="72"/>
      <c r="C653" s="72"/>
      <c r="D653" s="72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72"/>
      <c r="B654" s="72"/>
      <c r="C654" s="72"/>
      <c r="D654" s="72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72"/>
      <c r="B655" s="72"/>
      <c r="C655" s="72"/>
      <c r="D655" s="72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72"/>
      <c r="B656" s="72"/>
      <c r="C656" s="72"/>
      <c r="D656" s="72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72"/>
      <c r="B657" s="72"/>
      <c r="C657" s="72"/>
      <c r="D657" s="72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72"/>
      <c r="B658" s="72"/>
      <c r="C658" s="72"/>
      <c r="D658" s="72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72"/>
      <c r="B659" s="72"/>
      <c r="C659" s="72"/>
      <c r="D659" s="72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72"/>
      <c r="B660" s="72"/>
      <c r="C660" s="72"/>
      <c r="D660" s="72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72"/>
      <c r="B661" s="72"/>
      <c r="C661" s="72"/>
      <c r="D661" s="72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72"/>
      <c r="B662" s="72"/>
      <c r="C662" s="72"/>
      <c r="D662" s="72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72"/>
      <c r="B663" s="72"/>
      <c r="C663" s="72"/>
      <c r="D663" s="72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72"/>
      <c r="B664" s="72"/>
      <c r="C664" s="72"/>
      <c r="D664" s="72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72"/>
      <c r="B665" s="72"/>
      <c r="C665" s="72"/>
      <c r="D665" s="72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72"/>
      <c r="B666" s="72"/>
      <c r="C666" s="72"/>
      <c r="D666" s="72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72"/>
      <c r="B667" s="72"/>
      <c r="C667" s="72"/>
      <c r="D667" s="72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72"/>
      <c r="B668" s="72"/>
      <c r="C668" s="72"/>
      <c r="D668" s="72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72"/>
      <c r="B669" s="72"/>
      <c r="C669" s="72"/>
      <c r="D669" s="72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72"/>
      <c r="B670" s="72"/>
      <c r="C670" s="72"/>
      <c r="D670" s="72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72"/>
      <c r="B671" s="72"/>
      <c r="C671" s="72"/>
      <c r="D671" s="72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72"/>
      <c r="B672" s="72"/>
      <c r="C672" s="72"/>
      <c r="D672" s="72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72"/>
      <c r="B673" s="72"/>
      <c r="C673" s="72"/>
      <c r="D673" s="72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72"/>
      <c r="B674" s="72"/>
      <c r="C674" s="72"/>
      <c r="D674" s="72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72"/>
      <c r="B675" s="72"/>
      <c r="C675" s="72"/>
      <c r="D675" s="72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72"/>
      <c r="B676" s="72"/>
      <c r="C676" s="72"/>
      <c r="D676" s="72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72"/>
      <c r="B677" s="72"/>
      <c r="C677" s="72"/>
      <c r="D677" s="72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72"/>
      <c r="B678" s="72"/>
      <c r="C678" s="72"/>
      <c r="D678" s="72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72"/>
      <c r="B679" s="72"/>
      <c r="C679" s="72"/>
      <c r="D679" s="72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72"/>
      <c r="B680" s="72"/>
      <c r="C680" s="72"/>
      <c r="D680" s="72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72"/>
      <c r="B681" s="72"/>
      <c r="C681" s="72"/>
      <c r="D681" s="72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72"/>
      <c r="B682" s="72"/>
      <c r="C682" s="72"/>
      <c r="D682" s="72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72"/>
      <c r="B683" s="72"/>
      <c r="C683" s="72"/>
      <c r="D683" s="72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72"/>
      <c r="B684" s="72"/>
      <c r="C684" s="72"/>
      <c r="D684" s="72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72"/>
      <c r="B685" s="72"/>
      <c r="C685" s="72"/>
      <c r="D685" s="72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72"/>
      <c r="B686" s="72"/>
      <c r="C686" s="72"/>
      <c r="D686" s="72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72"/>
      <c r="B687" s="72"/>
      <c r="C687" s="72"/>
      <c r="D687" s="72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72"/>
      <c r="B688" s="72"/>
      <c r="C688" s="72"/>
      <c r="D688" s="72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72"/>
      <c r="B689" s="72"/>
      <c r="C689" s="72"/>
      <c r="D689" s="72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72"/>
      <c r="B690" s="72"/>
      <c r="C690" s="72"/>
      <c r="D690" s="72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72"/>
      <c r="B691" s="72"/>
      <c r="C691" s="72"/>
      <c r="D691" s="72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72"/>
      <c r="B692" s="72"/>
      <c r="C692" s="72"/>
      <c r="D692" s="72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72"/>
      <c r="B693" s="72"/>
      <c r="C693" s="72"/>
      <c r="D693" s="72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72"/>
      <c r="B694" s="72"/>
      <c r="C694" s="72"/>
      <c r="D694" s="72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72"/>
      <c r="B695" s="72"/>
      <c r="C695" s="72"/>
      <c r="D695" s="72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72"/>
      <c r="B696" s="72"/>
      <c r="C696" s="72"/>
      <c r="D696" s="72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72"/>
      <c r="B697" s="72"/>
      <c r="C697" s="72"/>
      <c r="D697" s="72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72"/>
      <c r="B698" s="72"/>
      <c r="C698" s="72"/>
      <c r="D698" s="72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72"/>
      <c r="B699" s="72"/>
      <c r="C699" s="72"/>
      <c r="D699" s="72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72"/>
      <c r="B700" s="72"/>
      <c r="C700" s="72"/>
      <c r="D700" s="72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72"/>
      <c r="B701" s="72"/>
      <c r="C701" s="72"/>
      <c r="D701" s="72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72"/>
      <c r="B702" s="72"/>
      <c r="C702" s="72"/>
      <c r="D702" s="72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72"/>
      <c r="B703" s="72"/>
      <c r="C703" s="72"/>
      <c r="D703" s="72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72"/>
      <c r="B704" s="72"/>
      <c r="C704" s="72"/>
      <c r="D704" s="72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72"/>
      <c r="B705" s="72"/>
      <c r="C705" s="72"/>
      <c r="D705" s="72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72"/>
      <c r="B706" s="72"/>
      <c r="C706" s="72"/>
      <c r="D706" s="72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72"/>
      <c r="B707" s="72"/>
      <c r="C707" s="72"/>
      <c r="D707" s="72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72"/>
      <c r="B708" s="72"/>
      <c r="C708" s="72"/>
      <c r="D708" s="72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72"/>
      <c r="B709" s="72"/>
      <c r="C709" s="72"/>
      <c r="D709" s="72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72"/>
      <c r="B710" s="72"/>
      <c r="C710" s="72"/>
      <c r="D710" s="72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72"/>
      <c r="B711" s="72"/>
      <c r="C711" s="72"/>
      <c r="D711" s="72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72"/>
      <c r="B712" s="72"/>
      <c r="C712" s="72"/>
      <c r="D712" s="72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72"/>
      <c r="B713" s="72"/>
      <c r="C713" s="72"/>
      <c r="D713" s="72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72"/>
      <c r="B714" s="72"/>
      <c r="C714" s="72"/>
      <c r="D714" s="72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72"/>
      <c r="B715" s="72"/>
      <c r="C715" s="72"/>
      <c r="D715" s="72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72"/>
      <c r="B716" s="72"/>
      <c r="C716" s="72"/>
      <c r="D716" s="72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72"/>
      <c r="B717" s="72"/>
      <c r="C717" s="72"/>
      <c r="D717" s="72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72"/>
      <c r="B718" s="72"/>
      <c r="C718" s="72"/>
      <c r="D718" s="72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72"/>
      <c r="B719" s="72"/>
      <c r="C719" s="72"/>
      <c r="D719" s="72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72"/>
      <c r="B720" s="72"/>
      <c r="C720" s="72"/>
      <c r="D720" s="72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72"/>
      <c r="B721" s="72"/>
      <c r="C721" s="72"/>
      <c r="D721" s="72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72"/>
      <c r="B722" s="72"/>
      <c r="C722" s="72"/>
      <c r="D722" s="72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72"/>
      <c r="B723" s="72"/>
      <c r="C723" s="72"/>
      <c r="D723" s="72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72"/>
      <c r="B724" s="72"/>
      <c r="C724" s="72"/>
      <c r="D724" s="72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72"/>
      <c r="B725" s="72"/>
      <c r="C725" s="72"/>
      <c r="D725" s="72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72"/>
      <c r="B726" s="72"/>
      <c r="C726" s="72"/>
      <c r="D726" s="72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72"/>
      <c r="B727" s="72"/>
      <c r="C727" s="72"/>
      <c r="D727" s="72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72"/>
      <c r="B728" s="72"/>
      <c r="C728" s="72"/>
      <c r="D728" s="72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72"/>
      <c r="B729" s="72"/>
      <c r="C729" s="72"/>
      <c r="D729" s="72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72"/>
      <c r="B730" s="72"/>
      <c r="C730" s="72"/>
      <c r="D730" s="72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72"/>
      <c r="B731" s="72"/>
      <c r="C731" s="72"/>
      <c r="D731" s="72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72"/>
      <c r="B732" s="72"/>
      <c r="C732" s="72"/>
      <c r="D732" s="72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72"/>
      <c r="B733" s="72"/>
      <c r="C733" s="72"/>
      <c r="D733" s="72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72"/>
      <c r="B734" s="72"/>
      <c r="C734" s="72"/>
      <c r="D734" s="72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72"/>
      <c r="B735" s="72"/>
      <c r="C735" s="72"/>
      <c r="D735" s="72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72"/>
      <c r="B736" s="72"/>
      <c r="C736" s="72"/>
      <c r="D736" s="72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72"/>
      <c r="B737" s="72"/>
      <c r="C737" s="72"/>
      <c r="D737" s="72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72"/>
      <c r="B738" s="72"/>
      <c r="C738" s="72"/>
      <c r="D738" s="72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72"/>
      <c r="B739" s="72"/>
      <c r="C739" s="72"/>
      <c r="D739" s="72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72"/>
      <c r="B740" s="72"/>
      <c r="C740" s="72"/>
      <c r="D740" s="72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72"/>
      <c r="B741" s="72"/>
      <c r="C741" s="72"/>
      <c r="D741" s="72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72"/>
      <c r="B742" s="72"/>
      <c r="C742" s="72"/>
      <c r="D742" s="72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72"/>
      <c r="B743" s="72"/>
      <c r="C743" s="72"/>
      <c r="D743" s="72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72"/>
      <c r="B744" s="72"/>
      <c r="C744" s="72"/>
      <c r="D744" s="72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72"/>
      <c r="B745" s="72"/>
      <c r="C745" s="72"/>
      <c r="D745" s="72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72"/>
      <c r="B746" s="72"/>
      <c r="C746" s="72"/>
      <c r="D746" s="72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72"/>
      <c r="B747" s="72"/>
      <c r="C747" s="72"/>
      <c r="D747" s="72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72"/>
      <c r="B748" s="72"/>
      <c r="C748" s="72"/>
      <c r="D748" s="72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72"/>
      <c r="B749" s="72"/>
      <c r="C749" s="72"/>
      <c r="D749" s="72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72"/>
      <c r="B750" s="72"/>
      <c r="C750" s="72"/>
      <c r="D750" s="72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72"/>
      <c r="B751" s="72"/>
      <c r="C751" s="72"/>
      <c r="D751" s="72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72"/>
      <c r="B752" s="72"/>
      <c r="C752" s="72"/>
      <c r="D752" s="72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72"/>
      <c r="B753" s="72"/>
      <c r="C753" s="72"/>
      <c r="D753" s="72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72"/>
      <c r="B754" s="72"/>
      <c r="C754" s="72"/>
      <c r="D754" s="72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72"/>
      <c r="B755" s="72"/>
      <c r="C755" s="72"/>
      <c r="D755" s="72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72"/>
      <c r="B756" s="72"/>
      <c r="C756" s="72"/>
      <c r="D756" s="72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72"/>
      <c r="B757" s="72"/>
      <c r="C757" s="72"/>
      <c r="D757" s="72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72"/>
      <c r="B758" s="72"/>
      <c r="C758" s="72"/>
      <c r="D758" s="72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72"/>
      <c r="B759" s="72"/>
      <c r="C759" s="72"/>
      <c r="D759" s="72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72"/>
      <c r="B760" s="72"/>
      <c r="C760" s="72"/>
      <c r="D760" s="72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72"/>
      <c r="B761" s="72"/>
      <c r="C761" s="72"/>
      <c r="D761" s="72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72"/>
      <c r="B762" s="72"/>
      <c r="C762" s="72"/>
      <c r="D762" s="72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72"/>
      <c r="B763" s="72"/>
      <c r="C763" s="72"/>
      <c r="D763" s="72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72"/>
      <c r="B764" s="72"/>
      <c r="C764" s="72"/>
      <c r="D764" s="72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72"/>
      <c r="B765" s="72"/>
      <c r="C765" s="72"/>
      <c r="D765" s="72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72"/>
      <c r="B766" s="72"/>
      <c r="C766" s="72"/>
      <c r="D766" s="72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72"/>
      <c r="B767" s="72"/>
      <c r="C767" s="72"/>
      <c r="D767" s="72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72"/>
      <c r="B768" s="72"/>
      <c r="C768" s="72"/>
      <c r="D768" s="72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72"/>
      <c r="B769" s="72"/>
      <c r="C769" s="72"/>
      <c r="D769" s="72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72"/>
      <c r="B770" s="72"/>
      <c r="C770" s="72"/>
      <c r="D770" s="72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72"/>
      <c r="B771" s="72"/>
      <c r="C771" s="72"/>
      <c r="D771" s="72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72"/>
      <c r="B772" s="72"/>
      <c r="C772" s="72"/>
      <c r="D772" s="72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72"/>
      <c r="B773" s="72"/>
      <c r="C773" s="72"/>
      <c r="D773" s="72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72"/>
      <c r="B774" s="72"/>
      <c r="C774" s="72"/>
      <c r="D774" s="72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72"/>
      <c r="B775" s="72"/>
      <c r="C775" s="72"/>
      <c r="D775" s="72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72"/>
      <c r="B776" s="72"/>
      <c r="C776" s="72"/>
      <c r="D776" s="72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72"/>
      <c r="B777" s="72"/>
      <c r="C777" s="72"/>
      <c r="D777" s="72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72"/>
      <c r="B778" s="72"/>
      <c r="C778" s="72"/>
      <c r="D778" s="72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72"/>
      <c r="B779" s="72"/>
      <c r="C779" s="72"/>
      <c r="D779" s="72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72"/>
      <c r="B780" s="72"/>
      <c r="C780" s="72"/>
      <c r="D780" s="72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72"/>
      <c r="B781" s="72"/>
      <c r="C781" s="72"/>
      <c r="D781" s="72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72"/>
      <c r="B782" s="72"/>
      <c r="C782" s="72"/>
      <c r="D782" s="72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72"/>
      <c r="B783" s="72"/>
      <c r="C783" s="72"/>
      <c r="D783" s="72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72"/>
      <c r="B784" s="72"/>
      <c r="C784" s="72"/>
      <c r="D784" s="72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72"/>
      <c r="B785" s="72"/>
      <c r="C785" s="72"/>
      <c r="D785" s="72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72"/>
      <c r="B786" s="72"/>
      <c r="C786" s="72"/>
      <c r="D786" s="72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72"/>
      <c r="B787" s="72"/>
      <c r="C787" s="72"/>
      <c r="D787" s="72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72"/>
      <c r="B788" s="72"/>
      <c r="C788" s="72"/>
      <c r="D788" s="72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72"/>
      <c r="B789" s="72"/>
      <c r="C789" s="72"/>
      <c r="D789" s="72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72"/>
      <c r="B790" s="72"/>
      <c r="C790" s="72"/>
      <c r="D790" s="72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72"/>
      <c r="B791" s="72"/>
      <c r="C791" s="72"/>
      <c r="D791" s="72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72"/>
      <c r="B792" s="72"/>
      <c r="C792" s="72"/>
      <c r="D792" s="72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72"/>
      <c r="B793" s="72"/>
      <c r="C793" s="72"/>
      <c r="D793" s="72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72"/>
      <c r="B794" s="72"/>
      <c r="C794" s="72"/>
      <c r="D794" s="72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72"/>
      <c r="B795" s="72"/>
      <c r="C795" s="72"/>
      <c r="D795" s="72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72"/>
      <c r="B796" s="72"/>
      <c r="C796" s="72"/>
      <c r="D796" s="72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72"/>
      <c r="B797" s="72"/>
      <c r="C797" s="72"/>
      <c r="D797" s="72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72"/>
      <c r="B798" s="72"/>
      <c r="C798" s="72"/>
      <c r="D798" s="72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72"/>
      <c r="B799" s="72"/>
      <c r="C799" s="72"/>
      <c r="D799" s="72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72"/>
      <c r="B800" s="72"/>
      <c r="C800" s="72"/>
      <c r="D800" s="72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72"/>
      <c r="B801" s="72"/>
      <c r="C801" s="72"/>
      <c r="D801" s="72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72"/>
      <c r="B802" s="72"/>
      <c r="C802" s="72"/>
      <c r="D802" s="72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72"/>
      <c r="B803" s="72"/>
      <c r="C803" s="72"/>
      <c r="D803" s="72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72"/>
      <c r="B804" s="72"/>
      <c r="C804" s="72"/>
      <c r="D804" s="72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72"/>
      <c r="B805" s="72"/>
      <c r="C805" s="72"/>
      <c r="D805" s="72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72"/>
      <c r="B806" s="72"/>
      <c r="C806" s="72"/>
      <c r="D806" s="72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72"/>
      <c r="B807" s="72"/>
      <c r="C807" s="72"/>
      <c r="D807" s="72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72"/>
      <c r="B808" s="72"/>
      <c r="C808" s="72"/>
      <c r="D808" s="72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72"/>
      <c r="B809" s="72"/>
      <c r="C809" s="72"/>
      <c r="D809" s="72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72"/>
      <c r="B810" s="72"/>
      <c r="C810" s="72"/>
      <c r="D810" s="72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72"/>
      <c r="B811" s="72"/>
      <c r="C811" s="72"/>
      <c r="D811" s="72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72"/>
      <c r="B812" s="72"/>
      <c r="C812" s="72"/>
      <c r="D812" s="72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72"/>
      <c r="B813" s="72"/>
      <c r="C813" s="72"/>
      <c r="D813" s="72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72"/>
      <c r="B814" s="72"/>
      <c r="C814" s="72"/>
      <c r="D814" s="72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72"/>
      <c r="B815" s="72"/>
      <c r="C815" s="72"/>
      <c r="D815" s="72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72"/>
      <c r="B816" s="72"/>
      <c r="C816" s="72"/>
      <c r="D816" s="72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72"/>
      <c r="B817" s="72"/>
      <c r="C817" s="72"/>
      <c r="D817" s="72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72"/>
      <c r="B818" s="72"/>
      <c r="C818" s="72"/>
      <c r="D818" s="72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72"/>
      <c r="B819" s="72"/>
      <c r="C819" s="72"/>
      <c r="D819" s="72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72"/>
      <c r="B820" s="72"/>
      <c r="C820" s="72"/>
      <c r="D820" s="72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72"/>
      <c r="B821" s="72"/>
      <c r="C821" s="72"/>
      <c r="D821" s="72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72"/>
      <c r="B822" s="72"/>
      <c r="C822" s="72"/>
      <c r="D822" s="72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72"/>
      <c r="B823" s="72"/>
      <c r="C823" s="72"/>
      <c r="D823" s="72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72"/>
      <c r="B824" s="72"/>
      <c r="C824" s="72"/>
      <c r="D824" s="72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72"/>
      <c r="B825" s="72"/>
      <c r="C825" s="72"/>
      <c r="D825" s="72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72"/>
      <c r="B826" s="72"/>
      <c r="C826" s="72"/>
      <c r="D826" s="72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72"/>
      <c r="B827" s="72"/>
      <c r="C827" s="72"/>
      <c r="D827" s="72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72"/>
      <c r="B828" s="72"/>
      <c r="C828" s="72"/>
      <c r="D828" s="72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72"/>
      <c r="B829" s="72"/>
      <c r="C829" s="72"/>
      <c r="D829" s="72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72"/>
      <c r="B830" s="72"/>
      <c r="C830" s="72"/>
      <c r="D830" s="72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72"/>
      <c r="B831" s="72"/>
      <c r="C831" s="72"/>
      <c r="D831" s="72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72"/>
      <c r="B832" s="72"/>
      <c r="C832" s="72"/>
      <c r="D832" s="72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72"/>
      <c r="B833" s="72"/>
      <c r="C833" s="72"/>
      <c r="D833" s="72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72"/>
      <c r="B834" s="72"/>
      <c r="C834" s="72"/>
      <c r="D834" s="72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72"/>
      <c r="B835" s="72"/>
      <c r="C835" s="72"/>
      <c r="D835" s="72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72"/>
      <c r="B836" s="72"/>
      <c r="C836" s="72"/>
      <c r="D836" s="72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72"/>
      <c r="B837" s="72"/>
      <c r="C837" s="72"/>
      <c r="D837" s="72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72"/>
      <c r="B838" s="72"/>
      <c r="C838" s="72"/>
      <c r="D838" s="72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72"/>
      <c r="B839" s="72"/>
      <c r="C839" s="72"/>
      <c r="D839" s="72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72"/>
      <c r="B840" s="72"/>
      <c r="C840" s="72"/>
      <c r="D840" s="72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72"/>
      <c r="B841" s="72"/>
      <c r="C841" s="72"/>
      <c r="D841" s="72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72"/>
      <c r="B842" s="72"/>
      <c r="C842" s="72"/>
      <c r="D842" s="72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72"/>
      <c r="B843" s="72"/>
      <c r="C843" s="72"/>
      <c r="D843" s="72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72"/>
      <c r="B844" s="72"/>
      <c r="C844" s="72"/>
      <c r="D844" s="72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72"/>
      <c r="B845" s="72"/>
      <c r="C845" s="72"/>
      <c r="D845" s="72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72"/>
      <c r="B846" s="72"/>
      <c r="C846" s="72"/>
      <c r="D846" s="72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72"/>
      <c r="B847" s="72"/>
      <c r="C847" s="72"/>
      <c r="D847" s="72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72"/>
      <c r="B848" s="72"/>
      <c r="C848" s="72"/>
      <c r="D848" s="72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72"/>
      <c r="B849" s="72"/>
      <c r="C849" s="72"/>
      <c r="D849" s="72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72"/>
      <c r="B850" s="72"/>
      <c r="C850" s="72"/>
      <c r="D850" s="72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72"/>
      <c r="B851" s="72"/>
      <c r="C851" s="72"/>
      <c r="D851" s="72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72"/>
      <c r="B852" s="72"/>
      <c r="C852" s="72"/>
      <c r="D852" s="72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72"/>
      <c r="B853" s="72"/>
      <c r="C853" s="72"/>
      <c r="D853" s="72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72"/>
      <c r="B854" s="72"/>
      <c r="C854" s="72"/>
      <c r="D854" s="72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72"/>
      <c r="B855" s="72"/>
      <c r="C855" s="72"/>
      <c r="D855" s="72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72"/>
      <c r="B856" s="72"/>
      <c r="C856" s="72"/>
      <c r="D856" s="72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72"/>
      <c r="B857" s="72"/>
      <c r="C857" s="72"/>
      <c r="D857" s="72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72"/>
      <c r="B858" s="72"/>
      <c r="C858" s="72"/>
      <c r="D858" s="72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72"/>
      <c r="B859" s="72"/>
      <c r="C859" s="72"/>
      <c r="D859" s="72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72"/>
      <c r="B860" s="72"/>
      <c r="C860" s="72"/>
      <c r="D860" s="72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72"/>
      <c r="B861" s="72"/>
      <c r="C861" s="72"/>
      <c r="D861" s="72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72"/>
      <c r="B862" s="72"/>
      <c r="C862" s="72"/>
      <c r="D862" s="72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72"/>
      <c r="B863" s="72"/>
      <c r="C863" s="72"/>
      <c r="D863" s="72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72"/>
      <c r="B864" s="72"/>
      <c r="C864" s="72"/>
      <c r="D864" s="72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72"/>
      <c r="B865" s="72"/>
      <c r="C865" s="72"/>
      <c r="D865" s="72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72"/>
      <c r="B866" s="72"/>
      <c r="C866" s="72"/>
      <c r="D866" s="72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72"/>
      <c r="B867" s="72"/>
      <c r="C867" s="72"/>
      <c r="D867" s="72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72"/>
      <c r="B868" s="72"/>
      <c r="C868" s="72"/>
      <c r="D868" s="72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72"/>
      <c r="B869" s="72"/>
      <c r="C869" s="72"/>
      <c r="D869" s="72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72"/>
      <c r="B870" s="72"/>
      <c r="C870" s="72"/>
      <c r="D870" s="72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72"/>
      <c r="B871" s="72"/>
      <c r="C871" s="72"/>
      <c r="D871" s="72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72"/>
      <c r="B872" s="72"/>
      <c r="C872" s="72"/>
      <c r="D872" s="72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72"/>
      <c r="B873" s="72"/>
      <c r="C873" s="72"/>
      <c r="D873" s="72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72"/>
      <c r="B874" s="72"/>
      <c r="C874" s="72"/>
      <c r="D874" s="72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72"/>
      <c r="B875" s="72"/>
      <c r="C875" s="72"/>
      <c r="D875" s="72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72"/>
      <c r="B876" s="72"/>
      <c r="C876" s="72"/>
      <c r="D876" s="72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72"/>
      <c r="B877" s="72"/>
      <c r="C877" s="72"/>
      <c r="D877" s="72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72"/>
      <c r="B878" s="72"/>
      <c r="C878" s="72"/>
      <c r="D878" s="72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72"/>
      <c r="B879" s="72"/>
      <c r="C879" s="72"/>
      <c r="D879" s="72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72"/>
      <c r="B880" s="72"/>
      <c r="C880" s="72"/>
      <c r="D880" s="72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72"/>
      <c r="B881" s="72"/>
      <c r="C881" s="72"/>
      <c r="D881" s="72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72"/>
      <c r="B882" s="72"/>
      <c r="C882" s="72"/>
      <c r="D882" s="72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72"/>
      <c r="B883" s="72"/>
      <c r="C883" s="72"/>
      <c r="D883" s="72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72"/>
      <c r="B884" s="72"/>
      <c r="C884" s="72"/>
      <c r="D884" s="72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72"/>
      <c r="B885" s="72"/>
      <c r="C885" s="72"/>
      <c r="D885" s="72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72"/>
      <c r="B886" s="72"/>
      <c r="C886" s="72"/>
      <c r="D886" s="72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72"/>
      <c r="B887" s="72"/>
      <c r="C887" s="72"/>
      <c r="D887" s="72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72"/>
      <c r="B888" s="72"/>
      <c r="C888" s="72"/>
      <c r="D888" s="72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72"/>
      <c r="B889" s="72"/>
      <c r="C889" s="72"/>
      <c r="D889" s="72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72"/>
      <c r="B890" s="72"/>
      <c r="C890" s="72"/>
      <c r="D890" s="72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72"/>
      <c r="B891" s="72"/>
      <c r="C891" s="72"/>
      <c r="D891" s="72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72"/>
      <c r="B892" s="72"/>
      <c r="C892" s="72"/>
      <c r="D892" s="72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72"/>
      <c r="B893" s="72"/>
      <c r="C893" s="72"/>
      <c r="D893" s="72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72"/>
      <c r="B894" s="72"/>
      <c r="C894" s="72"/>
      <c r="D894" s="72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72"/>
      <c r="B895" s="72"/>
      <c r="C895" s="72"/>
      <c r="D895" s="72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72"/>
      <c r="B896" s="72"/>
      <c r="C896" s="72"/>
      <c r="D896" s="72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72"/>
      <c r="B897" s="72"/>
      <c r="C897" s="72"/>
      <c r="D897" s="72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72"/>
      <c r="B898" s="72"/>
      <c r="C898" s="72"/>
      <c r="D898" s="72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72"/>
      <c r="B899" s="72"/>
      <c r="C899" s="72"/>
      <c r="D899" s="72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72"/>
      <c r="B900" s="72"/>
      <c r="C900" s="72"/>
      <c r="D900" s="72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72"/>
      <c r="B901" s="72"/>
      <c r="C901" s="72"/>
      <c r="D901" s="72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72"/>
      <c r="B902" s="72"/>
      <c r="C902" s="72"/>
      <c r="D902" s="72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72"/>
      <c r="B903" s="72"/>
      <c r="C903" s="72"/>
      <c r="D903" s="72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72"/>
      <c r="B904" s="72"/>
      <c r="C904" s="72"/>
      <c r="D904" s="72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72"/>
      <c r="B905" s="72"/>
      <c r="C905" s="72"/>
      <c r="D905" s="72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72"/>
      <c r="B906" s="72"/>
      <c r="C906" s="72"/>
      <c r="D906" s="72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72"/>
      <c r="B907" s="72"/>
      <c r="C907" s="72"/>
      <c r="D907" s="72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72"/>
      <c r="B908" s="72"/>
      <c r="C908" s="72"/>
      <c r="D908" s="72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72"/>
      <c r="B909" s="72"/>
      <c r="C909" s="72"/>
      <c r="D909" s="72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72"/>
      <c r="B910" s="72"/>
      <c r="C910" s="72"/>
      <c r="D910" s="72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72"/>
      <c r="B911" s="72"/>
      <c r="C911" s="72"/>
      <c r="D911" s="72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72"/>
      <c r="B912" s="72"/>
      <c r="C912" s="72"/>
      <c r="D912" s="72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72"/>
      <c r="B913" s="72"/>
      <c r="C913" s="72"/>
      <c r="D913" s="72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72"/>
      <c r="B914" s="72"/>
      <c r="C914" s="72"/>
      <c r="D914" s="72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72"/>
      <c r="B915" s="72"/>
      <c r="C915" s="72"/>
      <c r="D915" s="72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72"/>
      <c r="B916" s="72"/>
      <c r="C916" s="72"/>
      <c r="D916" s="72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72"/>
      <c r="B917" s="72"/>
      <c r="C917" s="72"/>
      <c r="D917" s="72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72"/>
      <c r="B918" s="72"/>
      <c r="C918" s="72"/>
      <c r="D918" s="72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72"/>
      <c r="B919" s="72"/>
      <c r="C919" s="72"/>
      <c r="D919" s="72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72"/>
      <c r="B920" s="72"/>
      <c r="C920" s="72"/>
      <c r="D920" s="72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72"/>
      <c r="B921" s="72"/>
      <c r="C921" s="72"/>
      <c r="D921" s="72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72"/>
      <c r="B922" s="72"/>
      <c r="C922" s="72"/>
      <c r="D922" s="72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72"/>
      <c r="B923" s="72"/>
      <c r="C923" s="72"/>
      <c r="D923" s="72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72"/>
      <c r="B924" s="72"/>
      <c r="C924" s="72"/>
      <c r="D924" s="72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72"/>
      <c r="B925" s="72"/>
      <c r="C925" s="72"/>
      <c r="D925" s="72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72"/>
      <c r="B926" s="72"/>
      <c r="C926" s="72"/>
      <c r="D926" s="72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72"/>
      <c r="B927" s="72"/>
      <c r="C927" s="72"/>
      <c r="D927" s="72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72"/>
      <c r="B928" s="72"/>
      <c r="C928" s="72"/>
      <c r="D928" s="72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72"/>
      <c r="B929" s="72"/>
      <c r="C929" s="72"/>
      <c r="D929" s="72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72"/>
      <c r="B930" s="72"/>
      <c r="C930" s="72"/>
      <c r="D930" s="72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72"/>
      <c r="B931" s="72"/>
      <c r="C931" s="72"/>
      <c r="D931" s="72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72"/>
      <c r="B932" s="72"/>
      <c r="C932" s="72"/>
      <c r="D932" s="72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72"/>
      <c r="B933" s="72"/>
      <c r="C933" s="72"/>
      <c r="D933" s="72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72"/>
      <c r="B934" s="72"/>
      <c r="C934" s="72"/>
      <c r="D934" s="72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72"/>
      <c r="B935" s="72"/>
      <c r="C935" s="72"/>
      <c r="D935" s="72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72"/>
      <c r="B936" s="72"/>
      <c r="C936" s="72"/>
      <c r="D936" s="72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72"/>
      <c r="B937" s="72"/>
      <c r="C937" s="72"/>
      <c r="D937" s="72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72"/>
      <c r="B938" s="72"/>
      <c r="C938" s="72"/>
      <c r="D938" s="72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72"/>
      <c r="B939" s="72"/>
      <c r="C939" s="72"/>
      <c r="D939" s="72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72"/>
      <c r="B940" s="72"/>
      <c r="C940" s="72"/>
      <c r="D940" s="72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72"/>
      <c r="B941" s="72"/>
      <c r="C941" s="72"/>
      <c r="D941" s="72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72"/>
      <c r="B942" s="72"/>
      <c r="C942" s="72"/>
      <c r="D942" s="72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72"/>
      <c r="B943" s="72"/>
      <c r="C943" s="72"/>
      <c r="D943" s="72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72"/>
      <c r="B944" s="72"/>
      <c r="C944" s="72"/>
      <c r="D944" s="72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72"/>
      <c r="B945" s="72"/>
      <c r="C945" s="72"/>
      <c r="D945" s="72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72"/>
      <c r="B946" s="72"/>
      <c r="C946" s="72"/>
      <c r="D946" s="72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72"/>
      <c r="B947" s="72"/>
      <c r="C947" s="72"/>
      <c r="D947" s="72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72"/>
      <c r="B948" s="72"/>
      <c r="C948" s="72"/>
      <c r="D948" s="72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72"/>
      <c r="B949" s="72"/>
      <c r="C949" s="72"/>
      <c r="D949" s="72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72"/>
      <c r="B950" s="72"/>
      <c r="C950" s="72"/>
      <c r="D950" s="72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72"/>
      <c r="B951" s="72"/>
      <c r="C951" s="72"/>
      <c r="D951" s="72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72"/>
      <c r="B952" s="72"/>
      <c r="C952" s="72"/>
      <c r="D952" s="72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72"/>
      <c r="B953" s="72"/>
      <c r="C953" s="72"/>
      <c r="D953" s="72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72"/>
      <c r="B954" s="72"/>
      <c r="C954" s="72"/>
      <c r="D954" s="72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72"/>
      <c r="B955" s="72"/>
      <c r="C955" s="72"/>
      <c r="D955" s="72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72"/>
      <c r="B956" s="72"/>
      <c r="C956" s="72"/>
      <c r="D956" s="72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72"/>
      <c r="B957" s="72"/>
      <c r="C957" s="72"/>
      <c r="D957" s="72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72"/>
      <c r="B958" s="72"/>
      <c r="C958" s="72"/>
      <c r="D958" s="72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72"/>
      <c r="B959" s="72"/>
      <c r="C959" s="72"/>
      <c r="D959" s="72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72"/>
      <c r="B960" s="72"/>
      <c r="C960" s="72"/>
      <c r="D960" s="72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72"/>
      <c r="B961" s="72"/>
      <c r="C961" s="72"/>
      <c r="D961" s="72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72"/>
      <c r="B962" s="72"/>
      <c r="C962" s="72"/>
      <c r="D962" s="72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72"/>
      <c r="B963" s="72"/>
      <c r="C963" s="72"/>
      <c r="D963" s="72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72"/>
      <c r="B964" s="72"/>
      <c r="C964" s="72"/>
      <c r="D964" s="72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72"/>
      <c r="B965" s="72"/>
      <c r="C965" s="72"/>
      <c r="D965" s="72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72"/>
      <c r="B966" s="72"/>
      <c r="C966" s="72"/>
      <c r="D966" s="72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72"/>
      <c r="B967" s="72"/>
      <c r="C967" s="72"/>
      <c r="D967" s="72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72"/>
      <c r="B968" s="72"/>
      <c r="C968" s="72"/>
      <c r="D968" s="72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72"/>
      <c r="B969" s="72"/>
      <c r="C969" s="72"/>
      <c r="D969" s="72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72"/>
      <c r="B970" s="72"/>
      <c r="C970" s="72"/>
      <c r="D970" s="72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72"/>
      <c r="B971" s="72"/>
      <c r="C971" s="72"/>
      <c r="D971" s="72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72"/>
      <c r="B972" s="72"/>
      <c r="C972" s="72"/>
      <c r="D972" s="72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72"/>
      <c r="B973" s="72"/>
      <c r="C973" s="72"/>
      <c r="D973" s="72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72"/>
      <c r="B974" s="72"/>
      <c r="C974" s="72"/>
      <c r="D974" s="72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72"/>
      <c r="B975" s="72"/>
      <c r="C975" s="72"/>
      <c r="D975" s="72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72"/>
      <c r="B976" s="72"/>
      <c r="C976" s="72"/>
      <c r="D976" s="72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72"/>
      <c r="B977" s="72"/>
      <c r="C977" s="72"/>
      <c r="D977" s="72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72"/>
      <c r="B978" s="72"/>
      <c r="C978" s="72"/>
      <c r="D978" s="72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72"/>
      <c r="B979" s="72"/>
      <c r="C979" s="72"/>
      <c r="D979" s="72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72"/>
      <c r="B980" s="72"/>
      <c r="C980" s="72"/>
      <c r="D980" s="72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72"/>
      <c r="B981" s="72"/>
      <c r="C981" s="72"/>
      <c r="D981" s="72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</sheetData>
  <autoFilter ref="$E$1:$E$98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65.29"/>
    <col customWidth="1" min="2" max="2" width="43.86"/>
    <col customWidth="1" min="3" max="3" width="41.43"/>
    <col customWidth="1" min="4" max="4" width="71.86"/>
    <col customWidth="1" min="5" max="5" width="22.43"/>
    <col customWidth="1" min="6" max="26" width="8.71"/>
  </cols>
  <sheetData>
    <row r="1">
      <c r="A1" s="3" t="s">
        <v>0</v>
      </c>
      <c r="B1" s="3" t="s">
        <v>1</v>
      </c>
      <c r="C1" s="3" t="s">
        <v>2</v>
      </c>
      <c r="D1" s="7" t="s">
        <v>3</v>
      </c>
      <c r="E1" s="3" t="s">
        <v>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11" t="s">
        <v>11</v>
      </c>
      <c r="B2" s="11" t="s">
        <v>15</v>
      </c>
      <c r="C2" s="11" t="s">
        <v>17</v>
      </c>
      <c r="D2" s="13" t="s">
        <v>19</v>
      </c>
      <c r="E2" s="11" t="s">
        <v>20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21" t="s">
        <v>26</v>
      </c>
      <c r="B3" s="21" t="s">
        <v>26</v>
      </c>
      <c r="C3" s="21" t="s">
        <v>29</v>
      </c>
      <c r="D3" s="23" t="s">
        <v>30</v>
      </c>
      <c r="E3" s="24"/>
      <c r="F3" s="26"/>
      <c r="G3" s="26"/>
      <c r="H3" s="26"/>
      <c r="I3" s="26"/>
      <c r="J3" s="26"/>
      <c r="K3" s="26"/>
      <c r="L3" s="26"/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1" t="s">
        <v>46</v>
      </c>
      <c r="B4" s="11" t="s">
        <v>48</v>
      </c>
      <c r="C4" s="11" t="s">
        <v>49</v>
      </c>
      <c r="D4" s="13" t="s">
        <v>50</v>
      </c>
      <c r="E4" s="11" t="s">
        <v>20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27" t="s">
        <v>57</v>
      </c>
      <c r="B5" s="27" t="s">
        <v>60</v>
      </c>
      <c r="C5" s="27" t="s">
        <v>61</v>
      </c>
      <c r="D5" s="31" t="s">
        <v>65</v>
      </c>
      <c r="E5" s="27" t="s">
        <v>68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1" t="s">
        <v>72</v>
      </c>
      <c r="B6" s="11" t="s">
        <v>73</v>
      </c>
      <c r="C6" s="11" t="s">
        <v>74</v>
      </c>
      <c r="D6" s="13" t="s">
        <v>77</v>
      </c>
      <c r="E6" s="11" t="s">
        <v>20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20" t="s">
        <v>83</v>
      </c>
      <c r="B7" s="20" t="s">
        <v>84</v>
      </c>
      <c r="C7" s="20" t="s">
        <v>85</v>
      </c>
      <c r="D7" s="38" t="s">
        <v>86</v>
      </c>
      <c r="E7" s="20" t="s">
        <v>87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9" t="s">
        <v>97</v>
      </c>
      <c r="B8" s="9" t="s">
        <v>99</v>
      </c>
      <c r="C8" s="9" t="s">
        <v>102</v>
      </c>
      <c r="D8" s="38" t="s">
        <v>104</v>
      </c>
      <c r="E8" s="9" t="s">
        <v>106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27" t="s">
        <v>117</v>
      </c>
      <c r="B9" s="27" t="s">
        <v>118</v>
      </c>
      <c r="C9" s="27" t="s">
        <v>120</v>
      </c>
      <c r="D9" s="31" t="s">
        <v>121</v>
      </c>
      <c r="E9" s="27" t="s">
        <v>123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27" t="s">
        <v>134</v>
      </c>
      <c r="B10" s="27" t="s">
        <v>135</v>
      </c>
      <c r="C10" s="27" t="s">
        <v>136</v>
      </c>
      <c r="D10" s="31" t="s">
        <v>138</v>
      </c>
      <c r="E10" s="27" t="s">
        <v>139</v>
      </c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9" t="s">
        <v>150</v>
      </c>
      <c r="B11" s="9" t="s">
        <v>152</v>
      </c>
      <c r="C11" s="9" t="s">
        <v>154</v>
      </c>
      <c r="D11" s="38" t="s">
        <v>155</v>
      </c>
      <c r="E11" s="9" t="s">
        <v>156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9" t="s">
        <v>163</v>
      </c>
      <c r="B12" s="9" t="s">
        <v>165</v>
      </c>
      <c r="C12" s="9" t="s">
        <v>167</v>
      </c>
      <c r="D12" s="38" t="s">
        <v>169</v>
      </c>
      <c r="E12" s="9" t="s">
        <v>171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20" t="s">
        <v>174</v>
      </c>
      <c r="B13" s="9" t="s">
        <v>178</v>
      </c>
      <c r="C13" s="20" t="s">
        <v>181</v>
      </c>
      <c r="D13" s="52" t="s">
        <v>184</v>
      </c>
      <c r="E13" s="20" t="s">
        <v>20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20" t="s">
        <v>190</v>
      </c>
      <c r="B14" s="9" t="s">
        <v>192</v>
      </c>
      <c r="C14" s="9" t="s">
        <v>194</v>
      </c>
      <c r="D14" s="52" t="s">
        <v>196</v>
      </c>
      <c r="E14" s="20" t="s">
        <v>20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20" t="s">
        <v>204</v>
      </c>
      <c r="B15" s="20" t="s">
        <v>205</v>
      </c>
      <c r="C15" s="9" t="s">
        <v>206</v>
      </c>
      <c r="D15" s="52" t="s">
        <v>207</v>
      </c>
      <c r="E15" s="20" t="s">
        <v>20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9" t="s">
        <v>217</v>
      </c>
      <c r="B16" s="9" t="s">
        <v>218</v>
      </c>
      <c r="C16" s="9" t="s">
        <v>219</v>
      </c>
      <c r="D16" s="53" t="s">
        <v>222</v>
      </c>
      <c r="E16" s="20" t="s">
        <v>20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11" t="s">
        <v>230</v>
      </c>
      <c r="B17" s="11" t="s">
        <v>231</v>
      </c>
      <c r="C17" s="11" t="s">
        <v>233</v>
      </c>
      <c r="D17" s="55" t="s">
        <v>237</v>
      </c>
      <c r="E17" s="11" t="s">
        <v>20</v>
      </c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20" t="s">
        <v>247</v>
      </c>
      <c r="B18" s="20" t="s">
        <v>250</v>
      </c>
      <c r="C18" s="20" t="s">
        <v>252</v>
      </c>
      <c r="D18" s="53" t="s">
        <v>255</v>
      </c>
      <c r="E18" s="20" t="s">
        <v>20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9" t="s">
        <v>263</v>
      </c>
      <c r="B19" s="9" t="s">
        <v>266</v>
      </c>
      <c r="C19" s="20" t="s">
        <v>269</v>
      </c>
      <c r="D19" s="38" t="s">
        <v>273</v>
      </c>
      <c r="E19" s="9" t="s">
        <v>276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27" t="s">
        <v>284</v>
      </c>
      <c r="B20" s="27" t="s">
        <v>288</v>
      </c>
      <c r="C20" s="27" t="s">
        <v>290</v>
      </c>
      <c r="D20" s="31" t="s">
        <v>292</v>
      </c>
      <c r="E20" s="27" t="s">
        <v>276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t="15.75" customHeight="1">
      <c r="A21" s="20" t="s">
        <v>296</v>
      </c>
      <c r="B21" s="20" t="s">
        <v>299</v>
      </c>
      <c r="C21" s="20" t="s">
        <v>301</v>
      </c>
      <c r="D21" s="52" t="s">
        <v>304</v>
      </c>
      <c r="E21" s="20" t="s">
        <v>20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9" t="s">
        <v>311</v>
      </c>
      <c r="B22" s="9" t="s">
        <v>313</v>
      </c>
      <c r="C22" s="9" t="s">
        <v>315</v>
      </c>
      <c r="D22" s="16" t="s">
        <v>318</v>
      </c>
      <c r="E22" s="9" t="s">
        <v>320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9" t="s">
        <v>328</v>
      </c>
      <c r="B23" s="9" t="s">
        <v>329</v>
      </c>
      <c r="C23" s="9" t="s">
        <v>331</v>
      </c>
      <c r="D23" s="38" t="s">
        <v>333</v>
      </c>
      <c r="E23" s="9" t="s">
        <v>68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12" t="s">
        <v>341</v>
      </c>
      <c r="B24" s="12" t="s">
        <v>344</v>
      </c>
      <c r="C24" s="12" t="s">
        <v>346</v>
      </c>
      <c r="D24" s="65" t="s">
        <v>348</v>
      </c>
      <c r="E24" s="67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</row>
    <row r="25" ht="15.75" customHeight="1">
      <c r="A25" s="62" t="s">
        <v>360</v>
      </c>
      <c r="B25" s="62" t="s">
        <v>362</v>
      </c>
      <c r="C25" s="62" t="s">
        <v>363</v>
      </c>
      <c r="D25" s="71" t="s">
        <v>364</v>
      </c>
      <c r="E25" s="62" t="s">
        <v>20</v>
      </c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</row>
    <row r="26" ht="15.75" customHeight="1">
      <c r="A26" s="9" t="s">
        <v>377</v>
      </c>
      <c r="B26" s="9" t="s">
        <v>378</v>
      </c>
      <c r="C26" s="9" t="s">
        <v>379</v>
      </c>
      <c r="D26" s="52" t="s">
        <v>380</v>
      </c>
      <c r="E26" s="20" t="s">
        <v>20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11" t="s">
        <v>386</v>
      </c>
      <c r="B27" s="11" t="s">
        <v>387</v>
      </c>
      <c r="C27" s="11" t="s">
        <v>389</v>
      </c>
      <c r="D27" s="13" t="s">
        <v>393</v>
      </c>
      <c r="E27" s="11" t="s">
        <v>394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5.75" customHeight="1">
      <c r="A28" s="11" t="s">
        <v>398</v>
      </c>
      <c r="B28" s="11" t="s">
        <v>399</v>
      </c>
      <c r="C28" s="11" t="s">
        <v>400</v>
      </c>
      <c r="D28" s="13" t="s">
        <v>402</v>
      </c>
      <c r="E28" s="11" t="s">
        <v>20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5.75" customHeight="1">
      <c r="A29" s="11" t="s">
        <v>413</v>
      </c>
      <c r="B29" s="11" t="s">
        <v>414</v>
      </c>
      <c r="C29" s="11" t="s">
        <v>415</v>
      </c>
      <c r="D29" s="55" t="s">
        <v>418</v>
      </c>
      <c r="E29" s="11" t="s">
        <v>419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5.75" customHeight="1">
      <c r="A30" s="20" t="s">
        <v>426</v>
      </c>
      <c r="B30" s="20" t="s">
        <v>430</v>
      </c>
      <c r="C30" s="20" t="s">
        <v>432</v>
      </c>
      <c r="D30" s="53" t="s">
        <v>435</v>
      </c>
      <c r="E30" s="20" t="s">
        <v>20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 ht="15.75" customHeight="1">
      <c r="A31" s="20" t="s">
        <v>445</v>
      </c>
      <c r="B31" s="20" t="s">
        <v>446</v>
      </c>
      <c r="C31" s="20" t="s">
        <v>447</v>
      </c>
      <c r="D31" s="52" t="s">
        <v>448</v>
      </c>
      <c r="E31" s="20" t="s">
        <v>20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27" t="s">
        <v>460</v>
      </c>
      <c r="B32" s="27" t="s">
        <v>461</v>
      </c>
      <c r="C32" s="11" t="s">
        <v>462</v>
      </c>
      <c r="D32" s="31" t="s">
        <v>463</v>
      </c>
      <c r="E32" s="27" t="s">
        <v>41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5.75" customHeight="1">
      <c r="A33" s="20" t="s">
        <v>471</v>
      </c>
      <c r="B33" s="20" t="s">
        <v>473</v>
      </c>
      <c r="C33" s="20" t="s">
        <v>17</v>
      </c>
      <c r="D33" s="52" t="s">
        <v>475</v>
      </c>
      <c r="E33" s="20" t="s">
        <v>20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62" t="s">
        <v>486</v>
      </c>
      <c r="B34" s="62" t="s">
        <v>486</v>
      </c>
      <c r="C34" s="62" t="s">
        <v>29</v>
      </c>
      <c r="D34" s="71" t="s">
        <v>488</v>
      </c>
      <c r="E34" s="78"/>
      <c r="F34" s="37"/>
      <c r="G34" s="37"/>
      <c r="H34" s="37"/>
      <c r="I34" s="37"/>
      <c r="J34" s="37"/>
      <c r="K34" s="37"/>
      <c r="L34" s="37"/>
      <c r="M34" s="37"/>
      <c r="N34" s="37"/>
      <c r="O34" s="37"/>
      <c r="P34" s="37"/>
      <c r="Q34" s="37"/>
      <c r="R34" s="37"/>
      <c r="S34" s="37"/>
      <c r="T34" s="37"/>
      <c r="U34" s="37"/>
      <c r="V34" s="37"/>
      <c r="W34" s="37"/>
      <c r="X34" s="37"/>
      <c r="Y34" s="37"/>
      <c r="Z34" s="37"/>
    </row>
    <row r="35" ht="15.75" customHeight="1">
      <c r="A35" s="20" t="s">
        <v>502</v>
      </c>
      <c r="B35" s="20" t="s">
        <v>504</v>
      </c>
      <c r="C35" s="20" t="s">
        <v>505</v>
      </c>
      <c r="D35" s="52" t="s">
        <v>506</v>
      </c>
      <c r="E35" s="79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11" t="s">
        <v>519</v>
      </c>
      <c r="B36" s="11" t="s">
        <v>520</v>
      </c>
      <c r="C36" s="11" t="s">
        <v>521</v>
      </c>
      <c r="D36" s="13" t="s">
        <v>522</v>
      </c>
      <c r="E36" s="11" t="s">
        <v>20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t="15.75" customHeight="1">
      <c r="A37" s="20" t="s">
        <v>535</v>
      </c>
      <c r="B37" s="20" t="s">
        <v>536</v>
      </c>
      <c r="C37" s="20" t="s">
        <v>537</v>
      </c>
      <c r="D37" s="53" t="s">
        <v>538</v>
      </c>
      <c r="E37" s="20" t="s">
        <v>20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62" t="s">
        <v>547</v>
      </c>
      <c r="B38" s="62" t="s">
        <v>549</v>
      </c>
      <c r="C38" s="62" t="s">
        <v>551</v>
      </c>
      <c r="D38" s="80" t="s">
        <v>556</v>
      </c>
      <c r="E38" s="62" t="s">
        <v>254</v>
      </c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7"/>
      <c r="T38" s="37"/>
      <c r="U38" s="37"/>
      <c r="V38" s="37"/>
      <c r="W38" s="37"/>
      <c r="X38" s="37"/>
      <c r="Y38" s="37"/>
      <c r="Z38" s="37"/>
    </row>
    <row r="39" ht="15.75" customHeight="1">
      <c r="A39" s="20" t="s">
        <v>569</v>
      </c>
      <c r="B39" s="20" t="s">
        <v>572</v>
      </c>
      <c r="C39" s="20" t="s">
        <v>573</v>
      </c>
      <c r="D39" s="38" t="s">
        <v>575</v>
      </c>
      <c r="E39" s="20" t="s">
        <v>254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 ht="15.75" customHeight="1">
      <c r="A40" s="62" t="s">
        <v>582</v>
      </c>
      <c r="B40" s="62" t="s">
        <v>585</v>
      </c>
      <c r="C40" s="62" t="s">
        <v>588</v>
      </c>
      <c r="D40" s="71" t="s">
        <v>590</v>
      </c>
      <c r="E40" s="78"/>
      <c r="F40" s="37"/>
      <c r="G40" s="37"/>
      <c r="H40" s="37"/>
      <c r="I40" s="37"/>
      <c r="J40" s="37"/>
      <c r="K40" s="37"/>
      <c r="L40" s="37"/>
      <c r="M40" s="37"/>
      <c r="N40" s="37"/>
      <c r="O40" s="37"/>
      <c r="P40" s="37"/>
      <c r="Q40" s="37"/>
      <c r="R40" s="37"/>
      <c r="S40" s="37"/>
      <c r="T40" s="37"/>
      <c r="U40" s="37"/>
      <c r="V40" s="37"/>
      <c r="W40" s="37"/>
      <c r="X40" s="37"/>
      <c r="Y40" s="37"/>
      <c r="Z40" s="37"/>
    </row>
    <row r="41" ht="15.75" customHeight="1">
      <c r="A41" s="20" t="s">
        <v>600</v>
      </c>
      <c r="B41" s="20" t="s">
        <v>601</v>
      </c>
      <c r="C41" s="20" t="s">
        <v>603</v>
      </c>
      <c r="D41" s="52" t="s">
        <v>607</v>
      </c>
      <c r="E41" s="20" t="s">
        <v>20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69" t="s">
        <v>619</v>
      </c>
      <c r="B42" s="69" t="s">
        <v>622</v>
      </c>
      <c r="C42" s="69" t="s">
        <v>623</v>
      </c>
      <c r="D42" s="81" t="s">
        <v>624</v>
      </c>
      <c r="E42" s="82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 ht="15.75" customHeight="1">
      <c r="A43" s="11" t="s">
        <v>637</v>
      </c>
      <c r="B43" s="11" t="s">
        <v>638</v>
      </c>
      <c r="C43" s="11" t="s">
        <v>639</v>
      </c>
      <c r="D43" s="13" t="s">
        <v>640</v>
      </c>
      <c r="E43" s="11" t="s">
        <v>20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5.75" customHeight="1">
      <c r="A44" s="27" t="s">
        <v>648</v>
      </c>
      <c r="B44" s="27" t="s">
        <v>650</v>
      </c>
      <c r="C44" s="27" t="s">
        <v>651</v>
      </c>
      <c r="D44" s="31" t="s">
        <v>652</v>
      </c>
      <c r="E44" s="27" t="s">
        <v>276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5.75" customHeight="1">
      <c r="A45" s="12" t="s">
        <v>659</v>
      </c>
      <c r="B45" s="12" t="s">
        <v>661</v>
      </c>
      <c r="C45" s="12" t="s">
        <v>663</v>
      </c>
      <c r="D45" s="83" t="s">
        <v>665</v>
      </c>
      <c r="E45" s="12" t="s">
        <v>20</v>
      </c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ht="15.75" customHeight="1">
      <c r="A46" s="20" t="s">
        <v>673</v>
      </c>
      <c r="B46" s="20" t="s">
        <v>675</v>
      </c>
      <c r="C46" s="20" t="s">
        <v>676</v>
      </c>
      <c r="D46" s="52" t="s">
        <v>677</v>
      </c>
      <c r="E46" s="20" t="s">
        <v>20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11" t="s">
        <v>685</v>
      </c>
      <c r="B47" s="27" t="s">
        <v>688</v>
      </c>
      <c r="C47" s="11" t="s">
        <v>692</v>
      </c>
      <c r="D47" s="13" t="s">
        <v>694</v>
      </c>
      <c r="E47" s="11" t="s">
        <v>696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5.75" customHeight="1">
      <c r="A48" s="29" t="s">
        <v>700</v>
      </c>
      <c r="B48" s="29" t="s">
        <v>702</v>
      </c>
      <c r="C48" s="29" t="s">
        <v>703</v>
      </c>
      <c r="D48" s="16" t="s">
        <v>705</v>
      </c>
      <c r="E48" s="29" t="s">
        <v>106</v>
      </c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ht="15.75" customHeight="1">
      <c r="A49" s="11" t="s">
        <v>713</v>
      </c>
      <c r="B49" s="11" t="s">
        <v>48</v>
      </c>
      <c r="C49" s="11" t="s">
        <v>49</v>
      </c>
      <c r="D49" s="31" t="s">
        <v>714</v>
      </c>
      <c r="E49" s="11" t="s">
        <v>20</v>
      </c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5.75" customHeight="1">
      <c r="A50" s="34" t="s">
        <v>721</v>
      </c>
      <c r="B50" s="34" t="s">
        <v>723</v>
      </c>
      <c r="C50" s="34" t="s">
        <v>725</v>
      </c>
      <c r="D50" s="80" t="s">
        <v>726</v>
      </c>
      <c r="E50" s="34" t="s">
        <v>68</v>
      </c>
      <c r="F50" s="37"/>
      <c r="G50" s="37"/>
      <c r="H50" s="37"/>
      <c r="I50" s="37"/>
      <c r="J50" s="37"/>
      <c r="K50" s="37"/>
      <c r="L50" s="37"/>
      <c r="M50" s="37"/>
      <c r="N50" s="37"/>
      <c r="O50" s="37"/>
      <c r="P50" s="37"/>
      <c r="Q50" s="37"/>
      <c r="R50" s="37"/>
      <c r="S50" s="37"/>
      <c r="T50" s="37"/>
      <c r="U50" s="37"/>
      <c r="V50" s="37"/>
      <c r="W50" s="37"/>
      <c r="X50" s="37"/>
      <c r="Y50" s="37"/>
      <c r="Z50" s="37"/>
    </row>
    <row r="51" ht="15.75" customHeight="1">
      <c r="A51" s="12" t="s">
        <v>731</v>
      </c>
      <c r="B51" s="12" t="s">
        <v>732</v>
      </c>
      <c r="C51" s="12" t="s">
        <v>734</v>
      </c>
      <c r="D51" s="65" t="s">
        <v>736</v>
      </c>
      <c r="E51" s="12" t="s">
        <v>20</v>
      </c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ht="15.75" customHeight="1">
      <c r="A52" s="11" t="s">
        <v>742</v>
      </c>
      <c r="B52" s="11" t="s">
        <v>743</v>
      </c>
      <c r="C52" s="11" t="s">
        <v>744</v>
      </c>
      <c r="D52" s="55" t="s">
        <v>746</v>
      </c>
      <c r="E52" s="11" t="s">
        <v>747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5.75" customHeight="1">
      <c r="A53" s="20" t="s">
        <v>748</v>
      </c>
      <c r="B53" s="20" t="s">
        <v>749</v>
      </c>
      <c r="C53" s="20" t="s">
        <v>750</v>
      </c>
      <c r="D53" s="52" t="s">
        <v>751</v>
      </c>
      <c r="E53" s="20" t="s">
        <v>20</v>
      </c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20" t="s">
        <v>760</v>
      </c>
      <c r="B54" s="20" t="s">
        <v>761</v>
      </c>
      <c r="C54" s="20" t="s">
        <v>762</v>
      </c>
      <c r="D54" s="38" t="s">
        <v>763</v>
      </c>
      <c r="E54" s="20" t="s">
        <v>87</v>
      </c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9" t="s">
        <v>775</v>
      </c>
      <c r="B55" s="9" t="s">
        <v>776</v>
      </c>
      <c r="C55" s="9" t="s">
        <v>777</v>
      </c>
      <c r="D55" s="38" t="s">
        <v>778</v>
      </c>
      <c r="E55" s="9" t="s">
        <v>106</v>
      </c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11" t="s">
        <v>787</v>
      </c>
      <c r="B56" s="11" t="s">
        <v>788</v>
      </c>
      <c r="C56" s="11" t="s">
        <v>789</v>
      </c>
      <c r="D56" s="13" t="s">
        <v>790</v>
      </c>
      <c r="E56" s="11" t="s">
        <v>20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5.75" customHeight="1">
      <c r="A57" s="12" t="s">
        <v>798</v>
      </c>
      <c r="B57" s="12" t="s">
        <v>799</v>
      </c>
      <c r="C57" s="12" t="s">
        <v>801</v>
      </c>
      <c r="D57" s="83" t="s">
        <v>802</v>
      </c>
      <c r="E57" s="12" t="s">
        <v>20</v>
      </c>
      <c r="F57" s="58"/>
      <c r="G57" s="58"/>
      <c r="H57" s="58"/>
      <c r="I57" s="58"/>
      <c r="J57" s="58"/>
      <c r="K57" s="58"/>
      <c r="L57" s="58"/>
      <c r="M57" s="58"/>
      <c r="N57" s="58"/>
      <c r="O57" s="58"/>
      <c r="P57" s="58"/>
      <c r="Q57" s="58"/>
      <c r="R57" s="58"/>
      <c r="S57" s="58"/>
      <c r="T57" s="58"/>
      <c r="U57" s="58"/>
      <c r="V57" s="58"/>
      <c r="W57" s="58"/>
      <c r="X57" s="58"/>
      <c r="Y57" s="58"/>
      <c r="Z57" s="58"/>
    </row>
    <row r="58" ht="15.75" customHeight="1">
      <c r="A58" s="9" t="s">
        <v>808</v>
      </c>
      <c r="B58" s="9" t="s">
        <v>810</v>
      </c>
      <c r="C58" s="9" t="s">
        <v>811</v>
      </c>
      <c r="D58" s="38" t="s">
        <v>813</v>
      </c>
      <c r="E58" s="9" t="s">
        <v>106</v>
      </c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 ht="15.75" customHeight="1">
      <c r="A59" s="20" t="s">
        <v>818</v>
      </c>
      <c r="B59" s="20" t="s">
        <v>819</v>
      </c>
      <c r="C59" s="9" t="s">
        <v>820</v>
      </c>
      <c r="D59" s="38" t="s">
        <v>822</v>
      </c>
      <c r="E59" s="9" t="s">
        <v>87</v>
      </c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20" t="s">
        <v>831</v>
      </c>
      <c r="B60" s="20" t="s">
        <v>832</v>
      </c>
      <c r="C60" s="20" t="s">
        <v>833</v>
      </c>
      <c r="D60" s="53" t="s">
        <v>835</v>
      </c>
      <c r="E60" s="20" t="s">
        <v>20</v>
      </c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9" t="s">
        <v>843</v>
      </c>
      <c r="B61" s="9" t="s">
        <v>844</v>
      </c>
      <c r="C61" s="9" t="s">
        <v>845</v>
      </c>
      <c r="D61" s="38" t="s">
        <v>846</v>
      </c>
      <c r="E61" s="9" t="s">
        <v>554</v>
      </c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29" t="s">
        <v>855</v>
      </c>
      <c r="B62" s="29" t="s">
        <v>856</v>
      </c>
      <c r="C62" s="29" t="s">
        <v>857</v>
      </c>
      <c r="D62" s="16" t="s">
        <v>858</v>
      </c>
      <c r="E62" s="29" t="s">
        <v>554</v>
      </c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ht="15.75" customHeight="1">
      <c r="A63" s="20" t="s">
        <v>864</v>
      </c>
      <c r="B63" s="20" t="s">
        <v>865</v>
      </c>
      <c r="C63" s="20" t="s">
        <v>867</v>
      </c>
      <c r="D63" s="52" t="s">
        <v>871</v>
      </c>
      <c r="E63" s="20" t="s">
        <v>20</v>
      </c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 ht="15.75" customHeight="1">
      <c r="A64" s="11" t="s">
        <v>878</v>
      </c>
      <c r="B64" s="11" t="s">
        <v>879</v>
      </c>
      <c r="C64" s="11" t="s">
        <v>880</v>
      </c>
      <c r="D64" s="13" t="s">
        <v>882</v>
      </c>
      <c r="E64" s="11" t="s">
        <v>20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5.75" customHeight="1">
      <c r="A65" s="20" t="s">
        <v>887</v>
      </c>
      <c r="B65" s="20" t="s">
        <v>889</v>
      </c>
      <c r="C65" s="20" t="s">
        <v>891</v>
      </c>
      <c r="D65" s="52" t="s">
        <v>894</v>
      </c>
      <c r="E65" s="20" t="s">
        <v>20</v>
      </c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29" t="s">
        <v>898</v>
      </c>
      <c r="B66" s="29" t="s">
        <v>899</v>
      </c>
      <c r="C66" s="29" t="s">
        <v>901</v>
      </c>
      <c r="D66" s="16" t="s">
        <v>904</v>
      </c>
      <c r="E66" s="29" t="s">
        <v>554</v>
      </c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ht="15.75" customHeight="1">
      <c r="A67" s="11" t="s">
        <v>911</v>
      </c>
      <c r="B67" s="11" t="s">
        <v>912</v>
      </c>
      <c r="C67" s="11" t="s">
        <v>913</v>
      </c>
      <c r="D67" s="13" t="s">
        <v>916</v>
      </c>
      <c r="E67" s="11" t="s">
        <v>20</v>
      </c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5.75" customHeight="1">
      <c r="A68" s="12" t="s">
        <v>923</v>
      </c>
      <c r="B68" s="12" t="s">
        <v>924</v>
      </c>
      <c r="C68" s="12" t="s">
        <v>925</v>
      </c>
      <c r="D68" s="83" t="s">
        <v>926</v>
      </c>
      <c r="E68" s="12" t="s">
        <v>927</v>
      </c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ht="15.75" customHeight="1">
      <c r="A69" s="11" t="s">
        <v>934</v>
      </c>
      <c r="B69" s="11" t="s">
        <v>936</v>
      </c>
      <c r="C69" s="11" t="s">
        <v>937</v>
      </c>
      <c r="D69" s="13" t="s">
        <v>196</v>
      </c>
      <c r="E69" s="11" t="s">
        <v>20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5.75" customHeight="1">
      <c r="A70" s="11" t="s">
        <v>943</v>
      </c>
      <c r="B70" s="11" t="s">
        <v>945</v>
      </c>
      <c r="C70" s="11" t="s">
        <v>947</v>
      </c>
      <c r="D70" s="13" t="s">
        <v>948</v>
      </c>
      <c r="E70" s="11" t="s">
        <v>20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5.75" customHeight="1">
      <c r="A71" s="12" t="s">
        <v>952</v>
      </c>
      <c r="B71" s="12" t="s">
        <v>952</v>
      </c>
      <c r="C71" s="12" t="s">
        <v>954</v>
      </c>
      <c r="D71" s="83" t="s">
        <v>956</v>
      </c>
      <c r="E71" s="67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ht="15.75" customHeight="1">
      <c r="A72" s="20" t="s">
        <v>962</v>
      </c>
      <c r="B72" s="20" t="s">
        <v>964</v>
      </c>
      <c r="C72" s="20" t="s">
        <v>966</v>
      </c>
      <c r="D72" s="52" t="s">
        <v>969</v>
      </c>
      <c r="E72" s="20" t="s">
        <v>20</v>
      </c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0" t="s">
        <v>973</v>
      </c>
      <c r="B73" s="20" t="s">
        <v>974</v>
      </c>
      <c r="C73" s="20" t="s">
        <v>975</v>
      </c>
      <c r="D73" s="52" t="s">
        <v>977</v>
      </c>
      <c r="E73" s="79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 ht="15.75" customHeight="1">
      <c r="A74" s="11" t="s">
        <v>985</v>
      </c>
      <c r="B74" s="11" t="s">
        <v>986</v>
      </c>
      <c r="C74" s="11" t="s">
        <v>987</v>
      </c>
      <c r="D74" s="13" t="s">
        <v>989</v>
      </c>
      <c r="E74" s="87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5.75" customHeight="1">
      <c r="A75" s="12" t="s">
        <v>996</v>
      </c>
      <c r="B75" s="12" t="s">
        <v>998</v>
      </c>
      <c r="C75" s="12" t="s">
        <v>1000</v>
      </c>
      <c r="D75" s="83" t="s">
        <v>1002</v>
      </c>
      <c r="E75" s="12" t="s">
        <v>20</v>
      </c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S75" s="58"/>
      <c r="T75" s="58"/>
      <c r="U75" s="58"/>
      <c r="V75" s="58"/>
      <c r="W75" s="58"/>
      <c r="X75" s="58"/>
      <c r="Y75" s="58"/>
      <c r="Z75" s="58"/>
    </row>
    <row r="76" ht="15.75" customHeight="1">
      <c r="A76" s="20" t="s">
        <v>1009</v>
      </c>
      <c r="B76" s="20" t="s">
        <v>1010</v>
      </c>
      <c r="C76" s="20" t="s">
        <v>1011</v>
      </c>
      <c r="D76" s="52" t="s">
        <v>1012</v>
      </c>
      <c r="E76" s="79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12" t="s">
        <v>1017</v>
      </c>
      <c r="B77" s="12" t="s">
        <v>1017</v>
      </c>
      <c r="C77" s="12" t="s">
        <v>1018</v>
      </c>
      <c r="D77" s="83" t="s">
        <v>1019</v>
      </c>
      <c r="E77" s="67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ht="15.75" customHeight="1">
      <c r="A78" s="11" t="s">
        <v>1024</v>
      </c>
      <c r="B78" s="11" t="s">
        <v>1024</v>
      </c>
      <c r="C78" s="11" t="s">
        <v>1025</v>
      </c>
      <c r="D78" s="13" t="s">
        <v>1026</v>
      </c>
      <c r="E78" s="87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5.75" customHeight="1">
      <c r="A79" s="20" t="s">
        <v>1029</v>
      </c>
      <c r="B79" s="20" t="s">
        <v>1032</v>
      </c>
      <c r="C79" s="20" t="s">
        <v>1033</v>
      </c>
      <c r="D79" s="52" t="s">
        <v>1035</v>
      </c>
      <c r="E79" s="20" t="s">
        <v>20</v>
      </c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20" t="s">
        <v>1038</v>
      </c>
      <c r="B80" s="20" t="s">
        <v>1038</v>
      </c>
      <c r="C80" s="20" t="s">
        <v>1041</v>
      </c>
      <c r="D80" s="52" t="s">
        <v>1043</v>
      </c>
      <c r="E80" s="79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11" t="s">
        <v>1047</v>
      </c>
      <c r="B81" s="11" t="s">
        <v>1048</v>
      </c>
      <c r="C81" s="11" t="s">
        <v>1049</v>
      </c>
      <c r="D81" s="13" t="s">
        <v>1050</v>
      </c>
      <c r="E81" s="11" t="s">
        <v>20</v>
      </c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5.75" customHeight="1">
      <c r="A82" s="20" t="s">
        <v>1056</v>
      </c>
      <c r="B82" s="20" t="s">
        <v>1058</v>
      </c>
      <c r="C82" s="20" t="s">
        <v>1059</v>
      </c>
      <c r="D82" s="53" t="s">
        <v>1060</v>
      </c>
      <c r="E82" s="20" t="s">
        <v>1061</v>
      </c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20" t="s">
        <v>1066</v>
      </c>
      <c r="B83" s="20" t="s">
        <v>1069</v>
      </c>
      <c r="C83" s="20" t="s">
        <v>1070</v>
      </c>
      <c r="D83" s="52" t="s">
        <v>1071</v>
      </c>
      <c r="E83" s="20" t="s">
        <v>20</v>
      </c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 ht="15.75" customHeight="1">
      <c r="A84" s="20" t="s">
        <v>1074</v>
      </c>
      <c r="B84" s="20" t="s">
        <v>1076</v>
      </c>
      <c r="C84" s="20" t="s">
        <v>1078</v>
      </c>
      <c r="D84" s="52" t="s">
        <v>1080</v>
      </c>
      <c r="E84" s="79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9" t="s">
        <v>1084</v>
      </c>
      <c r="B85" s="38" t="s">
        <v>1085</v>
      </c>
      <c r="C85" s="9" t="s">
        <v>1086</v>
      </c>
      <c r="D85" s="38" t="s">
        <v>1088</v>
      </c>
      <c r="E85" s="9" t="s">
        <v>1090</v>
      </c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 ht="15.75" customHeight="1">
      <c r="A86" s="9" t="s">
        <v>1095</v>
      </c>
      <c r="B86" s="38" t="s">
        <v>1096</v>
      </c>
      <c r="C86" s="9" t="s">
        <v>1097</v>
      </c>
      <c r="D86" s="38" t="s">
        <v>1099</v>
      </c>
      <c r="E86" s="9" t="s">
        <v>1100</v>
      </c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 ht="15.75" customHeight="1">
      <c r="A87" s="9" t="s">
        <v>1106</v>
      </c>
      <c r="B87" s="38" t="s">
        <v>1108</v>
      </c>
      <c r="C87" s="9" t="s">
        <v>1109</v>
      </c>
      <c r="D87" s="38" t="s">
        <v>1110</v>
      </c>
      <c r="E87" s="9" t="s">
        <v>1111</v>
      </c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9" t="s">
        <v>1114</v>
      </c>
      <c r="B88" s="38" t="s">
        <v>1115</v>
      </c>
      <c r="C88" s="9" t="s">
        <v>1116</v>
      </c>
      <c r="D88" s="38" t="s">
        <v>1119</v>
      </c>
      <c r="E88" s="9" t="s">
        <v>1121</v>
      </c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20" t="s">
        <v>1127</v>
      </c>
      <c r="B89" s="52" t="s">
        <v>1128</v>
      </c>
      <c r="C89" s="20" t="s">
        <v>1129</v>
      </c>
      <c r="D89" s="52" t="s">
        <v>1130</v>
      </c>
      <c r="E89" s="20" t="s">
        <v>1132</v>
      </c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9" t="s">
        <v>1140</v>
      </c>
      <c r="B90" s="38" t="s">
        <v>1141</v>
      </c>
      <c r="C90" s="9" t="s">
        <v>1142</v>
      </c>
      <c r="D90" s="38" t="s">
        <v>1143</v>
      </c>
      <c r="E90" s="9" t="s">
        <v>1144</v>
      </c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9" t="s">
        <v>1150</v>
      </c>
      <c r="B91" s="38" t="s">
        <v>1152</v>
      </c>
      <c r="C91" s="9" t="s">
        <v>1153</v>
      </c>
      <c r="D91" s="38" t="s">
        <v>1154</v>
      </c>
      <c r="E91" s="9" t="s">
        <v>1155</v>
      </c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9" t="s">
        <v>1157</v>
      </c>
      <c r="B92" s="38" t="s">
        <v>1159</v>
      </c>
      <c r="C92" s="9" t="s">
        <v>1160</v>
      </c>
      <c r="D92" s="38" t="s">
        <v>1162</v>
      </c>
      <c r="E92" s="9" t="s">
        <v>1164</v>
      </c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20" t="s">
        <v>1168</v>
      </c>
      <c r="B93" s="52" t="s">
        <v>1169</v>
      </c>
      <c r="C93" s="20" t="s">
        <v>1170</v>
      </c>
      <c r="D93" s="38" t="s">
        <v>1171</v>
      </c>
      <c r="E93" s="20" t="s">
        <v>1172</v>
      </c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9" t="s">
        <v>1175</v>
      </c>
      <c r="B94" s="38" t="s">
        <v>1177</v>
      </c>
      <c r="C94" s="9" t="s">
        <v>1179</v>
      </c>
      <c r="D94" s="38" t="s">
        <v>1180</v>
      </c>
      <c r="E94" s="9" t="s">
        <v>1182</v>
      </c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9" t="s">
        <v>1185</v>
      </c>
      <c r="B95" s="38" t="s">
        <v>1186</v>
      </c>
      <c r="C95" s="9" t="s">
        <v>1188</v>
      </c>
      <c r="D95" s="38" t="s">
        <v>1190</v>
      </c>
      <c r="E95" s="9" t="s">
        <v>1191</v>
      </c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9" t="s">
        <v>1195</v>
      </c>
      <c r="B96" s="38" t="s">
        <v>1196</v>
      </c>
      <c r="C96" s="9" t="s">
        <v>1198</v>
      </c>
      <c r="D96" s="38" t="s">
        <v>1201</v>
      </c>
      <c r="E96" s="9" t="s">
        <v>1203</v>
      </c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38" t="s">
        <v>1206</v>
      </c>
      <c r="B97" s="38" t="s">
        <v>1208</v>
      </c>
      <c r="C97" s="38" t="s">
        <v>1210</v>
      </c>
      <c r="D97" s="93" t="s">
        <v>1215</v>
      </c>
      <c r="E97" s="9" t="s">
        <v>1216</v>
      </c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9" t="s">
        <v>1220</v>
      </c>
      <c r="B98" s="38" t="s">
        <v>1221</v>
      </c>
      <c r="C98" s="9" t="s">
        <v>1223</v>
      </c>
      <c r="D98" s="38" t="s">
        <v>1225</v>
      </c>
      <c r="E98" s="9" t="s">
        <v>1226</v>
      </c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9" t="s">
        <v>1228</v>
      </c>
      <c r="B99" s="38" t="s">
        <v>1229</v>
      </c>
      <c r="C99" s="9" t="s">
        <v>1230</v>
      </c>
      <c r="D99" s="38" t="s">
        <v>1233</v>
      </c>
      <c r="E99" s="9" t="s">
        <v>1235</v>
      </c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9" t="s">
        <v>1239</v>
      </c>
      <c r="B100" s="38" t="s">
        <v>1241</v>
      </c>
      <c r="C100" s="9" t="s">
        <v>1242</v>
      </c>
      <c r="D100" s="38" t="s">
        <v>1243</v>
      </c>
      <c r="E100" s="9" t="s">
        <v>1244</v>
      </c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9" t="s">
        <v>1251</v>
      </c>
      <c r="B101" s="38" t="s">
        <v>1252</v>
      </c>
      <c r="C101" s="9" t="s">
        <v>1253</v>
      </c>
      <c r="D101" s="38" t="s">
        <v>1254</v>
      </c>
      <c r="E101" s="9" t="s">
        <v>1255</v>
      </c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9" t="s">
        <v>1260</v>
      </c>
      <c r="B102" s="38" t="s">
        <v>1263</v>
      </c>
      <c r="C102" s="9" t="s">
        <v>1264</v>
      </c>
      <c r="D102" s="38" t="s">
        <v>1265</v>
      </c>
      <c r="E102" s="9" t="s">
        <v>1266</v>
      </c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9" t="s">
        <v>1270</v>
      </c>
      <c r="B103" s="38" t="s">
        <v>1272</v>
      </c>
      <c r="C103" s="38" t="s">
        <v>1275</v>
      </c>
      <c r="D103" s="38" t="s">
        <v>1277</v>
      </c>
      <c r="E103" s="9" t="s">
        <v>1278</v>
      </c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9" t="s">
        <v>1281</v>
      </c>
      <c r="B104" s="38" t="s">
        <v>1282</v>
      </c>
      <c r="C104" s="9" t="s">
        <v>1283</v>
      </c>
      <c r="D104" s="38" t="s">
        <v>1285</v>
      </c>
      <c r="E104" s="9" t="s">
        <v>1286</v>
      </c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9" t="s">
        <v>1296</v>
      </c>
      <c r="B105" s="38" t="s">
        <v>1297</v>
      </c>
      <c r="C105" s="9" t="s">
        <v>1298</v>
      </c>
      <c r="D105" s="38" t="s">
        <v>1299</v>
      </c>
      <c r="E105" s="9" t="s">
        <v>1301</v>
      </c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9" t="s">
        <v>1308</v>
      </c>
      <c r="B106" s="38" t="s">
        <v>1309</v>
      </c>
      <c r="C106" s="9" t="s">
        <v>1310</v>
      </c>
      <c r="D106" s="38" t="s">
        <v>1311</v>
      </c>
      <c r="E106" s="9" t="s">
        <v>1301</v>
      </c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9" t="s">
        <v>1317</v>
      </c>
      <c r="B107" s="9" t="s">
        <v>1319</v>
      </c>
      <c r="C107" s="9" t="s">
        <v>1322</v>
      </c>
      <c r="D107" s="38" t="s">
        <v>1325</v>
      </c>
      <c r="E107" s="9" t="s">
        <v>1301</v>
      </c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50" t="s">
        <v>1327</v>
      </c>
      <c r="B108" s="50" t="s">
        <v>1329</v>
      </c>
      <c r="C108" s="50" t="s">
        <v>1331</v>
      </c>
      <c r="D108" s="95" t="s">
        <v>1333</v>
      </c>
      <c r="E108" s="90" t="s">
        <v>1335</v>
      </c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50" t="s">
        <v>1338</v>
      </c>
      <c r="B109" s="50" t="s">
        <v>1339</v>
      </c>
      <c r="C109" s="50" t="s">
        <v>1341</v>
      </c>
      <c r="D109" s="95" t="s">
        <v>1343</v>
      </c>
      <c r="E109" s="90" t="s">
        <v>1335</v>
      </c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50" t="s">
        <v>1345</v>
      </c>
      <c r="B110" s="50" t="s">
        <v>1346</v>
      </c>
      <c r="C110" s="50" t="s">
        <v>1347</v>
      </c>
      <c r="D110" s="95" t="s">
        <v>1349</v>
      </c>
      <c r="E110" s="90" t="s">
        <v>1350</v>
      </c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50" t="s">
        <v>1357</v>
      </c>
      <c r="B111" s="50" t="s">
        <v>1358</v>
      </c>
      <c r="C111" s="50" t="s">
        <v>1359</v>
      </c>
      <c r="D111" s="95" t="s">
        <v>1361</v>
      </c>
      <c r="E111" s="90" t="s">
        <v>1350</v>
      </c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50" t="s">
        <v>1363</v>
      </c>
      <c r="B112" s="50" t="s">
        <v>1365</v>
      </c>
      <c r="C112" s="50" t="s">
        <v>1366</v>
      </c>
      <c r="D112" s="95" t="s">
        <v>1369</v>
      </c>
      <c r="E112" s="90" t="s">
        <v>254</v>
      </c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50" t="s">
        <v>1373</v>
      </c>
      <c r="B113" s="50" t="s">
        <v>1375</v>
      </c>
      <c r="C113" s="50" t="s">
        <v>1376</v>
      </c>
      <c r="D113" s="95" t="s">
        <v>1377</v>
      </c>
      <c r="E113" s="90" t="s">
        <v>1378</v>
      </c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50" t="s">
        <v>1383</v>
      </c>
      <c r="B114" s="50" t="s">
        <v>1384</v>
      </c>
      <c r="C114" s="50" t="s">
        <v>1386</v>
      </c>
      <c r="D114" s="95" t="s">
        <v>1388</v>
      </c>
      <c r="E114" s="90" t="s">
        <v>1378</v>
      </c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50" t="s">
        <v>1395</v>
      </c>
      <c r="B115" s="50" t="s">
        <v>1396</v>
      </c>
      <c r="C115" s="50" t="s">
        <v>1397</v>
      </c>
      <c r="D115" s="95" t="s">
        <v>1398</v>
      </c>
      <c r="E115" s="90" t="s">
        <v>1378</v>
      </c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30"/>
      <c r="B116" s="22"/>
      <c r="C116" s="30"/>
      <c r="D116" s="96"/>
      <c r="E116" s="79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30"/>
      <c r="B117" s="22"/>
      <c r="C117" s="30"/>
      <c r="D117" s="97"/>
      <c r="E117" s="79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30"/>
      <c r="B118" s="22"/>
      <c r="C118" s="30"/>
      <c r="D118" s="97"/>
      <c r="E118" s="79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30"/>
      <c r="B119" s="22"/>
      <c r="C119" s="30"/>
      <c r="D119" s="97"/>
      <c r="E119" s="79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30"/>
      <c r="B120" s="22"/>
      <c r="C120" s="30"/>
      <c r="D120" s="97"/>
      <c r="E120" s="79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30"/>
      <c r="B121" s="22"/>
      <c r="C121" s="30"/>
      <c r="D121" s="97"/>
      <c r="E121" s="79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30"/>
      <c r="B122" s="22"/>
      <c r="C122" s="30"/>
      <c r="D122" s="97"/>
      <c r="E122" s="79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30"/>
      <c r="B123" s="22"/>
      <c r="C123" s="30"/>
      <c r="D123" s="97"/>
      <c r="E123" s="79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30"/>
      <c r="B124" s="22"/>
      <c r="C124" s="30"/>
      <c r="D124" s="5"/>
      <c r="E124" s="79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30"/>
      <c r="B125" s="22"/>
      <c r="C125" s="30"/>
      <c r="D125" s="5"/>
      <c r="E125" s="79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30"/>
      <c r="B126" s="22"/>
      <c r="C126" s="30"/>
      <c r="D126" s="5"/>
      <c r="E126" s="79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30"/>
      <c r="B127" s="22"/>
      <c r="C127" s="30"/>
      <c r="D127" s="5"/>
      <c r="E127" s="79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30"/>
      <c r="B128" s="22"/>
      <c r="C128" s="30"/>
      <c r="D128" s="5"/>
      <c r="E128" s="79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30"/>
      <c r="B129" s="22"/>
      <c r="C129" s="30"/>
      <c r="D129" s="5"/>
      <c r="E129" s="79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30"/>
      <c r="B130" s="22"/>
      <c r="C130" s="30"/>
      <c r="D130" s="5"/>
      <c r="E130" s="79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30"/>
      <c r="B131" s="22"/>
      <c r="C131" s="30"/>
      <c r="D131" s="5"/>
      <c r="E131" s="79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30"/>
      <c r="B132" s="22"/>
      <c r="C132" s="30"/>
      <c r="D132" s="5"/>
      <c r="E132" s="79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30"/>
      <c r="B133" s="22"/>
      <c r="C133" s="30"/>
      <c r="D133" s="5"/>
      <c r="E133" s="79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30"/>
      <c r="B134" s="22"/>
      <c r="C134" s="30"/>
      <c r="D134" s="5"/>
      <c r="E134" s="79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30"/>
      <c r="B135" s="22"/>
      <c r="C135" s="30"/>
      <c r="D135" s="5"/>
      <c r="E135" s="79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30"/>
      <c r="B136" s="22"/>
      <c r="C136" s="30"/>
      <c r="D136" s="5"/>
      <c r="E136" s="79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30"/>
      <c r="B137" s="22"/>
      <c r="C137" s="30"/>
      <c r="D137" s="5"/>
      <c r="E137" s="79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30"/>
      <c r="B138" s="22"/>
      <c r="C138" s="30"/>
      <c r="D138" s="5"/>
      <c r="E138" s="79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30"/>
      <c r="B139" s="22"/>
      <c r="C139" s="30"/>
      <c r="D139" s="5"/>
      <c r="E139" s="79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30"/>
      <c r="B140" s="22"/>
      <c r="C140" s="30"/>
      <c r="D140" s="5"/>
      <c r="E140" s="79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30"/>
      <c r="B141" s="22"/>
      <c r="C141" s="30"/>
      <c r="D141" s="5"/>
      <c r="E141" s="79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30"/>
      <c r="B142" s="22"/>
      <c r="C142" s="30"/>
      <c r="D142" s="5"/>
      <c r="E142" s="79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30"/>
      <c r="B143" s="22"/>
      <c r="C143" s="30"/>
      <c r="D143" s="5"/>
      <c r="E143" s="79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30"/>
      <c r="B144" s="22"/>
      <c r="C144" s="30"/>
      <c r="D144" s="5"/>
      <c r="E144" s="79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30"/>
      <c r="B145" s="22"/>
      <c r="C145" s="30"/>
      <c r="D145" s="5"/>
      <c r="E145" s="79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 ht="15.75" customHeight="1">
      <c r="A146" s="30"/>
      <c r="B146" s="22"/>
      <c r="C146" s="30"/>
      <c r="D146" s="5"/>
      <c r="E146" s="79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 ht="15.75" customHeight="1">
      <c r="A147" s="30"/>
      <c r="B147" s="22"/>
      <c r="C147" s="30"/>
      <c r="D147" s="5"/>
      <c r="E147" s="79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30"/>
      <c r="B148" s="22"/>
      <c r="C148" s="30"/>
      <c r="D148" s="5"/>
      <c r="E148" s="79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 ht="15.75" customHeight="1">
      <c r="A149" s="30"/>
      <c r="B149" s="22"/>
      <c r="C149" s="30"/>
      <c r="D149" s="5"/>
      <c r="E149" s="79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30"/>
      <c r="B150" s="22"/>
      <c r="C150" s="30"/>
      <c r="D150" s="5"/>
      <c r="E150" s="79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30"/>
      <c r="B151" s="22"/>
      <c r="C151" s="30"/>
      <c r="D151" s="5"/>
      <c r="E151" s="79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30"/>
      <c r="B152" s="22"/>
      <c r="C152" s="30"/>
      <c r="D152" s="5"/>
      <c r="E152" s="79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30"/>
      <c r="B153" s="22"/>
      <c r="C153" s="30"/>
      <c r="D153" s="5"/>
      <c r="E153" s="79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30"/>
      <c r="B154" s="22"/>
      <c r="C154" s="30"/>
      <c r="D154" s="5"/>
      <c r="E154" s="79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30"/>
      <c r="B155" s="22"/>
      <c r="C155" s="30"/>
      <c r="D155" s="5"/>
      <c r="E155" s="79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30"/>
      <c r="B156" s="22"/>
      <c r="C156" s="30"/>
      <c r="D156" s="5"/>
      <c r="E156" s="79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30"/>
      <c r="B157" s="22"/>
      <c r="C157" s="30"/>
      <c r="D157" s="5"/>
      <c r="E157" s="79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30"/>
      <c r="B158" s="22"/>
      <c r="C158" s="30"/>
      <c r="D158" s="5"/>
      <c r="E158" s="79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30"/>
      <c r="B159" s="22"/>
      <c r="C159" s="30"/>
      <c r="D159" s="5"/>
      <c r="E159" s="79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30"/>
      <c r="B160" s="22"/>
      <c r="C160" s="30"/>
      <c r="D160" s="5"/>
      <c r="E160" s="79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30"/>
      <c r="B161" s="22"/>
      <c r="C161" s="30"/>
      <c r="D161" s="5"/>
      <c r="E161" s="79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30"/>
      <c r="B162" s="22"/>
      <c r="C162" s="30"/>
      <c r="D162" s="5"/>
      <c r="E162" s="79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30"/>
      <c r="B163" s="22"/>
      <c r="C163" s="30"/>
      <c r="D163" s="5"/>
      <c r="E163" s="79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30"/>
      <c r="B164" s="22"/>
      <c r="C164" s="30"/>
      <c r="D164" s="5"/>
      <c r="E164" s="79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30"/>
      <c r="B165" s="22"/>
      <c r="C165" s="30"/>
      <c r="D165" s="5"/>
      <c r="E165" s="79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30"/>
      <c r="B166" s="22"/>
      <c r="C166" s="30"/>
      <c r="D166" s="5"/>
      <c r="E166" s="79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30"/>
      <c r="B167" s="22"/>
      <c r="C167" s="30"/>
      <c r="D167" s="5"/>
      <c r="E167" s="79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30"/>
      <c r="B168" s="22"/>
      <c r="C168" s="30"/>
      <c r="D168" s="5"/>
      <c r="E168" s="79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30"/>
      <c r="B169" s="22"/>
      <c r="C169" s="30"/>
      <c r="D169" s="5"/>
      <c r="E169" s="79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30"/>
      <c r="B170" s="22"/>
      <c r="C170" s="30"/>
      <c r="D170" s="5"/>
      <c r="E170" s="79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30"/>
      <c r="B171" s="22"/>
      <c r="C171" s="30"/>
      <c r="D171" s="5"/>
      <c r="E171" s="79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30"/>
      <c r="B172" s="22"/>
      <c r="C172" s="30"/>
      <c r="D172" s="5"/>
      <c r="E172" s="79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30"/>
      <c r="B173" s="22"/>
      <c r="C173" s="30"/>
      <c r="D173" s="5"/>
      <c r="E173" s="79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30"/>
      <c r="B174" s="22"/>
      <c r="C174" s="30"/>
      <c r="D174" s="5"/>
      <c r="E174" s="79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30"/>
      <c r="B175" s="22"/>
      <c r="C175" s="30"/>
      <c r="D175" s="5"/>
      <c r="E175" s="79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30"/>
      <c r="B176" s="22"/>
      <c r="C176" s="30"/>
      <c r="D176" s="5"/>
      <c r="E176" s="79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30"/>
      <c r="B177" s="22"/>
      <c r="C177" s="30"/>
      <c r="D177" s="5"/>
      <c r="E177" s="79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30"/>
      <c r="B178" s="22"/>
      <c r="C178" s="30"/>
      <c r="D178" s="5"/>
      <c r="E178" s="79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30"/>
      <c r="B179" s="22"/>
      <c r="C179" s="30"/>
      <c r="D179" s="5"/>
      <c r="E179" s="79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30"/>
      <c r="B180" s="22"/>
      <c r="C180" s="30"/>
      <c r="D180" s="5"/>
      <c r="E180" s="79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30"/>
      <c r="B181" s="22"/>
      <c r="C181" s="30"/>
      <c r="D181" s="5"/>
      <c r="E181" s="79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30"/>
      <c r="B182" s="22"/>
      <c r="C182" s="30"/>
      <c r="D182" s="5"/>
      <c r="E182" s="79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30"/>
      <c r="B183" s="22"/>
      <c r="C183" s="30"/>
      <c r="D183" s="5"/>
      <c r="E183" s="79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30"/>
      <c r="B184" s="22"/>
      <c r="C184" s="30"/>
      <c r="D184" s="5"/>
      <c r="E184" s="79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30"/>
      <c r="B185" s="22"/>
      <c r="C185" s="30"/>
      <c r="D185" s="5"/>
      <c r="E185" s="79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30"/>
      <c r="B186" s="22"/>
      <c r="C186" s="30"/>
      <c r="D186" s="5"/>
      <c r="E186" s="79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30"/>
      <c r="B187" s="22"/>
      <c r="C187" s="30"/>
      <c r="D187" s="5"/>
      <c r="E187" s="79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30"/>
      <c r="B188" s="22"/>
      <c r="C188" s="30"/>
      <c r="D188" s="5"/>
      <c r="E188" s="79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30"/>
      <c r="B189" s="22"/>
      <c r="C189" s="30"/>
      <c r="D189" s="5"/>
      <c r="E189" s="79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30"/>
      <c r="B190" s="22"/>
      <c r="C190" s="30"/>
      <c r="D190" s="5"/>
      <c r="E190" s="79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30"/>
      <c r="B191" s="22"/>
      <c r="C191" s="30"/>
      <c r="D191" s="5"/>
      <c r="E191" s="79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30"/>
      <c r="B192" s="22"/>
      <c r="C192" s="30"/>
      <c r="D192" s="5"/>
      <c r="E192" s="79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30"/>
      <c r="B193" s="22"/>
      <c r="C193" s="30"/>
      <c r="D193" s="5"/>
      <c r="E193" s="79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30"/>
      <c r="B194" s="22"/>
      <c r="C194" s="30"/>
      <c r="D194" s="5"/>
      <c r="E194" s="79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30"/>
      <c r="B195" s="22"/>
      <c r="C195" s="30"/>
      <c r="D195" s="5"/>
      <c r="E195" s="79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30"/>
      <c r="B196" s="22"/>
      <c r="C196" s="30"/>
      <c r="D196" s="5"/>
      <c r="E196" s="79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30"/>
      <c r="B197" s="22"/>
      <c r="C197" s="30"/>
      <c r="D197" s="5"/>
      <c r="E197" s="79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30"/>
      <c r="B198" s="22"/>
      <c r="C198" s="30"/>
      <c r="D198" s="5"/>
      <c r="E198" s="79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30"/>
      <c r="B199" s="22"/>
      <c r="C199" s="30"/>
      <c r="D199" s="5"/>
      <c r="E199" s="79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30"/>
      <c r="B200" s="22"/>
      <c r="C200" s="30"/>
      <c r="D200" s="5"/>
      <c r="E200" s="79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30"/>
      <c r="B201" s="22"/>
      <c r="C201" s="30"/>
      <c r="D201" s="5"/>
      <c r="E201" s="79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30"/>
      <c r="B202" s="22"/>
      <c r="C202" s="30"/>
      <c r="D202" s="5"/>
      <c r="E202" s="79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30"/>
      <c r="B203" s="22"/>
      <c r="C203" s="30"/>
      <c r="D203" s="5"/>
      <c r="E203" s="79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30"/>
      <c r="B204" s="22"/>
      <c r="C204" s="30"/>
      <c r="D204" s="5"/>
      <c r="E204" s="79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30"/>
      <c r="B205" s="22"/>
      <c r="C205" s="30"/>
      <c r="D205" s="5"/>
      <c r="E205" s="79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30"/>
      <c r="B206" s="22"/>
      <c r="C206" s="30"/>
      <c r="D206" s="5"/>
      <c r="E206" s="79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30"/>
      <c r="B207" s="22"/>
      <c r="C207" s="30"/>
      <c r="D207" s="5"/>
      <c r="E207" s="79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30"/>
      <c r="B208" s="22"/>
      <c r="C208" s="30"/>
      <c r="D208" s="5"/>
      <c r="E208" s="79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30"/>
      <c r="B209" s="22"/>
      <c r="C209" s="30"/>
      <c r="D209" s="5"/>
      <c r="E209" s="79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30"/>
      <c r="B210" s="22"/>
      <c r="C210" s="30"/>
      <c r="D210" s="5"/>
      <c r="E210" s="79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30"/>
      <c r="B211" s="22"/>
      <c r="C211" s="30"/>
      <c r="D211" s="5"/>
      <c r="E211" s="79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30"/>
      <c r="B212" s="22"/>
      <c r="C212" s="30"/>
      <c r="D212" s="5"/>
      <c r="E212" s="79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30"/>
      <c r="B213" s="22"/>
      <c r="C213" s="30"/>
      <c r="D213" s="5"/>
      <c r="E213" s="79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30"/>
      <c r="B214" s="22"/>
      <c r="C214" s="30"/>
      <c r="D214" s="5"/>
      <c r="E214" s="79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30"/>
      <c r="B215" s="22"/>
      <c r="C215" s="30"/>
      <c r="D215" s="5"/>
      <c r="E215" s="79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30"/>
      <c r="B216" s="22"/>
      <c r="C216" s="30"/>
      <c r="D216" s="5"/>
      <c r="E216" s="79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30"/>
      <c r="B217" s="22"/>
      <c r="C217" s="30"/>
      <c r="D217" s="5"/>
      <c r="E217" s="79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30"/>
      <c r="B218" s="22"/>
      <c r="C218" s="30"/>
      <c r="D218" s="5"/>
      <c r="E218" s="79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30"/>
      <c r="B219" s="22"/>
      <c r="C219" s="30"/>
      <c r="D219" s="5"/>
      <c r="E219" s="79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30"/>
      <c r="B220" s="22"/>
      <c r="C220" s="30"/>
      <c r="D220" s="5"/>
      <c r="E220" s="79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30"/>
      <c r="B221" s="22"/>
      <c r="C221" s="30"/>
      <c r="D221" s="5"/>
      <c r="E221" s="79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30"/>
      <c r="B222" s="22"/>
      <c r="C222" s="30"/>
      <c r="D222" s="5"/>
      <c r="E222" s="79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30"/>
      <c r="B223" s="22"/>
      <c r="C223" s="30"/>
      <c r="D223" s="5"/>
      <c r="E223" s="79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30"/>
      <c r="B224" s="22"/>
      <c r="C224" s="30"/>
      <c r="D224" s="5"/>
      <c r="E224" s="79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30"/>
      <c r="B225" s="22"/>
      <c r="C225" s="30"/>
      <c r="D225" s="5"/>
      <c r="E225" s="79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30"/>
      <c r="B226" s="22"/>
      <c r="C226" s="30"/>
      <c r="D226" s="5"/>
      <c r="E226" s="79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30"/>
      <c r="B227" s="22"/>
      <c r="C227" s="30"/>
      <c r="D227" s="5"/>
      <c r="E227" s="79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30"/>
      <c r="B228" s="22"/>
      <c r="C228" s="30"/>
      <c r="D228" s="5"/>
      <c r="E228" s="79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30"/>
      <c r="B229" s="22"/>
      <c r="C229" s="30"/>
      <c r="D229" s="5"/>
      <c r="E229" s="79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30"/>
      <c r="B230" s="22"/>
      <c r="C230" s="30"/>
      <c r="D230" s="5"/>
      <c r="E230" s="79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30"/>
      <c r="B231" s="22"/>
      <c r="C231" s="30"/>
      <c r="D231" s="5"/>
      <c r="E231" s="79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30"/>
      <c r="B232" s="22"/>
      <c r="C232" s="30"/>
      <c r="D232" s="5"/>
      <c r="E232" s="79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30"/>
      <c r="B233" s="22"/>
      <c r="C233" s="30"/>
      <c r="D233" s="5"/>
      <c r="E233" s="79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30"/>
      <c r="B234" s="22"/>
      <c r="C234" s="30"/>
      <c r="D234" s="5"/>
      <c r="E234" s="79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30"/>
      <c r="B235" s="22"/>
      <c r="C235" s="30"/>
      <c r="D235" s="5"/>
      <c r="E235" s="79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30"/>
      <c r="B236" s="22"/>
      <c r="C236" s="30"/>
      <c r="D236" s="5"/>
      <c r="E236" s="79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30"/>
      <c r="B237" s="22"/>
      <c r="C237" s="30"/>
      <c r="D237" s="5"/>
      <c r="E237" s="79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30"/>
      <c r="B238" s="22"/>
      <c r="C238" s="30"/>
      <c r="D238" s="5"/>
      <c r="E238" s="79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30"/>
      <c r="B239" s="22"/>
      <c r="C239" s="30"/>
      <c r="D239" s="5"/>
      <c r="E239" s="79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30"/>
      <c r="B240" s="22"/>
      <c r="C240" s="30"/>
      <c r="D240" s="5"/>
      <c r="E240" s="79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30"/>
      <c r="B241" s="22"/>
      <c r="C241" s="30"/>
      <c r="D241" s="5"/>
      <c r="E241" s="79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30"/>
      <c r="B242" s="22"/>
      <c r="C242" s="30"/>
      <c r="D242" s="5"/>
      <c r="E242" s="79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30"/>
      <c r="B243" s="22"/>
      <c r="C243" s="30"/>
      <c r="D243" s="5"/>
      <c r="E243" s="79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30"/>
      <c r="B244" s="22"/>
      <c r="C244" s="30"/>
      <c r="D244" s="5"/>
      <c r="E244" s="79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30"/>
      <c r="B245" s="22"/>
      <c r="C245" s="30"/>
      <c r="D245" s="5"/>
      <c r="E245" s="79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30"/>
      <c r="B246" s="22"/>
      <c r="C246" s="30"/>
      <c r="D246" s="5"/>
      <c r="E246" s="79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30"/>
      <c r="B247" s="22"/>
      <c r="C247" s="30"/>
      <c r="D247" s="5"/>
      <c r="E247" s="79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30"/>
      <c r="B248" s="22"/>
      <c r="C248" s="30"/>
      <c r="D248" s="5"/>
      <c r="E248" s="79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30"/>
      <c r="B249" s="22"/>
      <c r="C249" s="30"/>
      <c r="D249" s="5"/>
      <c r="E249" s="79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30"/>
      <c r="B250" s="22"/>
      <c r="C250" s="30"/>
      <c r="D250" s="5"/>
      <c r="E250" s="79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 ht="15.75" customHeight="1">
      <c r="A251" s="30"/>
      <c r="B251" s="22"/>
      <c r="C251" s="30"/>
      <c r="D251" s="5"/>
      <c r="E251" s="79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30"/>
      <c r="B252" s="22"/>
      <c r="C252" s="30"/>
      <c r="D252" s="5"/>
      <c r="E252" s="79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30"/>
      <c r="B253" s="22"/>
      <c r="C253" s="30"/>
      <c r="D253" s="5"/>
      <c r="E253" s="79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30"/>
      <c r="B254" s="22"/>
      <c r="C254" s="30"/>
      <c r="D254" s="5"/>
      <c r="E254" s="79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30"/>
      <c r="B255" s="22"/>
      <c r="C255" s="30"/>
      <c r="D255" s="5"/>
      <c r="E255" s="79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30"/>
      <c r="B256" s="22"/>
      <c r="C256" s="30"/>
      <c r="D256" s="5"/>
      <c r="E256" s="79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30"/>
      <c r="B257" s="22"/>
      <c r="C257" s="30"/>
      <c r="D257" s="5"/>
      <c r="E257" s="79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30"/>
      <c r="B258" s="22"/>
      <c r="C258" s="30"/>
      <c r="D258" s="5"/>
      <c r="E258" s="79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30"/>
      <c r="B259" s="22"/>
      <c r="C259" s="30"/>
      <c r="D259" s="5"/>
      <c r="E259" s="79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30"/>
      <c r="B260" s="22"/>
      <c r="C260" s="30"/>
      <c r="D260" s="5"/>
      <c r="E260" s="79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30"/>
      <c r="B261" s="22"/>
      <c r="C261" s="30"/>
      <c r="D261" s="5"/>
      <c r="E261" s="79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30"/>
      <c r="B262" s="22"/>
      <c r="C262" s="30"/>
      <c r="D262" s="5"/>
      <c r="E262" s="79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30"/>
      <c r="B263" s="22"/>
      <c r="C263" s="30"/>
      <c r="D263" s="5"/>
      <c r="E263" s="79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30"/>
      <c r="B264" s="22"/>
      <c r="C264" s="30"/>
      <c r="D264" s="5"/>
      <c r="E264" s="79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30"/>
      <c r="B265" s="22"/>
      <c r="C265" s="30"/>
      <c r="D265" s="5"/>
      <c r="E265" s="79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30"/>
      <c r="B266" s="22"/>
      <c r="C266" s="30"/>
      <c r="D266" s="5"/>
      <c r="E266" s="79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30"/>
      <c r="B267" s="22"/>
      <c r="C267" s="30"/>
      <c r="D267" s="5"/>
      <c r="E267" s="79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30"/>
      <c r="B268" s="22"/>
      <c r="C268" s="30"/>
      <c r="D268" s="5"/>
      <c r="E268" s="79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30"/>
      <c r="B269" s="22"/>
      <c r="C269" s="30"/>
      <c r="D269" s="5"/>
      <c r="E269" s="79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30"/>
      <c r="B270" s="22"/>
      <c r="C270" s="30"/>
      <c r="D270" s="5"/>
      <c r="E270" s="79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30"/>
      <c r="B271" s="22"/>
      <c r="C271" s="30"/>
      <c r="D271" s="5"/>
      <c r="E271" s="79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30"/>
      <c r="B272" s="22"/>
      <c r="C272" s="30"/>
      <c r="D272" s="5"/>
      <c r="E272" s="79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30"/>
      <c r="B273" s="22"/>
      <c r="C273" s="30"/>
      <c r="D273" s="5"/>
      <c r="E273" s="79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30"/>
      <c r="B274" s="22"/>
      <c r="C274" s="30"/>
      <c r="D274" s="5"/>
      <c r="E274" s="79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30"/>
      <c r="B275" s="22"/>
      <c r="C275" s="30"/>
      <c r="D275" s="5"/>
      <c r="E275" s="79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30"/>
      <c r="B276" s="22"/>
      <c r="C276" s="30"/>
      <c r="D276" s="5"/>
      <c r="E276" s="79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30"/>
      <c r="B277" s="22"/>
      <c r="C277" s="30"/>
      <c r="D277" s="5"/>
      <c r="E277" s="79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30"/>
      <c r="B278" s="22"/>
      <c r="C278" s="30"/>
      <c r="D278" s="5"/>
      <c r="E278" s="79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30"/>
      <c r="B279" s="22"/>
      <c r="C279" s="30"/>
      <c r="D279" s="5"/>
      <c r="E279" s="79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30"/>
      <c r="B280" s="22"/>
      <c r="C280" s="30"/>
      <c r="D280" s="5"/>
      <c r="E280" s="79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30"/>
      <c r="B281" s="22"/>
      <c r="C281" s="30"/>
      <c r="D281" s="5"/>
      <c r="E281" s="79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30"/>
      <c r="B282" s="22"/>
      <c r="C282" s="30"/>
      <c r="D282" s="5"/>
      <c r="E282" s="79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30"/>
      <c r="B283" s="22"/>
      <c r="C283" s="30"/>
      <c r="D283" s="5"/>
      <c r="E283" s="79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30"/>
      <c r="B284" s="22"/>
      <c r="C284" s="30"/>
      <c r="D284" s="5"/>
      <c r="E284" s="79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30"/>
      <c r="B285" s="22"/>
      <c r="C285" s="30"/>
      <c r="D285" s="5"/>
      <c r="E285" s="79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30"/>
      <c r="B286" s="22"/>
      <c r="C286" s="30"/>
      <c r="D286" s="5"/>
      <c r="E286" s="79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30"/>
      <c r="B287" s="22"/>
      <c r="C287" s="30"/>
      <c r="D287" s="5"/>
      <c r="E287" s="79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30"/>
      <c r="B288" s="22"/>
      <c r="C288" s="30"/>
      <c r="D288" s="5"/>
      <c r="E288" s="79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30"/>
      <c r="B289" s="22"/>
      <c r="C289" s="30"/>
      <c r="D289" s="5"/>
      <c r="E289" s="79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30"/>
      <c r="B290" s="22"/>
      <c r="C290" s="30"/>
      <c r="D290" s="5"/>
      <c r="E290" s="79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30"/>
      <c r="B291" s="22"/>
      <c r="C291" s="30"/>
      <c r="D291" s="5"/>
      <c r="E291" s="79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30"/>
      <c r="B292" s="22"/>
      <c r="C292" s="30"/>
      <c r="D292" s="5"/>
      <c r="E292" s="79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30"/>
      <c r="B293" s="22"/>
      <c r="C293" s="30"/>
      <c r="D293" s="5"/>
      <c r="E293" s="79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30"/>
      <c r="B294" s="22"/>
      <c r="C294" s="30"/>
      <c r="D294" s="5"/>
      <c r="E294" s="79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30"/>
      <c r="B295" s="22"/>
      <c r="C295" s="30"/>
      <c r="D295" s="5"/>
      <c r="E295" s="79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30"/>
      <c r="B296" s="22"/>
      <c r="C296" s="30"/>
      <c r="D296" s="5"/>
      <c r="E296" s="79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30"/>
      <c r="B297" s="22"/>
      <c r="C297" s="30"/>
      <c r="D297" s="5"/>
      <c r="E297" s="79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30"/>
      <c r="B298" s="22"/>
      <c r="C298" s="30"/>
      <c r="D298" s="5"/>
      <c r="E298" s="79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30"/>
      <c r="B299" s="22"/>
      <c r="C299" s="30"/>
      <c r="D299" s="5"/>
      <c r="E299" s="79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30"/>
      <c r="B300" s="22"/>
      <c r="C300" s="30"/>
      <c r="D300" s="5"/>
      <c r="E300" s="79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30"/>
      <c r="B301" s="22"/>
      <c r="C301" s="30"/>
      <c r="D301" s="5"/>
      <c r="E301" s="79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30"/>
      <c r="B302" s="22"/>
      <c r="C302" s="30"/>
      <c r="D302" s="5"/>
      <c r="E302" s="79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30"/>
      <c r="B303" s="22"/>
      <c r="C303" s="30"/>
      <c r="D303" s="5"/>
      <c r="E303" s="79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30"/>
      <c r="B304" s="22"/>
      <c r="C304" s="30"/>
      <c r="D304" s="5"/>
      <c r="E304" s="79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30"/>
      <c r="B305" s="22"/>
      <c r="C305" s="30"/>
      <c r="D305" s="5"/>
      <c r="E305" s="79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30"/>
      <c r="B306" s="22"/>
      <c r="C306" s="30"/>
      <c r="D306" s="5"/>
      <c r="E306" s="79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30"/>
      <c r="B307" s="22"/>
      <c r="C307" s="30"/>
      <c r="D307" s="5"/>
      <c r="E307" s="79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30"/>
      <c r="B308" s="22"/>
      <c r="C308" s="30"/>
      <c r="D308" s="5"/>
      <c r="E308" s="79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30"/>
      <c r="B309" s="22"/>
      <c r="C309" s="30"/>
      <c r="D309" s="5"/>
      <c r="E309" s="79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30"/>
      <c r="B310" s="22"/>
      <c r="C310" s="30"/>
      <c r="D310" s="5"/>
      <c r="E310" s="79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30"/>
      <c r="B311" s="22"/>
      <c r="C311" s="30"/>
      <c r="D311" s="5"/>
      <c r="E311" s="79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30"/>
      <c r="B312" s="22"/>
      <c r="C312" s="30"/>
      <c r="D312" s="5"/>
      <c r="E312" s="79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30"/>
      <c r="B313" s="22"/>
      <c r="C313" s="30"/>
      <c r="D313" s="5"/>
      <c r="E313" s="79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30"/>
      <c r="B314" s="22"/>
      <c r="C314" s="30"/>
      <c r="D314" s="5"/>
      <c r="E314" s="79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30"/>
      <c r="B315" s="22"/>
      <c r="C315" s="30"/>
      <c r="D315" s="5"/>
      <c r="E315" s="79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30"/>
      <c r="B316" s="22"/>
      <c r="C316" s="30"/>
      <c r="D316" s="5"/>
      <c r="E316" s="79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30"/>
      <c r="B317" s="22"/>
      <c r="C317" s="30"/>
      <c r="D317" s="5"/>
      <c r="E317" s="79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30"/>
      <c r="B318" s="22"/>
      <c r="C318" s="30"/>
      <c r="D318" s="5"/>
      <c r="E318" s="79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30"/>
      <c r="B319" s="22"/>
      <c r="C319" s="30"/>
      <c r="D319" s="5"/>
      <c r="E319" s="79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30"/>
      <c r="B320" s="22"/>
      <c r="C320" s="30"/>
      <c r="D320" s="5"/>
      <c r="E320" s="79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30"/>
      <c r="B321" s="22"/>
      <c r="C321" s="30"/>
      <c r="D321" s="5"/>
      <c r="E321" s="79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30"/>
      <c r="B322" s="22"/>
      <c r="C322" s="30"/>
      <c r="D322" s="5"/>
      <c r="E322" s="79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30"/>
      <c r="B323" s="22"/>
      <c r="C323" s="30"/>
      <c r="D323" s="5"/>
      <c r="E323" s="79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30"/>
      <c r="B324" s="22"/>
      <c r="C324" s="30"/>
      <c r="D324" s="5"/>
      <c r="E324" s="79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30"/>
      <c r="B325" s="22"/>
      <c r="C325" s="30"/>
      <c r="D325" s="5"/>
      <c r="E325" s="79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30"/>
      <c r="B326" s="22"/>
      <c r="C326" s="30"/>
      <c r="D326" s="5"/>
      <c r="E326" s="79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30"/>
      <c r="B327" s="22"/>
      <c r="C327" s="30"/>
      <c r="D327" s="5"/>
      <c r="E327" s="79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30"/>
      <c r="B328" s="22"/>
      <c r="C328" s="30"/>
      <c r="D328" s="5"/>
      <c r="E328" s="79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30"/>
      <c r="B329" s="22"/>
      <c r="C329" s="30"/>
      <c r="D329" s="5"/>
      <c r="E329" s="79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30"/>
      <c r="B330" s="22"/>
      <c r="C330" s="30"/>
      <c r="D330" s="5"/>
      <c r="E330" s="79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30"/>
      <c r="B331" s="22"/>
      <c r="C331" s="30"/>
      <c r="D331" s="5"/>
      <c r="E331" s="79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30"/>
      <c r="B332" s="22"/>
      <c r="C332" s="30"/>
      <c r="D332" s="5"/>
      <c r="E332" s="79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30"/>
      <c r="B333" s="22"/>
      <c r="C333" s="30"/>
      <c r="D333" s="5"/>
      <c r="E333" s="79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30"/>
      <c r="B334" s="22"/>
      <c r="C334" s="30"/>
      <c r="D334" s="5"/>
      <c r="E334" s="79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30"/>
      <c r="B335" s="22"/>
      <c r="C335" s="30"/>
      <c r="D335" s="5"/>
      <c r="E335" s="79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30"/>
      <c r="B336" s="22"/>
      <c r="C336" s="30"/>
      <c r="D336" s="5"/>
      <c r="E336" s="79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30"/>
      <c r="B337" s="22"/>
      <c r="C337" s="30"/>
      <c r="D337" s="5"/>
      <c r="E337" s="79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30"/>
      <c r="B338" s="22"/>
      <c r="C338" s="30"/>
      <c r="D338" s="5"/>
      <c r="E338" s="79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30"/>
      <c r="B339" s="22"/>
      <c r="C339" s="30"/>
      <c r="D339" s="5"/>
      <c r="E339" s="79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30"/>
      <c r="B340" s="22"/>
      <c r="C340" s="30"/>
      <c r="D340" s="5"/>
      <c r="E340" s="79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30"/>
      <c r="B341" s="22"/>
      <c r="C341" s="30"/>
      <c r="D341" s="5"/>
      <c r="E341" s="79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30"/>
      <c r="B342" s="22"/>
      <c r="C342" s="30"/>
      <c r="D342" s="5"/>
      <c r="E342" s="79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30"/>
      <c r="B343" s="22"/>
      <c r="C343" s="30"/>
      <c r="D343" s="5"/>
      <c r="E343" s="79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30"/>
      <c r="B344" s="22"/>
      <c r="C344" s="30"/>
      <c r="D344" s="5"/>
      <c r="E344" s="79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30"/>
      <c r="B345" s="22"/>
      <c r="C345" s="30"/>
      <c r="D345" s="5"/>
      <c r="E345" s="79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30"/>
      <c r="B346" s="22"/>
      <c r="C346" s="30"/>
      <c r="D346" s="5"/>
      <c r="E346" s="79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30"/>
      <c r="B347" s="22"/>
      <c r="C347" s="30"/>
      <c r="D347" s="5"/>
      <c r="E347" s="79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30"/>
      <c r="B348" s="22"/>
      <c r="C348" s="30"/>
      <c r="D348" s="5"/>
      <c r="E348" s="79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30"/>
      <c r="B349" s="22"/>
      <c r="C349" s="30"/>
      <c r="D349" s="5"/>
      <c r="E349" s="79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30"/>
      <c r="B350" s="22"/>
      <c r="C350" s="30"/>
      <c r="D350" s="5"/>
      <c r="E350" s="79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30"/>
      <c r="B351" s="22"/>
      <c r="C351" s="30"/>
      <c r="D351" s="5"/>
      <c r="E351" s="79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30"/>
      <c r="B352" s="22"/>
      <c r="C352" s="30"/>
      <c r="D352" s="5"/>
      <c r="E352" s="79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30"/>
      <c r="B353" s="22"/>
      <c r="C353" s="30"/>
      <c r="D353" s="5"/>
      <c r="E353" s="79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30"/>
      <c r="B354" s="22"/>
      <c r="C354" s="30"/>
      <c r="D354" s="5"/>
      <c r="E354" s="79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30"/>
      <c r="B355" s="22"/>
      <c r="C355" s="30"/>
      <c r="D355" s="5"/>
      <c r="E355" s="79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30"/>
      <c r="B356" s="22"/>
      <c r="C356" s="30"/>
      <c r="D356" s="5"/>
      <c r="E356" s="79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30"/>
      <c r="B357" s="22"/>
      <c r="C357" s="30"/>
      <c r="D357" s="5"/>
      <c r="E357" s="79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30"/>
      <c r="B358" s="22"/>
      <c r="C358" s="30"/>
      <c r="D358" s="5"/>
      <c r="E358" s="79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30"/>
      <c r="B359" s="22"/>
      <c r="C359" s="30"/>
      <c r="D359" s="5"/>
      <c r="E359" s="79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30"/>
      <c r="B360" s="22"/>
      <c r="C360" s="30"/>
      <c r="D360" s="5"/>
      <c r="E360" s="79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30"/>
      <c r="B361" s="22"/>
      <c r="C361" s="30"/>
      <c r="D361" s="5"/>
      <c r="E361" s="79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30"/>
      <c r="B362" s="22"/>
      <c r="C362" s="30"/>
      <c r="D362" s="5"/>
      <c r="E362" s="79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30"/>
      <c r="B363" s="22"/>
      <c r="C363" s="30"/>
      <c r="D363" s="5"/>
      <c r="E363" s="79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30"/>
      <c r="B364" s="22"/>
      <c r="C364" s="30"/>
      <c r="D364" s="5"/>
      <c r="E364" s="79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30"/>
      <c r="B365" s="22"/>
      <c r="C365" s="30"/>
      <c r="D365" s="5"/>
      <c r="E365" s="79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30"/>
      <c r="B366" s="22"/>
      <c r="C366" s="30"/>
      <c r="D366" s="5"/>
      <c r="E366" s="79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30"/>
      <c r="B367" s="22"/>
      <c r="C367" s="30"/>
      <c r="D367" s="5"/>
      <c r="E367" s="79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30"/>
      <c r="B368" s="22"/>
      <c r="C368" s="30"/>
      <c r="D368" s="5"/>
      <c r="E368" s="79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30"/>
      <c r="B369" s="22"/>
      <c r="C369" s="30"/>
      <c r="D369" s="5"/>
      <c r="E369" s="79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30"/>
      <c r="B370" s="22"/>
      <c r="C370" s="30"/>
      <c r="D370" s="5"/>
      <c r="E370" s="79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30"/>
      <c r="B371" s="22"/>
      <c r="C371" s="30"/>
      <c r="D371" s="5"/>
      <c r="E371" s="79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30"/>
      <c r="B372" s="22"/>
      <c r="C372" s="30"/>
      <c r="D372" s="5"/>
      <c r="E372" s="79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30"/>
      <c r="B373" s="22"/>
      <c r="C373" s="30"/>
      <c r="D373" s="5"/>
      <c r="E373" s="79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30"/>
      <c r="B374" s="22"/>
      <c r="C374" s="30"/>
      <c r="D374" s="5"/>
      <c r="E374" s="79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30"/>
      <c r="B375" s="22"/>
      <c r="C375" s="30"/>
      <c r="D375" s="5"/>
      <c r="E375" s="79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30"/>
      <c r="B376" s="22"/>
      <c r="C376" s="30"/>
      <c r="D376" s="5"/>
      <c r="E376" s="79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30"/>
      <c r="B377" s="22"/>
      <c r="C377" s="30"/>
      <c r="D377" s="5"/>
      <c r="E377" s="79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30"/>
      <c r="B378" s="22"/>
      <c r="C378" s="30"/>
      <c r="D378" s="5"/>
      <c r="E378" s="79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30"/>
      <c r="B379" s="22"/>
      <c r="C379" s="30"/>
      <c r="D379" s="5"/>
      <c r="E379" s="79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30"/>
      <c r="B380" s="22"/>
      <c r="C380" s="30"/>
      <c r="D380" s="5"/>
      <c r="E380" s="79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30"/>
      <c r="B381" s="22"/>
      <c r="C381" s="30"/>
      <c r="D381" s="5"/>
      <c r="E381" s="79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30"/>
      <c r="B382" s="22"/>
      <c r="C382" s="30"/>
      <c r="D382" s="5"/>
      <c r="E382" s="79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30"/>
      <c r="B383" s="22"/>
      <c r="C383" s="30"/>
      <c r="D383" s="5"/>
      <c r="E383" s="79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30"/>
      <c r="B384" s="22"/>
      <c r="C384" s="30"/>
      <c r="D384" s="5"/>
      <c r="E384" s="79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30"/>
      <c r="B385" s="22"/>
      <c r="C385" s="30"/>
      <c r="D385" s="5"/>
      <c r="E385" s="79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30"/>
      <c r="B386" s="22"/>
      <c r="C386" s="30"/>
      <c r="D386" s="5"/>
      <c r="E386" s="79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30"/>
      <c r="B387" s="22"/>
      <c r="C387" s="30"/>
      <c r="D387" s="5"/>
      <c r="E387" s="79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30"/>
      <c r="B388" s="22"/>
      <c r="C388" s="30"/>
      <c r="D388" s="5"/>
      <c r="E388" s="79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30"/>
      <c r="B389" s="22"/>
      <c r="C389" s="30"/>
      <c r="D389" s="5"/>
      <c r="E389" s="79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30"/>
      <c r="B390" s="22"/>
      <c r="C390" s="30"/>
      <c r="D390" s="5"/>
      <c r="E390" s="79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30"/>
      <c r="B391" s="22"/>
      <c r="C391" s="30"/>
      <c r="D391" s="5"/>
      <c r="E391" s="79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30"/>
      <c r="B392" s="22"/>
      <c r="C392" s="30"/>
      <c r="D392" s="5"/>
      <c r="E392" s="79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30"/>
      <c r="B393" s="22"/>
      <c r="C393" s="30"/>
      <c r="D393" s="5"/>
      <c r="E393" s="79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30"/>
      <c r="B394" s="22"/>
      <c r="C394" s="30"/>
      <c r="D394" s="5"/>
      <c r="E394" s="79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 ht="15.75" customHeight="1">
      <c r="A395" s="30"/>
      <c r="B395" s="22"/>
      <c r="C395" s="30"/>
      <c r="D395" s="5"/>
      <c r="E395" s="79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30"/>
      <c r="B396" s="22"/>
      <c r="C396" s="30"/>
      <c r="D396" s="5"/>
      <c r="E396" s="79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30"/>
      <c r="B397" s="22"/>
      <c r="C397" s="30"/>
      <c r="D397" s="5"/>
      <c r="E397" s="79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30"/>
      <c r="B398" s="22"/>
      <c r="C398" s="30"/>
      <c r="D398" s="5"/>
      <c r="E398" s="79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30"/>
      <c r="B399" s="22"/>
      <c r="C399" s="30"/>
      <c r="D399" s="5"/>
      <c r="E399" s="79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30"/>
      <c r="B400" s="22"/>
      <c r="C400" s="30"/>
      <c r="D400" s="5"/>
      <c r="E400" s="79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30"/>
      <c r="B401" s="22"/>
      <c r="C401" s="30"/>
      <c r="D401" s="5"/>
      <c r="E401" s="79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30"/>
      <c r="B402" s="22"/>
      <c r="C402" s="30"/>
      <c r="D402" s="5"/>
      <c r="E402" s="79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30"/>
      <c r="B403" s="22"/>
      <c r="C403" s="30"/>
      <c r="D403" s="5"/>
      <c r="E403" s="79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30"/>
      <c r="B404" s="22"/>
      <c r="C404" s="30"/>
      <c r="D404" s="5"/>
      <c r="E404" s="79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30"/>
      <c r="B405" s="22"/>
      <c r="C405" s="30"/>
      <c r="D405" s="5"/>
      <c r="E405" s="79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30"/>
      <c r="B406" s="22"/>
      <c r="C406" s="30"/>
      <c r="D406" s="5"/>
      <c r="E406" s="79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30"/>
      <c r="B407" s="22"/>
      <c r="C407" s="30"/>
      <c r="D407" s="5"/>
      <c r="E407" s="79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30"/>
      <c r="B408" s="22"/>
      <c r="C408" s="30"/>
      <c r="D408" s="5"/>
      <c r="E408" s="79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30"/>
      <c r="B409" s="22"/>
      <c r="C409" s="30"/>
      <c r="D409" s="5"/>
      <c r="E409" s="79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30"/>
      <c r="B410" s="22"/>
      <c r="C410" s="30"/>
      <c r="D410" s="5"/>
      <c r="E410" s="79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30"/>
      <c r="B411" s="22"/>
      <c r="C411" s="30"/>
      <c r="D411" s="5"/>
      <c r="E411" s="79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30"/>
      <c r="B412" s="22"/>
      <c r="C412" s="30"/>
      <c r="D412" s="5"/>
      <c r="E412" s="79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30"/>
      <c r="B413" s="22"/>
      <c r="C413" s="30"/>
      <c r="D413" s="5"/>
      <c r="E413" s="79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30"/>
      <c r="B414" s="22"/>
      <c r="C414" s="30"/>
      <c r="D414" s="5"/>
      <c r="E414" s="79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30"/>
      <c r="B415" s="22"/>
      <c r="C415" s="30"/>
      <c r="D415" s="5"/>
      <c r="E415" s="79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30"/>
      <c r="B416" s="22"/>
      <c r="C416" s="30"/>
      <c r="D416" s="5"/>
      <c r="E416" s="79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30"/>
      <c r="B417" s="22"/>
      <c r="C417" s="30"/>
      <c r="D417" s="5"/>
      <c r="E417" s="79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30"/>
      <c r="B418" s="22"/>
      <c r="C418" s="30"/>
      <c r="D418" s="5"/>
      <c r="E418" s="79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30"/>
      <c r="B419" s="22"/>
      <c r="C419" s="30"/>
      <c r="D419" s="5"/>
      <c r="E419" s="79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30"/>
      <c r="B420" s="22"/>
      <c r="C420" s="30"/>
      <c r="D420" s="5"/>
      <c r="E420" s="79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30"/>
      <c r="B421" s="22"/>
      <c r="C421" s="30"/>
      <c r="D421" s="5"/>
      <c r="E421" s="79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30"/>
      <c r="B422" s="22"/>
      <c r="C422" s="30"/>
      <c r="D422" s="5"/>
      <c r="E422" s="79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30"/>
      <c r="B423" s="22"/>
      <c r="C423" s="30"/>
      <c r="D423" s="5"/>
      <c r="E423" s="79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30"/>
      <c r="B424" s="22"/>
      <c r="C424" s="30"/>
      <c r="D424" s="5"/>
      <c r="E424" s="79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30"/>
      <c r="B425" s="22"/>
      <c r="C425" s="30"/>
      <c r="D425" s="5"/>
      <c r="E425" s="79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30"/>
      <c r="B426" s="22"/>
      <c r="C426" s="30"/>
      <c r="D426" s="5"/>
      <c r="E426" s="79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30"/>
      <c r="B427" s="22"/>
      <c r="C427" s="30"/>
      <c r="D427" s="5"/>
      <c r="E427" s="79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30"/>
      <c r="B428" s="22"/>
      <c r="C428" s="30"/>
      <c r="D428" s="5"/>
      <c r="E428" s="79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30"/>
      <c r="B429" s="22"/>
      <c r="C429" s="30"/>
      <c r="D429" s="5"/>
      <c r="E429" s="79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30"/>
      <c r="B430" s="22"/>
      <c r="C430" s="30"/>
      <c r="D430" s="5"/>
      <c r="E430" s="79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30"/>
      <c r="B431" s="22"/>
      <c r="C431" s="30"/>
      <c r="D431" s="5"/>
      <c r="E431" s="79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 ht="15.75" customHeight="1">
      <c r="A432" s="30"/>
      <c r="B432" s="22"/>
      <c r="C432" s="30"/>
      <c r="D432" s="5"/>
      <c r="E432" s="79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 ht="15.75" customHeight="1">
      <c r="A433" s="30"/>
      <c r="B433" s="22"/>
      <c r="C433" s="30"/>
      <c r="D433" s="5"/>
      <c r="E433" s="79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 ht="15.75" customHeight="1">
      <c r="A434" s="30"/>
      <c r="B434" s="22"/>
      <c r="C434" s="30"/>
      <c r="D434" s="5"/>
      <c r="E434" s="79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 ht="15.75" customHeight="1">
      <c r="A435" s="30"/>
      <c r="B435" s="22"/>
      <c r="C435" s="30"/>
      <c r="D435" s="5"/>
      <c r="E435" s="79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 ht="15.75" customHeight="1">
      <c r="A436" s="30"/>
      <c r="B436" s="22"/>
      <c r="C436" s="30"/>
      <c r="D436" s="5"/>
      <c r="E436" s="79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 ht="15.75" customHeight="1">
      <c r="A437" s="30"/>
      <c r="B437" s="22"/>
      <c r="C437" s="30"/>
      <c r="D437" s="5"/>
      <c r="E437" s="79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 ht="15.75" customHeight="1">
      <c r="A438" s="30"/>
      <c r="B438" s="22"/>
      <c r="C438" s="30"/>
      <c r="D438" s="5"/>
      <c r="E438" s="79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 ht="15.75" customHeight="1">
      <c r="A439" s="30"/>
      <c r="B439" s="22"/>
      <c r="C439" s="30"/>
      <c r="D439" s="5"/>
      <c r="E439" s="79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 ht="15.75" customHeight="1">
      <c r="A440" s="30"/>
      <c r="B440" s="22"/>
      <c r="C440" s="30"/>
      <c r="D440" s="5"/>
      <c r="E440" s="79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 ht="15.75" customHeight="1">
      <c r="A441" s="30"/>
      <c r="B441" s="22"/>
      <c r="C441" s="30"/>
      <c r="D441" s="5"/>
      <c r="E441" s="79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 ht="15.75" customHeight="1">
      <c r="A442" s="30"/>
      <c r="B442" s="22"/>
      <c r="C442" s="30"/>
      <c r="D442" s="5"/>
      <c r="E442" s="79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 ht="15.75" customHeight="1">
      <c r="A443" s="30"/>
      <c r="B443" s="22"/>
      <c r="C443" s="30"/>
      <c r="D443" s="5"/>
      <c r="E443" s="79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 ht="15.75" customHeight="1">
      <c r="A444" s="30"/>
      <c r="B444" s="22"/>
      <c r="C444" s="30"/>
      <c r="D444" s="5"/>
      <c r="E444" s="79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 ht="15.75" customHeight="1">
      <c r="A445" s="30"/>
      <c r="B445" s="22"/>
      <c r="C445" s="30"/>
      <c r="D445" s="5"/>
      <c r="E445" s="79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 ht="15.75" customHeight="1">
      <c r="A446" s="30"/>
      <c r="B446" s="22"/>
      <c r="C446" s="30"/>
      <c r="D446" s="5"/>
      <c r="E446" s="79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 ht="15.75" customHeight="1">
      <c r="A447" s="30"/>
      <c r="B447" s="22"/>
      <c r="C447" s="30"/>
      <c r="D447" s="5"/>
      <c r="E447" s="79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 ht="15.75" customHeight="1">
      <c r="A448" s="30"/>
      <c r="B448" s="22"/>
      <c r="C448" s="30"/>
      <c r="D448" s="5"/>
      <c r="E448" s="79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 ht="15.75" customHeight="1">
      <c r="A449" s="30"/>
      <c r="B449" s="22"/>
      <c r="C449" s="30"/>
      <c r="D449" s="5"/>
      <c r="E449" s="79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 ht="15.75" customHeight="1">
      <c r="A450" s="30"/>
      <c r="B450" s="22"/>
      <c r="C450" s="30"/>
      <c r="D450" s="5"/>
      <c r="E450" s="79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 ht="15.75" customHeight="1">
      <c r="A451" s="30"/>
      <c r="B451" s="22"/>
      <c r="C451" s="30"/>
      <c r="D451" s="5"/>
      <c r="E451" s="79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 ht="15.75" customHeight="1">
      <c r="A452" s="30"/>
      <c r="B452" s="22"/>
      <c r="C452" s="30"/>
      <c r="D452" s="5"/>
      <c r="E452" s="79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 ht="15.75" customHeight="1">
      <c r="A453" s="30"/>
      <c r="B453" s="22"/>
      <c r="C453" s="30"/>
      <c r="D453" s="5"/>
      <c r="E453" s="79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 ht="15.75" customHeight="1">
      <c r="A454" s="30"/>
      <c r="B454" s="22"/>
      <c r="C454" s="30"/>
      <c r="D454" s="5"/>
      <c r="E454" s="79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 ht="15.75" customHeight="1">
      <c r="A455" s="30"/>
      <c r="B455" s="22"/>
      <c r="C455" s="30"/>
      <c r="D455" s="5"/>
      <c r="E455" s="79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 ht="15.75" customHeight="1">
      <c r="A456" s="30"/>
      <c r="B456" s="22"/>
      <c r="C456" s="30"/>
      <c r="D456" s="5"/>
      <c r="E456" s="79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 ht="15.75" customHeight="1">
      <c r="A457" s="30"/>
      <c r="B457" s="22"/>
      <c r="C457" s="30"/>
      <c r="D457" s="5"/>
      <c r="E457" s="79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 ht="15.75" customHeight="1">
      <c r="A458" s="30"/>
      <c r="B458" s="22"/>
      <c r="C458" s="30"/>
      <c r="D458" s="5"/>
      <c r="E458" s="79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 ht="15.75" customHeight="1">
      <c r="A459" s="30"/>
      <c r="B459" s="22"/>
      <c r="C459" s="30"/>
      <c r="D459" s="5"/>
      <c r="E459" s="79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 ht="15.75" customHeight="1">
      <c r="A460" s="30"/>
      <c r="B460" s="22"/>
      <c r="C460" s="30"/>
      <c r="D460" s="5"/>
      <c r="E460" s="79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 ht="15.75" customHeight="1">
      <c r="A461" s="30"/>
      <c r="B461" s="22"/>
      <c r="C461" s="30"/>
      <c r="D461" s="5"/>
      <c r="E461" s="79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 ht="15.75" customHeight="1">
      <c r="A462" s="30"/>
      <c r="B462" s="22"/>
      <c r="C462" s="30"/>
      <c r="D462" s="5"/>
      <c r="E462" s="79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 ht="15.75" customHeight="1">
      <c r="A463" s="30"/>
      <c r="B463" s="22"/>
      <c r="C463" s="30"/>
      <c r="D463" s="5"/>
      <c r="E463" s="79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 ht="15.75" customHeight="1">
      <c r="A464" s="30"/>
      <c r="B464" s="22"/>
      <c r="C464" s="30"/>
      <c r="D464" s="5"/>
      <c r="E464" s="79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 ht="15.75" customHeight="1">
      <c r="A465" s="30"/>
      <c r="B465" s="22"/>
      <c r="C465" s="30"/>
      <c r="D465" s="5"/>
      <c r="E465" s="79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 ht="15.75" customHeight="1">
      <c r="A466" s="30"/>
      <c r="B466" s="22"/>
      <c r="C466" s="30"/>
      <c r="D466" s="5"/>
      <c r="E466" s="79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 ht="15.75" customHeight="1">
      <c r="A467" s="30"/>
      <c r="B467" s="22"/>
      <c r="C467" s="30"/>
      <c r="D467" s="5"/>
      <c r="E467" s="79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 ht="15.75" customHeight="1">
      <c r="A468" s="30"/>
      <c r="B468" s="22"/>
      <c r="C468" s="30"/>
      <c r="D468" s="5"/>
      <c r="E468" s="79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 ht="15.75" customHeight="1">
      <c r="A469" s="30"/>
      <c r="B469" s="22"/>
      <c r="C469" s="30"/>
      <c r="D469" s="5"/>
      <c r="E469" s="79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 ht="15.75" customHeight="1">
      <c r="A470" s="30"/>
      <c r="B470" s="22"/>
      <c r="C470" s="30"/>
      <c r="D470" s="5"/>
      <c r="E470" s="79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 ht="15.75" customHeight="1">
      <c r="A471" s="30"/>
      <c r="B471" s="22"/>
      <c r="C471" s="30"/>
      <c r="D471" s="5"/>
      <c r="E471" s="79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 ht="15.75" customHeight="1">
      <c r="A472" s="30"/>
      <c r="B472" s="22"/>
      <c r="C472" s="30"/>
      <c r="D472" s="5"/>
      <c r="E472" s="79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 ht="15.75" customHeight="1">
      <c r="A473" s="30"/>
      <c r="B473" s="22"/>
      <c r="C473" s="30"/>
      <c r="D473" s="5"/>
      <c r="E473" s="79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30"/>
      <c r="B474" s="22"/>
      <c r="C474" s="30"/>
      <c r="D474" s="5"/>
      <c r="E474" s="79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30"/>
      <c r="B475" s="22"/>
      <c r="C475" s="30"/>
      <c r="D475" s="5"/>
      <c r="E475" s="79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30"/>
      <c r="B476" s="22"/>
      <c r="C476" s="30"/>
      <c r="D476" s="5"/>
      <c r="E476" s="79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30"/>
      <c r="B477" s="22"/>
      <c r="C477" s="30"/>
      <c r="D477" s="5"/>
      <c r="E477" s="79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30"/>
      <c r="B478" s="22"/>
      <c r="C478" s="30"/>
      <c r="D478" s="5"/>
      <c r="E478" s="79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30"/>
      <c r="B479" s="22"/>
      <c r="C479" s="30"/>
      <c r="D479" s="5"/>
      <c r="E479" s="79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30"/>
      <c r="B480" s="22"/>
      <c r="C480" s="30"/>
      <c r="D480" s="5"/>
      <c r="E480" s="79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30"/>
      <c r="B481" s="22"/>
      <c r="C481" s="30"/>
      <c r="D481" s="5"/>
      <c r="E481" s="79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30"/>
      <c r="B482" s="22"/>
      <c r="C482" s="30"/>
      <c r="D482" s="5"/>
      <c r="E482" s="79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30"/>
      <c r="B483" s="22"/>
      <c r="C483" s="30"/>
      <c r="D483" s="5"/>
      <c r="E483" s="79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30"/>
      <c r="B484" s="22"/>
      <c r="C484" s="30"/>
      <c r="D484" s="5"/>
      <c r="E484" s="79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30"/>
      <c r="B485" s="22"/>
      <c r="C485" s="30"/>
      <c r="D485" s="5"/>
      <c r="E485" s="79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30"/>
      <c r="B486" s="22"/>
      <c r="C486" s="30"/>
      <c r="D486" s="5"/>
      <c r="E486" s="79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30"/>
      <c r="B487" s="22"/>
      <c r="C487" s="30"/>
      <c r="D487" s="5"/>
      <c r="E487" s="79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30"/>
      <c r="B488" s="22"/>
      <c r="C488" s="30"/>
      <c r="D488" s="5"/>
      <c r="E488" s="79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30"/>
      <c r="B489" s="22"/>
      <c r="C489" s="30"/>
      <c r="D489" s="5"/>
      <c r="E489" s="79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30"/>
      <c r="B490" s="22"/>
      <c r="C490" s="30"/>
      <c r="D490" s="5"/>
      <c r="E490" s="79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30"/>
      <c r="B491" s="22"/>
      <c r="C491" s="30"/>
      <c r="D491" s="5"/>
      <c r="E491" s="79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30"/>
      <c r="B492" s="22"/>
      <c r="C492" s="30"/>
      <c r="D492" s="5"/>
      <c r="E492" s="79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30"/>
      <c r="B493" s="22"/>
      <c r="C493" s="30"/>
      <c r="D493" s="5"/>
      <c r="E493" s="79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30"/>
      <c r="B494" s="22"/>
      <c r="C494" s="30"/>
      <c r="D494" s="5"/>
      <c r="E494" s="79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30"/>
      <c r="B495" s="22"/>
      <c r="C495" s="30"/>
      <c r="D495" s="5"/>
      <c r="E495" s="79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30"/>
      <c r="B496" s="22"/>
      <c r="C496" s="30"/>
      <c r="D496" s="5"/>
      <c r="E496" s="79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30"/>
      <c r="B497" s="22"/>
      <c r="C497" s="30"/>
      <c r="D497" s="5"/>
      <c r="E497" s="79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30"/>
      <c r="B498" s="22"/>
      <c r="C498" s="30"/>
      <c r="D498" s="5"/>
      <c r="E498" s="79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30"/>
      <c r="B499" s="22"/>
      <c r="C499" s="30"/>
      <c r="D499" s="5"/>
      <c r="E499" s="79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30"/>
      <c r="B500" s="22"/>
      <c r="C500" s="30"/>
      <c r="D500" s="5"/>
      <c r="E500" s="79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30"/>
      <c r="B501" s="22"/>
      <c r="C501" s="30"/>
      <c r="D501" s="5"/>
      <c r="E501" s="79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30"/>
      <c r="B502" s="22"/>
      <c r="C502" s="30"/>
      <c r="D502" s="5"/>
      <c r="E502" s="79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30"/>
      <c r="B503" s="22"/>
      <c r="C503" s="30"/>
      <c r="D503" s="5"/>
      <c r="E503" s="79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30"/>
      <c r="B504" s="22"/>
      <c r="C504" s="30"/>
      <c r="D504" s="5"/>
      <c r="E504" s="79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30"/>
      <c r="B505" s="22"/>
      <c r="C505" s="30"/>
      <c r="D505" s="5"/>
      <c r="E505" s="79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30"/>
      <c r="B506" s="22"/>
      <c r="C506" s="30"/>
      <c r="D506" s="5"/>
      <c r="E506" s="79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30"/>
      <c r="B507" s="22"/>
      <c r="C507" s="30"/>
      <c r="D507" s="5"/>
      <c r="E507" s="79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30"/>
      <c r="B508" s="22"/>
      <c r="C508" s="30"/>
      <c r="D508" s="5"/>
      <c r="E508" s="79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30"/>
      <c r="B509" s="22"/>
      <c r="C509" s="30"/>
      <c r="D509" s="5"/>
      <c r="E509" s="79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30"/>
      <c r="B510" s="22"/>
      <c r="C510" s="30"/>
      <c r="D510" s="5"/>
      <c r="E510" s="79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30"/>
      <c r="B511" s="22"/>
      <c r="C511" s="30"/>
      <c r="D511" s="5"/>
      <c r="E511" s="79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30"/>
      <c r="B512" s="22"/>
      <c r="C512" s="30"/>
      <c r="D512" s="5"/>
      <c r="E512" s="79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30"/>
      <c r="B513" s="22"/>
      <c r="C513" s="30"/>
      <c r="D513" s="5"/>
      <c r="E513" s="79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30"/>
      <c r="B514" s="22"/>
      <c r="C514" s="30"/>
      <c r="D514" s="5"/>
      <c r="E514" s="79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30"/>
      <c r="B515" s="22"/>
      <c r="C515" s="30"/>
      <c r="D515" s="5"/>
      <c r="E515" s="79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30"/>
      <c r="B516" s="22"/>
      <c r="C516" s="30"/>
      <c r="D516" s="5"/>
      <c r="E516" s="79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30"/>
      <c r="B517" s="22"/>
      <c r="C517" s="30"/>
      <c r="D517" s="5"/>
      <c r="E517" s="79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30"/>
      <c r="B518" s="22"/>
      <c r="C518" s="30"/>
      <c r="D518" s="5"/>
      <c r="E518" s="79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30"/>
      <c r="B519" s="22"/>
      <c r="C519" s="30"/>
      <c r="D519" s="5"/>
      <c r="E519" s="79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30"/>
      <c r="B520" s="22"/>
      <c r="C520" s="30"/>
      <c r="D520" s="5"/>
      <c r="E520" s="79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30"/>
      <c r="B521" s="22"/>
      <c r="C521" s="30"/>
      <c r="D521" s="5"/>
      <c r="E521" s="79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30"/>
      <c r="B522" s="22"/>
      <c r="C522" s="30"/>
      <c r="D522" s="5"/>
      <c r="E522" s="79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30"/>
      <c r="B523" s="22"/>
      <c r="C523" s="30"/>
      <c r="D523" s="5"/>
      <c r="E523" s="79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30"/>
      <c r="B524" s="22"/>
      <c r="C524" s="30"/>
      <c r="D524" s="5"/>
      <c r="E524" s="79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30"/>
      <c r="B525" s="22"/>
      <c r="C525" s="30"/>
      <c r="D525" s="5"/>
      <c r="E525" s="79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30"/>
      <c r="B526" s="22"/>
      <c r="C526" s="30"/>
      <c r="D526" s="5"/>
      <c r="E526" s="79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30"/>
      <c r="B527" s="22"/>
      <c r="C527" s="30"/>
      <c r="D527" s="5"/>
      <c r="E527" s="79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30"/>
      <c r="B528" s="22"/>
      <c r="C528" s="30"/>
      <c r="D528" s="5"/>
      <c r="E528" s="79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30"/>
      <c r="B529" s="22"/>
      <c r="C529" s="30"/>
      <c r="D529" s="5"/>
      <c r="E529" s="79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30"/>
      <c r="B530" s="22"/>
      <c r="C530" s="30"/>
      <c r="D530" s="5"/>
      <c r="E530" s="79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30"/>
      <c r="B531" s="22"/>
      <c r="C531" s="30"/>
      <c r="D531" s="5"/>
      <c r="E531" s="79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30"/>
      <c r="B532" s="22"/>
      <c r="C532" s="30"/>
      <c r="D532" s="5"/>
      <c r="E532" s="79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30"/>
      <c r="B533" s="22"/>
      <c r="C533" s="30"/>
      <c r="D533" s="5"/>
      <c r="E533" s="79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30"/>
      <c r="B534" s="22"/>
      <c r="C534" s="30"/>
      <c r="D534" s="5"/>
      <c r="E534" s="79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30"/>
      <c r="B535" s="22"/>
      <c r="C535" s="30"/>
      <c r="D535" s="5"/>
      <c r="E535" s="79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30"/>
      <c r="B536" s="22"/>
      <c r="C536" s="30"/>
      <c r="D536" s="5"/>
      <c r="E536" s="79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30"/>
      <c r="B537" s="22"/>
      <c r="C537" s="30"/>
      <c r="D537" s="5"/>
      <c r="E537" s="79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30"/>
      <c r="B538" s="22"/>
      <c r="C538" s="30"/>
      <c r="D538" s="5"/>
      <c r="E538" s="79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30"/>
      <c r="B539" s="22"/>
      <c r="C539" s="30"/>
      <c r="D539" s="5"/>
      <c r="E539" s="79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30"/>
      <c r="B540" s="22"/>
      <c r="C540" s="30"/>
      <c r="D540" s="5"/>
      <c r="E540" s="79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30"/>
      <c r="B541" s="22"/>
      <c r="C541" s="30"/>
      <c r="D541" s="5"/>
      <c r="E541" s="79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30"/>
      <c r="B542" s="22"/>
      <c r="C542" s="30"/>
      <c r="D542" s="5"/>
      <c r="E542" s="79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30"/>
      <c r="B543" s="22"/>
      <c r="C543" s="30"/>
      <c r="D543" s="5"/>
      <c r="E543" s="79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30"/>
      <c r="B544" s="22"/>
      <c r="C544" s="30"/>
      <c r="D544" s="5"/>
      <c r="E544" s="79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30"/>
      <c r="B545" s="22"/>
      <c r="C545" s="30"/>
      <c r="D545" s="5"/>
      <c r="E545" s="79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30"/>
      <c r="B546" s="22"/>
      <c r="C546" s="30"/>
      <c r="D546" s="5"/>
      <c r="E546" s="79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30"/>
      <c r="B547" s="22"/>
      <c r="C547" s="30"/>
      <c r="D547" s="5"/>
      <c r="E547" s="79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30"/>
      <c r="B548" s="22"/>
      <c r="C548" s="30"/>
      <c r="D548" s="5"/>
      <c r="E548" s="79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30"/>
      <c r="B549" s="22"/>
      <c r="C549" s="30"/>
      <c r="D549" s="5"/>
      <c r="E549" s="79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30"/>
      <c r="B550" s="22"/>
      <c r="C550" s="30"/>
      <c r="D550" s="5"/>
      <c r="E550" s="79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30"/>
      <c r="B551" s="22"/>
      <c r="C551" s="30"/>
      <c r="D551" s="5"/>
      <c r="E551" s="79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30"/>
      <c r="B552" s="22"/>
      <c r="C552" s="30"/>
      <c r="D552" s="5"/>
      <c r="E552" s="79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30"/>
      <c r="B553" s="22"/>
      <c r="C553" s="30"/>
      <c r="D553" s="5"/>
      <c r="E553" s="79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30"/>
      <c r="B554" s="22"/>
      <c r="C554" s="30"/>
      <c r="D554" s="5"/>
      <c r="E554" s="79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30"/>
      <c r="B555" s="22"/>
      <c r="C555" s="30"/>
      <c r="D555" s="5"/>
      <c r="E555" s="79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30"/>
      <c r="B556" s="22"/>
      <c r="C556" s="30"/>
      <c r="D556" s="5"/>
      <c r="E556" s="79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30"/>
      <c r="B557" s="22"/>
      <c r="C557" s="30"/>
      <c r="D557" s="5"/>
      <c r="E557" s="79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30"/>
      <c r="B558" s="22"/>
      <c r="C558" s="30"/>
      <c r="D558" s="5"/>
      <c r="E558" s="79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30"/>
      <c r="B559" s="22"/>
      <c r="C559" s="30"/>
      <c r="D559" s="5"/>
      <c r="E559" s="79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30"/>
      <c r="B560" s="22"/>
      <c r="C560" s="30"/>
      <c r="D560" s="5"/>
      <c r="E560" s="79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30"/>
      <c r="B561" s="22"/>
      <c r="C561" s="30"/>
      <c r="D561" s="5"/>
      <c r="E561" s="79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30"/>
      <c r="B562" s="22"/>
      <c r="C562" s="30"/>
      <c r="D562" s="5"/>
      <c r="E562" s="79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30"/>
      <c r="B563" s="22"/>
      <c r="C563" s="30"/>
      <c r="D563" s="5"/>
      <c r="E563" s="79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30"/>
      <c r="B564" s="22"/>
      <c r="C564" s="30"/>
      <c r="D564" s="5"/>
      <c r="E564" s="79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30"/>
      <c r="B565" s="22"/>
      <c r="C565" s="30"/>
      <c r="D565" s="5"/>
      <c r="E565" s="79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30"/>
      <c r="B566" s="22"/>
      <c r="C566" s="30"/>
      <c r="D566" s="5"/>
      <c r="E566" s="79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30"/>
      <c r="B567" s="22"/>
      <c r="C567" s="30"/>
      <c r="D567" s="5"/>
      <c r="E567" s="79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30"/>
      <c r="B568" s="22"/>
      <c r="C568" s="30"/>
      <c r="D568" s="5"/>
      <c r="E568" s="79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30"/>
      <c r="B569" s="22"/>
      <c r="C569" s="30"/>
      <c r="D569" s="5"/>
      <c r="E569" s="79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30"/>
      <c r="B570" s="22"/>
      <c r="C570" s="30"/>
      <c r="D570" s="5"/>
      <c r="E570" s="79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30"/>
      <c r="B571" s="22"/>
      <c r="C571" s="30"/>
      <c r="D571" s="5"/>
      <c r="E571" s="79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30"/>
      <c r="B572" s="22"/>
      <c r="C572" s="30"/>
      <c r="D572" s="5"/>
      <c r="E572" s="79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30"/>
      <c r="B573" s="22"/>
      <c r="C573" s="30"/>
      <c r="D573" s="5"/>
      <c r="E573" s="79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30"/>
      <c r="B574" s="22"/>
      <c r="C574" s="30"/>
      <c r="D574" s="5"/>
      <c r="E574" s="79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30"/>
      <c r="B575" s="22"/>
      <c r="C575" s="30"/>
      <c r="D575" s="5"/>
      <c r="E575" s="79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30"/>
      <c r="B576" s="22"/>
      <c r="C576" s="30"/>
      <c r="D576" s="5"/>
      <c r="E576" s="79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30"/>
      <c r="B577" s="22"/>
      <c r="C577" s="30"/>
      <c r="D577" s="5"/>
      <c r="E577" s="79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30"/>
      <c r="B578" s="22"/>
      <c r="C578" s="30"/>
      <c r="D578" s="5"/>
      <c r="E578" s="79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30"/>
      <c r="B579" s="22"/>
      <c r="C579" s="30"/>
      <c r="D579" s="5"/>
      <c r="E579" s="79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30"/>
      <c r="B580" s="22"/>
      <c r="C580" s="30"/>
      <c r="D580" s="5"/>
      <c r="E580" s="79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30"/>
      <c r="B581" s="22"/>
      <c r="C581" s="30"/>
      <c r="D581" s="5"/>
      <c r="E581" s="79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30"/>
      <c r="B582" s="22"/>
      <c r="C582" s="30"/>
      <c r="D582" s="5"/>
      <c r="E582" s="79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30"/>
      <c r="B583" s="22"/>
      <c r="C583" s="30"/>
      <c r="D583" s="5"/>
      <c r="E583" s="79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30"/>
      <c r="B584" s="22"/>
      <c r="C584" s="30"/>
      <c r="D584" s="5"/>
      <c r="E584" s="79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30"/>
      <c r="B585" s="22"/>
      <c r="C585" s="30"/>
      <c r="D585" s="5"/>
      <c r="E585" s="79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30"/>
      <c r="B586" s="22"/>
      <c r="C586" s="30"/>
      <c r="D586" s="5"/>
      <c r="E586" s="79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30"/>
      <c r="B587" s="22"/>
      <c r="C587" s="30"/>
      <c r="D587" s="5"/>
      <c r="E587" s="79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30"/>
      <c r="B588" s="22"/>
      <c r="C588" s="30"/>
      <c r="D588" s="5"/>
      <c r="E588" s="79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30"/>
      <c r="B589" s="22"/>
      <c r="C589" s="30"/>
      <c r="D589" s="5"/>
      <c r="E589" s="79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30"/>
      <c r="B590" s="22"/>
      <c r="C590" s="30"/>
      <c r="D590" s="5"/>
      <c r="E590" s="79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30"/>
      <c r="B591" s="22"/>
      <c r="C591" s="30"/>
      <c r="D591" s="5"/>
      <c r="E591" s="79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30"/>
      <c r="B592" s="22"/>
      <c r="C592" s="30"/>
      <c r="D592" s="5"/>
      <c r="E592" s="79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30"/>
      <c r="B593" s="22"/>
      <c r="C593" s="30"/>
      <c r="D593" s="5"/>
      <c r="E593" s="79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30"/>
      <c r="B594" s="22"/>
      <c r="C594" s="30"/>
      <c r="D594" s="5"/>
      <c r="E594" s="79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30"/>
      <c r="B595" s="22"/>
      <c r="C595" s="30"/>
      <c r="D595" s="5"/>
      <c r="E595" s="79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30"/>
      <c r="B596" s="22"/>
      <c r="C596" s="30"/>
      <c r="D596" s="5"/>
      <c r="E596" s="79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30"/>
      <c r="B597" s="22"/>
      <c r="C597" s="30"/>
      <c r="D597" s="5"/>
      <c r="E597" s="79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30"/>
      <c r="B598" s="22"/>
      <c r="C598" s="30"/>
      <c r="D598" s="5"/>
      <c r="E598" s="79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30"/>
      <c r="B599" s="22"/>
      <c r="C599" s="30"/>
      <c r="D599" s="5"/>
      <c r="E599" s="79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30"/>
      <c r="B600" s="22"/>
      <c r="C600" s="30"/>
      <c r="D600" s="5"/>
      <c r="E600" s="79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30"/>
      <c r="B601" s="22"/>
      <c r="C601" s="30"/>
      <c r="D601" s="5"/>
      <c r="E601" s="79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30"/>
      <c r="B602" s="22"/>
      <c r="C602" s="30"/>
      <c r="D602" s="5"/>
      <c r="E602" s="79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30"/>
      <c r="B603" s="22"/>
      <c r="C603" s="30"/>
      <c r="D603" s="5"/>
      <c r="E603" s="79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30"/>
      <c r="B604" s="22"/>
      <c r="C604" s="30"/>
      <c r="D604" s="5"/>
      <c r="E604" s="79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30"/>
      <c r="B605" s="22"/>
      <c r="C605" s="30"/>
      <c r="D605" s="5"/>
      <c r="E605" s="79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30"/>
      <c r="B606" s="22"/>
      <c r="C606" s="30"/>
      <c r="D606" s="5"/>
      <c r="E606" s="79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30"/>
      <c r="B607" s="22"/>
      <c r="C607" s="30"/>
      <c r="D607" s="5"/>
      <c r="E607" s="79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30"/>
      <c r="B608" s="22"/>
      <c r="C608" s="30"/>
      <c r="D608" s="5"/>
      <c r="E608" s="79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30"/>
      <c r="B609" s="22"/>
      <c r="C609" s="30"/>
      <c r="D609" s="5"/>
      <c r="E609" s="79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30"/>
      <c r="B610" s="22"/>
      <c r="C610" s="30"/>
      <c r="D610" s="5"/>
      <c r="E610" s="79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30"/>
      <c r="B611" s="22"/>
      <c r="C611" s="30"/>
      <c r="D611" s="5"/>
      <c r="E611" s="79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30"/>
      <c r="B612" s="22"/>
      <c r="C612" s="30"/>
      <c r="D612" s="5"/>
      <c r="E612" s="79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30"/>
      <c r="B613" s="22"/>
      <c r="C613" s="30"/>
      <c r="D613" s="5"/>
      <c r="E613" s="79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30"/>
      <c r="B614" s="22"/>
      <c r="C614" s="30"/>
      <c r="D614" s="5"/>
      <c r="E614" s="79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30"/>
      <c r="B615" s="22"/>
      <c r="C615" s="30"/>
      <c r="D615" s="5"/>
      <c r="E615" s="79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30"/>
      <c r="B616" s="22"/>
      <c r="C616" s="30"/>
      <c r="D616" s="5"/>
      <c r="E616" s="79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30"/>
      <c r="B617" s="22"/>
      <c r="C617" s="30"/>
      <c r="D617" s="5"/>
      <c r="E617" s="79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30"/>
      <c r="B618" s="22"/>
      <c r="C618" s="30"/>
      <c r="D618" s="5"/>
      <c r="E618" s="79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30"/>
      <c r="B619" s="22"/>
      <c r="C619" s="30"/>
      <c r="D619" s="5"/>
      <c r="E619" s="79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30"/>
      <c r="B620" s="22"/>
      <c r="C620" s="30"/>
      <c r="D620" s="5"/>
      <c r="E620" s="79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30"/>
      <c r="B621" s="22"/>
      <c r="C621" s="30"/>
      <c r="D621" s="5"/>
      <c r="E621" s="79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30"/>
      <c r="B622" s="22"/>
      <c r="C622" s="30"/>
      <c r="D622" s="5"/>
      <c r="E622" s="79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30"/>
      <c r="B623" s="22"/>
      <c r="C623" s="30"/>
      <c r="D623" s="5"/>
      <c r="E623" s="79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30"/>
      <c r="B624" s="22"/>
      <c r="C624" s="30"/>
      <c r="D624" s="5"/>
      <c r="E624" s="79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30"/>
      <c r="B625" s="22"/>
      <c r="C625" s="30"/>
      <c r="D625" s="5"/>
      <c r="E625" s="79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30"/>
      <c r="B626" s="22"/>
      <c r="C626" s="30"/>
      <c r="D626" s="5"/>
      <c r="E626" s="79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30"/>
      <c r="B627" s="22"/>
      <c r="C627" s="30"/>
      <c r="D627" s="5"/>
      <c r="E627" s="79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30"/>
      <c r="B628" s="22"/>
      <c r="C628" s="30"/>
      <c r="D628" s="5"/>
      <c r="E628" s="79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30"/>
      <c r="B629" s="22"/>
      <c r="C629" s="30"/>
      <c r="D629" s="5"/>
      <c r="E629" s="79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30"/>
      <c r="B630" s="22"/>
      <c r="C630" s="30"/>
      <c r="D630" s="5"/>
      <c r="E630" s="79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30"/>
      <c r="B631" s="22"/>
      <c r="C631" s="30"/>
      <c r="D631" s="5"/>
      <c r="E631" s="79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30"/>
      <c r="B632" s="22"/>
      <c r="C632" s="30"/>
      <c r="D632" s="5"/>
      <c r="E632" s="79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30"/>
      <c r="B633" s="22"/>
      <c r="C633" s="30"/>
      <c r="D633" s="5"/>
      <c r="E633" s="79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30"/>
      <c r="B634" s="22"/>
      <c r="C634" s="30"/>
      <c r="D634" s="5"/>
      <c r="E634" s="79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30"/>
      <c r="B635" s="22"/>
      <c r="C635" s="30"/>
      <c r="D635" s="5"/>
      <c r="E635" s="79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30"/>
      <c r="B636" s="22"/>
      <c r="C636" s="30"/>
      <c r="D636" s="5"/>
      <c r="E636" s="79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30"/>
      <c r="B637" s="22"/>
      <c r="C637" s="30"/>
      <c r="D637" s="5"/>
      <c r="E637" s="79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30"/>
      <c r="B638" s="22"/>
      <c r="C638" s="30"/>
      <c r="D638" s="5"/>
      <c r="E638" s="79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30"/>
      <c r="B639" s="22"/>
      <c r="C639" s="30"/>
      <c r="D639" s="5"/>
      <c r="E639" s="79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30"/>
      <c r="B640" s="22"/>
      <c r="C640" s="30"/>
      <c r="D640" s="5"/>
      <c r="E640" s="79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30"/>
      <c r="B641" s="22"/>
      <c r="C641" s="30"/>
      <c r="D641" s="5"/>
      <c r="E641" s="79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30"/>
      <c r="B642" s="22"/>
      <c r="C642" s="30"/>
      <c r="D642" s="5"/>
      <c r="E642" s="79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30"/>
      <c r="B643" s="22"/>
      <c r="C643" s="30"/>
      <c r="D643" s="5"/>
      <c r="E643" s="79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30"/>
      <c r="B644" s="22"/>
      <c r="C644" s="30"/>
      <c r="D644" s="5"/>
      <c r="E644" s="79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30"/>
      <c r="B645" s="22"/>
      <c r="C645" s="30"/>
      <c r="D645" s="5"/>
      <c r="E645" s="79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30"/>
      <c r="B646" s="22"/>
      <c r="C646" s="30"/>
      <c r="D646" s="5"/>
      <c r="E646" s="79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30"/>
      <c r="B647" s="22"/>
      <c r="C647" s="30"/>
      <c r="D647" s="5"/>
      <c r="E647" s="79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30"/>
      <c r="B648" s="22"/>
      <c r="C648" s="30"/>
      <c r="D648" s="5"/>
      <c r="E648" s="79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30"/>
      <c r="B649" s="22"/>
      <c r="C649" s="30"/>
      <c r="D649" s="5"/>
      <c r="E649" s="79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30"/>
      <c r="B650" s="22"/>
      <c r="C650" s="30"/>
      <c r="D650" s="5"/>
      <c r="E650" s="79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30"/>
      <c r="B651" s="22"/>
      <c r="C651" s="30"/>
      <c r="D651" s="5"/>
      <c r="E651" s="79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30"/>
      <c r="B652" s="22"/>
      <c r="C652" s="30"/>
      <c r="D652" s="5"/>
      <c r="E652" s="79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30"/>
      <c r="B653" s="22"/>
      <c r="C653" s="30"/>
      <c r="D653" s="5"/>
      <c r="E653" s="79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30"/>
      <c r="B654" s="22"/>
      <c r="C654" s="30"/>
      <c r="D654" s="5"/>
      <c r="E654" s="79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30"/>
      <c r="B655" s="22"/>
      <c r="C655" s="30"/>
      <c r="D655" s="5"/>
      <c r="E655" s="79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30"/>
      <c r="B656" s="22"/>
      <c r="C656" s="30"/>
      <c r="D656" s="5"/>
      <c r="E656" s="79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30"/>
      <c r="B657" s="22"/>
      <c r="C657" s="30"/>
      <c r="D657" s="5"/>
      <c r="E657" s="79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30"/>
      <c r="B658" s="22"/>
      <c r="C658" s="30"/>
      <c r="D658" s="5"/>
      <c r="E658" s="79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30"/>
      <c r="B659" s="22"/>
      <c r="C659" s="30"/>
      <c r="D659" s="5"/>
      <c r="E659" s="79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30"/>
      <c r="B660" s="22"/>
      <c r="C660" s="30"/>
      <c r="D660" s="5"/>
      <c r="E660" s="79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30"/>
      <c r="B661" s="22"/>
      <c r="C661" s="30"/>
      <c r="D661" s="5"/>
      <c r="E661" s="79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30"/>
      <c r="B662" s="22"/>
      <c r="C662" s="30"/>
      <c r="D662" s="5"/>
      <c r="E662" s="79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30"/>
      <c r="B663" s="22"/>
      <c r="C663" s="30"/>
      <c r="D663" s="5"/>
      <c r="E663" s="79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30"/>
      <c r="B664" s="22"/>
      <c r="C664" s="30"/>
      <c r="D664" s="5"/>
      <c r="E664" s="79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30"/>
      <c r="B665" s="22"/>
      <c r="C665" s="30"/>
      <c r="D665" s="5"/>
      <c r="E665" s="79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30"/>
      <c r="B666" s="22"/>
      <c r="C666" s="30"/>
      <c r="D666" s="5"/>
      <c r="E666" s="79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30"/>
      <c r="B667" s="22"/>
      <c r="C667" s="30"/>
      <c r="D667" s="5"/>
      <c r="E667" s="79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30"/>
      <c r="B668" s="22"/>
      <c r="C668" s="30"/>
      <c r="D668" s="5"/>
      <c r="E668" s="79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30"/>
      <c r="B669" s="22"/>
      <c r="C669" s="30"/>
      <c r="D669" s="5"/>
      <c r="E669" s="79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30"/>
      <c r="B670" s="22"/>
      <c r="C670" s="30"/>
      <c r="D670" s="5"/>
      <c r="E670" s="79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30"/>
      <c r="B671" s="22"/>
      <c r="C671" s="30"/>
      <c r="D671" s="5"/>
      <c r="E671" s="79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30"/>
      <c r="B672" s="22"/>
      <c r="C672" s="30"/>
      <c r="D672" s="5"/>
      <c r="E672" s="79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30"/>
      <c r="B673" s="22"/>
      <c r="C673" s="30"/>
      <c r="D673" s="5"/>
      <c r="E673" s="79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30"/>
      <c r="B674" s="22"/>
      <c r="C674" s="30"/>
      <c r="D674" s="5"/>
      <c r="E674" s="79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30"/>
      <c r="B675" s="22"/>
      <c r="C675" s="30"/>
      <c r="D675" s="5"/>
      <c r="E675" s="79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30"/>
      <c r="B676" s="22"/>
      <c r="C676" s="30"/>
      <c r="D676" s="5"/>
      <c r="E676" s="79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30"/>
      <c r="B677" s="22"/>
      <c r="C677" s="30"/>
      <c r="D677" s="5"/>
      <c r="E677" s="79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30"/>
      <c r="B678" s="22"/>
      <c r="C678" s="30"/>
      <c r="D678" s="5"/>
      <c r="E678" s="79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30"/>
      <c r="B679" s="22"/>
      <c r="C679" s="30"/>
      <c r="D679" s="5"/>
      <c r="E679" s="79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30"/>
      <c r="B680" s="22"/>
      <c r="C680" s="30"/>
      <c r="D680" s="5"/>
      <c r="E680" s="79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30"/>
      <c r="B681" s="22"/>
      <c r="C681" s="30"/>
      <c r="D681" s="5"/>
      <c r="E681" s="79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30"/>
      <c r="B682" s="22"/>
      <c r="C682" s="30"/>
      <c r="D682" s="5"/>
      <c r="E682" s="79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30"/>
      <c r="B683" s="22"/>
      <c r="C683" s="30"/>
      <c r="D683" s="5"/>
      <c r="E683" s="79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30"/>
      <c r="B684" s="22"/>
      <c r="C684" s="30"/>
      <c r="D684" s="5"/>
      <c r="E684" s="79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30"/>
      <c r="B685" s="22"/>
      <c r="C685" s="30"/>
      <c r="D685" s="5"/>
      <c r="E685" s="79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30"/>
      <c r="B686" s="22"/>
      <c r="C686" s="30"/>
      <c r="D686" s="5"/>
      <c r="E686" s="79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30"/>
      <c r="B687" s="22"/>
      <c r="C687" s="30"/>
      <c r="D687" s="5"/>
      <c r="E687" s="79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30"/>
      <c r="B688" s="22"/>
      <c r="C688" s="30"/>
      <c r="D688" s="5"/>
      <c r="E688" s="79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30"/>
      <c r="B689" s="22"/>
      <c r="C689" s="30"/>
      <c r="D689" s="5"/>
      <c r="E689" s="79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30"/>
      <c r="B690" s="22"/>
      <c r="C690" s="30"/>
      <c r="D690" s="5"/>
      <c r="E690" s="79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30"/>
      <c r="B691" s="22"/>
      <c r="C691" s="30"/>
      <c r="D691" s="5"/>
      <c r="E691" s="79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30"/>
      <c r="B692" s="22"/>
      <c r="C692" s="30"/>
      <c r="D692" s="5"/>
      <c r="E692" s="79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30"/>
      <c r="B693" s="22"/>
      <c r="C693" s="30"/>
      <c r="D693" s="5"/>
      <c r="E693" s="79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30"/>
      <c r="B694" s="22"/>
      <c r="C694" s="30"/>
      <c r="D694" s="5"/>
      <c r="E694" s="79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30"/>
      <c r="B695" s="22"/>
      <c r="C695" s="30"/>
      <c r="D695" s="5"/>
      <c r="E695" s="79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30"/>
      <c r="B696" s="22"/>
      <c r="C696" s="30"/>
      <c r="D696" s="5"/>
      <c r="E696" s="79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30"/>
      <c r="B697" s="22"/>
      <c r="C697" s="30"/>
      <c r="D697" s="5"/>
      <c r="E697" s="79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30"/>
      <c r="B698" s="22"/>
      <c r="C698" s="30"/>
      <c r="D698" s="5"/>
      <c r="E698" s="79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30"/>
      <c r="B699" s="22"/>
      <c r="C699" s="30"/>
      <c r="D699" s="5"/>
      <c r="E699" s="79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30"/>
      <c r="B700" s="22"/>
      <c r="C700" s="30"/>
      <c r="D700" s="5"/>
      <c r="E700" s="79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30"/>
      <c r="B701" s="22"/>
      <c r="C701" s="30"/>
      <c r="D701" s="5"/>
      <c r="E701" s="79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30"/>
      <c r="B702" s="22"/>
      <c r="C702" s="30"/>
      <c r="D702" s="5"/>
      <c r="E702" s="79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30"/>
      <c r="B703" s="22"/>
      <c r="C703" s="30"/>
      <c r="D703" s="5"/>
      <c r="E703" s="79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30"/>
      <c r="B704" s="22"/>
      <c r="C704" s="30"/>
      <c r="D704" s="5"/>
      <c r="E704" s="79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30"/>
      <c r="B705" s="22"/>
      <c r="C705" s="30"/>
      <c r="D705" s="5"/>
      <c r="E705" s="79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30"/>
      <c r="B706" s="22"/>
      <c r="C706" s="30"/>
      <c r="D706" s="5"/>
      <c r="E706" s="79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30"/>
      <c r="B707" s="22"/>
      <c r="C707" s="30"/>
      <c r="D707" s="5"/>
      <c r="E707" s="79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30"/>
      <c r="B708" s="22"/>
      <c r="C708" s="30"/>
      <c r="D708" s="5"/>
      <c r="E708" s="79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30"/>
      <c r="B709" s="22"/>
      <c r="C709" s="30"/>
      <c r="D709" s="5"/>
      <c r="E709" s="79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30"/>
      <c r="B710" s="22"/>
      <c r="C710" s="30"/>
      <c r="D710" s="5"/>
      <c r="E710" s="79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30"/>
      <c r="B711" s="22"/>
      <c r="C711" s="30"/>
      <c r="D711" s="5"/>
      <c r="E711" s="79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30"/>
      <c r="B712" s="22"/>
      <c r="C712" s="30"/>
      <c r="D712" s="5"/>
      <c r="E712" s="79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30"/>
      <c r="B713" s="22"/>
      <c r="C713" s="30"/>
      <c r="D713" s="5"/>
      <c r="E713" s="79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30"/>
      <c r="B714" s="22"/>
      <c r="C714" s="30"/>
      <c r="D714" s="5"/>
      <c r="E714" s="79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30"/>
      <c r="B715" s="22"/>
      <c r="C715" s="30"/>
      <c r="D715" s="5"/>
      <c r="E715" s="79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30"/>
      <c r="B716" s="22"/>
      <c r="C716" s="30"/>
      <c r="D716" s="5"/>
      <c r="E716" s="79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30"/>
      <c r="B717" s="22"/>
      <c r="C717" s="30"/>
      <c r="D717" s="5"/>
      <c r="E717" s="79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30"/>
      <c r="B718" s="22"/>
      <c r="C718" s="30"/>
      <c r="D718" s="5"/>
      <c r="E718" s="79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30"/>
      <c r="B719" s="22"/>
      <c r="C719" s="30"/>
      <c r="D719" s="5"/>
      <c r="E719" s="79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30"/>
      <c r="B720" s="22"/>
      <c r="C720" s="30"/>
      <c r="D720" s="5"/>
      <c r="E720" s="79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30"/>
      <c r="B721" s="22"/>
      <c r="C721" s="30"/>
      <c r="D721" s="5"/>
      <c r="E721" s="79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30"/>
      <c r="B722" s="22"/>
      <c r="C722" s="30"/>
      <c r="D722" s="5"/>
      <c r="E722" s="79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30"/>
      <c r="B723" s="22"/>
      <c r="C723" s="30"/>
      <c r="D723" s="5"/>
      <c r="E723" s="79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30"/>
      <c r="B724" s="22"/>
      <c r="C724" s="30"/>
      <c r="D724" s="5"/>
      <c r="E724" s="79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30"/>
      <c r="B725" s="22"/>
      <c r="C725" s="30"/>
      <c r="D725" s="5"/>
      <c r="E725" s="79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30"/>
      <c r="B726" s="22"/>
      <c r="C726" s="30"/>
      <c r="D726" s="5"/>
      <c r="E726" s="79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30"/>
      <c r="B727" s="22"/>
      <c r="C727" s="30"/>
      <c r="D727" s="5"/>
      <c r="E727" s="79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30"/>
      <c r="B728" s="22"/>
      <c r="C728" s="30"/>
      <c r="D728" s="5"/>
      <c r="E728" s="79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30"/>
      <c r="B729" s="22"/>
      <c r="C729" s="30"/>
      <c r="D729" s="5"/>
      <c r="E729" s="79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30"/>
      <c r="B730" s="22"/>
      <c r="C730" s="30"/>
      <c r="D730" s="5"/>
      <c r="E730" s="79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30"/>
      <c r="B731" s="22"/>
      <c r="C731" s="30"/>
      <c r="D731" s="5"/>
      <c r="E731" s="79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30"/>
      <c r="B732" s="22"/>
      <c r="C732" s="30"/>
      <c r="D732" s="5"/>
      <c r="E732" s="79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30"/>
      <c r="B733" s="22"/>
      <c r="C733" s="30"/>
      <c r="D733" s="5"/>
      <c r="E733" s="79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30"/>
      <c r="B734" s="22"/>
      <c r="C734" s="30"/>
      <c r="D734" s="5"/>
      <c r="E734" s="79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30"/>
      <c r="B735" s="22"/>
      <c r="C735" s="30"/>
      <c r="D735" s="5"/>
      <c r="E735" s="79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30"/>
      <c r="B736" s="22"/>
      <c r="C736" s="30"/>
      <c r="D736" s="5"/>
      <c r="E736" s="79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30"/>
      <c r="B737" s="22"/>
      <c r="C737" s="30"/>
      <c r="D737" s="5"/>
      <c r="E737" s="79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30"/>
      <c r="B738" s="22"/>
      <c r="C738" s="30"/>
      <c r="D738" s="5"/>
      <c r="E738" s="79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30"/>
      <c r="B739" s="22"/>
      <c r="C739" s="30"/>
      <c r="D739" s="5"/>
      <c r="E739" s="79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30"/>
      <c r="B740" s="22"/>
      <c r="C740" s="30"/>
      <c r="D740" s="5"/>
      <c r="E740" s="79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30"/>
      <c r="B741" s="22"/>
      <c r="C741" s="30"/>
      <c r="D741" s="5"/>
      <c r="E741" s="79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30"/>
      <c r="B742" s="22"/>
      <c r="C742" s="30"/>
      <c r="D742" s="5"/>
      <c r="E742" s="79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30"/>
      <c r="B743" s="22"/>
      <c r="C743" s="30"/>
      <c r="D743" s="5"/>
      <c r="E743" s="79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30"/>
      <c r="B744" s="22"/>
      <c r="C744" s="30"/>
      <c r="D744" s="5"/>
      <c r="E744" s="79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30"/>
      <c r="B745" s="22"/>
      <c r="C745" s="30"/>
      <c r="D745" s="5"/>
      <c r="E745" s="79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30"/>
      <c r="B746" s="22"/>
      <c r="C746" s="30"/>
      <c r="D746" s="5"/>
      <c r="E746" s="79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30"/>
      <c r="B747" s="22"/>
      <c r="C747" s="30"/>
      <c r="D747" s="5"/>
      <c r="E747" s="79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30"/>
      <c r="B748" s="22"/>
      <c r="C748" s="30"/>
      <c r="D748" s="5"/>
      <c r="E748" s="79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30"/>
      <c r="B749" s="22"/>
      <c r="C749" s="30"/>
      <c r="D749" s="5"/>
      <c r="E749" s="79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30"/>
      <c r="B750" s="22"/>
      <c r="C750" s="30"/>
      <c r="D750" s="5"/>
      <c r="E750" s="79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30"/>
      <c r="B751" s="22"/>
      <c r="C751" s="30"/>
      <c r="D751" s="5"/>
      <c r="E751" s="79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30"/>
      <c r="B752" s="22"/>
      <c r="C752" s="30"/>
      <c r="D752" s="5"/>
      <c r="E752" s="79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30"/>
      <c r="B753" s="22"/>
      <c r="C753" s="30"/>
      <c r="D753" s="5"/>
      <c r="E753" s="79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30"/>
      <c r="B754" s="22"/>
      <c r="C754" s="30"/>
      <c r="D754" s="5"/>
      <c r="E754" s="79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30"/>
      <c r="B755" s="22"/>
      <c r="C755" s="30"/>
      <c r="D755" s="5"/>
      <c r="E755" s="79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30"/>
      <c r="B756" s="22"/>
      <c r="C756" s="30"/>
      <c r="D756" s="5"/>
      <c r="E756" s="79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30"/>
      <c r="B757" s="22"/>
      <c r="C757" s="30"/>
      <c r="D757" s="5"/>
      <c r="E757" s="79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30"/>
      <c r="B758" s="22"/>
      <c r="C758" s="30"/>
      <c r="D758" s="5"/>
      <c r="E758" s="79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30"/>
      <c r="B759" s="22"/>
      <c r="C759" s="30"/>
      <c r="D759" s="5"/>
      <c r="E759" s="79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30"/>
      <c r="B760" s="22"/>
      <c r="C760" s="30"/>
      <c r="D760" s="5"/>
      <c r="E760" s="79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30"/>
      <c r="B761" s="22"/>
      <c r="C761" s="30"/>
      <c r="D761" s="5"/>
      <c r="E761" s="79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30"/>
      <c r="B762" s="22"/>
      <c r="C762" s="30"/>
      <c r="D762" s="5"/>
      <c r="E762" s="79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30"/>
      <c r="B763" s="22"/>
      <c r="C763" s="30"/>
      <c r="D763" s="5"/>
      <c r="E763" s="79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30"/>
      <c r="B764" s="22"/>
      <c r="C764" s="30"/>
      <c r="D764" s="5"/>
      <c r="E764" s="79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30"/>
      <c r="B765" s="22"/>
      <c r="C765" s="30"/>
      <c r="D765" s="5"/>
      <c r="E765" s="79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30"/>
      <c r="B766" s="22"/>
      <c r="C766" s="30"/>
      <c r="D766" s="5"/>
      <c r="E766" s="79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30"/>
      <c r="B767" s="22"/>
      <c r="C767" s="30"/>
      <c r="D767" s="5"/>
      <c r="E767" s="79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30"/>
      <c r="B768" s="22"/>
      <c r="C768" s="30"/>
      <c r="D768" s="5"/>
      <c r="E768" s="79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30"/>
      <c r="B769" s="22"/>
      <c r="C769" s="30"/>
      <c r="D769" s="5"/>
      <c r="E769" s="79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30"/>
      <c r="B770" s="22"/>
      <c r="C770" s="30"/>
      <c r="D770" s="5"/>
      <c r="E770" s="79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30"/>
      <c r="B771" s="22"/>
      <c r="C771" s="30"/>
      <c r="D771" s="5"/>
      <c r="E771" s="79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30"/>
      <c r="B772" s="22"/>
      <c r="C772" s="30"/>
      <c r="D772" s="5"/>
      <c r="E772" s="79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30"/>
      <c r="B773" s="22"/>
      <c r="C773" s="30"/>
      <c r="D773" s="5"/>
      <c r="E773" s="79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30"/>
      <c r="B774" s="22"/>
      <c r="C774" s="30"/>
      <c r="D774" s="5"/>
      <c r="E774" s="79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30"/>
      <c r="B775" s="22"/>
      <c r="C775" s="30"/>
      <c r="D775" s="5"/>
      <c r="E775" s="79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30"/>
      <c r="B776" s="22"/>
      <c r="C776" s="30"/>
      <c r="D776" s="5"/>
      <c r="E776" s="79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30"/>
      <c r="B777" s="22"/>
      <c r="C777" s="30"/>
      <c r="D777" s="5"/>
      <c r="E777" s="79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30"/>
      <c r="B778" s="22"/>
      <c r="C778" s="30"/>
      <c r="D778" s="5"/>
      <c r="E778" s="79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30"/>
      <c r="B779" s="22"/>
      <c r="C779" s="30"/>
      <c r="D779" s="5"/>
      <c r="E779" s="79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30"/>
      <c r="B780" s="22"/>
      <c r="C780" s="30"/>
      <c r="D780" s="5"/>
      <c r="E780" s="79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30"/>
      <c r="B781" s="22"/>
      <c r="C781" s="30"/>
      <c r="D781" s="5"/>
      <c r="E781" s="79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30"/>
      <c r="B782" s="22"/>
      <c r="C782" s="30"/>
      <c r="D782" s="5"/>
      <c r="E782" s="79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30"/>
      <c r="B783" s="22"/>
      <c r="C783" s="30"/>
      <c r="D783" s="5"/>
      <c r="E783" s="79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30"/>
      <c r="B784" s="22"/>
      <c r="C784" s="30"/>
      <c r="D784" s="5"/>
      <c r="E784" s="79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30"/>
      <c r="B785" s="22"/>
      <c r="C785" s="30"/>
      <c r="D785" s="5"/>
      <c r="E785" s="79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30"/>
      <c r="B786" s="22"/>
      <c r="C786" s="30"/>
      <c r="D786" s="5"/>
      <c r="E786" s="79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30"/>
      <c r="B787" s="22"/>
      <c r="C787" s="30"/>
      <c r="D787" s="5"/>
      <c r="E787" s="79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30"/>
      <c r="B788" s="22"/>
      <c r="C788" s="30"/>
      <c r="D788" s="5"/>
      <c r="E788" s="79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30"/>
      <c r="B789" s="22"/>
      <c r="C789" s="30"/>
      <c r="D789" s="5"/>
      <c r="E789" s="79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30"/>
      <c r="B790" s="22"/>
      <c r="C790" s="30"/>
      <c r="D790" s="5"/>
      <c r="E790" s="79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30"/>
      <c r="B791" s="22"/>
      <c r="C791" s="30"/>
      <c r="D791" s="5"/>
      <c r="E791" s="79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30"/>
      <c r="B792" s="22"/>
      <c r="C792" s="30"/>
      <c r="D792" s="5"/>
      <c r="E792" s="79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30"/>
      <c r="B793" s="22"/>
      <c r="C793" s="30"/>
      <c r="D793" s="5"/>
      <c r="E793" s="79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30"/>
      <c r="B794" s="22"/>
      <c r="C794" s="30"/>
      <c r="D794" s="5"/>
      <c r="E794" s="79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30"/>
      <c r="B795" s="22"/>
      <c r="C795" s="30"/>
      <c r="D795" s="5"/>
      <c r="E795" s="79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30"/>
      <c r="B796" s="22"/>
      <c r="C796" s="30"/>
      <c r="D796" s="5"/>
      <c r="E796" s="79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30"/>
      <c r="B797" s="22"/>
      <c r="C797" s="30"/>
      <c r="D797" s="5"/>
      <c r="E797" s="79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30"/>
      <c r="B798" s="22"/>
      <c r="C798" s="30"/>
      <c r="D798" s="5"/>
      <c r="E798" s="79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30"/>
      <c r="B799" s="22"/>
      <c r="C799" s="30"/>
      <c r="D799" s="5"/>
      <c r="E799" s="79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30"/>
      <c r="B800" s="22"/>
      <c r="C800" s="30"/>
      <c r="D800" s="5"/>
      <c r="E800" s="79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30"/>
      <c r="B801" s="22"/>
      <c r="C801" s="30"/>
      <c r="D801" s="5"/>
      <c r="E801" s="79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30"/>
      <c r="B802" s="22"/>
      <c r="C802" s="30"/>
      <c r="D802" s="5"/>
      <c r="E802" s="79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30"/>
      <c r="B803" s="22"/>
      <c r="C803" s="30"/>
      <c r="D803" s="5"/>
      <c r="E803" s="79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30"/>
      <c r="B804" s="22"/>
      <c r="C804" s="30"/>
      <c r="D804" s="5"/>
      <c r="E804" s="79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30"/>
      <c r="B805" s="22"/>
      <c r="C805" s="30"/>
      <c r="D805" s="5"/>
      <c r="E805" s="79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30"/>
      <c r="B806" s="22"/>
      <c r="C806" s="30"/>
      <c r="D806" s="5"/>
      <c r="E806" s="79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30"/>
      <c r="B807" s="22"/>
      <c r="C807" s="30"/>
      <c r="D807" s="5"/>
      <c r="E807" s="79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30"/>
      <c r="B808" s="22"/>
      <c r="C808" s="30"/>
      <c r="D808" s="5"/>
      <c r="E808" s="79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30"/>
      <c r="B809" s="22"/>
      <c r="C809" s="30"/>
      <c r="D809" s="5"/>
      <c r="E809" s="79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30"/>
      <c r="B810" s="22"/>
      <c r="C810" s="30"/>
      <c r="D810" s="5"/>
      <c r="E810" s="79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30"/>
      <c r="B811" s="22"/>
      <c r="C811" s="30"/>
      <c r="D811" s="5"/>
      <c r="E811" s="79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30"/>
      <c r="B812" s="22"/>
      <c r="C812" s="30"/>
      <c r="D812" s="5"/>
      <c r="E812" s="79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30"/>
      <c r="B813" s="22"/>
      <c r="C813" s="30"/>
      <c r="D813" s="5"/>
      <c r="E813" s="79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30"/>
      <c r="B814" s="22"/>
      <c r="C814" s="30"/>
      <c r="D814" s="5"/>
      <c r="E814" s="79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30"/>
      <c r="B815" s="22"/>
      <c r="C815" s="30"/>
      <c r="D815" s="5"/>
      <c r="E815" s="79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30"/>
      <c r="B816" s="22"/>
      <c r="C816" s="30"/>
      <c r="D816" s="5"/>
      <c r="E816" s="79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30"/>
      <c r="B817" s="22"/>
      <c r="C817" s="30"/>
      <c r="D817" s="5"/>
      <c r="E817" s="79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30"/>
      <c r="B818" s="22"/>
      <c r="C818" s="30"/>
      <c r="D818" s="5"/>
      <c r="E818" s="79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30"/>
      <c r="B819" s="22"/>
      <c r="C819" s="30"/>
      <c r="D819" s="5"/>
      <c r="E819" s="79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30"/>
      <c r="B820" s="22"/>
      <c r="C820" s="30"/>
      <c r="D820" s="5"/>
      <c r="E820" s="79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30"/>
      <c r="B821" s="22"/>
      <c r="C821" s="30"/>
      <c r="D821" s="5"/>
      <c r="E821" s="79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30"/>
      <c r="B822" s="22"/>
      <c r="C822" s="30"/>
      <c r="D822" s="5"/>
      <c r="E822" s="79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30"/>
      <c r="B823" s="22"/>
      <c r="C823" s="30"/>
      <c r="D823" s="5"/>
      <c r="E823" s="79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30"/>
      <c r="B824" s="22"/>
      <c r="C824" s="30"/>
      <c r="D824" s="5"/>
      <c r="E824" s="79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30"/>
      <c r="B825" s="22"/>
      <c r="C825" s="30"/>
      <c r="D825" s="5"/>
      <c r="E825" s="79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30"/>
      <c r="B826" s="22"/>
      <c r="C826" s="30"/>
      <c r="D826" s="5"/>
      <c r="E826" s="79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30"/>
      <c r="B827" s="22"/>
      <c r="C827" s="30"/>
      <c r="D827" s="5"/>
      <c r="E827" s="79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30"/>
      <c r="B828" s="22"/>
      <c r="C828" s="30"/>
      <c r="D828" s="5"/>
      <c r="E828" s="79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30"/>
      <c r="B829" s="22"/>
      <c r="C829" s="30"/>
      <c r="D829" s="5"/>
      <c r="E829" s="79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30"/>
      <c r="B830" s="22"/>
      <c r="C830" s="30"/>
      <c r="D830" s="5"/>
      <c r="E830" s="79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30"/>
      <c r="B831" s="22"/>
      <c r="C831" s="30"/>
      <c r="D831" s="5"/>
      <c r="E831" s="79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30"/>
      <c r="B832" s="22"/>
      <c r="C832" s="30"/>
      <c r="D832" s="5"/>
      <c r="E832" s="79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30"/>
      <c r="B833" s="22"/>
      <c r="C833" s="30"/>
      <c r="D833" s="5"/>
      <c r="E833" s="79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30"/>
      <c r="B834" s="22"/>
      <c r="C834" s="30"/>
      <c r="D834" s="5"/>
      <c r="E834" s="79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30"/>
      <c r="B835" s="22"/>
      <c r="C835" s="30"/>
      <c r="D835" s="5"/>
      <c r="E835" s="79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30"/>
      <c r="B836" s="22"/>
      <c r="C836" s="30"/>
      <c r="D836" s="5"/>
      <c r="E836" s="79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30"/>
      <c r="B837" s="22"/>
      <c r="C837" s="30"/>
      <c r="D837" s="5"/>
      <c r="E837" s="79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30"/>
      <c r="B838" s="22"/>
      <c r="C838" s="30"/>
      <c r="D838" s="5"/>
      <c r="E838" s="79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30"/>
      <c r="B839" s="22"/>
      <c r="C839" s="30"/>
      <c r="D839" s="5"/>
      <c r="E839" s="79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30"/>
      <c r="B840" s="22"/>
      <c r="C840" s="30"/>
      <c r="D840" s="5"/>
      <c r="E840" s="79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30"/>
      <c r="B841" s="22"/>
      <c r="C841" s="30"/>
      <c r="D841" s="5"/>
      <c r="E841" s="79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30"/>
      <c r="B842" s="22"/>
      <c r="C842" s="30"/>
      <c r="D842" s="5"/>
      <c r="E842" s="79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30"/>
      <c r="B843" s="22"/>
      <c r="C843" s="30"/>
      <c r="D843" s="5"/>
      <c r="E843" s="79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30"/>
      <c r="B844" s="22"/>
      <c r="C844" s="30"/>
      <c r="D844" s="5"/>
      <c r="E844" s="79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30"/>
      <c r="B845" s="22"/>
      <c r="C845" s="30"/>
      <c r="D845" s="5"/>
      <c r="E845" s="79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30"/>
      <c r="B846" s="22"/>
      <c r="C846" s="30"/>
      <c r="D846" s="5"/>
      <c r="E846" s="79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30"/>
      <c r="B847" s="22"/>
      <c r="C847" s="30"/>
      <c r="D847" s="5"/>
      <c r="E847" s="79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30"/>
      <c r="B848" s="22"/>
      <c r="C848" s="30"/>
      <c r="D848" s="5"/>
      <c r="E848" s="79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30"/>
      <c r="B849" s="22"/>
      <c r="C849" s="30"/>
      <c r="D849" s="5"/>
      <c r="E849" s="79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30"/>
      <c r="B850" s="22"/>
      <c r="C850" s="30"/>
      <c r="D850" s="5"/>
      <c r="E850" s="79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30"/>
      <c r="B851" s="22"/>
      <c r="C851" s="30"/>
      <c r="D851" s="5"/>
      <c r="E851" s="79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30"/>
      <c r="B852" s="22"/>
      <c r="C852" s="30"/>
      <c r="D852" s="5"/>
      <c r="E852" s="79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30"/>
      <c r="B853" s="22"/>
      <c r="C853" s="30"/>
      <c r="D853" s="5"/>
      <c r="E853" s="79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30"/>
      <c r="B854" s="22"/>
      <c r="C854" s="30"/>
      <c r="D854" s="5"/>
      <c r="E854" s="79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30"/>
      <c r="B855" s="22"/>
      <c r="C855" s="30"/>
      <c r="D855" s="5"/>
      <c r="E855" s="79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30"/>
      <c r="B856" s="22"/>
      <c r="C856" s="30"/>
      <c r="D856" s="5"/>
      <c r="E856" s="79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30"/>
      <c r="B857" s="22"/>
      <c r="C857" s="30"/>
      <c r="D857" s="5"/>
      <c r="E857" s="79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30"/>
      <c r="B858" s="22"/>
      <c r="C858" s="30"/>
      <c r="D858" s="5"/>
      <c r="E858" s="79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30"/>
      <c r="B859" s="22"/>
      <c r="C859" s="30"/>
      <c r="D859" s="5"/>
      <c r="E859" s="79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30"/>
      <c r="B860" s="22"/>
      <c r="C860" s="30"/>
      <c r="D860" s="5"/>
      <c r="E860" s="79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30"/>
      <c r="B861" s="22"/>
      <c r="C861" s="30"/>
      <c r="D861" s="5"/>
      <c r="E861" s="79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30"/>
      <c r="B862" s="22"/>
      <c r="C862" s="30"/>
      <c r="D862" s="5"/>
      <c r="E862" s="79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30"/>
      <c r="B863" s="22"/>
      <c r="C863" s="30"/>
      <c r="D863" s="5"/>
      <c r="E863" s="79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30"/>
      <c r="B864" s="22"/>
      <c r="C864" s="30"/>
      <c r="D864" s="5"/>
      <c r="E864" s="79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30"/>
      <c r="B865" s="22"/>
      <c r="C865" s="30"/>
      <c r="D865" s="5"/>
      <c r="E865" s="79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30"/>
      <c r="B866" s="22"/>
      <c r="C866" s="30"/>
      <c r="D866" s="5"/>
      <c r="E866" s="79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30"/>
      <c r="B867" s="22"/>
      <c r="C867" s="30"/>
      <c r="D867" s="5"/>
      <c r="E867" s="79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30"/>
      <c r="B868" s="22"/>
      <c r="C868" s="30"/>
      <c r="D868" s="5"/>
      <c r="E868" s="79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30"/>
      <c r="B869" s="22"/>
      <c r="C869" s="30"/>
      <c r="D869" s="5"/>
      <c r="E869" s="79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30"/>
      <c r="B870" s="22"/>
      <c r="C870" s="30"/>
      <c r="D870" s="5"/>
      <c r="E870" s="79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30"/>
      <c r="B871" s="22"/>
      <c r="C871" s="30"/>
      <c r="D871" s="5"/>
      <c r="E871" s="79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30"/>
      <c r="B872" s="22"/>
      <c r="C872" s="30"/>
      <c r="D872" s="5"/>
      <c r="E872" s="79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30"/>
      <c r="B873" s="22"/>
      <c r="C873" s="30"/>
      <c r="D873" s="5"/>
      <c r="E873" s="79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30"/>
      <c r="B874" s="22"/>
      <c r="C874" s="30"/>
      <c r="D874" s="5"/>
      <c r="E874" s="79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30"/>
      <c r="B875" s="22"/>
      <c r="C875" s="30"/>
      <c r="D875" s="5"/>
      <c r="E875" s="79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30"/>
      <c r="B876" s="22"/>
      <c r="C876" s="30"/>
      <c r="D876" s="5"/>
      <c r="E876" s="79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30"/>
      <c r="B877" s="22"/>
      <c r="C877" s="30"/>
      <c r="D877" s="5"/>
      <c r="E877" s="79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30"/>
      <c r="B878" s="22"/>
      <c r="C878" s="30"/>
      <c r="D878" s="5"/>
      <c r="E878" s="79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30"/>
      <c r="B879" s="22"/>
      <c r="C879" s="30"/>
      <c r="D879" s="5"/>
      <c r="E879" s="79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30"/>
      <c r="B880" s="22"/>
      <c r="C880" s="30"/>
      <c r="D880" s="5"/>
      <c r="E880" s="79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30"/>
      <c r="B881" s="22"/>
      <c r="C881" s="30"/>
      <c r="D881" s="5"/>
      <c r="E881" s="79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30"/>
      <c r="B882" s="22"/>
      <c r="C882" s="30"/>
      <c r="D882" s="5"/>
      <c r="E882" s="79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30"/>
      <c r="B883" s="22"/>
      <c r="C883" s="30"/>
      <c r="D883" s="5"/>
      <c r="E883" s="79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30"/>
      <c r="B884" s="22"/>
      <c r="C884" s="30"/>
      <c r="D884" s="5"/>
      <c r="E884" s="79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30"/>
      <c r="B885" s="22"/>
      <c r="C885" s="30"/>
      <c r="D885" s="5"/>
      <c r="E885" s="79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30"/>
      <c r="B886" s="22"/>
      <c r="C886" s="30"/>
      <c r="D886" s="5"/>
      <c r="E886" s="79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30"/>
      <c r="B887" s="22"/>
      <c r="C887" s="30"/>
      <c r="D887" s="5"/>
      <c r="E887" s="79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30"/>
      <c r="B888" s="22"/>
      <c r="C888" s="30"/>
      <c r="D888" s="5"/>
      <c r="E888" s="79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30"/>
      <c r="B889" s="22"/>
      <c r="C889" s="30"/>
      <c r="D889" s="5"/>
      <c r="E889" s="79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30"/>
      <c r="B890" s="22"/>
      <c r="C890" s="30"/>
      <c r="D890" s="5"/>
      <c r="E890" s="79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30"/>
      <c r="B891" s="22"/>
      <c r="C891" s="30"/>
      <c r="D891" s="5"/>
      <c r="E891" s="79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30"/>
      <c r="B892" s="22"/>
      <c r="C892" s="30"/>
      <c r="D892" s="5"/>
      <c r="E892" s="79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30"/>
      <c r="B893" s="22"/>
      <c r="C893" s="30"/>
      <c r="D893" s="5"/>
      <c r="E893" s="79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30"/>
      <c r="B894" s="22"/>
      <c r="C894" s="30"/>
      <c r="D894" s="5"/>
      <c r="E894" s="79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30"/>
      <c r="B895" s="22"/>
      <c r="C895" s="30"/>
      <c r="D895" s="5"/>
      <c r="E895" s="79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30"/>
      <c r="B896" s="22"/>
      <c r="C896" s="30"/>
      <c r="D896" s="5"/>
      <c r="E896" s="79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30"/>
      <c r="B897" s="22"/>
      <c r="C897" s="30"/>
      <c r="D897" s="5"/>
      <c r="E897" s="79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30"/>
      <c r="B898" s="22"/>
      <c r="C898" s="30"/>
      <c r="D898" s="5"/>
      <c r="E898" s="79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30"/>
      <c r="B899" s="22"/>
      <c r="C899" s="30"/>
      <c r="D899" s="5"/>
      <c r="E899" s="79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30"/>
      <c r="B900" s="22"/>
      <c r="C900" s="30"/>
      <c r="D900" s="5"/>
      <c r="E900" s="79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30"/>
      <c r="B901" s="22"/>
      <c r="C901" s="30"/>
      <c r="D901" s="5"/>
      <c r="E901" s="79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30"/>
      <c r="B902" s="22"/>
      <c r="C902" s="30"/>
      <c r="D902" s="5"/>
      <c r="E902" s="79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30"/>
      <c r="B903" s="22"/>
      <c r="C903" s="30"/>
      <c r="D903" s="5"/>
      <c r="E903" s="79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30"/>
      <c r="B904" s="22"/>
      <c r="C904" s="30"/>
      <c r="D904" s="5"/>
      <c r="E904" s="79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30"/>
      <c r="B905" s="22"/>
      <c r="C905" s="30"/>
      <c r="D905" s="5"/>
      <c r="E905" s="79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30"/>
      <c r="B906" s="22"/>
      <c r="C906" s="30"/>
      <c r="D906" s="5"/>
      <c r="E906" s="79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30"/>
      <c r="B907" s="22"/>
      <c r="C907" s="30"/>
      <c r="D907" s="5"/>
      <c r="E907" s="79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30"/>
      <c r="B908" s="22"/>
      <c r="C908" s="30"/>
      <c r="D908" s="5"/>
      <c r="E908" s="79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30"/>
      <c r="B909" s="22"/>
      <c r="C909" s="30"/>
      <c r="D909" s="5"/>
      <c r="E909" s="79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30"/>
      <c r="B910" s="22"/>
      <c r="C910" s="30"/>
      <c r="D910" s="5"/>
      <c r="E910" s="79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30"/>
      <c r="B911" s="22"/>
      <c r="C911" s="30"/>
      <c r="D911" s="5"/>
      <c r="E911" s="79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30"/>
      <c r="B912" s="22"/>
      <c r="C912" s="30"/>
      <c r="D912" s="5"/>
      <c r="E912" s="79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30"/>
      <c r="B913" s="22"/>
      <c r="C913" s="30"/>
      <c r="D913" s="5"/>
      <c r="E913" s="79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30"/>
      <c r="B914" s="22"/>
      <c r="C914" s="30"/>
      <c r="D914" s="5"/>
      <c r="E914" s="79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30"/>
      <c r="B915" s="22"/>
      <c r="C915" s="30"/>
      <c r="D915" s="5"/>
      <c r="E915" s="79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30"/>
      <c r="B916" s="22"/>
      <c r="C916" s="30"/>
      <c r="D916" s="5"/>
      <c r="E916" s="79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30"/>
      <c r="B917" s="22"/>
      <c r="C917" s="30"/>
      <c r="D917" s="5"/>
      <c r="E917" s="79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30"/>
      <c r="B918" s="22"/>
      <c r="C918" s="30"/>
      <c r="D918" s="5"/>
      <c r="E918" s="79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30"/>
      <c r="B919" s="22"/>
      <c r="C919" s="30"/>
      <c r="D919" s="5"/>
      <c r="E919" s="79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30"/>
      <c r="B920" s="22"/>
      <c r="C920" s="30"/>
      <c r="D920" s="5"/>
      <c r="E920" s="79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30"/>
      <c r="B921" s="22"/>
      <c r="C921" s="30"/>
      <c r="D921" s="5"/>
      <c r="E921" s="79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30"/>
      <c r="B922" s="22"/>
      <c r="C922" s="30"/>
      <c r="D922" s="5"/>
      <c r="E922" s="79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30"/>
      <c r="B923" s="22"/>
      <c r="C923" s="30"/>
      <c r="D923" s="5"/>
      <c r="E923" s="79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30"/>
      <c r="B924" s="22"/>
      <c r="C924" s="30"/>
      <c r="D924" s="5"/>
      <c r="E924" s="79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30"/>
      <c r="B925" s="22"/>
      <c r="C925" s="30"/>
      <c r="D925" s="5"/>
      <c r="E925" s="79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30"/>
      <c r="B926" s="22"/>
      <c r="C926" s="30"/>
      <c r="D926" s="5"/>
      <c r="E926" s="79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30"/>
      <c r="B927" s="22"/>
      <c r="C927" s="30"/>
      <c r="D927" s="5"/>
      <c r="E927" s="79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30"/>
      <c r="B928" s="22"/>
      <c r="C928" s="30"/>
      <c r="D928" s="5"/>
      <c r="E928" s="79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30"/>
      <c r="B929" s="22"/>
      <c r="C929" s="30"/>
      <c r="D929" s="5"/>
      <c r="E929" s="79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30"/>
      <c r="B930" s="22"/>
      <c r="C930" s="30"/>
      <c r="D930" s="5"/>
      <c r="E930" s="79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30"/>
      <c r="B931" s="22"/>
      <c r="C931" s="30"/>
      <c r="D931" s="5"/>
      <c r="E931" s="79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30"/>
      <c r="B932" s="22"/>
      <c r="C932" s="30"/>
      <c r="D932" s="5"/>
      <c r="E932" s="79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30"/>
      <c r="B933" s="22"/>
      <c r="C933" s="30"/>
      <c r="D933" s="5"/>
      <c r="E933" s="79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30"/>
      <c r="B934" s="22"/>
      <c r="C934" s="30"/>
      <c r="D934" s="5"/>
      <c r="E934" s="79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30"/>
      <c r="B935" s="22"/>
      <c r="C935" s="30"/>
      <c r="D935" s="5"/>
      <c r="E935" s="79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30"/>
      <c r="B936" s="22"/>
      <c r="C936" s="30"/>
      <c r="D936" s="5"/>
      <c r="E936" s="79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30"/>
      <c r="B937" s="22"/>
      <c r="C937" s="30"/>
      <c r="D937" s="5"/>
      <c r="E937" s="79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30"/>
      <c r="B938" s="22"/>
      <c r="C938" s="30"/>
      <c r="D938" s="5"/>
      <c r="E938" s="79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30"/>
      <c r="B939" s="22"/>
      <c r="C939" s="30"/>
      <c r="D939" s="5"/>
      <c r="E939" s="79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30"/>
      <c r="B940" s="22"/>
      <c r="C940" s="30"/>
      <c r="D940" s="5"/>
      <c r="E940" s="79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30"/>
      <c r="B941" s="22"/>
      <c r="C941" s="30"/>
      <c r="D941" s="5"/>
      <c r="E941" s="79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30"/>
      <c r="B942" s="22"/>
      <c r="C942" s="30"/>
      <c r="D942" s="5"/>
      <c r="E942" s="79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30"/>
      <c r="B943" s="22"/>
      <c r="C943" s="30"/>
      <c r="D943" s="5"/>
      <c r="E943" s="79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30"/>
      <c r="B944" s="22"/>
      <c r="C944" s="30"/>
      <c r="D944" s="5"/>
      <c r="E944" s="79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30"/>
      <c r="B945" s="22"/>
      <c r="C945" s="30"/>
      <c r="D945" s="5"/>
      <c r="E945" s="79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30"/>
      <c r="B946" s="22"/>
      <c r="C946" s="30"/>
      <c r="D946" s="5"/>
      <c r="E946" s="79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30"/>
      <c r="B947" s="22"/>
      <c r="C947" s="30"/>
      <c r="D947" s="5"/>
      <c r="E947" s="79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30"/>
      <c r="B948" s="22"/>
      <c r="C948" s="30"/>
      <c r="D948" s="5"/>
      <c r="E948" s="79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30"/>
      <c r="B949" s="22"/>
      <c r="C949" s="30"/>
      <c r="D949" s="5"/>
      <c r="E949" s="79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30"/>
      <c r="B950" s="22"/>
      <c r="C950" s="30"/>
      <c r="D950" s="5"/>
      <c r="E950" s="79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30"/>
      <c r="B951" s="22"/>
      <c r="C951" s="30"/>
      <c r="D951" s="5"/>
      <c r="E951" s="79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30"/>
      <c r="B952" s="22"/>
      <c r="C952" s="30"/>
      <c r="D952" s="5"/>
      <c r="E952" s="79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30"/>
      <c r="B953" s="22"/>
      <c r="C953" s="30"/>
      <c r="D953" s="5"/>
      <c r="E953" s="79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30"/>
      <c r="B954" s="22"/>
      <c r="C954" s="30"/>
      <c r="D954" s="5"/>
      <c r="E954" s="79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30"/>
      <c r="B955" s="22"/>
      <c r="C955" s="30"/>
      <c r="D955" s="5"/>
      <c r="E955" s="79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30"/>
      <c r="B956" s="22"/>
      <c r="C956" s="30"/>
      <c r="D956" s="5"/>
      <c r="E956" s="79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30"/>
      <c r="B957" s="22"/>
      <c r="C957" s="30"/>
      <c r="D957" s="5"/>
      <c r="E957" s="79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 ht="15.75" customHeight="1">
      <c r="A958" s="30"/>
      <c r="B958" s="22"/>
      <c r="C958" s="30"/>
      <c r="D958" s="5"/>
      <c r="E958" s="79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 ht="15.75" customHeight="1">
      <c r="A959" s="30"/>
      <c r="B959" s="22"/>
      <c r="C959" s="30"/>
      <c r="D959" s="5"/>
      <c r="E959" s="79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 ht="15.75" customHeight="1">
      <c r="A960" s="30"/>
      <c r="B960" s="22"/>
      <c r="C960" s="30"/>
      <c r="D960" s="5"/>
      <c r="E960" s="79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 ht="15.75" customHeight="1">
      <c r="A961" s="30"/>
      <c r="B961" s="22"/>
      <c r="C961" s="30"/>
      <c r="D961" s="5"/>
      <c r="E961" s="79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 ht="15.75" customHeight="1">
      <c r="A962" s="30"/>
      <c r="B962" s="22"/>
      <c r="C962" s="30"/>
      <c r="D962" s="5"/>
      <c r="E962" s="79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 ht="15.75" customHeight="1">
      <c r="A963" s="30"/>
      <c r="B963" s="22"/>
      <c r="C963" s="30"/>
      <c r="D963" s="5"/>
      <c r="E963" s="79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 ht="15.75" customHeight="1">
      <c r="A964" s="30"/>
      <c r="B964" s="22"/>
      <c r="C964" s="30"/>
      <c r="D964" s="5"/>
      <c r="E964" s="79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 ht="15.75" customHeight="1">
      <c r="A965" s="30"/>
      <c r="B965" s="22"/>
      <c r="C965" s="30"/>
      <c r="D965" s="5"/>
      <c r="E965" s="79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 ht="15.75" customHeight="1">
      <c r="A966" s="30"/>
      <c r="B966" s="22"/>
      <c r="C966" s="30"/>
      <c r="D966" s="5"/>
      <c r="E966" s="79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 ht="15.75" customHeight="1">
      <c r="A967" s="30"/>
      <c r="B967" s="22"/>
      <c r="C967" s="30"/>
      <c r="D967" s="5"/>
      <c r="E967" s="79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 ht="15.75" customHeight="1">
      <c r="A968" s="30"/>
      <c r="B968" s="22"/>
      <c r="C968" s="30"/>
      <c r="D968" s="5"/>
      <c r="E968" s="79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 ht="15.75" customHeight="1">
      <c r="A969" s="30"/>
      <c r="B969" s="22"/>
      <c r="C969" s="30"/>
      <c r="D969" s="5"/>
      <c r="E969" s="79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 ht="15.75" customHeight="1">
      <c r="A970" s="30"/>
      <c r="B970" s="22"/>
      <c r="C970" s="30"/>
      <c r="D970" s="5"/>
      <c r="E970" s="79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 ht="15.75" customHeight="1">
      <c r="A971" s="30"/>
      <c r="B971" s="22"/>
      <c r="C971" s="30"/>
      <c r="D971" s="5"/>
      <c r="E971" s="79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 ht="15.75" customHeight="1">
      <c r="A972" s="30"/>
      <c r="B972" s="22"/>
      <c r="C972" s="30"/>
      <c r="D972" s="5"/>
      <c r="E972" s="79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 ht="15.75" customHeight="1">
      <c r="A973" s="5"/>
      <c r="B973" s="89"/>
      <c r="C973" s="5"/>
      <c r="D973" s="5"/>
      <c r="E973" s="118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 ht="15.75" customHeight="1">
      <c r="A974" s="5"/>
      <c r="B974" s="89"/>
      <c r="C974" s="5"/>
      <c r="D974" s="5"/>
      <c r="E974" s="118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 ht="15.75" customHeight="1">
      <c r="A975" s="5"/>
      <c r="B975" s="89"/>
      <c r="C975" s="5"/>
      <c r="D975" s="5"/>
      <c r="E975" s="118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 ht="15.75" customHeight="1">
      <c r="A976" s="5"/>
      <c r="B976" s="89"/>
      <c r="C976" s="5"/>
      <c r="D976" s="5"/>
      <c r="E976" s="118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 ht="15.75" customHeight="1">
      <c r="A977" s="5"/>
      <c r="B977" s="89"/>
      <c r="C977" s="5"/>
      <c r="D977" s="5"/>
      <c r="E977" s="118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 ht="15.75" customHeight="1">
      <c r="A978" s="5"/>
      <c r="B978" s="89"/>
      <c r="C978" s="5"/>
      <c r="D978" s="5"/>
      <c r="E978" s="118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 ht="15.75" customHeight="1">
      <c r="A979" s="5"/>
      <c r="B979" s="89"/>
      <c r="C979" s="5"/>
      <c r="D979" s="5"/>
      <c r="E979" s="118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 ht="15.75" customHeight="1">
      <c r="A980" s="5"/>
      <c r="B980" s="89"/>
      <c r="C980" s="5"/>
      <c r="D980" s="5"/>
      <c r="E980" s="118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 ht="15.75" customHeight="1">
      <c r="A981" s="5"/>
      <c r="B981" s="89"/>
      <c r="C981" s="5"/>
      <c r="D981" s="5"/>
      <c r="E981" s="118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 ht="15.75" customHeight="1">
      <c r="A982" s="5"/>
      <c r="B982" s="89"/>
      <c r="C982" s="5"/>
      <c r="D982" s="5"/>
      <c r="E982" s="118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 ht="15.75" customHeight="1">
      <c r="A983" s="5"/>
      <c r="B983" s="89"/>
      <c r="C983" s="5"/>
      <c r="D983" s="5"/>
      <c r="E983" s="118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 ht="15.75" customHeight="1">
      <c r="A984" s="5"/>
      <c r="B984" s="89"/>
      <c r="C984" s="5"/>
      <c r="D984" s="5"/>
      <c r="E984" s="118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 ht="15.75" customHeight="1">
      <c r="A985" s="5"/>
      <c r="B985" s="89"/>
      <c r="C985" s="5"/>
      <c r="D985" s="5"/>
      <c r="E985" s="118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 ht="15.75" customHeight="1">
      <c r="A986" s="5"/>
      <c r="B986" s="89"/>
      <c r="C986" s="5"/>
      <c r="D986" s="5"/>
      <c r="E986" s="118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 ht="15.75" customHeight="1">
      <c r="A987" s="5"/>
      <c r="B987" s="89"/>
      <c r="C987" s="5"/>
      <c r="D987" s="5"/>
      <c r="E987" s="118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 ht="15.75" customHeight="1">
      <c r="A988" s="5"/>
      <c r="B988" s="89"/>
      <c r="C988" s="5"/>
      <c r="D988" s="5"/>
      <c r="E988" s="118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 ht="15.75" customHeight="1">
      <c r="A989" s="5"/>
      <c r="B989" s="89"/>
      <c r="C989" s="5"/>
      <c r="D989" s="5"/>
      <c r="E989" s="118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 ht="15.75" customHeight="1">
      <c r="A990" s="5"/>
      <c r="B990" s="89"/>
      <c r="C990" s="5"/>
      <c r="D990" s="5"/>
      <c r="E990" s="118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 ht="15.75" customHeight="1">
      <c r="A991" s="5"/>
      <c r="B991" s="89"/>
      <c r="C991" s="5"/>
      <c r="D991" s="5"/>
      <c r="E991" s="118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 ht="15.75" customHeight="1">
      <c r="A992" s="5"/>
      <c r="B992" s="89"/>
      <c r="C992" s="5"/>
      <c r="D992" s="5"/>
      <c r="E992" s="118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 ht="15.75" customHeight="1">
      <c r="A993" s="5"/>
      <c r="B993" s="89"/>
      <c r="C993" s="5"/>
      <c r="D993" s="5"/>
      <c r="E993" s="118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 ht="15.75" customHeight="1">
      <c r="A994" s="5"/>
      <c r="B994" s="89"/>
      <c r="C994" s="5"/>
      <c r="D994" s="5"/>
      <c r="E994" s="118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 ht="15.75" customHeight="1">
      <c r="A995" s="5"/>
      <c r="B995" s="89"/>
      <c r="C995" s="5"/>
      <c r="D995" s="5"/>
      <c r="E995" s="118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 ht="15.75" customHeight="1">
      <c r="A996" s="5"/>
      <c r="B996" s="89"/>
      <c r="C996" s="5"/>
      <c r="D996" s="5"/>
      <c r="E996" s="118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 ht="15.75" customHeight="1">
      <c r="A997" s="5"/>
      <c r="B997" s="89"/>
      <c r="C997" s="5"/>
      <c r="D997" s="5"/>
      <c r="E997" s="118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 ht="15.75" customHeight="1">
      <c r="A998" s="5"/>
      <c r="B998" s="89"/>
      <c r="C998" s="5"/>
      <c r="D998" s="5"/>
      <c r="E998" s="118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 ht="15.75" customHeight="1">
      <c r="A999" s="5"/>
      <c r="B999" s="89"/>
      <c r="C999" s="5"/>
      <c r="D999" s="5"/>
      <c r="E999" s="118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  <row r="1000" ht="15.75" customHeight="1">
      <c r="A1000" s="5"/>
      <c r="B1000" s="89"/>
      <c r="C1000" s="5"/>
      <c r="D1000" s="5"/>
      <c r="E1000" s="118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</row>
    <row r="1001" ht="15.75" customHeight="1">
      <c r="A1001" s="5"/>
      <c r="B1001" s="89"/>
      <c r="C1001" s="5"/>
      <c r="D1001" s="5"/>
      <c r="E1001" s="118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</row>
  </sheetData>
  <autoFilter ref="$E$1:$E$1001"/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2.0"/>
    <col customWidth="1" min="2" max="2" width="36.29"/>
    <col customWidth="1" min="3" max="3" width="39.14"/>
    <col customWidth="1" min="4" max="4" width="60.0"/>
    <col customWidth="1" min="5" max="5" width="30.43"/>
    <col customWidth="1" min="6" max="26" width="8.71"/>
  </cols>
  <sheetData>
    <row r="1">
      <c r="A1" s="14" t="s">
        <v>0</v>
      </c>
      <c r="B1" s="14" t="s">
        <v>1</v>
      </c>
      <c r="C1" s="14" t="s">
        <v>2</v>
      </c>
      <c r="D1" s="3" t="s">
        <v>3</v>
      </c>
      <c r="E1" s="1" t="s">
        <v>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25" t="s">
        <v>36</v>
      </c>
      <c r="B2" s="25" t="s">
        <v>40</v>
      </c>
      <c r="C2" s="25" t="s">
        <v>42</v>
      </c>
      <c r="D2" s="27" t="s">
        <v>43</v>
      </c>
      <c r="E2" s="11" t="s">
        <v>20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28" t="s">
        <v>51</v>
      </c>
      <c r="B3" s="28" t="s">
        <v>52</v>
      </c>
      <c r="C3" s="28" t="s">
        <v>53</v>
      </c>
      <c r="D3" s="9" t="s">
        <v>55</v>
      </c>
      <c r="E3" s="30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33" t="s">
        <v>67</v>
      </c>
      <c r="B4" s="33" t="s">
        <v>67</v>
      </c>
      <c r="C4" s="33" t="s">
        <v>69</v>
      </c>
      <c r="D4" s="34" t="s">
        <v>71</v>
      </c>
      <c r="E4" s="35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  <c r="S4" s="37"/>
      <c r="T4" s="37"/>
      <c r="U4" s="37"/>
      <c r="V4" s="37"/>
      <c r="W4" s="37"/>
      <c r="X4" s="37"/>
      <c r="Y4" s="37"/>
      <c r="Z4" s="37"/>
    </row>
    <row r="5">
      <c r="A5" s="40" t="s">
        <v>89</v>
      </c>
      <c r="B5" s="40" t="s">
        <v>92</v>
      </c>
      <c r="C5" s="40" t="s">
        <v>93</v>
      </c>
      <c r="D5" s="9" t="s">
        <v>95</v>
      </c>
      <c r="E5" s="30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40" t="s">
        <v>105</v>
      </c>
      <c r="B6" s="40" t="s">
        <v>107</v>
      </c>
      <c r="C6" s="40" t="s">
        <v>108</v>
      </c>
      <c r="D6" s="9" t="s">
        <v>109</v>
      </c>
      <c r="E6" s="30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42" t="s">
        <v>119</v>
      </c>
      <c r="B7" s="42" t="s">
        <v>122</v>
      </c>
      <c r="C7" s="42" t="s">
        <v>124</v>
      </c>
      <c r="D7" s="43" t="s">
        <v>126</v>
      </c>
      <c r="E7" s="44"/>
      <c r="F7" s="45"/>
      <c r="G7" s="45"/>
      <c r="H7" s="45"/>
      <c r="I7" s="45"/>
      <c r="J7" s="45"/>
      <c r="K7" s="45"/>
      <c r="L7" s="45"/>
      <c r="M7" s="45"/>
      <c r="N7" s="45"/>
      <c r="O7" s="45"/>
      <c r="P7" s="45"/>
      <c r="Q7" s="45"/>
      <c r="R7" s="45"/>
      <c r="S7" s="45"/>
      <c r="T7" s="45"/>
      <c r="U7" s="45"/>
      <c r="V7" s="45"/>
      <c r="W7" s="45"/>
      <c r="X7" s="45"/>
      <c r="Y7" s="45"/>
      <c r="Z7" s="45"/>
    </row>
    <row r="8">
      <c r="A8" s="28" t="s">
        <v>142</v>
      </c>
      <c r="B8" s="46" t="s">
        <v>143</v>
      </c>
      <c r="C8" s="28" t="s">
        <v>145</v>
      </c>
      <c r="D8" s="29" t="s">
        <v>149</v>
      </c>
      <c r="E8" s="20" t="s">
        <v>151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40" t="s">
        <v>158</v>
      </c>
      <c r="B9" s="40" t="s">
        <v>159</v>
      </c>
      <c r="C9" s="40" t="s">
        <v>160</v>
      </c>
      <c r="D9" s="9" t="s">
        <v>161</v>
      </c>
      <c r="E9" s="30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33" t="s">
        <v>243</v>
      </c>
      <c r="B10" s="33" t="s">
        <v>244</v>
      </c>
      <c r="C10" s="33" t="s">
        <v>245</v>
      </c>
      <c r="D10" s="34" t="s">
        <v>249</v>
      </c>
      <c r="E10" s="35"/>
      <c r="F10" s="37"/>
      <c r="G10" s="37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</row>
    <row r="11">
      <c r="A11" s="40" t="s">
        <v>260</v>
      </c>
      <c r="B11" s="40" t="s">
        <v>261</v>
      </c>
      <c r="C11" s="40" t="s">
        <v>262</v>
      </c>
      <c r="D11" s="9" t="s">
        <v>265</v>
      </c>
      <c r="E11" s="30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40" t="s">
        <v>278</v>
      </c>
      <c r="B12" s="40" t="s">
        <v>280</v>
      </c>
      <c r="C12" s="40" t="s">
        <v>282</v>
      </c>
      <c r="D12" s="9" t="s">
        <v>286</v>
      </c>
      <c r="E12" s="30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40" t="s">
        <v>303</v>
      </c>
      <c r="B13" s="40" t="s">
        <v>305</v>
      </c>
      <c r="C13" s="40" t="s">
        <v>307</v>
      </c>
      <c r="D13" s="9" t="s">
        <v>309</v>
      </c>
      <c r="E13" s="30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25" t="s">
        <v>321</v>
      </c>
      <c r="B14" s="25" t="s">
        <v>324</v>
      </c>
      <c r="C14" s="25" t="s">
        <v>325</v>
      </c>
      <c r="D14" s="27" t="s">
        <v>327</v>
      </c>
      <c r="E14" s="59"/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64" t="s">
        <v>340</v>
      </c>
      <c r="B15" s="66" t="s">
        <v>350</v>
      </c>
      <c r="C15" s="66" t="s">
        <v>351</v>
      </c>
      <c r="D15" s="68" t="s">
        <v>352</v>
      </c>
      <c r="E15" s="69" t="s">
        <v>151</v>
      </c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  <c r="W15" s="70"/>
      <c r="X15" s="70"/>
      <c r="Y15" s="70"/>
      <c r="Z15" s="70"/>
    </row>
    <row r="16">
      <c r="A16" s="25" t="s">
        <v>368</v>
      </c>
      <c r="B16" s="25" t="s">
        <v>369</v>
      </c>
      <c r="C16" s="25" t="s">
        <v>371</v>
      </c>
      <c r="D16" s="27" t="s">
        <v>372</v>
      </c>
      <c r="E16" s="59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40" t="s">
        <v>385</v>
      </c>
      <c r="B17" s="40" t="s">
        <v>385</v>
      </c>
      <c r="C17" s="40" t="s">
        <v>391</v>
      </c>
      <c r="D17" s="9" t="s">
        <v>395</v>
      </c>
      <c r="E17" s="30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40" t="s">
        <v>409</v>
      </c>
      <c r="B18" s="40" t="s">
        <v>410</v>
      </c>
      <c r="C18" s="40" t="s">
        <v>411</v>
      </c>
      <c r="D18" s="9" t="s">
        <v>412</v>
      </c>
      <c r="E18" s="30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40" t="s">
        <v>422</v>
      </c>
      <c r="B19" s="40" t="s">
        <v>424</v>
      </c>
      <c r="C19" s="40" t="s">
        <v>425</v>
      </c>
      <c r="D19" s="9" t="s">
        <v>428</v>
      </c>
      <c r="E19" s="30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40" t="s">
        <v>437</v>
      </c>
      <c r="B20" s="40" t="s">
        <v>439</v>
      </c>
      <c r="C20" s="40" t="s">
        <v>441</v>
      </c>
      <c r="D20" s="9" t="s">
        <v>443</v>
      </c>
      <c r="E20" s="30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 ht="15.75" customHeight="1">
      <c r="A21" s="40" t="s">
        <v>454</v>
      </c>
      <c r="B21" s="40" t="s">
        <v>454</v>
      </c>
      <c r="C21" s="40" t="s">
        <v>457</v>
      </c>
      <c r="D21" s="9" t="s">
        <v>459</v>
      </c>
      <c r="E21" s="30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 ht="15.75" customHeight="1">
      <c r="A22" s="40" t="s">
        <v>474</v>
      </c>
      <c r="B22" s="40" t="s">
        <v>476</v>
      </c>
      <c r="C22" s="40" t="s">
        <v>477</v>
      </c>
      <c r="D22" s="9" t="s">
        <v>478</v>
      </c>
      <c r="E22" s="30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 ht="15.75" customHeight="1">
      <c r="A23" s="40" t="s">
        <v>491</v>
      </c>
      <c r="B23" s="40" t="s">
        <v>491</v>
      </c>
      <c r="C23" s="40" t="s">
        <v>493</v>
      </c>
      <c r="D23" s="9" t="s">
        <v>495</v>
      </c>
      <c r="E23" s="30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 ht="15.75" customHeight="1">
      <c r="A24" s="40" t="s">
        <v>510</v>
      </c>
      <c r="B24" s="40" t="s">
        <v>512</v>
      </c>
      <c r="C24" s="40" t="s">
        <v>514</v>
      </c>
      <c r="D24" s="9" t="s">
        <v>516</v>
      </c>
      <c r="E24" s="30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 ht="15.75" customHeight="1">
      <c r="A25" s="40" t="s">
        <v>525</v>
      </c>
      <c r="B25" s="40" t="s">
        <v>528</v>
      </c>
      <c r="C25" s="40" t="s">
        <v>531</v>
      </c>
      <c r="D25" s="9" t="s">
        <v>533</v>
      </c>
      <c r="E25" s="30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 ht="15.75" customHeight="1">
      <c r="A26" s="40" t="s">
        <v>545</v>
      </c>
      <c r="B26" s="40" t="s">
        <v>548</v>
      </c>
      <c r="C26" s="40" t="s">
        <v>550</v>
      </c>
      <c r="D26" s="9" t="s">
        <v>553</v>
      </c>
      <c r="E26" s="30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 ht="15.75" customHeight="1">
      <c r="A27" s="40" t="s">
        <v>561</v>
      </c>
      <c r="B27" s="40" t="s">
        <v>563</v>
      </c>
      <c r="C27" s="40" t="s">
        <v>565</v>
      </c>
      <c r="D27" s="9" t="s">
        <v>570</v>
      </c>
      <c r="E27" s="30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 ht="15.75" customHeight="1">
      <c r="A28" s="40" t="s">
        <v>584</v>
      </c>
      <c r="B28" s="40" t="s">
        <v>586</v>
      </c>
      <c r="C28" s="40" t="s">
        <v>589</v>
      </c>
      <c r="D28" s="9" t="s">
        <v>591</v>
      </c>
      <c r="E28" s="30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 ht="15.75" customHeight="1">
      <c r="A29" s="40" t="s">
        <v>606</v>
      </c>
      <c r="B29" s="40" t="s">
        <v>609</v>
      </c>
      <c r="C29" s="40" t="s">
        <v>610</v>
      </c>
      <c r="D29" s="9" t="s">
        <v>611</v>
      </c>
      <c r="E29" s="30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 ht="15.75" customHeight="1">
      <c r="A30" s="25" t="s">
        <v>628</v>
      </c>
      <c r="B30" s="25" t="s">
        <v>629</v>
      </c>
      <c r="C30" s="25" t="s">
        <v>630</v>
      </c>
      <c r="D30" s="27" t="s">
        <v>633</v>
      </c>
      <c r="E30" s="59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5.75" customHeight="1">
      <c r="A31" s="40" t="s">
        <v>666</v>
      </c>
      <c r="B31" s="40" t="s">
        <v>667</v>
      </c>
      <c r="C31" s="40" t="s">
        <v>668</v>
      </c>
      <c r="D31" s="9" t="s">
        <v>670</v>
      </c>
      <c r="E31" s="30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 ht="15.75" customHeight="1">
      <c r="A32" s="25" t="s">
        <v>683</v>
      </c>
      <c r="B32" s="25" t="s">
        <v>683</v>
      </c>
      <c r="C32" s="25" t="s">
        <v>686</v>
      </c>
      <c r="D32" s="27" t="s">
        <v>691</v>
      </c>
      <c r="E32" s="59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5.75" customHeight="1">
      <c r="A33" s="40" t="s">
        <v>704</v>
      </c>
      <c r="B33" s="40" t="s">
        <v>706</v>
      </c>
      <c r="C33" s="40" t="s">
        <v>707</v>
      </c>
      <c r="D33" s="9" t="s">
        <v>708</v>
      </c>
      <c r="E33" s="30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 ht="15.75" customHeight="1">
      <c r="A34" s="40" t="s">
        <v>716</v>
      </c>
      <c r="B34" s="40" t="s">
        <v>718</v>
      </c>
      <c r="C34" s="40" t="s">
        <v>720</v>
      </c>
      <c r="D34" s="9" t="s">
        <v>724</v>
      </c>
      <c r="E34" s="30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 ht="15.75" customHeight="1">
      <c r="A35" s="40" t="s">
        <v>733</v>
      </c>
      <c r="B35" s="40" t="s">
        <v>735</v>
      </c>
      <c r="C35" s="40" t="s">
        <v>737</v>
      </c>
      <c r="D35" s="9" t="s">
        <v>738</v>
      </c>
      <c r="E35" s="30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ht="15.75" customHeight="1">
      <c r="A36" s="40" t="s">
        <v>754</v>
      </c>
      <c r="B36" s="40" t="s">
        <v>756</v>
      </c>
      <c r="C36" s="40" t="s">
        <v>757</v>
      </c>
      <c r="D36" s="9" t="s">
        <v>759</v>
      </c>
      <c r="E36" s="30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ht="15.75" customHeight="1">
      <c r="A37" s="40" t="s">
        <v>768</v>
      </c>
      <c r="B37" s="40" t="s">
        <v>768</v>
      </c>
      <c r="C37" s="40" t="s">
        <v>770</v>
      </c>
      <c r="D37" s="9" t="s">
        <v>771</v>
      </c>
      <c r="E37" s="30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 ht="15.75" customHeight="1">
      <c r="A38" s="40" t="s">
        <v>780</v>
      </c>
      <c r="B38" s="40" t="s">
        <v>782</v>
      </c>
      <c r="C38" s="40" t="s">
        <v>784</v>
      </c>
      <c r="D38" s="9" t="s">
        <v>785</v>
      </c>
      <c r="E38" s="30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 ht="15.75" customHeight="1">
      <c r="A39" s="33" t="s">
        <v>793</v>
      </c>
      <c r="B39" s="33" t="s">
        <v>795</v>
      </c>
      <c r="C39" s="33" t="s">
        <v>796</v>
      </c>
      <c r="D39" s="34" t="s">
        <v>797</v>
      </c>
      <c r="E39" s="62" t="s">
        <v>800</v>
      </c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/>
      <c r="R39" s="37"/>
      <c r="S39" s="37"/>
      <c r="T39" s="37"/>
      <c r="U39" s="37"/>
      <c r="V39" s="37"/>
      <c r="W39" s="37"/>
      <c r="X39" s="37"/>
      <c r="Y39" s="37"/>
      <c r="Z39" s="37"/>
    </row>
    <row r="40" ht="15.75" customHeight="1">
      <c r="A40" s="40" t="s">
        <v>806</v>
      </c>
      <c r="B40" s="40" t="s">
        <v>807</v>
      </c>
      <c r="C40" s="40" t="s">
        <v>809</v>
      </c>
      <c r="D40" s="9" t="s">
        <v>812</v>
      </c>
      <c r="E40" s="20" t="s">
        <v>20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 ht="15.75" customHeight="1">
      <c r="A41" s="40" t="s">
        <v>821</v>
      </c>
      <c r="B41" s="40" t="s">
        <v>823</v>
      </c>
      <c r="C41" s="40" t="s">
        <v>825</v>
      </c>
      <c r="D41" s="9" t="s">
        <v>828</v>
      </c>
      <c r="E41" s="20" t="s">
        <v>829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 ht="15.75" customHeight="1">
      <c r="A42" s="40" t="s">
        <v>838</v>
      </c>
      <c r="B42" s="40" t="s">
        <v>839</v>
      </c>
      <c r="C42" s="40" t="s">
        <v>841</v>
      </c>
      <c r="D42" s="9" t="s">
        <v>842</v>
      </c>
      <c r="E42" s="30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 ht="15.75" customHeight="1">
      <c r="A43" s="40" t="s">
        <v>848</v>
      </c>
      <c r="B43" s="40" t="s">
        <v>850</v>
      </c>
      <c r="C43" s="40" t="s">
        <v>852</v>
      </c>
      <c r="D43" s="9" t="s">
        <v>854</v>
      </c>
      <c r="E43" s="30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 ht="15.75" customHeight="1">
      <c r="A44" s="85" t="s">
        <v>863</v>
      </c>
      <c r="B44" s="85" t="s">
        <v>863</v>
      </c>
      <c r="C44" s="85" t="s">
        <v>866</v>
      </c>
      <c r="D44" s="9" t="s">
        <v>869</v>
      </c>
      <c r="E44" s="30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 ht="15.75" customHeight="1">
      <c r="A45" s="28" t="s">
        <v>874</v>
      </c>
      <c r="B45" s="28" t="s">
        <v>875</v>
      </c>
      <c r="C45" s="28" t="s">
        <v>876</v>
      </c>
      <c r="D45" s="29" t="s">
        <v>877</v>
      </c>
      <c r="E45" s="86"/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ht="15.75" customHeight="1">
      <c r="A46" s="40" t="s">
        <v>886</v>
      </c>
      <c r="B46" s="40" t="s">
        <v>888</v>
      </c>
      <c r="C46" s="40" t="s">
        <v>890</v>
      </c>
      <c r="D46" s="9" t="s">
        <v>892</v>
      </c>
      <c r="E46" s="30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 ht="15.75" customHeight="1">
      <c r="A47" s="40" t="s">
        <v>900</v>
      </c>
      <c r="B47" s="40" t="s">
        <v>902</v>
      </c>
      <c r="C47" s="40" t="s">
        <v>903</v>
      </c>
      <c r="D47" s="9" t="s">
        <v>905</v>
      </c>
      <c r="E47" s="20" t="s">
        <v>696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 ht="15.75" customHeight="1">
      <c r="A48" s="40" t="s">
        <v>914</v>
      </c>
      <c r="B48" s="40" t="s">
        <v>915</v>
      </c>
      <c r="C48" s="40" t="s">
        <v>917</v>
      </c>
      <c r="D48" s="9" t="s">
        <v>919</v>
      </c>
      <c r="E48" s="30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 ht="15.75" customHeight="1">
      <c r="A49" s="40" t="s">
        <v>928</v>
      </c>
      <c r="B49" s="40" t="s">
        <v>928</v>
      </c>
      <c r="C49" s="40" t="s">
        <v>929</v>
      </c>
      <c r="D49" s="9" t="s">
        <v>930</v>
      </c>
      <c r="E49" s="30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 ht="15.75" customHeight="1">
      <c r="A50" s="40" t="s">
        <v>938</v>
      </c>
      <c r="B50" s="40" t="s">
        <v>939</v>
      </c>
      <c r="C50" s="40" t="s">
        <v>940</v>
      </c>
      <c r="D50" s="9" t="s">
        <v>941</v>
      </c>
      <c r="E50" s="30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 ht="15.75" customHeight="1">
      <c r="A51" s="33" t="s">
        <v>950</v>
      </c>
      <c r="B51" s="33" t="s">
        <v>951</v>
      </c>
      <c r="C51" s="33" t="s">
        <v>953</v>
      </c>
      <c r="D51" s="34" t="s">
        <v>955</v>
      </c>
      <c r="E51" s="35"/>
      <c r="F51" s="37"/>
      <c r="G51" s="37"/>
      <c r="H51" s="37"/>
      <c r="I51" s="37"/>
      <c r="J51" s="37"/>
      <c r="K51" s="37"/>
      <c r="L51" s="37"/>
      <c r="M51" s="37"/>
      <c r="N51" s="37"/>
      <c r="O51" s="37"/>
      <c r="P51" s="37"/>
      <c r="Q51" s="37"/>
      <c r="R51" s="37"/>
      <c r="S51" s="37"/>
      <c r="T51" s="37"/>
      <c r="U51" s="37"/>
      <c r="V51" s="37"/>
      <c r="W51" s="37"/>
      <c r="X51" s="37"/>
      <c r="Y51" s="37"/>
      <c r="Z51" s="37"/>
    </row>
    <row r="52" ht="15.75" customHeight="1">
      <c r="A52" s="40" t="s">
        <v>961</v>
      </c>
      <c r="B52" s="40" t="s">
        <v>961</v>
      </c>
      <c r="C52" s="40" t="s">
        <v>963</v>
      </c>
      <c r="D52" s="9" t="s">
        <v>968</v>
      </c>
      <c r="E52" s="30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 ht="15.75" customHeight="1">
      <c r="A53" s="40" t="s">
        <v>976</v>
      </c>
      <c r="B53" s="40" t="s">
        <v>979</v>
      </c>
      <c r="C53" s="40" t="s">
        <v>981</v>
      </c>
      <c r="D53" s="9" t="s">
        <v>983</v>
      </c>
      <c r="E53" s="30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 ht="15.75" customHeight="1">
      <c r="A54" s="85" t="s">
        <v>992</v>
      </c>
      <c r="B54" s="85" t="s">
        <v>993</v>
      </c>
      <c r="C54" s="85" t="s">
        <v>994</v>
      </c>
      <c r="D54" s="9" t="s">
        <v>995</v>
      </c>
      <c r="E54" s="30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 ht="15.75" customHeight="1">
      <c r="A55" s="40" t="s">
        <v>1004</v>
      </c>
      <c r="B55" s="40" t="s">
        <v>1005</v>
      </c>
      <c r="C55" s="40" t="s">
        <v>1006</v>
      </c>
      <c r="D55" s="9" t="s">
        <v>1007</v>
      </c>
      <c r="E55" s="30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 ht="15.75" customHeight="1">
      <c r="A56" s="40" t="s">
        <v>1013</v>
      </c>
      <c r="B56" s="40" t="s">
        <v>1014</v>
      </c>
      <c r="C56" s="40" t="s">
        <v>1015</v>
      </c>
      <c r="D56" s="9" t="s">
        <v>1016</v>
      </c>
      <c r="E56" s="30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 ht="15.75" customHeight="1">
      <c r="A57" s="40" t="s">
        <v>1020</v>
      </c>
      <c r="B57" s="40" t="s">
        <v>1021</v>
      </c>
      <c r="C57" s="40" t="s">
        <v>1022</v>
      </c>
      <c r="D57" s="9" t="s">
        <v>1023</v>
      </c>
      <c r="E57" s="30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 ht="15.75" customHeight="1">
      <c r="A58" s="33" t="s">
        <v>1027</v>
      </c>
      <c r="B58" s="33" t="s">
        <v>1028</v>
      </c>
      <c r="C58" s="33" t="s">
        <v>1030</v>
      </c>
      <c r="D58" s="34" t="s">
        <v>1034</v>
      </c>
      <c r="E58" s="62" t="s">
        <v>1036</v>
      </c>
      <c r="F58" s="37"/>
      <c r="G58" s="37"/>
      <c r="H58" s="37"/>
      <c r="I58" s="37"/>
      <c r="J58" s="37"/>
      <c r="K58" s="37"/>
      <c r="L58" s="37"/>
      <c r="M58" s="37"/>
      <c r="N58" s="37"/>
      <c r="O58" s="37"/>
      <c r="P58" s="37"/>
      <c r="Q58" s="37"/>
      <c r="R58" s="37"/>
      <c r="S58" s="37"/>
      <c r="T58" s="37"/>
      <c r="U58" s="37"/>
      <c r="V58" s="37"/>
      <c r="W58" s="37"/>
      <c r="X58" s="37"/>
      <c r="Y58" s="37"/>
      <c r="Z58" s="37"/>
    </row>
    <row r="59" ht="15.75" customHeight="1">
      <c r="A59" s="40" t="s">
        <v>1039</v>
      </c>
      <c r="B59" s="40" t="s">
        <v>1039</v>
      </c>
      <c r="C59" s="40" t="s">
        <v>1042</v>
      </c>
      <c r="D59" s="9" t="s">
        <v>1044</v>
      </c>
      <c r="E59" s="30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 ht="15.75" customHeight="1">
      <c r="A60" s="40" t="s">
        <v>1051</v>
      </c>
      <c r="B60" s="40" t="s">
        <v>1052</v>
      </c>
      <c r="C60" s="40" t="s">
        <v>1053</v>
      </c>
      <c r="D60" s="9" t="s">
        <v>1055</v>
      </c>
      <c r="E60" s="30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 ht="15.75" customHeight="1">
      <c r="A61" s="40" t="s">
        <v>1063</v>
      </c>
      <c r="B61" s="40" t="s">
        <v>1064</v>
      </c>
      <c r="C61" s="40" t="s">
        <v>1065</v>
      </c>
      <c r="D61" s="9" t="s">
        <v>1067</v>
      </c>
      <c r="E61" s="30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 ht="15.75" customHeight="1">
      <c r="A62" s="40" t="s">
        <v>1075</v>
      </c>
      <c r="B62" s="40" t="s">
        <v>1077</v>
      </c>
      <c r="C62" s="40" t="s">
        <v>1079</v>
      </c>
      <c r="D62" s="9" t="s">
        <v>1081</v>
      </c>
      <c r="E62" s="30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 ht="15.75" customHeight="1">
      <c r="A63" s="28" t="s">
        <v>1089</v>
      </c>
      <c r="B63" s="28" t="s">
        <v>1089</v>
      </c>
      <c r="C63" s="28" t="s">
        <v>1091</v>
      </c>
      <c r="D63" s="29" t="s">
        <v>1093</v>
      </c>
      <c r="E63" s="12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ht="15.75" customHeight="1">
      <c r="A64" s="40" t="s">
        <v>1102</v>
      </c>
      <c r="B64" s="40" t="s">
        <v>1103</v>
      </c>
      <c r="C64" s="40" t="s">
        <v>1104</v>
      </c>
      <c r="D64" s="9" t="s">
        <v>1107</v>
      </c>
      <c r="E64" s="20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5.75" customHeight="1">
      <c r="A65" s="40" t="s">
        <v>1117</v>
      </c>
      <c r="B65" s="40" t="s">
        <v>1120</v>
      </c>
      <c r="C65" s="40" t="s">
        <v>1122</v>
      </c>
      <c r="D65" s="9" t="s">
        <v>1123</v>
      </c>
      <c r="E65" s="20" t="s">
        <v>1125</v>
      </c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5.75" customHeight="1">
      <c r="A66" s="85" t="s">
        <v>1133</v>
      </c>
      <c r="B66" s="85" t="s">
        <v>1134</v>
      </c>
      <c r="C66" s="85" t="s">
        <v>1135</v>
      </c>
      <c r="D66" s="29" t="s">
        <v>1138</v>
      </c>
      <c r="E66" s="9" t="s">
        <v>68</v>
      </c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 ht="15.75" customHeight="1">
      <c r="A67" s="40" t="s">
        <v>1146</v>
      </c>
      <c r="B67" s="40" t="s">
        <v>1147</v>
      </c>
      <c r="C67" s="40" t="s">
        <v>1149</v>
      </c>
      <c r="D67" s="9" t="s">
        <v>1151</v>
      </c>
      <c r="E67" s="30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 ht="15.75" customHeight="1">
      <c r="A68" s="40" t="s">
        <v>1161</v>
      </c>
      <c r="B68" s="40" t="s">
        <v>1163</v>
      </c>
      <c r="C68" s="40" t="s">
        <v>1165</v>
      </c>
      <c r="D68" s="9" t="s">
        <v>1166</v>
      </c>
      <c r="E68" s="20" t="s">
        <v>554</v>
      </c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 ht="15.75" customHeight="1">
      <c r="A69" s="92" t="s">
        <v>1174</v>
      </c>
      <c r="B69" s="92" t="s">
        <v>1176</v>
      </c>
      <c r="C69" s="92" t="s">
        <v>1178</v>
      </c>
      <c r="D69" s="9" t="s">
        <v>1181</v>
      </c>
      <c r="E69" s="30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5.75" customHeight="1">
      <c r="A70" s="40" t="s">
        <v>1187</v>
      </c>
      <c r="B70" s="92" t="s">
        <v>1187</v>
      </c>
      <c r="C70" s="92" t="s">
        <v>1189</v>
      </c>
      <c r="D70" s="9" t="s">
        <v>1192</v>
      </c>
      <c r="E70" s="30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5.75" customHeight="1">
      <c r="A71" s="40" t="s">
        <v>1197</v>
      </c>
      <c r="B71" s="40" t="s">
        <v>1199</v>
      </c>
      <c r="C71" s="40" t="s">
        <v>1200</v>
      </c>
      <c r="D71" s="9" t="s">
        <v>1204</v>
      </c>
      <c r="E71" s="30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 ht="15.75" customHeight="1">
      <c r="A72" s="40" t="s">
        <v>1209</v>
      </c>
      <c r="B72" s="40" t="s">
        <v>1211</v>
      </c>
      <c r="C72" s="40" t="s">
        <v>1212</v>
      </c>
      <c r="D72" s="9" t="s">
        <v>1214</v>
      </c>
      <c r="E72" s="30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 ht="15.75" customHeight="1">
      <c r="A73" s="28" t="s">
        <v>1219</v>
      </c>
      <c r="B73" s="28" t="s">
        <v>1219</v>
      </c>
      <c r="C73" s="28" t="s">
        <v>1222</v>
      </c>
      <c r="D73" s="29" t="s">
        <v>1224</v>
      </c>
      <c r="E73" s="86"/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ht="15.75" customHeight="1">
      <c r="A74" s="40" t="s">
        <v>1231</v>
      </c>
      <c r="B74" s="40" t="s">
        <v>1232</v>
      </c>
      <c r="C74" s="40" t="s">
        <v>1234</v>
      </c>
      <c r="D74" s="9" t="s">
        <v>1236</v>
      </c>
      <c r="E74" s="20" t="s">
        <v>1237</v>
      </c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 ht="15.75" customHeight="1">
      <c r="A75" s="40" t="s">
        <v>1245</v>
      </c>
      <c r="B75" s="40" t="s">
        <v>1247</v>
      </c>
      <c r="C75" s="40" t="s">
        <v>1248</v>
      </c>
      <c r="D75" s="9" t="s">
        <v>1249</v>
      </c>
      <c r="E75" s="30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 ht="15.75" customHeight="1">
      <c r="A76" s="40" t="s">
        <v>1257</v>
      </c>
      <c r="B76" s="40" t="s">
        <v>1258</v>
      </c>
      <c r="C76" s="40" t="s">
        <v>1259</v>
      </c>
      <c r="D76" s="9" t="s">
        <v>1261</v>
      </c>
      <c r="E76" s="30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 ht="15.75" customHeight="1">
      <c r="A77" s="40" t="s">
        <v>1269</v>
      </c>
      <c r="B77" s="40" t="s">
        <v>1271</v>
      </c>
      <c r="C77" s="40" t="s">
        <v>1274</v>
      </c>
      <c r="D77" s="9" t="s">
        <v>1276</v>
      </c>
      <c r="E77" s="30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 ht="15.75" customHeight="1">
      <c r="A78" s="40" t="s">
        <v>1289</v>
      </c>
      <c r="B78" s="40" t="s">
        <v>1290</v>
      </c>
      <c r="C78" s="40" t="s">
        <v>1291</v>
      </c>
      <c r="D78" s="9" t="s">
        <v>1293</v>
      </c>
      <c r="E78" s="30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 ht="15.75" customHeight="1">
      <c r="A79" s="40" t="s">
        <v>1303</v>
      </c>
      <c r="B79" s="40" t="s">
        <v>1305</v>
      </c>
      <c r="C79" s="40" t="s">
        <v>1306</v>
      </c>
      <c r="D79" s="9" t="s">
        <v>1307</v>
      </c>
      <c r="E79" s="30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 ht="15.75" customHeight="1">
      <c r="A80" s="40" t="s">
        <v>1315</v>
      </c>
      <c r="B80" s="40" t="s">
        <v>1318</v>
      </c>
      <c r="C80" s="40" t="s">
        <v>1320</v>
      </c>
      <c r="D80" s="9" t="s">
        <v>1323</v>
      </c>
      <c r="E80" s="30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 ht="15.75" customHeight="1">
      <c r="A81" s="28" t="s">
        <v>1328</v>
      </c>
      <c r="B81" s="28" t="s">
        <v>1330</v>
      </c>
      <c r="C81" s="28" t="s">
        <v>1332</v>
      </c>
      <c r="D81" s="29" t="s">
        <v>1334</v>
      </c>
      <c r="E81" s="86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ht="15.75" customHeight="1">
      <c r="A82" s="40" t="s">
        <v>1336</v>
      </c>
      <c r="B82" s="40" t="s">
        <v>1336</v>
      </c>
      <c r="C82" s="40" t="s">
        <v>1337</v>
      </c>
      <c r="D82" s="9" t="s">
        <v>1340</v>
      </c>
      <c r="E82" s="30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 ht="15.75" customHeight="1">
      <c r="A83" s="28" t="s">
        <v>1351</v>
      </c>
      <c r="B83" s="28" t="s">
        <v>1352</v>
      </c>
      <c r="C83" s="28" t="s">
        <v>1353</v>
      </c>
      <c r="D83" s="29" t="s">
        <v>1354</v>
      </c>
      <c r="E83" s="12" t="s">
        <v>1355</v>
      </c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ht="15.75" customHeight="1">
      <c r="A84" s="40" t="s">
        <v>1364</v>
      </c>
      <c r="B84" s="40" t="s">
        <v>1368</v>
      </c>
      <c r="C84" s="40" t="s">
        <v>1370</v>
      </c>
      <c r="D84" s="9" t="s">
        <v>1371</v>
      </c>
      <c r="E84" s="30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 ht="15.75" customHeight="1">
      <c r="A85" s="28" t="s">
        <v>1385</v>
      </c>
      <c r="B85" s="28" t="s">
        <v>1387</v>
      </c>
      <c r="C85" s="28" t="s">
        <v>1389</v>
      </c>
      <c r="D85" s="29" t="s">
        <v>1392</v>
      </c>
      <c r="E85" s="86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ht="15.75" customHeight="1">
      <c r="A86" s="28" t="s">
        <v>1405</v>
      </c>
      <c r="B86" s="28" t="s">
        <v>1407</v>
      </c>
      <c r="C86" s="28" t="s">
        <v>1409</v>
      </c>
      <c r="D86" s="29" t="s">
        <v>1410</v>
      </c>
      <c r="E86" s="86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ht="15.75" customHeight="1">
      <c r="A87" s="40" t="s">
        <v>1419</v>
      </c>
      <c r="B87" s="40" t="s">
        <v>1419</v>
      </c>
      <c r="C87" s="40" t="s">
        <v>1421</v>
      </c>
      <c r="D87" s="9" t="s">
        <v>1425</v>
      </c>
      <c r="E87" s="30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 ht="15.75" customHeight="1">
      <c r="A88" s="40" t="s">
        <v>1434</v>
      </c>
      <c r="B88" s="40" t="s">
        <v>1435</v>
      </c>
      <c r="C88" s="40" t="s">
        <v>1436</v>
      </c>
      <c r="D88" s="9" t="s">
        <v>1439</v>
      </c>
      <c r="E88" s="30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 ht="15.75" customHeight="1">
      <c r="A89" s="40" t="s">
        <v>1446</v>
      </c>
      <c r="B89" s="40" t="s">
        <v>1449</v>
      </c>
      <c r="C89" s="40" t="s">
        <v>1451</v>
      </c>
      <c r="D89" s="9" t="s">
        <v>1452</v>
      </c>
      <c r="E89" s="20" t="s">
        <v>419</v>
      </c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 ht="15.75" customHeight="1">
      <c r="A90" s="40" t="s">
        <v>1460</v>
      </c>
      <c r="B90" s="40" t="s">
        <v>1462</v>
      </c>
      <c r="C90" s="40" t="s">
        <v>1464</v>
      </c>
      <c r="D90" s="9" t="s">
        <v>1465</v>
      </c>
      <c r="E90" s="30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 ht="15.75" customHeight="1">
      <c r="A91" s="40" t="s">
        <v>1474</v>
      </c>
      <c r="B91" s="40" t="s">
        <v>1475</v>
      </c>
      <c r="C91" s="40" t="s">
        <v>1476</v>
      </c>
      <c r="D91" s="9" t="s">
        <v>1478</v>
      </c>
      <c r="E91" s="30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 ht="15.75" customHeight="1">
      <c r="A92" s="85" t="s">
        <v>1486</v>
      </c>
      <c r="B92" s="85" t="s">
        <v>1487</v>
      </c>
      <c r="C92" s="85" t="s">
        <v>1488</v>
      </c>
      <c r="D92" s="9" t="s">
        <v>1489</v>
      </c>
      <c r="E92" s="9" t="s">
        <v>41</v>
      </c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 ht="15.75" customHeight="1">
      <c r="A93" s="40" t="s">
        <v>1492</v>
      </c>
      <c r="B93" s="40" t="s">
        <v>1492</v>
      </c>
      <c r="C93" s="40" t="s">
        <v>1494</v>
      </c>
      <c r="D93" s="9" t="s">
        <v>1496</v>
      </c>
      <c r="E93" s="30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 ht="15.75" customHeight="1">
      <c r="A94" s="40" t="s">
        <v>1501</v>
      </c>
      <c r="B94" s="40" t="s">
        <v>1502</v>
      </c>
      <c r="C94" s="40" t="s">
        <v>1503</v>
      </c>
      <c r="D94" s="9" t="s">
        <v>1504</v>
      </c>
      <c r="E94" s="30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 ht="15.75" customHeight="1">
      <c r="A95" s="40" t="s">
        <v>1509</v>
      </c>
      <c r="B95" s="40" t="s">
        <v>1509</v>
      </c>
      <c r="C95" s="40" t="s">
        <v>1512</v>
      </c>
      <c r="D95" s="9" t="s">
        <v>1514</v>
      </c>
      <c r="E95" s="30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 ht="15.75" customHeight="1">
      <c r="A96" s="40" t="s">
        <v>1516</v>
      </c>
      <c r="B96" s="40" t="s">
        <v>1517</v>
      </c>
      <c r="C96" s="40" t="s">
        <v>1518</v>
      </c>
      <c r="D96" s="9" t="s">
        <v>1521</v>
      </c>
      <c r="E96" s="30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 ht="15.75" customHeight="1">
      <c r="A97" s="40" t="s">
        <v>1526</v>
      </c>
      <c r="B97" s="40" t="s">
        <v>1527</v>
      </c>
      <c r="C97" s="40" t="s">
        <v>1528</v>
      </c>
      <c r="D97" s="9" t="s">
        <v>1530</v>
      </c>
      <c r="E97" s="98" t="s">
        <v>696</v>
      </c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 ht="15.75" customHeight="1">
      <c r="A98" s="40" t="s">
        <v>1535</v>
      </c>
      <c r="B98" s="40" t="s">
        <v>1536</v>
      </c>
      <c r="C98" s="40" t="s">
        <v>1537</v>
      </c>
      <c r="D98" s="9" t="s">
        <v>1538</v>
      </c>
      <c r="E98" s="30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 ht="15.75" customHeight="1">
      <c r="A99" s="40" t="s">
        <v>1543</v>
      </c>
      <c r="B99" s="40" t="s">
        <v>1545</v>
      </c>
      <c r="C99" s="40" t="s">
        <v>1547</v>
      </c>
      <c r="D99" s="9" t="s">
        <v>1549</v>
      </c>
      <c r="E99" s="30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 ht="15.75" customHeight="1">
      <c r="A100" s="40" t="s">
        <v>1553</v>
      </c>
      <c r="B100" s="40" t="s">
        <v>1554</v>
      </c>
      <c r="C100" s="40" t="s">
        <v>1556</v>
      </c>
      <c r="D100" s="9" t="s">
        <v>1558</v>
      </c>
      <c r="E100" s="30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 ht="15.75" customHeight="1">
      <c r="A101" s="40" t="s">
        <v>1564</v>
      </c>
      <c r="B101" s="40" t="s">
        <v>1565</v>
      </c>
      <c r="C101" s="40" t="s">
        <v>1566</v>
      </c>
      <c r="D101" s="9" t="s">
        <v>1567</v>
      </c>
      <c r="E101" s="30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 ht="15.75" customHeight="1">
      <c r="A102" s="85" t="s">
        <v>1572</v>
      </c>
      <c r="B102" s="85" t="s">
        <v>1573</v>
      </c>
      <c r="C102" s="85" t="s">
        <v>1574</v>
      </c>
      <c r="D102" s="9" t="s">
        <v>1575</v>
      </c>
      <c r="E102" s="9" t="s">
        <v>1576</v>
      </c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 ht="15.75" customHeight="1">
      <c r="A103" s="40" t="s">
        <v>1581</v>
      </c>
      <c r="B103" s="40" t="s">
        <v>1582</v>
      </c>
      <c r="C103" s="40" t="s">
        <v>1583</v>
      </c>
      <c r="D103" s="9" t="s">
        <v>1584</v>
      </c>
      <c r="E103" s="30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 ht="15.75" customHeight="1">
      <c r="A104" s="40" t="s">
        <v>1589</v>
      </c>
      <c r="B104" s="40" t="s">
        <v>1590</v>
      </c>
      <c r="C104" s="40" t="s">
        <v>1591</v>
      </c>
      <c r="D104" s="9" t="s">
        <v>1592</v>
      </c>
      <c r="E104" s="30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 ht="15.75" customHeight="1">
      <c r="A105" s="40" t="s">
        <v>1597</v>
      </c>
      <c r="B105" s="40" t="s">
        <v>1599</v>
      </c>
      <c r="C105" s="40" t="s">
        <v>1602</v>
      </c>
      <c r="D105" s="9" t="s">
        <v>1604</v>
      </c>
      <c r="E105" s="30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 ht="15.75" customHeight="1">
      <c r="A106" s="40" t="s">
        <v>1609</v>
      </c>
      <c r="B106" s="40" t="s">
        <v>1610</v>
      </c>
      <c r="C106" s="40" t="s">
        <v>1611</v>
      </c>
      <c r="D106" s="9" t="s">
        <v>1612</v>
      </c>
      <c r="E106" s="30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 ht="15.75" customHeight="1">
      <c r="A107" s="40" t="s">
        <v>1617</v>
      </c>
      <c r="B107" s="40" t="s">
        <v>1618</v>
      </c>
      <c r="C107" s="40" t="s">
        <v>1619</v>
      </c>
      <c r="D107" s="9" t="s">
        <v>1620</v>
      </c>
      <c r="E107" s="30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 ht="15.75" customHeight="1">
      <c r="A108" s="40" t="s">
        <v>1625</v>
      </c>
      <c r="B108" s="40" t="s">
        <v>1626</v>
      </c>
      <c r="C108" s="40" t="s">
        <v>1627</v>
      </c>
      <c r="D108" s="9" t="s">
        <v>1630</v>
      </c>
      <c r="E108" s="30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 ht="15.75" customHeight="1">
      <c r="A109" s="40" t="s">
        <v>1637</v>
      </c>
      <c r="B109" s="40" t="s">
        <v>1638</v>
      </c>
      <c r="C109" s="40" t="s">
        <v>1639</v>
      </c>
      <c r="D109" s="9" t="s">
        <v>1640</v>
      </c>
      <c r="E109" s="30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 ht="15.75" customHeight="1">
      <c r="A110" s="40" t="s">
        <v>1646</v>
      </c>
      <c r="B110" s="40" t="s">
        <v>1648</v>
      </c>
      <c r="C110" s="40" t="s">
        <v>1650</v>
      </c>
      <c r="D110" s="9" t="s">
        <v>1652</v>
      </c>
      <c r="E110" s="20" t="s">
        <v>1653</v>
      </c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 ht="15.75" customHeight="1">
      <c r="A111" s="40" t="s">
        <v>1658</v>
      </c>
      <c r="B111" s="40" t="s">
        <v>1659</v>
      </c>
      <c r="C111" s="40" t="s">
        <v>1660</v>
      </c>
      <c r="D111" s="9" t="s">
        <v>1661</v>
      </c>
      <c r="E111" s="30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 ht="15.75" customHeight="1">
      <c r="A112" s="40" t="s">
        <v>1669</v>
      </c>
      <c r="B112" s="40" t="s">
        <v>1670</v>
      </c>
      <c r="C112" s="40" t="s">
        <v>1671</v>
      </c>
      <c r="D112" s="9" t="s">
        <v>1673</v>
      </c>
      <c r="E112" s="30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 ht="15.75" customHeight="1">
      <c r="A113" s="40" t="s">
        <v>1675</v>
      </c>
      <c r="B113" s="40" t="s">
        <v>1676</v>
      </c>
      <c r="C113" s="40" t="s">
        <v>1677</v>
      </c>
      <c r="D113" s="9" t="s">
        <v>1678</v>
      </c>
      <c r="E113" s="30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 ht="15.75" customHeight="1">
      <c r="A114" s="85" t="s">
        <v>1684</v>
      </c>
      <c r="B114" s="85" t="s">
        <v>1685</v>
      </c>
      <c r="C114" s="85" t="s">
        <v>1686</v>
      </c>
      <c r="D114" s="9" t="s">
        <v>1688</v>
      </c>
      <c r="E114" s="9" t="s">
        <v>41</v>
      </c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 ht="15.75" customHeight="1">
      <c r="A115" s="40" t="s">
        <v>1693</v>
      </c>
      <c r="B115" s="40" t="s">
        <v>1694</v>
      </c>
      <c r="C115" s="40" t="s">
        <v>1695</v>
      </c>
      <c r="D115" s="9" t="s">
        <v>1696</v>
      </c>
      <c r="E115" s="30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 ht="15.75" customHeight="1">
      <c r="A116" s="40" t="s">
        <v>1703</v>
      </c>
      <c r="B116" s="40" t="s">
        <v>1704</v>
      </c>
      <c r="C116" s="40" t="s">
        <v>1705</v>
      </c>
      <c r="D116" s="9" t="s">
        <v>1707</v>
      </c>
      <c r="E116" s="30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 ht="15.75" customHeight="1">
      <c r="A117" s="40" t="s">
        <v>1712</v>
      </c>
      <c r="B117" s="40" t="s">
        <v>1713</v>
      </c>
      <c r="C117" s="40" t="s">
        <v>1714</v>
      </c>
      <c r="D117" s="9" t="s">
        <v>1715</v>
      </c>
      <c r="E117" s="30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 ht="15.75" customHeight="1">
      <c r="A118" s="40" t="s">
        <v>1720</v>
      </c>
      <c r="B118" s="40" t="s">
        <v>1722</v>
      </c>
      <c r="C118" s="40" t="s">
        <v>1723</v>
      </c>
      <c r="D118" s="9" t="s">
        <v>1725</v>
      </c>
      <c r="E118" s="30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 ht="15.75" customHeight="1">
      <c r="A119" s="40" t="s">
        <v>1731</v>
      </c>
      <c r="B119" s="40" t="s">
        <v>1732</v>
      </c>
      <c r="C119" s="40" t="s">
        <v>1733</v>
      </c>
      <c r="D119" s="9" t="s">
        <v>1734</v>
      </c>
      <c r="E119" s="30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 ht="15.75" customHeight="1">
      <c r="A120" s="40" t="s">
        <v>1739</v>
      </c>
      <c r="B120" s="40" t="s">
        <v>1739</v>
      </c>
      <c r="C120" s="40" t="s">
        <v>1740</v>
      </c>
      <c r="D120" s="9" t="s">
        <v>1743</v>
      </c>
      <c r="E120" s="30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 ht="15.75" customHeight="1">
      <c r="A121" s="40" t="s">
        <v>1750</v>
      </c>
      <c r="B121" s="40" t="s">
        <v>1751</v>
      </c>
      <c r="C121" s="40" t="s">
        <v>1752</v>
      </c>
      <c r="D121" s="9" t="s">
        <v>1753</v>
      </c>
      <c r="E121" s="20" t="s">
        <v>747</v>
      </c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 ht="15.75" customHeight="1">
      <c r="A122" s="40" t="s">
        <v>1759</v>
      </c>
      <c r="B122" s="40" t="s">
        <v>1759</v>
      </c>
      <c r="C122" s="40" t="s">
        <v>1762</v>
      </c>
      <c r="D122" s="9" t="s">
        <v>1764</v>
      </c>
      <c r="E122" s="30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 ht="15.75" customHeight="1">
      <c r="A123" s="40" t="s">
        <v>1769</v>
      </c>
      <c r="B123" s="40" t="s">
        <v>1770</v>
      </c>
      <c r="C123" s="40" t="s">
        <v>1771</v>
      </c>
      <c r="D123" s="9" t="s">
        <v>1773</v>
      </c>
      <c r="E123" s="30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 ht="15.75" customHeight="1">
      <c r="A124" s="40" t="s">
        <v>1780</v>
      </c>
      <c r="B124" s="40" t="s">
        <v>1782</v>
      </c>
      <c r="C124" s="40" t="s">
        <v>1784</v>
      </c>
      <c r="D124" s="9" t="s">
        <v>1785</v>
      </c>
      <c r="E124" s="30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 ht="15.75" customHeight="1">
      <c r="A125" s="40" t="s">
        <v>1790</v>
      </c>
      <c r="B125" s="40" t="s">
        <v>1791</v>
      </c>
      <c r="C125" s="40" t="s">
        <v>1792</v>
      </c>
      <c r="D125" s="9" t="s">
        <v>1793</v>
      </c>
      <c r="E125" s="30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 ht="15.75" customHeight="1">
      <c r="A126" s="40" t="s">
        <v>1800</v>
      </c>
      <c r="B126" s="40" t="s">
        <v>1802</v>
      </c>
      <c r="C126" s="40" t="s">
        <v>1803</v>
      </c>
      <c r="D126" s="9" t="s">
        <v>1805</v>
      </c>
      <c r="E126" s="30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 ht="15.75" customHeight="1">
      <c r="A127" s="40" t="s">
        <v>1811</v>
      </c>
      <c r="B127" s="40" t="s">
        <v>1812</v>
      </c>
      <c r="C127" s="40" t="s">
        <v>1814</v>
      </c>
      <c r="D127" s="9" t="s">
        <v>1815</v>
      </c>
      <c r="E127" s="30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 ht="15.75" customHeight="1">
      <c r="A128" s="40" t="s">
        <v>1820</v>
      </c>
      <c r="B128" s="40" t="s">
        <v>1821</v>
      </c>
      <c r="C128" s="40" t="s">
        <v>1822</v>
      </c>
      <c r="D128" s="9" t="s">
        <v>1823</v>
      </c>
      <c r="E128" s="30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 ht="15.75" customHeight="1">
      <c r="A129" s="40" t="s">
        <v>1828</v>
      </c>
      <c r="B129" s="40" t="s">
        <v>1828</v>
      </c>
      <c r="C129" s="40" t="s">
        <v>1829</v>
      </c>
      <c r="D129" s="9" t="s">
        <v>1830</v>
      </c>
      <c r="E129" s="30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 ht="15.75" customHeight="1">
      <c r="A130" s="40" t="s">
        <v>1835</v>
      </c>
      <c r="B130" s="40" t="s">
        <v>1836</v>
      </c>
      <c r="C130" s="40" t="s">
        <v>1837</v>
      </c>
      <c r="D130" s="9" t="s">
        <v>1838</v>
      </c>
      <c r="E130" s="30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 ht="15.75" customHeight="1">
      <c r="A131" s="40" t="s">
        <v>1844</v>
      </c>
      <c r="B131" s="40" t="s">
        <v>1844</v>
      </c>
      <c r="C131" s="40" t="s">
        <v>1846</v>
      </c>
      <c r="D131" s="9" t="s">
        <v>1849</v>
      </c>
      <c r="E131" s="30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 ht="15.75" customHeight="1">
      <c r="A132" s="40" t="s">
        <v>1857</v>
      </c>
      <c r="B132" s="40" t="s">
        <v>1858</v>
      </c>
      <c r="C132" s="40" t="s">
        <v>1859</v>
      </c>
      <c r="D132" s="9" t="s">
        <v>1860</v>
      </c>
      <c r="E132" s="30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 ht="15.75" customHeight="1">
      <c r="A133" s="40" t="s">
        <v>1868</v>
      </c>
      <c r="B133" s="40" t="s">
        <v>1870</v>
      </c>
      <c r="C133" s="40" t="s">
        <v>1872</v>
      </c>
      <c r="D133" s="9" t="s">
        <v>1874</v>
      </c>
      <c r="E133" s="30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 ht="15.75" customHeight="1">
      <c r="A134" s="40" t="s">
        <v>1880</v>
      </c>
      <c r="B134" s="40" t="s">
        <v>1881</v>
      </c>
      <c r="C134" s="40" t="s">
        <v>1882</v>
      </c>
      <c r="D134" s="9" t="s">
        <v>1883</v>
      </c>
      <c r="E134" s="20" t="s">
        <v>20</v>
      </c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 ht="15.75" customHeight="1">
      <c r="A135" s="40" t="s">
        <v>1884</v>
      </c>
      <c r="B135" s="40" t="s">
        <v>1885</v>
      </c>
      <c r="C135" s="40" t="s">
        <v>1886</v>
      </c>
      <c r="D135" s="9" t="s">
        <v>1887</v>
      </c>
      <c r="E135" s="20" t="s">
        <v>20</v>
      </c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 ht="15.75" customHeight="1">
      <c r="A136" s="40" t="s">
        <v>1888</v>
      </c>
      <c r="B136" s="40" t="s">
        <v>1889</v>
      </c>
      <c r="C136" s="40" t="s">
        <v>1890</v>
      </c>
      <c r="D136" s="9" t="s">
        <v>1891</v>
      </c>
      <c r="E136" s="20" t="s">
        <v>20</v>
      </c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 ht="15.75" customHeight="1">
      <c r="A137" s="85" t="s">
        <v>1892</v>
      </c>
      <c r="B137" s="85" t="s">
        <v>1893</v>
      </c>
      <c r="C137" s="85" t="s">
        <v>1894</v>
      </c>
      <c r="D137" s="29" t="s">
        <v>1895</v>
      </c>
      <c r="E137" s="30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 ht="15.75" customHeight="1">
      <c r="A138" s="85" t="s">
        <v>1896</v>
      </c>
      <c r="B138" s="85" t="s">
        <v>1897</v>
      </c>
      <c r="C138" s="85" t="s">
        <v>1898</v>
      </c>
      <c r="D138" s="29" t="s">
        <v>1899</v>
      </c>
      <c r="E138" s="30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 ht="15.75" customHeight="1">
      <c r="A139" s="40" t="s">
        <v>1900</v>
      </c>
      <c r="B139" s="40" t="s">
        <v>1901</v>
      </c>
      <c r="C139" s="40" t="s">
        <v>1902</v>
      </c>
      <c r="D139" s="9" t="s">
        <v>1903</v>
      </c>
      <c r="E139" s="30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 ht="15.75" customHeight="1">
      <c r="A140" s="40" t="s">
        <v>1904</v>
      </c>
      <c r="B140" s="40" t="s">
        <v>1905</v>
      </c>
      <c r="C140" s="40" t="s">
        <v>1906</v>
      </c>
      <c r="D140" s="9" t="s">
        <v>1907</v>
      </c>
      <c r="E140" s="30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 ht="15.75" customHeight="1">
      <c r="A141" s="40" t="s">
        <v>1908</v>
      </c>
      <c r="B141" s="40" t="s">
        <v>1368</v>
      </c>
      <c r="C141" s="40" t="s">
        <v>1370</v>
      </c>
      <c r="D141" s="9" t="s">
        <v>1909</v>
      </c>
      <c r="E141" s="30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 ht="15.75" customHeight="1">
      <c r="A142" s="40" t="s">
        <v>1910</v>
      </c>
      <c r="B142" s="40" t="s">
        <v>1910</v>
      </c>
      <c r="C142" s="40" t="s">
        <v>1911</v>
      </c>
      <c r="D142" s="9" t="s">
        <v>1912</v>
      </c>
      <c r="E142" s="30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 ht="15.75" customHeight="1">
      <c r="A143" s="40" t="s">
        <v>1913</v>
      </c>
      <c r="B143" s="40" t="s">
        <v>1914</v>
      </c>
      <c r="C143" s="40" t="s">
        <v>1915</v>
      </c>
      <c r="D143" s="29" t="s">
        <v>1916</v>
      </c>
      <c r="E143" s="30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 ht="15.75" customHeight="1">
      <c r="A144" s="40" t="s">
        <v>1917</v>
      </c>
      <c r="B144" s="40" t="s">
        <v>1918</v>
      </c>
      <c r="C144" s="40" t="s">
        <v>1919</v>
      </c>
      <c r="D144" s="29" t="s">
        <v>1920</v>
      </c>
      <c r="E144" s="30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 ht="15.75" customHeight="1">
      <c r="A145" s="28" t="s">
        <v>1921</v>
      </c>
      <c r="B145" s="28" t="s">
        <v>1922</v>
      </c>
      <c r="C145" s="28" t="s">
        <v>1923</v>
      </c>
      <c r="D145" s="29" t="s">
        <v>1924</v>
      </c>
      <c r="E145" s="86"/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</row>
    <row r="146" ht="15.75" customHeight="1">
      <c r="A146" s="28" t="s">
        <v>1925</v>
      </c>
      <c r="B146" s="28" t="s">
        <v>1926</v>
      </c>
      <c r="C146" s="28" t="s">
        <v>1927</v>
      </c>
      <c r="D146" s="29" t="s">
        <v>1928</v>
      </c>
      <c r="E146" s="12" t="s">
        <v>1929</v>
      </c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</row>
    <row r="147" ht="15.75" customHeight="1">
      <c r="A147" s="40" t="s">
        <v>1930</v>
      </c>
      <c r="B147" s="40" t="s">
        <v>1931</v>
      </c>
      <c r="C147" s="40" t="s">
        <v>1932</v>
      </c>
      <c r="D147" s="9" t="s">
        <v>1933</v>
      </c>
      <c r="E147" s="30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 ht="15.75" customHeight="1">
      <c r="A148" s="28" t="s">
        <v>1934</v>
      </c>
      <c r="B148" s="28" t="s">
        <v>1935</v>
      </c>
      <c r="C148" s="28" t="s">
        <v>1936</v>
      </c>
      <c r="D148" s="29" t="s">
        <v>1937</v>
      </c>
      <c r="E148" s="99" t="s">
        <v>1929</v>
      </c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</row>
    <row r="149" ht="15.75" customHeight="1">
      <c r="A149" s="40" t="s">
        <v>1938</v>
      </c>
      <c r="B149" s="40" t="s">
        <v>1938</v>
      </c>
      <c r="C149" s="40" t="s">
        <v>1939</v>
      </c>
      <c r="D149" s="9" t="s">
        <v>1940</v>
      </c>
      <c r="E149" s="30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 ht="15.75" customHeight="1">
      <c r="A150" s="40" t="s">
        <v>1941</v>
      </c>
      <c r="B150" s="40" t="s">
        <v>1942</v>
      </c>
      <c r="C150" s="40" t="s">
        <v>1943</v>
      </c>
      <c r="D150" s="9" t="s">
        <v>1944</v>
      </c>
      <c r="E150" s="20" t="s">
        <v>554</v>
      </c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 ht="15.75" customHeight="1">
      <c r="A151" s="40" t="s">
        <v>1945</v>
      </c>
      <c r="B151" s="40" t="s">
        <v>1946</v>
      </c>
      <c r="C151" s="40" t="s">
        <v>1947</v>
      </c>
      <c r="D151" s="9" t="s">
        <v>1948</v>
      </c>
      <c r="E151" s="30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 ht="15.75" customHeight="1">
      <c r="A152" s="40" t="s">
        <v>1949</v>
      </c>
      <c r="B152" s="40" t="s">
        <v>1950</v>
      </c>
      <c r="C152" s="40" t="s">
        <v>1951</v>
      </c>
      <c r="D152" s="9" t="s">
        <v>1952</v>
      </c>
      <c r="E152" s="20" t="s">
        <v>1653</v>
      </c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 ht="15.75" customHeight="1">
      <c r="A153" s="40" t="s">
        <v>1953</v>
      </c>
      <c r="B153" s="40" t="s">
        <v>1954</v>
      </c>
      <c r="C153" s="40" t="s">
        <v>1955</v>
      </c>
      <c r="D153" s="9" t="s">
        <v>1956</v>
      </c>
      <c r="E153" s="20" t="s">
        <v>1653</v>
      </c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 ht="15.75" customHeight="1">
      <c r="A154" s="40" t="s">
        <v>1957</v>
      </c>
      <c r="B154" s="40" t="s">
        <v>1958</v>
      </c>
      <c r="C154" s="40" t="s">
        <v>1959</v>
      </c>
      <c r="D154" s="9" t="s">
        <v>1960</v>
      </c>
      <c r="E154" s="20" t="s">
        <v>1653</v>
      </c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 ht="15.75" customHeight="1">
      <c r="A155" s="40" t="s">
        <v>1961</v>
      </c>
      <c r="B155" s="40" t="s">
        <v>1962</v>
      </c>
      <c r="C155" s="40" t="s">
        <v>1963</v>
      </c>
      <c r="D155" s="9" t="s">
        <v>1964</v>
      </c>
      <c r="E155" s="30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 ht="15.75" customHeight="1">
      <c r="A156" s="40" t="s">
        <v>1965</v>
      </c>
      <c r="B156" s="40" t="s">
        <v>1966</v>
      </c>
      <c r="C156" s="40" t="s">
        <v>1967</v>
      </c>
      <c r="D156" s="9" t="s">
        <v>1968</v>
      </c>
      <c r="E156" s="20" t="s">
        <v>1969</v>
      </c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 ht="15.75" customHeight="1">
      <c r="A157" s="40" t="s">
        <v>1970</v>
      </c>
      <c r="B157" s="40" t="s">
        <v>1971</v>
      </c>
      <c r="C157" s="40" t="s">
        <v>1972</v>
      </c>
      <c r="D157" s="9" t="s">
        <v>1973</v>
      </c>
      <c r="E157" s="20" t="s">
        <v>1237</v>
      </c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 ht="15.75" customHeight="1">
      <c r="A158" s="40" t="s">
        <v>1974</v>
      </c>
      <c r="B158" s="40" t="s">
        <v>1975</v>
      </c>
      <c r="C158" s="40" t="s">
        <v>1976</v>
      </c>
      <c r="D158" s="9" t="s">
        <v>1977</v>
      </c>
      <c r="E158" s="30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 ht="15.75" customHeight="1">
      <c r="A159" s="40" t="s">
        <v>1978</v>
      </c>
      <c r="B159" s="40" t="s">
        <v>1979</v>
      </c>
      <c r="C159" s="40" t="s">
        <v>1980</v>
      </c>
      <c r="D159" s="9" t="s">
        <v>1981</v>
      </c>
      <c r="E159" s="30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 ht="15.75" customHeight="1">
      <c r="A160" s="40" t="s">
        <v>1982</v>
      </c>
      <c r="B160" s="40" t="s">
        <v>1983</v>
      </c>
      <c r="C160" s="40" t="s">
        <v>1984</v>
      </c>
      <c r="D160" s="9" t="s">
        <v>1985</v>
      </c>
      <c r="E160" s="30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 ht="15.75" customHeight="1">
      <c r="A161" s="40" t="s">
        <v>1986</v>
      </c>
      <c r="B161" s="40" t="s">
        <v>1986</v>
      </c>
      <c r="C161" s="40" t="s">
        <v>1987</v>
      </c>
      <c r="D161" s="9" t="s">
        <v>1988</v>
      </c>
      <c r="E161" s="30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 ht="15.75" customHeight="1">
      <c r="A162" s="40" t="s">
        <v>1989</v>
      </c>
      <c r="B162" s="40" t="s">
        <v>1990</v>
      </c>
      <c r="C162" s="40" t="s">
        <v>1991</v>
      </c>
      <c r="D162" s="9" t="s">
        <v>1992</v>
      </c>
      <c r="E162" s="30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 ht="15.75" customHeight="1">
      <c r="A163" s="40" t="s">
        <v>1993</v>
      </c>
      <c r="B163" s="40" t="s">
        <v>1994</v>
      </c>
      <c r="C163" s="40" t="s">
        <v>1995</v>
      </c>
      <c r="D163" s="9" t="s">
        <v>1996</v>
      </c>
      <c r="E163" s="30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 ht="15.75" customHeight="1">
      <c r="A164" s="40" t="s">
        <v>1997</v>
      </c>
      <c r="B164" s="40" t="s">
        <v>1998</v>
      </c>
      <c r="C164" s="40" t="s">
        <v>1999</v>
      </c>
      <c r="D164" s="9" t="s">
        <v>2000</v>
      </c>
      <c r="E164" s="20" t="s">
        <v>2001</v>
      </c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 ht="15.75" customHeight="1">
      <c r="A165" s="40" t="s">
        <v>2002</v>
      </c>
      <c r="B165" s="40" t="s">
        <v>2002</v>
      </c>
      <c r="C165" s="40" t="s">
        <v>2003</v>
      </c>
      <c r="D165" s="9" t="s">
        <v>2004</v>
      </c>
      <c r="E165" s="30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 ht="15.75" customHeight="1">
      <c r="A166" s="85" t="s">
        <v>2005</v>
      </c>
      <c r="B166" s="85" t="s">
        <v>2006</v>
      </c>
      <c r="C166" s="85" t="s">
        <v>2007</v>
      </c>
      <c r="D166" s="9" t="s">
        <v>2008</v>
      </c>
      <c r="E166" s="9" t="s">
        <v>1576</v>
      </c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 ht="15.75" customHeight="1">
      <c r="A167" s="40" t="s">
        <v>2009</v>
      </c>
      <c r="B167" s="40" t="s">
        <v>2010</v>
      </c>
      <c r="C167" s="40" t="s">
        <v>2011</v>
      </c>
      <c r="D167" s="9" t="s">
        <v>2012</v>
      </c>
      <c r="E167" s="30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 ht="15.75" customHeight="1">
      <c r="A168" s="40" t="s">
        <v>2013</v>
      </c>
      <c r="B168" s="40" t="s">
        <v>2013</v>
      </c>
      <c r="C168" s="40" t="s">
        <v>2014</v>
      </c>
      <c r="D168" s="9" t="s">
        <v>2015</v>
      </c>
      <c r="E168" s="30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 ht="15.75" customHeight="1">
      <c r="A169" s="40" t="s">
        <v>2016</v>
      </c>
      <c r="B169" s="40" t="s">
        <v>2017</v>
      </c>
      <c r="C169" s="40" t="s">
        <v>2018</v>
      </c>
      <c r="D169" s="9" t="s">
        <v>2019</v>
      </c>
      <c r="E169" s="30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 ht="15.75" customHeight="1">
      <c r="A170" s="85" t="s">
        <v>2020</v>
      </c>
      <c r="B170" s="85" t="s">
        <v>2021</v>
      </c>
      <c r="C170" s="85" t="s">
        <v>2022</v>
      </c>
      <c r="D170" s="9" t="s">
        <v>2023</v>
      </c>
      <c r="E170" s="9" t="s">
        <v>41</v>
      </c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 ht="15.75" customHeight="1">
      <c r="A171" s="40" t="s">
        <v>2024</v>
      </c>
      <c r="B171" s="40" t="s">
        <v>2025</v>
      </c>
      <c r="C171" s="40" t="s">
        <v>2026</v>
      </c>
      <c r="D171" s="9" t="s">
        <v>2027</v>
      </c>
      <c r="E171" s="30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 ht="15.75" customHeight="1">
      <c r="A172" s="40" t="s">
        <v>2028</v>
      </c>
      <c r="B172" s="40" t="s">
        <v>2029</v>
      </c>
      <c r="C172" s="40" t="s">
        <v>2030</v>
      </c>
      <c r="D172" s="9" t="s">
        <v>2031</v>
      </c>
      <c r="E172" s="30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 ht="15.75" customHeight="1">
      <c r="A173" s="40" t="s">
        <v>2032</v>
      </c>
      <c r="B173" s="40" t="s">
        <v>2033</v>
      </c>
      <c r="C173" s="40" t="s">
        <v>2034</v>
      </c>
      <c r="D173" s="9" t="s">
        <v>2035</v>
      </c>
      <c r="E173" s="20" t="s">
        <v>151</v>
      </c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 ht="15.75" customHeight="1">
      <c r="A174" s="40" t="s">
        <v>2036</v>
      </c>
      <c r="B174" s="40" t="s">
        <v>2037</v>
      </c>
      <c r="C174" s="40" t="s">
        <v>2038</v>
      </c>
      <c r="D174" s="9" t="s">
        <v>2039</v>
      </c>
      <c r="E174" s="20" t="s">
        <v>151</v>
      </c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 ht="15.75" customHeight="1">
      <c r="A175" s="40" t="s">
        <v>2040</v>
      </c>
      <c r="B175" s="40" t="s">
        <v>2041</v>
      </c>
      <c r="C175" s="40" t="s">
        <v>2042</v>
      </c>
      <c r="D175" s="9" t="s">
        <v>2043</v>
      </c>
      <c r="E175" s="30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 ht="15.75" customHeight="1">
      <c r="A176" s="40" t="s">
        <v>2044</v>
      </c>
      <c r="B176" s="40" t="s">
        <v>2044</v>
      </c>
      <c r="C176" s="40" t="s">
        <v>2045</v>
      </c>
      <c r="D176" s="9" t="s">
        <v>2046</v>
      </c>
      <c r="E176" s="30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 ht="15.75" customHeight="1">
      <c r="A177" s="40" t="s">
        <v>2047</v>
      </c>
      <c r="B177" s="40" t="s">
        <v>2048</v>
      </c>
      <c r="C177" s="40" t="s">
        <v>2049</v>
      </c>
      <c r="D177" s="9" t="s">
        <v>2050</v>
      </c>
      <c r="E177" s="30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 ht="15.75" customHeight="1">
      <c r="A178" s="40" t="s">
        <v>2051</v>
      </c>
      <c r="B178" s="40" t="s">
        <v>2052</v>
      </c>
      <c r="C178" s="40" t="s">
        <v>2053</v>
      </c>
      <c r="D178" s="9" t="s">
        <v>2043</v>
      </c>
      <c r="E178" s="30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 ht="15.75" customHeight="1">
      <c r="A179" s="40" t="s">
        <v>2054</v>
      </c>
      <c r="B179" s="40" t="s">
        <v>2055</v>
      </c>
      <c r="C179" s="40" t="s">
        <v>2056</v>
      </c>
      <c r="D179" s="9" t="s">
        <v>2057</v>
      </c>
      <c r="E179" s="30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 ht="15.75" customHeight="1">
      <c r="A180" s="40" t="s">
        <v>2058</v>
      </c>
      <c r="B180" s="40" t="s">
        <v>2059</v>
      </c>
      <c r="C180" s="40" t="s">
        <v>2060</v>
      </c>
      <c r="D180" s="9" t="s">
        <v>2061</v>
      </c>
      <c r="E180" s="30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 ht="15.75" customHeight="1">
      <c r="A181" s="40" t="s">
        <v>2062</v>
      </c>
      <c r="B181" s="40" t="s">
        <v>2063</v>
      </c>
      <c r="C181" s="40" t="s">
        <v>2064</v>
      </c>
      <c r="D181" s="9" t="s">
        <v>2065</v>
      </c>
      <c r="E181" s="30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 ht="15.75" customHeight="1">
      <c r="A182" s="40" t="s">
        <v>2066</v>
      </c>
      <c r="B182" s="40" t="s">
        <v>2067</v>
      </c>
      <c r="C182" s="40" t="s">
        <v>2068</v>
      </c>
      <c r="D182" s="9" t="s">
        <v>2069</v>
      </c>
      <c r="E182" s="30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 ht="15.75" customHeight="1">
      <c r="A183" s="40" t="s">
        <v>2070</v>
      </c>
      <c r="B183" s="40" t="s">
        <v>2071</v>
      </c>
      <c r="C183" s="40" t="s">
        <v>2072</v>
      </c>
      <c r="D183" s="9" t="s">
        <v>2073</v>
      </c>
      <c r="E183" s="30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 ht="15.75" customHeight="1">
      <c r="A184" s="40" t="s">
        <v>2074</v>
      </c>
      <c r="B184" s="40" t="s">
        <v>2075</v>
      </c>
      <c r="C184" s="40" t="s">
        <v>2076</v>
      </c>
      <c r="D184" s="9" t="s">
        <v>2077</v>
      </c>
      <c r="E184" s="30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 ht="15.75" customHeight="1">
      <c r="A185" s="40" t="s">
        <v>2078</v>
      </c>
      <c r="B185" s="40" t="s">
        <v>2079</v>
      </c>
      <c r="C185" s="40" t="s">
        <v>307</v>
      </c>
      <c r="D185" s="9" t="s">
        <v>2080</v>
      </c>
      <c r="E185" s="30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 ht="15.75" customHeight="1">
      <c r="A186" s="40" t="s">
        <v>2081</v>
      </c>
      <c r="B186" s="40" t="s">
        <v>2082</v>
      </c>
      <c r="C186" s="40" t="s">
        <v>2083</v>
      </c>
      <c r="D186" s="9" t="s">
        <v>2084</v>
      </c>
      <c r="E186" s="30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 ht="15.75" customHeight="1">
      <c r="A187" s="40" t="s">
        <v>2085</v>
      </c>
      <c r="B187" s="40" t="s">
        <v>2085</v>
      </c>
      <c r="C187" s="40" t="s">
        <v>2086</v>
      </c>
      <c r="D187" s="9" t="s">
        <v>2087</v>
      </c>
      <c r="E187" s="30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 ht="15.75" customHeight="1">
      <c r="A188" s="40" t="s">
        <v>2088</v>
      </c>
      <c r="B188" s="40" t="s">
        <v>2088</v>
      </c>
      <c r="C188" s="40" t="s">
        <v>2089</v>
      </c>
      <c r="D188" s="9" t="s">
        <v>2090</v>
      </c>
      <c r="E188" s="30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 ht="15.75" customHeight="1">
      <c r="A189" s="40" t="s">
        <v>2091</v>
      </c>
      <c r="B189" s="40" t="s">
        <v>2092</v>
      </c>
      <c r="C189" s="40" t="s">
        <v>2093</v>
      </c>
      <c r="D189" s="9" t="s">
        <v>2094</v>
      </c>
      <c r="E189" s="30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 ht="15.75" customHeight="1">
      <c r="A190" s="40" t="s">
        <v>2095</v>
      </c>
      <c r="B190" s="40" t="s">
        <v>2095</v>
      </c>
      <c r="C190" s="40" t="s">
        <v>2096</v>
      </c>
      <c r="D190" s="9" t="s">
        <v>2097</v>
      </c>
      <c r="E190" s="30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 ht="15.75" customHeight="1">
      <c r="A191" s="40" t="s">
        <v>2098</v>
      </c>
      <c r="B191" s="40" t="s">
        <v>2099</v>
      </c>
      <c r="C191" s="40" t="s">
        <v>2100</v>
      </c>
      <c r="D191" s="9" t="s">
        <v>2101</v>
      </c>
      <c r="E191" s="30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 ht="15.75" customHeight="1">
      <c r="A192" s="40" t="s">
        <v>2102</v>
      </c>
      <c r="B192" s="40" t="s">
        <v>2103</v>
      </c>
      <c r="C192" s="40" t="s">
        <v>2104</v>
      </c>
      <c r="D192" s="9" t="s">
        <v>2105</v>
      </c>
      <c r="E192" s="30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 ht="15.75" customHeight="1">
      <c r="A193" s="40" t="s">
        <v>2106</v>
      </c>
      <c r="B193" s="40" t="s">
        <v>2107</v>
      </c>
      <c r="C193" s="40" t="s">
        <v>2108</v>
      </c>
      <c r="D193" s="9" t="s">
        <v>2109</v>
      </c>
      <c r="E193" s="30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 ht="15.75" customHeight="1">
      <c r="A194" s="40" t="s">
        <v>2110</v>
      </c>
      <c r="B194" s="40" t="s">
        <v>2111</v>
      </c>
      <c r="C194" s="40" t="s">
        <v>2112</v>
      </c>
      <c r="D194" s="9" t="s">
        <v>2113</v>
      </c>
      <c r="E194" s="30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 ht="15.75" customHeight="1">
      <c r="A195" s="40" t="s">
        <v>2114</v>
      </c>
      <c r="B195" s="40" t="s">
        <v>2115</v>
      </c>
      <c r="C195" s="40" t="s">
        <v>2116</v>
      </c>
      <c r="D195" s="9" t="s">
        <v>2117</v>
      </c>
      <c r="E195" s="30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 ht="15.75" customHeight="1">
      <c r="A196" s="40" t="s">
        <v>2118</v>
      </c>
      <c r="B196" s="40" t="s">
        <v>2119</v>
      </c>
      <c r="C196" s="40" t="s">
        <v>2120</v>
      </c>
      <c r="D196" s="9" t="s">
        <v>2121</v>
      </c>
      <c r="E196" s="30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 ht="15.75" customHeight="1">
      <c r="A197" s="40" t="s">
        <v>409</v>
      </c>
      <c r="B197" s="40" t="s">
        <v>2122</v>
      </c>
      <c r="C197" s="40" t="s">
        <v>411</v>
      </c>
      <c r="D197" s="9" t="s">
        <v>2123</v>
      </c>
      <c r="E197" s="30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 ht="15.75" customHeight="1">
      <c r="A198" s="40" t="s">
        <v>2124</v>
      </c>
      <c r="B198" s="40" t="s">
        <v>1545</v>
      </c>
      <c r="C198" s="40" t="s">
        <v>1547</v>
      </c>
      <c r="D198" s="9" t="s">
        <v>2125</v>
      </c>
      <c r="E198" s="30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 ht="15.75" customHeight="1">
      <c r="A199" s="40" t="s">
        <v>2126</v>
      </c>
      <c r="B199" s="40" t="s">
        <v>2127</v>
      </c>
      <c r="C199" s="40" t="s">
        <v>2128</v>
      </c>
      <c r="D199" s="9" t="s">
        <v>2129</v>
      </c>
      <c r="E199" s="30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 ht="15.75" customHeight="1">
      <c r="A200" s="40" t="s">
        <v>2130</v>
      </c>
      <c r="B200" s="40" t="s">
        <v>2131</v>
      </c>
      <c r="C200" s="40" t="s">
        <v>2132</v>
      </c>
      <c r="D200" s="9" t="s">
        <v>2133</v>
      </c>
      <c r="E200" s="30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 ht="15.75" customHeight="1">
      <c r="A201" s="40" t="s">
        <v>2134</v>
      </c>
      <c r="B201" s="40" t="s">
        <v>2135</v>
      </c>
      <c r="C201" s="40" t="s">
        <v>2136</v>
      </c>
      <c r="D201" s="9" t="s">
        <v>2137</v>
      </c>
      <c r="E201" s="30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 ht="15.75" customHeight="1">
      <c r="A202" s="40" t="s">
        <v>2138</v>
      </c>
      <c r="B202" s="40" t="s">
        <v>2139</v>
      </c>
      <c r="C202" s="40" t="s">
        <v>2140</v>
      </c>
      <c r="D202" s="9" t="s">
        <v>2141</v>
      </c>
      <c r="E202" s="20" t="s">
        <v>2142</v>
      </c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 ht="15.75" customHeight="1">
      <c r="A203" s="40" t="s">
        <v>2143</v>
      </c>
      <c r="B203" s="40" t="s">
        <v>2144</v>
      </c>
      <c r="C203" s="40" t="s">
        <v>2145</v>
      </c>
      <c r="D203" s="9" t="s">
        <v>2146</v>
      </c>
      <c r="E203" s="30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 ht="15.75" customHeight="1">
      <c r="A204" s="40" t="s">
        <v>2147</v>
      </c>
      <c r="B204" s="40" t="s">
        <v>2147</v>
      </c>
      <c r="C204" s="40" t="s">
        <v>2148</v>
      </c>
      <c r="D204" s="9" t="s">
        <v>2149</v>
      </c>
      <c r="E204" s="30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 ht="15.75" customHeight="1">
      <c r="A205" s="40" t="s">
        <v>2150</v>
      </c>
      <c r="B205" s="40" t="s">
        <v>2151</v>
      </c>
      <c r="C205" s="40" t="s">
        <v>2152</v>
      </c>
      <c r="D205" s="9" t="s">
        <v>2153</v>
      </c>
      <c r="E205" s="30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 ht="15.75" customHeight="1">
      <c r="A206" s="40" t="s">
        <v>2154</v>
      </c>
      <c r="B206" s="40" t="s">
        <v>1300</v>
      </c>
      <c r="C206" s="40" t="s">
        <v>2155</v>
      </c>
      <c r="D206" s="9" t="s">
        <v>2156</v>
      </c>
      <c r="E206" s="30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 ht="15.75" customHeight="1">
      <c r="A207" s="40" t="s">
        <v>2157</v>
      </c>
      <c r="B207" s="40" t="s">
        <v>2158</v>
      </c>
      <c r="C207" s="40" t="s">
        <v>2159</v>
      </c>
      <c r="D207" s="9" t="s">
        <v>2160</v>
      </c>
      <c r="E207" s="30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 ht="15.75" customHeight="1">
      <c r="A208" s="40" t="s">
        <v>2161</v>
      </c>
      <c r="B208" s="40" t="s">
        <v>2162</v>
      </c>
      <c r="C208" s="40" t="s">
        <v>2163</v>
      </c>
      <c r="D208" s="9" t="s">
        <v>2164</v>
      </c>
      <c r="E208" s="30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 ht="15.75" customHeight="1">
      <c r="A209" s="40" t="s">
        <v>2165</v>
      </c>
      <c r="B209" s="40" t="s">
        <v>2166</v>
      </c>
      <c r="C209" s="40" t="s">
        <v>2167</v>
      </c>
      <c r="D209" s="9" t="s">
        <v>2168</v>
      </c>
      <c r="E209" s="30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 ht="15.75" customHeight="1">
      <c r="A210" s="40" t="s">
        <v>2169</v>
      </c>
      <c r="B210" s="40" t="s">
        <v>2170</v>
      </c>
      <c r="C210" s="40" t="s">
        <v>2171</v>
      </c>
      <c r="D210" s="9" t="s">
        <v>2172</v>
      </c>
      <c r="E210" s="30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 ht="15.75" customHeight="1">
      <c r="A211" s="40" t="s">
        <v>2173</v>
      </c>
      <c r="B211" s="40" t="s">
        <v>2174</v>
      </c>
      <c r="C211" s="40" t="s">
        <v>2175</v>
      </c>
      <c r="D211" s="9" t="s">
        <v>2176</v>
      </c>
      <c r="E211" s="30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 ht="15.75" customHeight="1">
      <c r="A212" s="40" t="s">
        <v>2177</v>
      </c>
      <c r="B212" s="40" t="s">
        <v>2178</v>
      </c>
      <c r="C212" s="40" t="s">
        <v>2179</v>
      </c>
      <c r="D212" s="9" t="s">
        <v>2180</v>
      </c>
      <c r="E212" s="30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 ht="15.75" customHeight="1">
      <c r="A213" s="40" t="s">
        <v>2181</v>
      </c>
      <c r="B213" s="40" t="s">
        <v>2182</v>
      </c>
      <c r="C213" s="40" t="s">
        <v>2183</v>
      </c>
      <c r="D213" s="9" t="s">
        <v>2184</v>
      </c>
      <c r="E213" s="30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 ht="15.75" customHeight="1">
      <c r="A214" s="40" t="s">
        <v>2185</v>
      </c>
      <c r="B214" s="40" t="s">
        <v>2186</v>
      </c>
      <c r="C214" s="40" t="s">
        <v>2187</v>
      </c>
      <c r="D214" s="9" t="s">
        <v>2188</v>
      </c>
      <c r="E214" s="30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 ht="15.75" customHeight="1">
      <c r="A215" s="40" t="s">
        <v>2189</v>
      </c>
      <c r="B215" s="40" t="s">
        <v>2190</v>
      </c>
      <c r="C215" s="40" t="s">
        <v>2191</v>
      </c>
      <c r="D215" s="9" t="s">
        <v>2192</v>
      </c>
      <c r="E215" s="30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 ht="15.75" customHeight="1">
      <c r="A216" s="40" t="s">
        <v>2193</v>
      </c>
      <c r="B216" s="40" t="s">
        <v>2193</v>
      </c>
      <c r="C216" s="40" t="s">
        <v>2194</v>
      </c>
      <c r="D216" s="9" t="s">
        <v>2195</v>
      </c>
      <c r="E216" s="30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 ht="15.75" customHeight="1">
      <c r="A217" s="40" t="s">
        <v>2196</v>
      </c>
      <c r="B217" s="40" t="s">
        <v>2197</v>
      </c>
      <c r="C217" s="40" t="s">
        <v>2198</v>
      </c>
      <c r="D217" s="9" t="s">
        <v>2199</v>
      </c>
      <c r="E217" s="30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 ht="15.75" customHeight="1">
      <c r="A218" s="40" t="s">
        <v>2200</v>
      </c>
      <c r="B218" s="40" t="s">
        <v>2201</v>
      </c>
      <c r="C218" s="40" t="s">
        <v>2202</v>
      </c>
      <c r="D218" s="9" t="s">
        <v>2203</v>
      </c>
      <c r="E218" s="30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 ht="15.75" customHeight="1">
      <c r="A219" s="40" t="s">
        <v>2204</v>
      </c>
      <c r="B219" s="40" t="s">
        <v>2204</v>
      </c>
      <c r="C219" s="40" t="s">
        <v>2205</v>
      </c>
      <c r="D219" s="9" t="s">
        <v>2206</v>
      </c>
      <c r="E219" s="30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 ht="15.75" customHeight="1">
      <c r="A220" s="40" t="s">
        <v>900</v>
      </c>
      <c r="B220" s="40" t="s">
        <v>2207</v>
      </c>
      <c r="C220" s="40" t="s">
        <v>903</v>
      </c>
      <c r="D220" s="9" t="s">
        <v>2208</v>
      </c>
      <c r="E220" s="20" t="s">
        <v>696</v>
      </c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 ht="15.75" customHeight="1">
      <c r="A221" s="40" t="s">
        <v>2209</v>
      </c>
      <c r="B221" s="40" t="s">
        <v>2210</v>
      </c>
      <c r="C221" s="40" t="s">
        <v>2211</v>
      </c>
      <c r="D221" s="9" t="s">
        <v>2212</v>
      </c>
      <c r="E221" s="30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 ht="15.75" customHeight="1">
      <c r="A222" s="40" t="s">
        <v>2213</v>
      </c>
      <c r="B222" s="40" t="s">
        <v>2214</v>
      </c>
      <c r="C222" s="40" t="s">
        <v>2215</v>
      </c>
      <c r="D222" s="9" t="s">
        <v>2216</v>
      </c>
      <c r="E222" s="20" t="s">
        <v>1237</v>
      </c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 ht="15.75" customHeight="1">
      <c r="A223" s="40" t="s">
        <v>2217</v>
      </c>
      <c r="B223" s="40" t="s">
        <v>2218</v>
      </c>
      <c r="C223" s="40" t="s">
        <v>2219</v>
      </c>
      <c r="D223" s="9" t="s">
        <v>2220</v>
      </c>
      <c r="E223" s="20" t="s">
        <v>696</v>
      </c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 ht="15.75" customHeight="1">
      <c r="A224" s="40" t="s">
        <v>2221</v>
      </c>
      <c r="B224" s="40" t="s">
        <v>2222</v>
      </c>
      <c r="C224" s="40" t="s">
        <v>2223</v>
      </c>
      <c r="D224" s="9" t="s">
        <v>2224</v>
      </c>
      <c r="E224" s="30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 ht="15.75" customHeight="1">
      <c r="A225" s="40" t="s">
        <v>2225</v>
      </c>
      <c r="B225" s="40" t="s">
        <v>2225</v>
      </c>
      <c r="C225" s="40" t="s">
        <v>2226</v>
      </c>
      <c r="D225" s="9" t="s">
        <v>2227</v>
      </c>
      <c r="E225" s="30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 ht="15.75" customHeight="1">
      <c r="A226" s="40" t="s">
        <v>2228</v>
      </c>
      <c r="B226" s="40" t="s">
        <v>2229</v>
      </c>
      <c r="C226" s="40" t="s">
        <v>2230</v>
      </c>
      <c r="D226" s="9" t="s">
        <v>2231</v>
      </c>
      <c r="E226" s="30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 ht="15.75" customHeight="1">
      <c r="A227" s="40" t="s">
        <v>2232</v>
      </c>
      <c r="B227" s="40" t="s">
        <v>2233</v>
      </c>
      <c r="C227" s="40" t="s">
        <v>2234</v>
      </c>
      <c r="D227" s="9" t="s">
        <v>2235</v>
      </c>
      <c r="E227" s="30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 ht="15.75" customHeight="1">
      <c r="A228" s="40" t="s">
        <v>2236</v>
      </c>
      <c r="B228" s="40" t="s">
        <v>2237</v>
      </c>
      <c r="C228" s="40" t="s">
        <v>2238</v>
      </c>
      <c r="D228" s="9" t="s">
        <v>2239</v>
      </c>
      <c r="E228" s="30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 ht="15.75" customHeight="1">
      <c r="A229" s="40" t="s">
        <v>2240</v>
      </c>
      <c r="B229" s="40" t="s">
        <v>2241</v>
      </c>
      <c r="C229" s="40" t="s">
        <v>2242</v>
      </c>
      <c r="D229" s="9" t="s">
        <v>2243</v>
      </c>
      <c r="E229" s="30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 ht="15.75" customHeight="1">
      <c r="A230" s="40" t="s">
        <v>2244</v>
      </c>
      <c r="B230" s="40" t="s">
        <v>2244</v>
      </c>
      <c r="C230" s="40" t="s">
        <v>2245</v>
      </c>
      <c r="D230" s="9" t="s">
        <v>2246</v>
      </c>
      <c r="E230" s="30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 ht="15.75" customHeight="1">
      <c r="A231" s="40" t="s">
        <v>2247</v>
      </c>
      <c r="B231" s="40" t="s">
        <v>2247</v>
      </c>
      <c r="C231" s="40" t="s">
        <v>2248</v>
      </c>
      <c r="D231" s="9" t="s">
        <v>2249</v>
      </c>
      <c r="E231" s="30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 ht="15.75" customHeight="1">
      <c r="A232" s="40" t="s">
        <v>2250</v>
      </c>
      <c r="B232" s="40" t="s">
        <v>2251</v>
      </c>
      <c r="C232" s="40" t="s">
        <v>2252</v>
      </c>
      <c r="D232" s="9" t="s">
        <v>2253</v>
      </c>
      <c r="E232" s="30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 ht="15.75" customHeight="1">
      <c r="A233" s="40" t="s">
        <v>2254</v>
      </c>
      <c r="B233" s="40" t="s">
        <v>2255</v>
      </c>
      <c r="C233" s="40" t="s">
        <v>2256</v>
      </c>
      <c r="D233" s="9" t="s">
        <v>2257</v>
      </c>
      <c r="E233" s="30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 ht="15.75" customHeight="1">
      <c r="A234" s="40" t="s">
        <v>2258</v>
      </c>
      <c r="B234" s="40" t="s">
        <v>2258</v>
      </c>
      <c r="C234" s="40" t="s">
        <v>2259</v>
      </c>
      <c r="D234" s="9" t="s">
        <v>2260</v>
      </c>
      <c r="E234" s="30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 ht="15.75" customHeight="1">
      <c r="A235" s="40" t="s">
        <v>2261</v>
      </c>
      <c r="B235" s="40" t="s">
        <v>2262</v>
      </c>
      <c r="C235" s="40" t="s">
        <v>2263</v>
      </c>
      <c r="D235" s="9" t="s">
        <v>2264</v>
      </c>
      <c r="E235" s="20" t="s">
        <v>20</v>
      </c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 ht="15.75" customHeight="1">
      <c r="A236" s="40" t="s">
        <v>2265</v>
      </c>
      <c r="B236" s="40" t="s">
        <v>2266</v>
      </c>
      <c r="C236" s="40" t="s">
        <v>2267</v>
      </c>
      <c r="D236" s="9" t="s">
        <v>2268</v>
      </c>
      <c r="E236" s="20" t="s">
        <v>20</v>
      </c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 ht="15.75" customHeight="1">
      <c r="A237" s="40" t="s">
        <v>2269</v>
      </c>
      <c r="B237" s="40" t="s">
        <v>2270</v>
      </c>
      <c r="C237" s="40" t="s">
        <v>2271</v>
      </c>
      <c r="D237" s="9" t="s">
        <v>2272</v>
      </c>
      <c r="E237" s="20" t="s">
        <v>20</v>
      </c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 ht="15.75" customHeight="1">
      <c r="A238" s="40" t="s">
        <v>2273</v>
      </c>
      <c r="B238" s="40" t="s">
        <v>2274</v>
      </c>
      <c r="C238" s="40" t="s">
        <v>2275</v>
      </c>
      <c r="D238" s="9" t="s">
        <v>2276</v>
      </c>
      <c r="E238" s="20" t="s">
        <v>800</v>
      </c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 ht="15.75" customHeight="1">
      <c r="A239" s="40" t="s">
        <v>2277</v>
      </c>
      <c r="B239" s="40" t="s">
        <v>2278</v>
      </c>
      <c r="C239" s="40" t="s">
        <v>2279</v>
      </c>
      <c r="D239" s="9" t="s">
        <v>2280</v>
      </c>
      <c r="E239" s="30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 ht="15.75" customHeight="1">
      <c r="A240" s="40" t="s">
        <v>2281</v>
      </c>
      <c r="B240" s="40" t="s">
        <v>2281</v>
      </c>
      <c r="C240" s="40" t="s">
        <v>2282</v>
      </c>
      <c r="D240" s="9" t="s">
        <v>2283</v>
      </c>
      <c r="E240" s="30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 ht="15.75" customHeight="1">
      <c r="A241" s="40" t="s">
        <v>2284</v>
      </c>
      <c r="B241" s="40" t="s">
        <v>2285</v>
      </c>
      <c r="C241" s="40" t="s">
        <v>2286</v>
      </c>
      <c r="D241" s="9" t="s">
        <v>2287</v>
      </c>
      <c r="E241" s="20" t="s">
        <v>2288</v>
      </c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 ht="15.75" customHeight="1">
      <c r="A242" s="40" t="s">
        <v>2289</v>
      </c>
      <c r="B242" s="40" t="s">
        <v>2290</v>
      </c>
      <c r="C242" s="40" t="s">
        <v>2291</v>
      </c>
      <c r="D242" s="9" t="s">
        <v>2292</v>
      </c>
      <c r="E242" s="30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 ht="15.75" customHeight="1">
      <c r="A243" s="40" t="s">
        <v>2293</v>
      </c>
      <c r="B243" s="40" t="s">
        <v>2294</v>
      </c>
      <c r="C243" s="40" t="s">
        <v>2295</v>
      </c>
      <c r="D243" s="9" t="s">
        <v>2296</v>
      </c>
      <c r="E243" s="30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 ht="15.75" customHeight="1">
      <c r="A244" s="40" t="s">
        <v>2297</v>
      </c>
      <c r="B244" s="40" t="s">
        <v>1449</v>
      </c>
      <c r="C244" s="40" t="s">
        <v>1451</v>
      </c>
      <c r="D244" s="9" t="s">
        <v>2298</v>
      </c>
      <c r="E244" s="20" t="s">
        <v>419</v>
      </c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 ht="15.75" customHeight="1">
      <c r="A245" s="40" t="s">
        <v>2299</v>
      </c>
      <c r="B245" s="40" t="s">
        <v>2300</v>
      </c>
      <c r="C245" s="40" t="s">
        <v>2301</v>
      </c>
      <c r="D245" s="9" t="s">
        <v>2302</v>
      </c>
      <c r="E245" s="30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 ht="15.75" customHeight="1">
      <c r="A246" s="92" t="s">
        <v>2303</v>
      </c>
      <c r="B246" s="92" t="s">
        <v>2304</v>
      </c>
      <c r="C246" s="40" t="s">
        <v>2305</v>
      </c>
      <c r="D246" s="9" t="s">
        <v>2306</v>
      </c>
      <c r="E246" s="30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 ht="15.75" customHeight="1">
      <c r="A247" s="40" t="s">
        <v>2307</v>
      </c>
      <c r="B247" s="40" t="s">
        <v>1102</v>
      </c>
      <c r="C247" s="40" t="s">
        <v>1104</v>
      </c>
      <c r="D247" s="9" t="s">
        <v>2308</v>
      </c>
      <c r="E247" s="30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 ht="15.75" customHeight="1">
      <c r="A248" s="40" t="s">
        <v>2309</v>
      </c>
      <c r="B248" s="40" t="s">
        <v>2310</v>
      </c>
      <c r="C248" s="40" t="s">
        <v>2311</v>
      </c>
      <c r="D248" s="9" t="s">
        <v>2312</v>
      </c>
      <c r="E248" s="30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 ht="15.75" customHeight="1">
      <c r="A249" s="40" t="s">
        <v>2313</v>
      </c>
      <c r="B249" s="40" t="s">
        <v>2313</v>
      </c>
      <c r="C249" s="40" t="s">
        <v>2314</v>
      </c>
      <c r="D249" s="9" t="s">
        <v>2315</v>
      </c>
      <c r="E249" s="30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 ht="15.75" customHeight="1">
      <c r="A250" s="28" t="s">
        <v>2316</v>
      </c>
      <c r="B250" s="28" t="s">
        <v>2317</v>
      </c>
      <c r="C250" s="28" t="s">
        <v>2318</v>
      </c>
      <c r="D250" s="29" t="s">
        <v>2319</v>
      </c>
      <c r="E250" s="12" t="s">
        <v>1036</v>
      </c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</row>
    <row r="251" ht="15.75" customHeight="1">
      <c r="A251" s="40" t="s">
        <v>2320</v>
      </c>
      <c r="B251" s="40" t="s">
        <v>2320</v>
      </c>
      <c r="C251" s="40" t="s">
        <v>2321</v>
      </c>
      <c r="D251" s="9" t="s">
        <v>2322</v>
      </c>
      <c r="E251" s="30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 ht="15.75" customHeight="1">
      <c r="A252" s="40" t="s">
        <v>2323</v>
      </c>
      <c r="B252" s="40" t="s">
        <v>2323</v>
      </c>
      <c r="C252" s="40" t="s">
        <v>2324</v>
      </c>
      <c r="D252" s="9" t="s">
        <v>2325</v>
      </c>
      <c r="E252" s="30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 ht="15.75" customHeight="1">
      <c r="A253" s="40" t="s">
        <v>2326</v>
      </c>
      <c r="B253" s="40" t="s">
        <v>2326</v>
      </c>
      <c r="C253" s="40" t="s">
        <v>2327</v>
      </c>
      <c r="D253" s="9" t="s">
        <v>2328</v>
      </c>
      <c r="E253" s="30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 ht="15.75" customHeight="1">
      <c r="A254" s="40" t="s">
        <v>2329</v>
      </c>
      <c r="B254" s="40" t="s">
        <v>2330</v>
      </c>
      <c r="C254" s="40" t="s">
        <v>2331</v>
      </c>
      <c r="D254" s="9" t="s">
        <v>2332</v>
      </c>
      <c r="E254" s="30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 ht="15.75" customHeight="1">
      <c r="A255" s="40" t="s">
        <v>2333</v>
      </c>
      <c r="B255" s="40" t="s">
        <v>2333</v>
      </c>
      <c r="C255" s="40" t="s">
        <v>2334</v>
      </c>
      <c r="D255" s="9" t="s">
        <v>2335</v>
      </c>
      <c r="E255" s="30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 ht="15.75" customHeight="1">
      <c r="A256" s="40" t="s">
        <v>2336</v>
      </c>
      <c r="B256" s="40" t="s">
        <v>2337</v>
      </c>
      <c r="C256" s="40" t="s">
        <v>2338</v>
      </c>
      <c r="D256" s="9" t="s">
        <v>2339</v>
      </c>
      <c r="E256" s="30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 ht="15.75" customHeight="1">
      <c r="A257" s="40" t="s">
        <v>2340</v>
      </c>
      <c r="B257" s="40" t="s">
        <v>2341</v>
      </c>
      <c r="C257" s="40" t="s">
        <v>2342</v>
      </c>
      <c r="D257" s="9" t="s">
        <v>2343</v>
      </c>
      <c r="E257" s="30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 ht="15.75" customHeight="1">
      <c r="A258" s="40" t="s">
        <v>2344</v>
      </c>
      <c r="B258" s="40" t="s">
        <v>2345</v>
      </c>
      <c r="C258" s="40" t="s">
        <v>2346</v>
      </c>
      <c r="D258" s="9" t="s">
        <v>2347</v>
      </c>
      <c r="E258" s="30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 ht="15.75" customHeight="1">
      <c r="A259" s="40" t="s">
        <v>2348</v>
      </c>
      <c r="B259" s="40" t="s">
        <v>2349</v>
      </c>
      <c r="C259" s="40" t="s">
        <v>2350</v>
      </c>
      <c r="D259" s="9" t="s">
        <v>2351</v>
      </c>
      <c r="E259" s="30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 ht="15.75" customHeight="1">
      <c r="A260" s="40" t="s">
        <v>2352</v>
      </c>
      <c r="B260" s="40" t="s">
        <v>2352</v>
      </c>
      <c r="C260" s="40" t="s">
        <v>2353</v>
      </c>
      <c r="D260" s="9" t="s">
        <v>2354</v>
      </c>
      <c r="E260" s="30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 ht="15.75" customHeight="1">
      <c r="A261" s="40" t="s">
        <v>2355</v>
      </c>
      <c r="B261" s="40" t="s">
        <v>2356</v>
      </c>
      <c r="C261" s="40" t="s">
        <v>2357</v>
      </c>
      <c r="D261" s="9" t="s">
        <v>2358</v>
      </c>
      <c r="E261" s="30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 ht="15.75" customHeight="1">
      <c r="A262" s="40" t="s">
        <v>2359</v>
      </c>
      <c r="B262" s="40" t="s">
        <v>2360</v>
      </c>
      <c r="C262" s="40" t="s">
        <v>2361</v>
      </c>
      <c r="D262" s="9" t="s">
        <v>2362</v>
      </c>
      <c r="E262" s="30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 ht="15.75" customHeight="1">
      <c r="A263" s="40" t="s">
        <v>2363</v>
      </c>
      <c r="B263" s="40" t="s">
        <v>2364</v>
      </c>
      <c r="C263" s="40" t="s">
        <v>2365</v>
      </c>
      <c r="D263" s="9" t="s">
        <v>2366</v>
      </c>
      <c r="E263" s="30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 ht="15.75" customHeight="1">
      <c r="A264" s="40" t="s">
        <v>2367</v>
      </c>
      <c r="B264" s="40" t="s">
        <v>2368</v>
      </c>
      <c r="C264" s="40" t="s">
        <v>2369</v>
      </c>
      <c r="D264" s="9" t="s">
        <v>2370</v>
      </c>
      <c r="E264" s="30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 ht="15.75" customHeight="1">
      <c r="A265" s="40" t="s">
        <v>2371</v>
      </c>
      <c r="B265" s="40" t="s">
        <v>2372</v>
      </c>
      <c r="C265" s="40" t="s">
        <v>2373</v>
      </c>
      <c r="D265" s="9" t="s">
        <v>2374</v>
      </c>
      <c r="E265" s="30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 ht="15.75" customHeight="1">
      <c r="A266" s="40" t="s">
        <v>2375</v>
      </c>
      <c r="B266" s="40" t="s">
        <v>2376</v>
      </c>
      <c r="C266" s="40" t="s">
        <v>2377</v>
      </c>
      <c r="D266" s="9" t="s">
        <v>2378</v>
      </c>
      <c r="E266" s="30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 ht="15.75" customHeight="1">
      <c r="A267" s="40" t="s">
        <v>2379</v>
      </c>
      <c r="B267" s="40" t="s">
        <v>2380</v>
      </c>
      <c r="C267" s="40" t="s">
        <v>2381</v>
      </c>
      <c r="D267" s="9" t="s">
        <v>2382</v>
      </c>
      <c r="E267" s="30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 ht="15.75" customHeight="1">
      <c r="A268" s="40" t="s">
        <v>2383</v>
      </c>
      <c r="B268" s="40" t="s">
        <v>2384</v>
      </c>
      <c r="C268" s="40" t="s">
        <v>2385</v>
      </c>
      <c r="D268" s="9" t="s">
        <v>2386</v>
      </c>
      <c r="E268" s="30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 ht="15.75" customHeight="1">
      <c r="A269" s="40" t="s">
        <v>2387</v>
      </c>
      <c r="B269" s="40" t="s">
        <v>2388</v>
      </c>
      <c r="C269" s="40" t="s">
        <v>2389</v>
      </c>
      <c r="D269" s="9" t="s">
        <v>2390</v>
      </c>
      <c r="E269" s="20" t="s">
        <v>1653</v>
      </c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 ht="15.75" customHeight="1">
      <c r="A270" s="40" t="s">
        <v>2391</v>
      </c>
      <c r="B270" s="40" t="s">
        <v>2391</v>
      </c>
      <c r="C270" s="40" t="s">
        <v>2392</v>
      </c>
      <c r="D270" s="9" t="s">
        <v>2393</v>
      </c>
      <c r="E270" s="30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 ht="15.75" customHeight="1">
      <c r="A271" s="40" t="s">
        <v>2394</v>
      </c>
      <c r="B271" s="40" t="s">
        <v>2395</v>
      </c>
      <c r="C271" s="40" t="s">
        <v>2396</v>
      </c>
      <c r="D271" s="9" t="s">
        <v>2397</v>
      </c>
      <c r="E271" s="20" t="s">
        <v>1237</v>
      </c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 ht="15.75" customHeight="1">
      <c r="A272" s="40" t="s">
        <v>2398</v>
      </c>
      <c r="B272" s="40" t="s">
        <v>2398</v>
      </c>
      <c r="C272" s="40" t="s">
        <v>2399</v>
      </c>
      <c r="D272" s="9" t="s">
        <v>2400</v>
      </c>
      <c r="E272" s="30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 ht="15.75" customHeight="1">
      <c r="A273" s="40" t="s">
        <v>2401</v>
      </c>
      <c r="B273" s="40" t="s">
        <v>2401</v>
      </c>
      <c r="C273" s="40" t="s">
        <v>2402</v>
      </c>
      <c r="D273" s="9" t="s">
        <v>2403</v>
      </c>
      <c r="E273" s="30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 ht="15.75" customHeight="1">
      <c r="A274" s="40" t="s">
        <v>2404</v>
      </c>
      <c r="B274" s="40" t="s">
        <v>2405</v>
      </c>
      <c r="C274" s="40" t="s">
        <v>2406</v>
      </c>
      <c r="D274" s="9" t="s">
        <v>2407</v>
      </c>
      <c r="E274" s="30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 ht="15.75" customHeight="1">
      <c r="A275" s="40" t="s">
        <v>2408</v>
      </c>
      <c r="B275" s="40" t="s">
        <v>2408</v>
      </c>
      <c r="C275" s="40" t="s">
        <v>2409</v>
      </c>
      <c r="D275" s="9" t="s">
        <v>2410</v>
      </c>
      <c r="E275" s="30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 ht="15.75" customHeight="1">
      <c r="A276" s="40" t="s">
        <v>2411</v>
      </c>
      <c r="B276" s="40" t="s">
        <v>2412</v>
      </c>
      <c r="C276" s="40" t="s">
        <v>2413</v>
      </c>
      <c r="D276" s="9" t="s">
        <v>2414</v>
      </c>
      <c r="E276" s="30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 ht="15.75" customHeight="1">
      <c r="A277" s="40" t="s">
        <v>2415</v>
      </c>
      <c r="B277" s="40" t="s">
        <v>2416</v>
      </c>
      <c r="C277" s="40" t="s">
        <v>2417</v>
      </c>
      <c r="D277" s="9" t="s">
        <v>2418</v>
      </c>
      <c r="E277" s="30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 ht="15.75" customHeight="1">
      <c r="A278" s="40" t="s">
        <v>2419</v>
      </c>
      <c r="B278" s="40" t="s">
        <v>2419</v>
      </c>
      <c r="C278" s="40" t="s">
        <v>2420</v>
      </c>
      <c r="D278" s="9" t="s">
        <v>2421</v>
      </c>
      <c r="E278" s="30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 ht="15.75" customHeight="1">
      <c r="A279" s="40" t="s">
        <v>2422</v>
      </c>
      <c r="B279" s="40" t="s">
        <v>2423</v>
      </c>
      <c r="C279" s="40" t="s">
        <v>2424</v>
      </c>
      <c r="D279" s="9" t="s">
        <v>2425</v>
      </c>
      <c r="E279" s="30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 ht="15.75" customHeight="1">
      <c r="A280" s="40" t="s">
        <v>2426</v>
      </c>
      <c r="B280" s="40" t="s">
        <v>2426</v>
      </c>
      <c r="C280" s="40" t="s">
        <v>2427</v>
      </c>
      <c r="D280" s="9" t="s">
        <v>2428</v>
      </c>
      <c r="E280" s="30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 ht="15.75" customHeight="1">
      <c r="A281" s="40" t="s">
        <v>2429</v>
      </c>
      <c r="B281" s="40" t="s">
        <v>2430</v>
      </c>
      <c r="C281" s="40" t="s">
        <v>2431</v>
      </c>
      <c r="D281" s="9" t="s">
        <v>2432</v>
      </c>
      <c r="E281" s="30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 ht="15.75" customHeight="1">
      <c r="A282" s="40" t="s">
        <v>2433</v>
      </c>
      <c r="B282" s="40" t="s">
        <v>2434</v>
      </c>
      <c r="C282" s="40" t="s">
        <v>2435</v>
      </c>
      <c r="D282" s="9" t="s">
        <v>2436</v>
      </c>
      <c r="E282" s="30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 ht="15.75" customHeight="1">
      <c r="A283" s="40" t="s">
        <v>2437</v>
      </c>
      <c r="B283" s="40" t="s">
        <v>2438</v>
      </c>
      <c r="C283" s="40" t="s">
        <v>2439</v>
      </c>
      <c r="D283" s="9" t="s">
        <v>2440</v>
      </c>
      <c r="E283" s="100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 ht="15.75" customHeight="1">
      <c r="A284" s="40" t="s">
        <v>2441</v>
      </c>
      <c r="B284" s="40" t="s">
        <v>2442</v>
      </c>
      <c r="C284" s="40" t="s">
        <v>2443</v>
      </c>
      <c r="D284" s="9" t="s">
        <v>2444</v>
      </c>
      <c r="E284" s="30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 ht="15.75" customHeight="1">
      <c r="A285" s="40" t="s">
        <v>2445</v>
      </c>
      <c r="B285" s="40" t="s">
        <v>2446</v>
      </c>
      <c r="C285" s="40" t="s">
        <v>2447</v>
      </c>
      <c r="D285" s="9" t="s">
        <v>2448</v>
      </c>
      <c r="E285" s="30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 ht="15.75" customHeight="1">
      <c r="A286" s="40" t="s">
        <v>2449</v>
      </c>
      <c r="B286" s="40" t="s">
        <v>2450</v>
      </c>
      <c r="C286" s="40" t="s">
        <v>2451</v>
      </c>
      <c r="D286" s="9" t="s">
        <v>2452</v>
      </c>
      <c r="E286" s="30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 ht="15.75" customHeight="1">
      <c r="A287" s="40" t="s">
        <v>2453</v>
      </c>
      <c r="B287" s="40" t="s">
        <v>2453</v>
      </c>
      <c r="C287" s="40" t="s">
        <v>2454</v>
      </c>
      <c r="D287" s="9" t="s">
        <v>2455</v>
      </c>
      <c r="E287" s="30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 ht="15.75" customHeight="1">
      <c r="A288" s="40" t="s">
        <v>2456</v>
      </c>
      <c r="B288" s="40" t="s">
        <v>2456</v>
      </c>
      <c r="C288" s="40" t="s">
        <v>2457</v>
      </c>
      <c r="D288" s="9" t="s">
        <v>2458</v>
      </c>
      <c r="E288" s="30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 ht="15.75" customHeight="1">
      <c r="A289" s="40" t="s">
        <v>2459</v>
      </c>
      <c r="B289" s="40" t="s">
        <v>2460</v>
      </c>
      <c r="C289" s="40" t="s">
        <v>2461</v>
      </c>
      <c r="D289" s="9" t="s">
        <v>2462</v>
      </c>
      <c r="E289" s="30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 ht="15.75" customHeight="1">
      <c r="A290" s="40" t="s">
        <v>2463</v>
      </c>
      <c r="B290" s="40" t="s">
        <v>2464</v>
      </c>
      <c r="C290" s="40" t="s">
        <v>2465</v>
      </c>
      <c r="D290" s="9" t="s">
        <v>2466</v>
      </c>
      <c r="E290" s="30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 ht="15.75" customHeight="1">
      <c r="A291" s="40" t="s">
        <v>2467</v>
      </c>
      <c r="B291" s="40" t="s">
        <v>2467</v>
      </c>
      <c r="C291" s="40" t="s">
        <v>2468</v>
      </c>
      <c r="D291" s="9" t="s">
        <v>2469</v>
      </c>
      <c r="E291" s="30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 ht="15.75" customHeight="1">
      <c r="A292" s="40" t="s">
        <v>2470</v>
      </c>
      <c r="B292" s="40" t="s">
        <v>2471</v>
      </c>
      <c r="C292" s="40" t="s">
        <v>2472</v>
      </c>
      <c r="D292" s="9" t="s">
        <v>2473</v>
      </c>
      <c r="E292" s="30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 ht="15.75" customHeight="1">
      <c r="A293" s="40" t="s">
        <v>2474</v>
      </c>
      <c r="B293" s="40" t="s">
        <v>2474</v>
      </c>
      <c r="C293" s="40" t="s">
        <v>2475</v>
      </c>
      <c r="D293" s="9" t="s">
        <v>2476</v>
      </c>
      <c r="E293" s="30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 ht="15.75" customHeight="1">
      <c r="A294" s="40" t="s">
        <v>2477</v>
      </c>
      <c r="B294" s="40" t="s">
        <v>2478</v>
      </c>
      <c r="C294" s="40" t="s">
        <v>550</v>
      </c>
      <c r="D294" s="9" t="s">
        <v>2479</v>
      </c>
      <c r="E294" s="30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 ht="15.75" customHeight="1">
      <c r="A295" s="40" t="s">
        <v>2480</v>
      </c>
      <c r="B295" s="40" t="s">
        <v>2481</v>
      </c>
      <c r="C295" s="40" t="s">
        <v>2482</v>
      </c>
      <c r="D295" s="9" t="s">
        <v>2483</v>
      </c>
      <c r="E295" s="30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 ht="15.75" customHeight="1">
      <c r="A296" s="28" t="s">
        <v>2484</v>
      </c>
      <c r="B296" s="40" t="s">
        <v>2484</v>
      </c>
      <c r="C296" s="40" t="s">
        <v>2485</v>
      </c>
      <c r="D296" s="9" t="s">
        <v>2486</v>
      </c>
      <c r="E296" s="30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 ht="15.75" customHeight="1">
      <c r="A297" s="40" t="s">
        <v>2487</v>
      </c>
      <c r="B297" s="40" t="s">
        <v>2487</v>
      </c>
      <c r="C297" s="40" t="s">
        <v>2488</v>
      </c>
      <c r="D297" s="9" t="s">
        <v>2489</v>
      </c>
      <c r="E297" s="30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 ht="15.75" customHeight="1">
      <c r="A298" s="40" t="s">
        <v>2490</v>
      </c>
      <c r="B298" s="40" t="s">
        <v>2491</v>
      </c>
      <c r="C298" s="40" t="s">
        <v>2492</v>
      </c>
      <c r="D298" s="9" t="s">
        <v>2493</v>
      </c>
      <c r="E298" s="30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 ht="15.75" customHeight="1">
      <c r="A299" s="40" t="s">
        <v>2494</v>
      </c>
      <c r="B299" s="40" t="s">
        <v>2494</v>
      </c>
      <c r="C299" s="40" t="s">
        <v>2495</v>
      </c>
      <c r="D299" s="9" t="s">
        <v>2496</v>
      </c>
      <c r="E299" s="30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 ht="15.75" customHeight="1">
      <c r="A300" s="40" t="s">
        <v>2497</v>
      </c>
      <c r="B300" s="40" t="s">
        <v>2498</v>
      </c>
      <c r="C300" s="40" t="s">
        <v>2499</v>
      </c>
      <c r="D300" s="9" t="s">
        <v>2500</v>
      </c>
      <c r="E300" s="30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 ht="15.75" customHeight="1">
      <c r="A301" s="40" t="s">
        <v>2501</v>
      </c>
      <c r="B301" s="40" t="s">
        <v>2502</v>
      </c>
      <c r="C301" s="40" t="s">
        <v>2503</v>
      </c>
      <c r="D301" s="9" t="s">
        <v>2504</v>
      </c>
      <c r="E301" s="30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 ht="15.75" customHeight="1">
      <c r="A302" s="40" t="s">
        <v>2505</v>
      </c>
      <c r="B302" s="40" t="s">
        <v>2506</v>
      </c>
      <c r="C302" s="40" t="s">
        <v>2507</v>
      </c>
      <c r="D302" s="9" t="s">
        <v>2508</v>
      </c>
      <c r="E302" s="30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 ht="15.75" customHeight="1">
      <c r="A303" s="40" t="s">
        <v>2509</v>
      </c>
      <c r="B303" s="40" t="s">
        <v>2510</v>
      </c>
      <c r="C303" s="40" t="s">
        <v>2511</v>
      </c>
      <c r="D303" s="9" t="s">
        <v>2512</v>
      </c>
      <c r="E303" s="30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 ht="15.75" customHeight="1">
      <c r="A304" s="40" t="s">
        <v>2513</v>
      </c>
      <c r="B304" s="40" t="s">
        <v>2513</v>
      </c>
      <c r="C304" s="40" t="s">
        <v>2514</v>
      </c>
      <c r="D304" s="9" t="s">
        <v>2515</v>
      </c>
      <c r="E304" s="30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 ht="15.75" customHeight="1">
      <c r="A305" s="40" t="s">
        <v>2516</v>
      </c>
      <c r="B305" s="40" t="s">
        <v>2517</v>
      </c>
      <c r="C305" s="40" t="s">
        <v>2518</v>
      </c>
      <c r="D305" s="9" t="s">
        <v>2519</v>
      </c>
      <c r="E305" s="30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 ht="15.75" customHeight="1">
      <c r="A306" s="40" t="s">
        <v>2520</v>
      </c>
      <c r="B306" s="40" t="s">
        <v>2521</v>
      </c>
      <c r="C306" s="40" t="s">
        <v>2522</v>
      </c>
      <c r="D306" s="9" t="s">
        <v>2523</v>
      </c>
      <c r="E306" s="30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 ht="15.75" customHeight="1">
      <c r="A307" s="40" t="s">
        <v>2524</v>
      </c>
      <c r="B307" s="40" t="s">
        <v>2525</v>
      </c>
      <c r="C307" s="40" t="s">
        <v>2526</v>
      </c>
      <c r="D307" s="9" t="s">
        <v>2527</v>
      </c>
      <c r="E307" s="30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 ht="15.75" customHeight="1">
      <c r="A308" s="40" t="s">
        <v>2528</v>
      </c>
      <c r="B308" s="40" t="s">
        <v>2529</v>
      </c>
      <c r="C308" s="40" t="s">
        <v>2530</v>
      </c>
      <c r="D308" s="9" t="s">
        <v>2531</v>
      </c>
      <c r="E308" s="30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 ht="15.75" customHeight="1">
      <c r="A309" s="40" t="s">
        <v>2532</v>
      </c>
      <c r="B309" s="40" t="s">
        <v>2533</v>
      </c>
      <c r="C309" s="40" t="s">
        <v>2534</v>
      </c>
      <c r="D309" s="9" t="s">
        <v>2535</v>
      </c>
      <c r="E309" s="30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 ht="15.75" customHeight="1">
      <c r="A310" s="40" t="s">
        <v>2536</v>
      </c>
      <c r="B310" s="40" t="s">
        <v>2537</v>
      </c>
      <c r="C310" s="40" t="s">
        <v>2538</v>
      </c>
      <c r="D310" s="9" t="s">
        <v>2539</v>
      </c>
      <c r="E310" s="30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 ht="15.75" customHeight="1">
      <c r="A311" s="40" t="s">
        <v>2540</v>
      </c>
      <c r="B311" s="40" t="s">
        <v>2541</v>
      </c>
      <c r="C311" s="40" t="s">
        <v>2542</v>
      </c>
      <c r="D311" s="9" t="s">
        <v>2543</v>
      </c>
      <c r="E311" s="30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 ht="15.75" customHeight="1">
      <c r="A312" s="40" t="s">
        <v>2544</v>
      </c>
      <c r="B312" s="40" t="s">
        <v>2545</v>
      </c>
      <c r="C312" s="40" t="s">
        <v>2546</v>
      </c>
      <c r="D312" s="9" t="s">
        <v>2547</v>
      </c>
      <c r="E312" s="30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 ht="15.75" customHeight="1">
      <c r="A313" s="40" t="s">
        <v>2548</v>
      </c>
      <c r="B313" s="40" t="s">
        <v>2549</v>
      </c>
      <c r="C313" s="40" t="s">
        <v>2550</v>
      </c>
      <c r="D313" s="9" t="s">
        <v>2551</v>
      </c>
      <c r="E313" s="30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 ht="15.75" customHeight="1">
      <c r="A314" s="40" t="s">
        <v>2552</v>
      </c>
      <c r="B314" s="40" t="s">
        <v>2553</v>
      </c>
      <c r="C314" s="40" t="s">
        <v>2554</v>
      </c>
      <c r="D314" s="9" t="s">
        <v>2555</v>
      </c>
      <c r="E314" s="30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 ht="15.75" customHeight="1">
      <c r="A315" s="40" t="s">
        <v>2556</v>
      </c>
      <c r="B315" s="40" t="s">
        <v>2557</v>
      </c>
      <c r="C315" s="40" t="s">
        <v>2558</v>
      </c>
      <c r="D315" s="9" t="s">
        <v>2559</v>
      </c>
      <c r="E315" s="30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 ht="15.75" customHeight="1">
      <c r="A316" s="40" t="s">
        <v>2560</v>
      </c>
      <c r="B316" s="40" t="s">
        <v>2561</v>
      </c>
      <c r="C316" s="40" t="s">
        <v>2562</v>
      </c>
      <c r="D316" s="9" t="s">
        <v>2563</v>
      </c>
      <c r="E316" s="30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 ht="15.75" customHeight="1">
      <c r="A317" s="40" t="s">
        <v>2564</v>
      </c>
      <c r="B317" s="40" t="s">
        <v>2565</v>
      </c>
      <c r="C317" s="40" t="s">
        <v>2566</v>
      </c>
      <c r="D317" s="9" t="s">
        <v>2567</v>
      </c>
      <c r="E317" s="30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 ht="15.75" customHeight="1">
      <c r="A318" s="40" t="s">
        <v>2568</v>
      </c>
      <c r="B318" s="40" t="s">
        <v>2569</v>
      </c>
      <c r="C318" s="40" t="s">
        <v>2570</v>
      </c>
      <c r="D318" s="9" t="s">
        <v>2571</v>
      </c>
      <c r="E318" s="30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 ht="15.75" customHeight="1">
      <c r="A319" s="40" t="s">
        <v>2572</v>
      </c>
      <c r="B319" s="40" t="s">
        <v>2573</v>
      </c>
      <c r="C319" s="40" t="s">
        <v>2574</v>
      </c>
      <c r="D319" s="9" t="s">
        <v>2575</v>
      </c>
      <c r="E319" s="30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 ht="15.75" customHeight="1">
      <c r="A320" s="40" t="s">
        <v>2576</v>
      </c>
      <c r="B320" s="40" t="s">
        <v>2576</v>
      </c>
      <c r="C320" s="40" t="s">
        <v>2577</v>
      </c>
      <c r="D320" s="9" t="s">
        <v>2578</v>
      </c>
      <c r="E320" s="30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 ht="15.75" customHeight="1">
      <c r="A321" s="40" t="s">
        <v>2579</v>
      </c>
      <c r="B321" s="40" t="s">
        <v>2579</v>
      </c>
      <c r="C321" s="40" t="s">
        <v>2580</v>
      </c>
      <c r="D321" s="9" t="s">
        <v>2581</v>
      </c>
      <c r="E321" s="30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 ht="15.75" customHeight="1">
      <c r="A322" s="40" t="s">
        <v>2582</v>
      </c>
      <c r="B322" s="40" t="s">
        <v>2583</v>
      </c>
      <c r="C322" s="40" t="s">
        <v>2584</v>
      </c>
      <c r="D322" s="9" t="s">
        <v>2585</v>
      </c>
      <c r="E322" s="30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 ht="15.75" customHeight="1">
      <c r="A323" s="40" t="s">
        <v>2586</v>
      </c>
      <c r="B323" s="40" t="s">
        <v>2586</v>
      </c>
      <c r="C323" s="40" t="s">
        <v>2587</v>
      </c>
      <c r="D323" s="9" t="s">
        <v>2588</v>
      </c>
      <c r="E323" s="30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 ht="15.75" customHeight="1">
      <c r="A324" s="40" t="s">
        <v>2589</v>
      </c>
      <c r="B324" s="40" t="s">
        <v>2590</v>
      </c>
      <c r="C324" s="40" t="s">
        <v>2591</v>
      </c>
      <c r="D324" s="9" t="s">
        <v>2592</v>
      </c>
      <c r="E324" s="30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 ht="15.75" customHeight="1">
      <c r="A325" s="40" t="s">
        <v>1676</v>
      </c>
      <c r="B325" s="40" t="s">
        <v>2593</v>
      </c>
      <c r="C325" s="40" t="s">
        <v>1677</v>
      </c>
      <c r="D325" s="9" t="s">
        <v>2594</v>
      </c>
      <c r="E325" s="30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 ht="15.75" customHeight="1">
      <c r="A326" s="40" t="s">
        <v>2595</v>
      </c>
      <c r="B326" s="40" t="s">
        <v>2595</v>
      </c>
      <c r="C326" s="40" t="s">
        <v>2596</v>
      </c>
      <c r="D326" s="9" t="s">
        <v>2597</v>
      </c>
      <c r="E326" s="30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 ht="15.75" customHeight="1">
      <c r="A327" s="40" t="s">
        <v>2598</v>
      </c>
      <c r="B327" s="40" t="s">
        <v>2599</v>
      </c>
      <c r="C327" s="40" t="s">
        <v>2600</v>
      </c>
      <c r="D327" s="9" t="s">
        <v>2601</v>
      </c>
      <c r="E327" s="30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 ht="15.75" customHeight="1">
      <c r="A328" s="40" t="s">
        <v>2602</v>
      </c>
      <c r="B328" s="40" t="s">
        <v>2603</v>
      </c>
      <c r="C328" s="40" t="s">
        <v>2604</v>
      </c>
      <c r="D328" s="9" t="s">
        <v>2605</v>
      </c>
      <c r="E328" s="30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 ht="15.75" customHeight="1">
      <c r="A329" s="40" t="s">
        <v>2606</v>
      </c>
      <c r="B329" s="40" t="s">
        <v>2607</v>
      </c>
      <c r="C329" s="40" t="s">
        <v>2608</v>
      </c>
      <c r="D329" s="9" t="s">
        <v>2609</v>
      </c>
      <c r="E329" s="30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 ht="15.75" customHeight="1">
      <c r="A330" s="40" t="s">
        <v>2610</v>
      </c>
      <c r="B330" s="40" t="s">
        <v>2610</v>
      </c>
      <c r="C330" s="40" t="s">
        <v>2611</v>
      </c>
      <c r="D330" s="9" t="s">
        <v>2612</v>
      </c>
      <c r="E330" s="30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 ht="15.75" customHeight="1">
      <c r="A331" s="40" t="s">
        <v>2613</v>
      </c>
      <c r="B331" s="40" t="s">
        <v>2614</v>
      </c>
      <c r="C331" s="40" t="s">
        <v>2615</v>
      </c>
      <c r="D331" s="9" t="s">
        <v>2616</v>
      </c>
      <c r="E331" s="30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 ht="15.75" customHeight="1">
      <c r="A332" s="40" t="s">
        <v>2617</v>
      </c>
      <c r="B332" s="40" t="s">
        <v>2618</v>
      </c>
      <c r="C332" s="40" t="s">
        <v>2619</v>
      </c>
      <c r="D332" s="9" t="s">
        <v>2620</v>
      </c>
      <c r="E332" s="30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 ht="15.75" customHeight="1">
      <c r="A333" s="40" t="s">
        <v>2621</v>
      </c>
      <c r="B333" s="40" t="s">
        <v>2622</v>
      </c>
      <c r="C333" s="40" t="s">
        <v>2623</v>
      </c>
      <c r="D333" s="9" t="s">
        <v>2624</v>
      </c>
      <c r="E333" s="30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 ht="15.75" customHeight="1">
      <c r="A334" s="40" t="s">
        <v>2625</v>
      </c>
      <c r="B334" s="40" t="s">
        <v>2626</v>
      </c>
      <c r="C334" s="40" t="s">
        <v>2627</v>
      </c>
      <c r="D334" s="9" t="s">
        <v>2628</v>
      </c>
      <c r="E334" s="30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 ht="15.75" customHeight="1">
      <c r="A335" s="40" t="s">
        <v>2629</v>
      </c>
      <c r="B335" s="40" t="s">
        <v>2630</v>
      </c>
      <c r="C335" s="40" t="s">
        <v>2631</v>
      </c>
      <c r="D335" s="9" t="s">
        <v>2632</v>
      </c>
      <c r="E335" s="30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 ht="15.75" customHeight="1">
      <c r="A336" s="40" t="s">
        <v>2633</v>
      </c>
      <c r="B336" s="40" t="s">
        <v>2634</v>
      </c>
      <c r="C336" s="40" t="s">
        <v>2635</v>
      </c>
      <c r="D336" s="9" t="s">
        <v>2636</v>
      </c>
      <c r="E336" s="30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 ht="15.75" customHeight="1">
      <c r="A337" s="40" t="s">
        <v>2637</v>
      </c>
      <c r="B337" s="40" t="s">
        <v>2638</v>
      </c>
      <c r="C337" s="40" t="s">
        <v>477</v>
      </c>
      <c r="D337" s="9" t="s">
        <v>2639</v>
      </c>
      <c r="E337" s="30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 ht="15.75" customHeight="1">
      <c r="A338" s="40" t="s">
        <v>1387</v>
      </c>
      <c r="B338" s="40" t="s">
        <v>2640</v>
      </c>
      <c r="C338" s="40" t="s">
        <v>1389</v>
      </c>
      <c r="D338" s="9" t="s">
        <v>2641</v>
      </c>
      <c r="E338" s="30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 ht="15.75" customHeight="1">
      <c r="A339" s="40" t="s">
        <v>2642</v>
      </c>
      <c r="B339" s="40" t="s">
        <v>2642</v>
      </c>
      <c r="C339" s="40" t="s">
        <v>2643</v>
      </c>
      <c r="D339" s="9" t="s">
        <v>2644</v>
      </c>
      <c r="E339" s="30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 ht="15.75" customHeight="1">
      <c r="A340" s="40" t="s">
        <v>2645</v>
      </c>
      <c r="B340" s="40" t="s">
        <v>2646</v>
      </c>
      <c r="C340" s="40" t="s">
        <v>2647</v>
      </c>
      <c r="D340" s="9" t="s">
        <v>2648</v>
      </c>
      <c r="E340" s="30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 ht="15.75" customHeight="1">
      <c r="A341" s="40" t="s">
        <v>2649</v>
      </c>
      <c r="B341" s="40" t="s">
        <v>2650</v>
      </c>
      <c r="C341" s="40" t="s">
        <v>2651</v>
      </c>
      <c r="D341" s="9" t="s">
        <v>2652</v>
      </c>
      <c r="E341" s="30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 ht="15.75" customHeight="1">
      <c r="A342" s="40" t="s">
        <v>2653</v>
      </c>
      <c r="B342" s="40" t="s">
        <v>2653</v>
      </c>
      <c r="C342" s="40" t="s">
        <v>2654</v>
      </c>
      <c r="D342" s="9" t="s">
        <v>2655</v>
      </c>
      <c r="E342" s="30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 ht="15.75" customHeight="1">
      <c r="A343" s="40" t="s">
        <v>2656</v>
      </c>
      <c r="B343" s="40" t="s">
        <v>2657</v>
      </c>
      <c r="C343" s="40" t="s">
        <v>2658</v>
      </c>
      <c r="D343" s="9" t="s">
        <v>2659</v>
      </c>
      <c r="E343" s="30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 ht="15.75" customHeight="1">
      <c r="A344" s="40" t="s">
        <v>2660</v>
      </c>
      <c r="B344" s="40" t="s">
        <v>2661</v>
      </c>
      <c r="C344" s="40" t="s">
        <v>2662</v>
      </c>
      <c r="D344" s="9" t="s">
        <v>2663</v>
      </c>
      <c r="E344" s="30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 ht="15.75" customHeight="1">
      <c r="A345" s="40" t="s">
        <v>2664</v>
      </c>
      <c r="B345" s="40" t="s">
        <v>2664</v>
      </c>
      <c r="C345" s="40" t="s">
        <v>2665</v>
      </c>
      <c r="D345" s="9" t="s">
        <v>2666</v>
      </c>
      <c r="E345" s="30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 ht="15.75" customHeight="1">
      <c r="A346" s="40" t="s">
        <v>2667</v>
      </c>
      <c r="B346" s="40" t="s">
        <v>2668</v>
      </c>
      <c r="C346" s="40" t="s">
        <v>2669</v>
      </c>
      <c r="D346" s="9" t="s">
        <v>2670</v>
      </c>
      <c r="E346" s="30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 ht="15.75" customHeight="1">
      <c r="A347" s="40" t="s">
        <v>2671</v>
      </c>
      <c r="B347" s="40" t="s">
        <v>2672</v>
      </c>
      <c r="C347" s="40" t="s">
        <v>2673</v>
      </c>
      <c r="D347" s="9" t="s">
        <v>2674</v>
      </c>
      <c r="E347" s="30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 ht="15.75" customHeight="1">
      <c r="A348" s="40" t="s">
        <v>2675</v>
      </c>
      <c r="B348" s="40" t="s">
        <v>2675</v>
      </c>
      <c r="C348" s="40" t="s">
        <v>2676</v>
      </c>
      <c r="D348" s="9" t="s">
        <v>2677</v>
      </c>
      <c r="E348" s="30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 ht="15.75" customHeight="1">
      <c r="A349" s="40" t="s">
        <v>2678</v>
      </c>
      <c r="B349" s="40" t="s">
        <v>2679</v>
      </c>
      <c r="C349" s="40" t="s">
        <v>2680</v>
      </c>
      <c r="D349" s="9" t="s">
        <v>2681</v>
      </c>
      <c r="E349" s="30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 ht="15.75" customHeight="1">
      <c r="A350" s="40" t="s">
        <v>2682</v>
      </c>
      <c r="B350" s="40" t="s">
        <v>2683</v>
      </c>
      <c r="C350" s="40" t="s">
        <v>2684</v>
      </c>
      <c r="D350" s="9" t="s">
        <v>2685</v>
      </c>
      <c r="E350" s="30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 ht="15.75" customHeight="1">
      <c r="A351" s="40" t="s">
        <v>2686</v>
      </c>
      <c r="B351" s="40" t="s">
        <v>2687</v>
      </c>
      <c r="C351" s="40" t="s">
        <v>2688</v>
      </c>
      <c r="D351" s="9" t="s">
        <v>2689</v>
      </c>
      <c r="E351" s="30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 ht="15.75" customHeight="1">
      <c r="A352" s="40" t="s">
        <v>2690</v>
      </c>
      <c r="B352" s="40" t="s">
        <v>2691</v>
      </c>
      <c r="C352" s="40" t="s">
        <v>2692</v>
      </c>
      <c r="D352" s="9" t="s">
        <v>2693</v>
      </c>
      <c r="E352" s="30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 ht="15.75" customHeight="1">
      <c r="A353" s="40" t="s">
        <v>2694</v>
      </c>
      <c r="B353" s="40" t="s">
        <v>2694</v>
      </c>
      <c r="C353" s="40" t="s">
        <v>2695</v>
      </c>
      <c r="D353" s="9" t="s">
        <v>2696</v>
      </c>
      <c r="E353" s="30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 ht="15.75" customHeight="1">
      <c r="A354" s="40" t="s">
        <v>2697</v>
      </c>
      <c r="B354" s="40" t="s">
        <v>2698</v>
      </c>
      <c r="C354" s="40" t="s">
        <v>2699</v>
      </c>
      <c r="D354" s="9" t="s">
        <v>2700</v>
      </c>
      <c r="E354" s="30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 ht="15.75" customHeight="1">
      <c r="A355" s="40" t="s">
        <v>2701</v>
      </c>
      <c r="B355" s="40" t="s">
        <v>2702</v>
      </c>
      <c r="C355" s="40" t="s">
        <v>2703</v>
      </c>
      <c r="D355" s="9" t="s">
        <v>2704</v>
      </c>
      <c r="E355" s="30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 ht="15.75" customHeight="1">
      <c r="A356" s="40" t="s">
        <v>2705</v>
      </c>
      <c r="B356" s="40" t="s">
        <v>2705</v>
      </c>
      <c r="C356" s="40" t="s">
        <v>2706</v>
      </c>
      <c r="D356" s="9" t="s">
        <v>2707</v>
      </c>
      <c r="E356" s="30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 ht="15.75" customHeight="1">
      <c r="A357" s="40" t="s">
        <v>2708</v>
      </c>
      <c r="B357" s="40" t="s">
        <v>2708</v>
      </c>
      <c r="C357" s="40" t="s">
        <v>2709</v>
      </c>
      <c r="D357" s="9" t="s">
        <v>2710</v>
      </c>
      <c r="E357" s="30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 ht="15.75" customHeight="1">
      <c r="A358" s="40" t="s">
        <v>2711</v>
      </c>
      <c r="B358" s="40" t="s">
        <v>2712</v>
      </c>
      <c r="C358" s="40" t="s">
        <v>2713</v>
      </c>
      <c r="D358" s="9" t="s">
        <v>2714</v>
      </c>
      <c r="E358" s="30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 ht="15.75" customHeight="1">
      <c r="A359" s="40" t="s">
        <v>2715</v>
      </c>
      <c r="B359" s="40" t="s">
        <v>2716</v>
      </c>
      <c r="C359" s="40" t="s">
        <v>2717</v>
      </c>
      <c r="D359" s="9" t="s">
        <v>2718</v>
      </c>
      <c r="E359" s="20" t="s">
        <v>151</v>
      </c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 ht="15.75" customHeight="1">
      <c r="A360" s="40" t="s">
        <v>2719</v>
      </c>
      <c r="B360" s="40" t="s">
        <v>2720</v>
      </c>
      <c r="C360" s="40" t="s">
        <v>2721</v>
      </c>
      <c r="D360" s="9" t="s">
        <v>2722</v>
      </c>
      <c r="E360" s="20" t="s">
        <v>151</v>
      </c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 ht="15.75" customHeight="1">
      <c r="A361" s="40" t="s">
        <v>2723</v>
      </c>
      <c r="B361" s="40" t="s">
        <v>2724</v>
      </c>
      <c r="C361" s="40" t="s">
        <v>2725</v>
      </c>
      <c r="D361" s="9" t="s">
        <v>2726</v>
      </c>
      <c r="E361" s="20" t="s">
        <v>151</v>
      </c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 ht="15.75" customHeight="1">
      <c r="A362" s="40" t="s">
        <v>2727</v>
      </c>
      <c r="B362" s="40" t="s">
        <v>2728</v>
      </c>
      <c r="C362" s="40" t="s">
        <v>2729</v>
      </c>
      <c r="D362" s="9" t="s">
        <v>2730</v>
      </c>
      <c r="E362" s="20" t="s">
        <v>151</v>
      </c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 ht="15.75" customHeight="1">
      <c r="A363" s="40" t="s">
        <v>2731</v>
      </c>
      <c r="B363" s="40" t="s">
        <v>2732</v>
      </c>
      <c r="C363" s="40" t="s">
        <v>2733</v>
      </c>
      <c r="D363" s="9" t="s">
        <v>2734</v>
      </c>
      <c r="E363" s="20" t="s">
        <v>151</v>
      </c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 ht="15.75" customHeight="1">
      <c r="A364" s="40" t="s">
        <v>2735</v>
      </c>
      <c r="B364" s="40" t="s">
        <v>2736</v>
      </c>
      <c r="C364" s="40" t="s">
        <v>2737</v>
      </c>
      <c r="D364" s="9" t="s">
        <v>2738</v>
      </c>
      <c r="E364" s="20" t="s">
        <v>151</v>
      </c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 ht="15.75" customHeight="1">
      <c r="A365" s="40" t="s">
        <v>2739</v>
      </c>
      <c r="B365" s="40" t="s">
        <v>2740</v>
      </c>
      <c r="C365" s="40" t="s">
        <v>2741</v>
      </c>
      <c r="D365" s="9" t="s">
        <v>2742</v>
      </c>
      <c r="E365" s="20" t="s">
        <v>151</v>
      </c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 ht="15.75" customHeight="1">
      <c r="A366" s="40" t="s">
        <v>2743</v>
      </c>
      <c r="B366" s="40" t="s">
        <v>2744</v>
      </c>
      <c r="C366" s="40" t="s">
        <v>2745</v>
      </c>
      <c r="D366" s="9" t="s">
        <v>2746</v>
      </c>
      <c r="E366" s="20" t="s">
        <v>151</v>
      </c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 ht="15.75" customHeight="1">
      <c r="A367" s="40" t="s">
        <v>2747</v>
      </c>
      <c r="B367" s="40" t="s">
        <v>2748</v>
      </c>
      <c r="C367" s="40" t="s">
        <v>2749</v>
      </c>
      <c r="D367" s="9" t="s">
        <v>2750</v>
      </c>
      <c r="E367" s="20" t="s">
        <v>151</v>
      </c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 ht="15.75" customHeight="1">
      <c r="A368" s="40" t="s">
        <v>2751</v>
      </c>
      <c r="B368" s="40" t="s">
        <v>2752</v>
      </c>
      <c r="C368" s="40" t="s">
        <v>2753</v>
      </c>
      <c r="D368" s="9" t="s">
        <v>2754</v>
      </c>
      <c r="E368" s="20" t="s">
        <v>151</v>
      </c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 ht="15.75" customHeight="1">
      <c r="A369" s="40" t="s">
        <v>2755</v>
      </c>
      <c r="B369" s="40" t="s">
        <v>2756</v>
      </c>
      <c r="C369" s="40" t="s">
        <v>2757</v>
      </c>
      <c r="D369" s="9" t="s">
        <v>2758</v>
      </c>
      <c r="E369" s="20" t="s">
        <v>696</v>
      </c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 ht="15.75" customHeight="1">
      <c r="A370" s="40" t="s">
        <v>2759</v>
      </c>
      <c r="B370" s="40" t="s">
        <v>2759</v>
      </c>
      <c r="C370" s="40" t="s">
        <v>2760</v>
      </c>
      <c r="D370" s="9" t="s">
        <v>2761</v>
      </c>
      <c r="E370" s="30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 ht="15.75" customHeight="1">
      <c r="A371" s="40" t="s">
        <v>2762</v>
      </c>
      <c r="B371" s="40" t="s">
        <v>2763</v>
      </c>
      <c r="C371" s="40" t="s">
        <v>2764</v>
      </c>
      <c r="D371" s="9" t="s">
        <v>2765</v>
      </c>
      <c r="E371" s="30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 ht="15.75" customHeight="1">
      <c r="A372" s="40" t="s">
        <v>2766</v>
      </c>
      <c r="B372" s="40" t="s">
        <v>2767</v>
      </c>
      <c r="C372" s="40" t="s">
        <v>2768</v>
      </c>
      <c r="D372" s="9" t="s">
        <v>2769</v>
      </c>
      <c r="E372" s="20" t="s">
        <v>696</v>
      </c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 ht="15.75" customHeight="1">
      <c r="A373" s="85" t="s">
        <v>2770</v>
      </c>
      <c r="B373" s="85" t="s">
        <v>2771</v>
      </c>
      <c r="C373" s="85" t="s">
        <v>2772</v>
      </c>
      <c r="D373" s="9" t="s">
        <v>2773</v>
      </c>
      <c r="E373" s="9" t="s">
        <v>1335</v>
      </c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 ht="15.75" customHeight="1">
      <c r="A374" s="40" t="s">
        <v>2774</v>
      </c>
      <c r="B374" s="40" t="s">
        <v>2775</v>
      </c>
      <c r="C374" s="40" t="s">
        <v>2776</v>
      </c>
      <c r="D374" s="9" t="s">
        <v>2777</v>
      </c>
      <c r="E374" s="30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 ht="15.75" customHeight="1">
      <c r="A375" s="85" t="s">
        <v>2778</v>
      </c>
      <c r="B375" s="85" t="s">
        <v>2778</v>
      </c>
      <c r="C375" s="85" t="s">
        <v>2779</v>
      </c>
      <c r="D375" s="9" t="s">
        <v>2780</v>
      </c>
      <c r="E375" s="30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 ht="15.75" customHeight="1">
      <c r="A376" s="101" t="s">
        <v>2781</v>
      </c>
      <c r="B376" s="85" t="s">
        <v>2782</v>
      </c>
      <c r="C376" s="85" t="s">
        <v>2783</v>
      </c>
      <c r="D376" s="9" t="s">
        <v>2784</v>
      </c>
      <c r="E376" s="9" t="s">
        <v>1335</v>
      </c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 ht="15.75" customHeight="1">
      <c r="A377" s="85" t="s">
        <v>2785</v>
      </c>
      <c r="B377" s="85" t="s">
        <v>2786</v>
      </c>
      <c r="C377" s="85" t="s">
        <v>2787</v>
      </c>
      <c r="D377" s="9" t="s">
        <v>2788</v>
      </c>
      <c r="E377" s="9" t="s">
        <v>1335</v>
      </c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 ht="15.75" customHeight="1">
      <c r="A378" s="40" t="s">
        <v>2789</v>
      </c>
      <c r="B378" s="40" t="s">
        <v>2790</v>
      </c>
      <c r="C378" s="40" t="s">
        <v>2791</v>
      </c>
      <c r="D378" s="9" t="s">
        <v>2792</v>
      </c>
      <c r="E378" s="30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 ht="15.75" customHeight="1">
      <c r="A379" s="40" t="s">
        <v>2793</v>
      </c>
      <c r="B379" s="40" t="s">
        <v>2794</v>
      </c>
      <c r="C379" s="40" t="s">
        <v>2795</v>
      </c>
      <c r="D379" s="9" t="s">
        <v>2796</v>
      </c>
      <c r="E379" s="30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 ht="15.75" customHeight="1">
      <c r="A380" s="40" t="s">
        <v>2797</v>
      </c>
      <c r="B380" s="40" t="s">
        <v>2797</v>
      </c>
      <c r="C380" s="40" t="s">
        <v>2798</v>
      </c>
      <c r="D380" s="9" t="s">
        <v>2799</v>
      </c>
      <c r="E380" s="30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 ht="15.75" customHeight="1">
      <c r="A381" s="40" t="s">
        <v>2800</v>
      </c>
      <c r="B381" s="40" t="s">
        <v>2801</v>
      </c>
      <c r="C381" s="40" t="s">
        <v>2802</v>
      </c>
      <c r="D381" s="9" t="s">
        <v>2803</v>
      </c>
      <c r="E381" s="30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 ht="15.75" customHeight="1">
      <c r="A382" s="85" t="s">
        <v>2804</v>
      </c>
      <c r="B382" s="85" t="s">
        <v>2805</v>
      </c>
      <c r="C382" s="85" t="s">
        <v>2806</v>
      </c>
      <c r="D382" s="9" t="s">
        <v>2807</v>
      </c>
      <c r="E382" s="9" t="s">
        <v>1335</v>
      </c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 ht="15.75" customHeight="1">
      <c r="A383" s="85" t="s">
        <v>2808</v>
      </c>
      <c r="B383" s="85" t="s">
        <v>2809</v>
      </c>
      <c r="C383" s="85" t="s">
        <v>2810</v>
      </c>
      <c r="D383" s="9" t="s">
        <v>2811</v>
      </c>
      <c r="E383" s="30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 ht="15.75" customHeight="1">
      <c r="A384" s="40" t="s">
        <v>2812</v>
      </c>
      <c r="B384" s="40" t="s">
        <v>2813</v>
      </c>
      <c r="C384" s="85" t="s">
        <v>2814</v>
      </c>
      <c r="D384" s="9" t="s">
        <v>2815</v>
      </c>
      <c r="E384" s="30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 ht="15.75" customHeight="1">
      <c r="A385" s="85" t="s">
        <v>2816</v>
      </c>
      <c r="B385" s="85" t="s">
        <v>2816</v>
      </c>
      <c r="C385" s="85" t="s">
        <v>2817</v>
      </c>
      <c r="D385" s="9" t="s">
        <v>2818</v>
      </c>
      <c r="E385" s="30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 ht="15.75" customHeight="1">
      <c r="A386" s="85" t="s">
        <v>2819</v>
      </c>
      <c r="B386" s="85" t="s">
        <v>2820</v>
      </c>
      <c r="C386" s="40" t="s">
        <v>2821</v>
      </c>
      <c r="D386" s="9" t="s">
        <v>2811</v>
      </c>
      <c r="E386" s="30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 ht="15.75" customHeight="1">
      <c r="A387" s="40" t="s">
        <v>2822</v>
      </c>
      <c r="B387" s="40" t="s">
        <v>2823</v>
      </c>
      <c r="C387" s="40" t="s">
        <v>2824</v>
      </c>
      <c r="D387" s="9" t="s">
        <v>2825</v>
      </c>
      <c r="E387" s="20" t="s">
        <v>20</v>
      </c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 ht="15.75" customHeight="1">
      <c r="A388" s="40" t="s">
        <v>2826</v>
      </c>
      <c r="B388" s="40" t="s">
        <v>2827</v>
      </c>
      <c r="C388" s="40" t="s">
        <v>2828</v>
      </c>
      <c r="D388" s="9" t="s">
        <v>2829</v>
      </c>
      <c r="E388" s="20" t="s">
        <v>20</v>
      </c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 ht="15.75" customHeight="1">
      <c r="A389" s="40" t="s">
        <v>2830</v>
      </c>
      <c r="B389" s="40" t="s">
        <v>2831</v>
      </c>
      <c r="C389" s="40" t="s">
        <v>2832</v>
      </c>
      <c r="D389" s="9" t="s">
        <v>2833</v>
      </c>
      <c r="E389" s="20" t="s">
        <v>20</v>
      </c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 ht="15.75" customHeight="1">
      <c r="A390" s="40" t="s">
        <v>2834</v>
      </c>
      <c r="B390" s="40" t="s">
        <v>2835</v>
      </c>
      <c r="C390" s="40" t="s">
        <v>2836</v>
      </c>
      <c r="D390" s="9" t="s">
        <v>2837</v>
      </c>
      <c r="E390" s="20" t="s">
        <v>20</v>
      </c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 ht="15.75" customHeight="1">
      <c r="A391" s="40" t="s">
        <v>2838</v>
      </c>
      <c r="B391" s="40" t="s">
        <v>2839</v>
      </c>
      <c r="C391" s="40" t="s">
        <v>2840</v>
      </c>
      <c r="D391" s="9" t="s">
        <v>2841</v>
      </c>
      <c r="E391" s="20" t="s">
        <v>20</v>
      </c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 ht="15.75" customHeight="1">
      <c r="A392" s="40" t="s">
        <v>2842</v>
      </c>
      <c r="B392" s="40" t="s">
        <v>2843</v>
      </c>
      <c r="C392" s="40" t="s">
        <v>2844</v>
      </c>
      <c r="D392" s="9" t="s">
        <v>2845</v>
      </c>
      <c r="E392" s="20" t="s">
        <v>20</v>
      </c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 ht="15.75" customHeight="1">
      <c r="A393" s="40" t="s">
        <v>2846</v>
      </c>
      <c r="B393" s="40" t="s">
        <v>2847</v>
      </c>
      <c r="C393" s="40" t="s">
        <v>2848</v>
      </c>
      <c r="D393" s="9" t="s">
        <v>2849</v>
      </c>
      <c r="E393" s="20" t="s">
        <v>20</v>
      </c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 ht="15.75" customHeight="1">
      <c r="A394" s="28" t="s">
        <v>2850</v>
      </c>
      <c r="B394" s="28" t="s">
        <v>2851</v>
      </c>
      <c r="C394" s="28" t="s">
        <v>2852</v>
      </c>
      <c r="D394" s="29" t="s">
        <v>2853</v>
      </c>
      <c r="E394" s="12" t="s">
        <v>20</v>
      </c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</row>
    <row r="395" ht="15.75" customHeight="1">
      <c r="A395" s="40" t="s">
        <v>2854</v>
      </c>
      <c r="B395" s="40" t="s">
        <v>2855</v>
      </c>
      <c r="C395" s="40" t="s">
        <v>2856</v>
      </c>
      <c r="D395" s="9" t="s">
        <v>2857</v>
      </c>
      <c r="E395" s="20" t="s">
        <v>20</v>
      </c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 ht="15.75" customHeight="1">
      <c r="A396" s="40" t="s">
        <v>2858</v>
      </c>
      <c r="B396" s="40" t="s">
        <v>2859</v>
      </c>
      <c r="C396" s="40" t="s">
        <v>2860</v>
      </c>
      <c r="D396" s="9" t="s">
        <v>2861</v>
      </c>
      <c r="E396" s="20" t="s">
        <v>20</v>
      </c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 ht="15.75" customHeight="1">
      <c r="A397" s="40" t="s">
        <v>1913</v>
      </c>
      <c r="B397" s="40" t="s">
        <v>1914</v>
      </c>
      <c r="C397" s="40" t="s">
        <v>2862</v>
      </c>
      <c r="D397" s="9" t="s">
        <v>2863</v>
      </c>
      <c r="E397" s="20" t="s">
        <v>276</v>
      </c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 ht="15.75" customHeight="1">
      <c r="A398" s="40" t="s">
        <v>2864</v>
      </c>
      <c r="B398" s="40" t="s">
        <v>2865</v>
      </c>
      <c r="C398" s="40" t="s">
        <v>2866</v>
      </c>
      <c r="D398" s="9" t="s">
        <v>2867</v>
      </c>
      <c r="E398" s="20" t="s">
        <v>276</v>
      </c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 ht="15.75" customHeight="1">
      <c r="A399" s="40" t="s">
        <v>2868</v>
      </c>
      <c r="B399" s="40" t="s">
        <v>2869</v>
      </c>
      <c r="C399" s="40" t="s">
        <v>2870</v>
      </c>
      <c r="D399" s="9" t="s">
        <v>2871</v>
      </c>
      <c r="E399" s="20" t="s">
        <v>276</v>
      </c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 ht="15.75" customHeight="1">
      <c r="A400" s="40" t="s">
        <v>2872</v>
      </c>
      <c r="B400" s="40" t="s">
        <v>2873</v>
      </c>
      <c r="C400" s="40" t="s">
        <v>2874</v>
      </c>
      <c r="D400" s="9" t="s">
        <v>2875</v>
      </c>
      <c r="E400" s="20" t="s">
        <v>276</v>
      </c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 ht="15.75" customHeight="1">
      <c r="A401" s="40" t="s">
        <v>2876</v>
      </c>
      <c r="B401" s="40" t="s">
        <v>2877</v>
      </c>
      <c r="C401" s="40" t="s">
        <v>2878</v>
      </c>
      <c r="D401" s="9" t="s">
        <v>2879</v>
      </c>
      <c r="E401" s="20" t="s">
        <v>276</v>
      </c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 ht="15.75" customHeight="1">
      <c r="A402" s="40" t="s">
        <v>2880</v>
      </c>
      <c r="B402" s="40" t="s">
        <v>2881</v>
      </c>
      <c r="C402" s="40" t="s">
        <v>2882</v>
      </c>
      <c r="D402" s="9" t="s">
        <v>2883</v>
      </c>
      <c r="E402" s="20" t="s">
        <v>276</v>
      </c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 ht="15.75" customHeight="1">
      <c r="A403" s="40" t="s">
        <v>2884</v>
      </c>
      <c r="B403" s="40" t="s">
        <v>2885</v>
      </c>
      <c r="C403" s="40" t="s">
        <v>2886</v>
      </c>
      <c r="D403" s="9" t="s">
        <v>2887</v>
      </c>
      <c r="E403" s="20" t="s">
        <v>276</v>
      </c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 ht="15.75" customHeight="1">
      <c r="A404" s="40" t="s">
        <v>2888</v>
      </c>
      <c r="B404" s="40" t="s">
        <v>2889</v>
      </c>
      <c r="C404" s="40" t="s">
        <v>2890</v>
      </c>
      <c r="D404" s="9" t="s">
        <v>2891</v>
      </c>
      <c r="E404" s="20" t="s">
        <v>276</v>
      </c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 ht="15.75" customHeight="1">
      <c r="A405" s="40" t="s">
        <v>2892</v>
      </c>
      <c r="B405" s="40" t="s">
        <v>2893</v>
      </c>
      <c r="C405" s="40" t="s">
        <v>2894</v>
      </c>
      <c r="D405" s="9" t="s">
        <v>2895</v>
      </c>
      <c r="E405" s="20" t="s">
        <v>276</v>
      </c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 ht="15.75" customHeight="1">
      <c r="A406" s="40" t="s">
        <v>2896</v>
      </c>
      <c r="B406" s="28" t="s">
        <v>2897</v>
      </c>
      <c r="C406" s="40" t="s">
        <v>2898</v>
      </c>
      <c r="D406" s="9" t="s">
        <v>2899</v>
      </c>
      <c r="E406" s="20" t="s">
        <v>276</v>
      </c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 ht="15.75" customHeight="1">
      <c r="A407" s="40" t="s">
        <v>2900</v>
      </c>
      <c r="B407" s="40" t="s">
        <v>2901</v>
      </c>
      <c r="C407" s="40" t="s">
        <v>2902</v>
      </c>
      <c r="D407" s="9" t="s">
        <v>2903</v>
      </c>
      <c r="E407" s="20" t="s">
        <v>2904</v>
      </c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 ht="15.75" customHeight="1">
      <c r="A408" s="40" t="s">
        <v>2905</v>
      </c>
      <c r="B408" s="40" t="s">
        <v>2906</v>
      </c>
      <c r="C408" s="40" t="s">
        <v>2907</v>
      </c>
      <c r="D408" s="9" t="s">
        <v>2908</v>
      </c>
      <c r="E408" s="9" t="s">
        <v>1653</v>
      </c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 ht="15.75" customHeight="1">
      <c r="A409" s="40" t="s">
        <v>2909</v>
      </c>
      <c r="B409" s="40" t="s">
        <v>2910</v>
      </c>
      <c r="C409" s="40" t="s">
        <v>2911</v>
      </c>
      <c r="D409" s="9" t="s">
        <v>2912</v>
      </c>
      <c r="E409" s="30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 ht="15.75" customHeight="1">
      <c r="A410" s="40" t="s">
        <v>2913</v>
      </c>
      <c r="B410" s="40" t="s">
        <v>2914</v>
      </c>
      <c r="C410" s="40" t="s">
        <v>2915</v>
      </c>
      <c r="D410" s="9" t="s">
        <v>2916</v>
      </c>
      <c r="E410" s="20" t="s">
        <v>151</v>
      </c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 ht="15.75" customHeight="1">
      <c r="A411" s="85" t="s">
        <v>1892</v>
      </c>
      <c r="B411" s="85" t="s">
        <v>2917</v>
      </c>
      <c r="C411" s="85" t="s">
        <v>2918</v>
      </c>
      <c r="D411" s="29" t="s">
        <v>2919</v>
      </c>
      <c r="E411" s="9" t="s">
        <v>68</v>
      </c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 ht="15.75" customHeight="1">
      <c r="A412" s="85" t="s">
        <v>2920</v>
      </c>
      <c r="B412" s="85" t="s">
        <v>2921</v>
      </c>
      <c r="C412" s="85" t="s">
        <v>2922</v>
      </c>
      <c r="D412" s="29" t="s">
        <v>2923</v>
      </c>
      <c r="E412" s="9" t="s">
        <v>68</v>
      </c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 ht="15.75" customHeight="1">
      <c r="A413" s="85" t="s">
        <v>2924</v>
      </c>
      <c r="B413" s="85" t="s">
        <v>2925</v>
      </c>
      <c r="C413" s="85" t="s">
        <v>2926</v>
      </c>
      <c r="D413" s="29" t="s">
        <v>2927</v>
      </c>
      <c r="E413" s="9" t="s">
        <v>68</v>
      </c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 ht="15.75" customHeight="1">
      <c r="A414" s="85" t="s">
        <v>2928</v>
      </c>
      <c r="B414" s="85" t="s">
        <v>2929</v>
      </c>
      <c r="C414" s="85" t="s">
        <v>2930</v>
      </c>
      <c r="D414" s="29" t="s">
        <v>2931</v>
      </c>
      <c r="E414" s="9" t="s">
        <v>68</v>
      </c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 ht="15.75" customHeight="1">
      <c r="A415" s="85" t="s">
        <v>2932</v>
      </c>
      <c r="B415" s="85" t="s">
        <v>2933</v>
      </c>
      <c r="C415" s="85" t="s">
        <v>2934</v>
      </c>
      <c r="D415" s="29" t="s">
        <v>2935</v>
      </c>
      <c r="E415" s="9" t="s">
        <v>68</v>
      </c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 ht="15.75" customHeight="1">
      <c r="A416" s="85" t="s">
        <v>2936</v>
      </c>
      <c r="B416" s="85" t="s">
        <v>2937</v>
      </c>
      <c r="C416" s="85" t="s">
        <v>2938</v>
      </c>
      <c r="D416" s="29" t="s">
        <v>2939</v>
      </c>
      <c r="E416" s="9" t="s">
        <v>68</v>
      </c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 ht="15.75" customHeight="1">
      <c r="A417" s="85" t="s">
        <v>2940</v>
      </c>
      <c r="B417" s="85" t="s">
        <v>2941</v>
      </c>
      <c r="C417" s="85" t="s">
        <v>2942</v>
      </c>
      <c r="D417" s="29" t="s">
        <v>2943</v>
      </c>
      <c r="E417" s="9" t="s">
        <v>68</v>
      </c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 ht="15.75" customHeight="1">
      <c r="A418" s="85" t="s">
        <v>2944</v>
      </c>
      <c r="B418" s="85" t="s">
        <v>2945</v>
      </c>
      <c r="C418" s="85" t="s">
        <v>2946</v>
      </c>
      <c r="D418" s="29" t="s">
        <v>2947</v>
      </c>
      <c r="E418" s="9" t="s">
        <v>68</v>
      </c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 ht="15.75" customHeight="1">
      <c r="A419" s="85" t="s">
        <v>2948</v>
      </c>
      <c r="B419" s="85" t="s">
        <v>2949</v>
      </c>
      <c r="C419" s="85" t="s">
        <v>2950</v>
      </c>
      <c r="D419" s="29" t="s">
        <v>2951</v>
      </c>
      <c r="E419" s="9" t="s">
        <v>68</v>
      </c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 ht="15.75" customHeight="1">
      <c r="A420" s="85" t="s">
        <v>2952</v>
      </c>
      <c r="B420" s="85" t="s">
        <v>2953</v>
      </c>
      <c r="C420" s="85" t="s">
        <v>2954</v>
      </c>
      <c r="D420" s="29" t="s">
        <v>2955</v>
      </c>
      <c r="E420" s="9" t="s">
        <v>68</v>
      </c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 ht="15.75" customHeight="1">
      <c r="A421" s="92" t="s">
        <v>2956</v>
      </c>
      <c r="B421" s="92" t="s">
        <v>2957</v>
      </c>
      <c r="C421" s="40" t="s">
        <v>2958</v>
      </c>
      <c r="D421" s="9" t="s">
        <v>2959</v>
      </c>
      <c r="E421" s="17" t="s">
        <v>20</v>
      </c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 ht="15.75" customHeight="1">
      <c r="A422" s="40" t="s">
        <v>2830</v>
      </c>
      <c r="B422" s="40" t="s">
        <v>2960</v>
      </c>
      <c r="C422" s="40" t="s">
        <v>2961</v>
      </c>
      <c r="D422" s="9" t="s">
        <v>2962</v>
      </c>
      <c r="E422" s="20" t="s">
        <v>20</v>
      </c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 ht="15.75" customHeight="1">
      <c r="A423" s="40" t="s">
        <v>2963</v>
      </c>
      <c r="B423" s="40" t="s">
        <v>2964</v>
      </c>
      <c r="C423" s="40" t="s">
        <v>2965</v>
      </c>
      <c r="D423" s="9" t="s">
        <v>2966</v>
      </c>
      <c r="E423" s="20" t="s">
        <v>20</v>
      </c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 ht="15.75" customHeight="1">
      <c r="A424" s="40" t="s">
        <v>2967</v>
      </c>
      <c r="B424" s="40" t="s">
        <v>2968</v>
      </c>
      <c r="C424" s="40" t="s">
        <v>2969</v>
      </c>
      <c r="D424" s="9" t="s">
        <v>2970</v>
      </c>
      <c r="E424" s="17" t="s">
        <v>20</v>
      </c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 ht="15.75" customHeight="1">
      <c r="A425" s="40" t="s">
        <v>2971</v>
      </c>
      <c r="B425" s="40" t="s">
        <v>2972</v>
      </c>
      <c r="C425" s="40" t="s">
        <v>2973</v>
      </c>
      <c r="D425" s="9" t="s">
        <v>2974</v>
      </c>
      <c r="E425" s="20" t="s">
        <v>20</v>
      </c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 ht="15.75" customHeight="1">
      <c r="A426" s="40" t="s">
        <v>2846</v>
      </c>
      <c r="B426" s="40" t="s">
        <v>2975</v>
      </c>
      <c r="C426" s="40" t="s">
        <v>2848</v>
      </c>
      <c r="D426" s="9" t="s">
        <v>2976</v>
      </c>
      <c r="E426" s="20" t="s">
        <v>20</v>
      </c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 ht="15.75" customHeight="1">
      <c r="A427" s="40" t="s">
        <v>2977</v>
      </c>
      <c r="B427" s="40" t="s">
        <v>2978</v>
      </c>
      <c r="C427" s="40" t="s">
        <v>2979</v>
      </c>
      <c r="D427" s="9" t="s">
        <v>2980</v>
      </c>
      <c r="E427" s="20" t="s">
        <v>20</v>
      </c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 ht="15.75" customHeight="1">
      <c r="A428" s="40" t="s">
        <v>2981</v>
      </c>
      <c r="B428" s="40" t="s">
        <v>2982</v>
      </c>
      <c r="C428" s="40" t="s">
        <v>2983</v>
      </c>
      <c r="D428" s="9" t="s">
        <v>2984</v>
      </c>
      <c r="E428" s="20" t="s">
        <v>20</v>
      </c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 ht="15.75" customHeight="1">
      <c r="A429" s="40" t="s">
        <v>2985</v>
      </c>
      <c r="B429" s="40" t="s">
        <v>2986</v>
      </c>
      <c r="C429" s="40" t="s">
        <v>2987</v>
      </c>
      <c r="D429" s="9" t="s">
        <v>2988</v>
      </c>
      <c r="E429" s="20" t="s">
        <v>20</v>
      </c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 ht="15.75" customHeight="1">
      <c r="A430" s="40" t="s">
        <v>2989</v>
      </c>
      <c r="B430" s="40" t="s">
        <v>2990</v>
      </c>
      <c r="C430" s="40" t="s">
        <v>2991</v>
      </c>
      <c r="D430" s="9" t="s">
        <v>2992</v>
      </c>
      <c r="E430" s="20" t="s">
        <v>20</v>
      </c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 ht="15.75" customHeight="1">
      <c r="A431" s="102" t="s">
        <v>2993</v>
      </c>
      <c r="B431" s="102" t="s">
        <v>2994</v>
      </c>
      <c r="C431" s="103" t="s">
        <v>2995</v>
      </c>
      <c r="D431" s="102" t="s">
        <v>2996</v>
      </c>
      <c r="E431" s="102" t="s">
        <v>2997</v>
      </c>
      <c r="F431" s="104"/>
      <c r="G431" s="104"/>
      <c r="H431" s="104"/>
      <c r="I431" s="104"/>
      <c r="J431" s="104"/>
      <c r="K431" s="104"/>
      <c r="L431" s="104"/>
      <c r="M431" s="104"/>
      <c r="N431" s="104"/>
      <c r="O431" s="104"/>
      <c r="P431" s="104"/>
      <c r="Q431" s="104"/>
      <c r="R431" s="104"/>
      <c r="S431" s="104"/>
      <c r="T431" s="104"/>
      <c r="U431" s="104"/>
      <c r="V431" s="104"/>
      <c r="W431" s="104"/>
      <c r="X431" s="104"/>
      <c r="Y431" s="104"/>
      <c r="Z431" s="104"/>
    </row>
    <row r="432" ht="15.75" customHeight="1">
      <c r="A432" s="105" t="s">
        <v>2998</v>
      </c>
      <c r="B432" s="105" t="s">
        <v>2999</v>
      </c>
      <c r="C432" s="106" t="s">
        <v>3000</v>
      </c>
      <c r="D432" s="105" t="s">
        <v>3001</v>
      </c>
      <c r="E432" s="105" t="s">
        <v>2997</v>
      </c>
      <c r="F432" s="107"/>
      <c r="G432" s="107"/>
      <c r="H432" s="107"/>
      <c r="I432" s="107"/>
      <c r="J432" s="107"/>
      <c r="K432" s="107"/>
      <c r="L432" s="107"/>
      <c r="M432" s="107"/>
      <c r="N432" s="107"/>
      <c r="O432" s="107"/>
      <c r="P432" s="107"/>
      <c r="Q432" s="107"/>
      <c r="R432" s="107"/>
      <c r="S432" s="107"/>
      <c r="T432" s="107"/>
      <c r="U432" s="107"/>
      <c r="V432" s="107"/>
      <c r="W432" s="107"/>
      <c r="X432" s="107"/>
      <c r="Y432" s="107"/>
      <c r="Z432" s="107"/>
    </row>
    <row r="433" ht="15.75" customHeight="1">
      <c r="A433" s="105" t="s">
        <v>3002</v>
      </c>
      <c r="B433" s="105" t="s">
        <v>3003</v>
      </c>
      <c r="C433" s="106" t="s">
        <v>3004</v>
      </c>
      <c r="D433" s="105" t="s">
        <v>3005</v>
      </c>
      <c r="E433" s="105" t="s">
        <v>3006</v>
      </c>
      <c r="F433" s="107"/>
      <c r="G433" s="107"/>
      <c r="H433" s="107"/>
      <c r="I433" s="107"/>
      <c r="J433" s="107"/>
      <c r="K433" s="107"/>
      <c r="L433" s="107"/>
      <c r="M433" s="107"/>
      <c r="N433" s="107"/>
      <c r="O433" s="107"/>
      <c r="P433" s="107"/>
      <c r="Q433" s="107"/>
      <c r="R433" s="107"/>
      <c r="S433" s="107"/>
      <c r="T433" s="107"/>
      <c r="U433" s="107"/>
      <c r="V433" s="107"/>
      <c r="W433" s="107"/>
      <c r="X433" s="107"/>
      <c r="Y433" s="107"/>
      <c r="Z433" s="107"/>
    </row>
    <row r="434" ht="15.75" customHeight="1">
      <c r="A434" s="105" t="s">
        <v>3007</v>
      </c>
      <c r="B434" s="105" t="s">
        <v>3008</v>
      </c>
      <c r="C434" s="106" t="s">
        <v>3009</v>
      </c>
      <c r="D434" s="105" t="s">
        <v>3010</v>
      </c>
      <c r="E434" s="105" t="s">
        <v>3011</v>
      </c>
      <c r="F434" s="107"/>
      <c r="G434" s="107"/>
      <c r="H434" s="107"/>
      <c r="I434" s="107"/>
      <c r="J434" s="107"/>
      <c r="K434" s="107"/>
      <c r="L434" s="107"/>
      <c r="M434" s="107"/>
      <c r="N434" s="107"/>
      <c r="O434" s="107"/>
      <c r="P434" s="107"/>
      <c r="Q434" s="107"/>
      <c r="R434" s="107"/>
      <c r="S434" s="107"/>
      <c r="T434" s="107"/>
      <c r="U434" s="107"/>
      <c r="V434" s="107"/>
      <c r="W434" s="107"/>
      <c r="X434" s="107"/>
      <c r="Y434" s="107"/>
      <c r="Z434" s="107"/>
    </row>
    <row r="435" ht="15.75" customHeight="1">
      <c r="A435" s="105" t="s">
        <v>3012</v>
      </c>
      <c r="B435" s="105" t="s">
        <v>3013</v>
      </c>
      <c r="C435" s="106" t="s">
        <v>3014</v>
      </c>
      <c r="D435" s="105" t="s">
        <v>3015</v>
      </c>
      <c r="E435" s="105" t="s">
        <v>3011</v>
      </c>
      <c r="F435" s="107"/>
      <c r="G435" s="107"/>
      <c r="H435" s="107"/>
      <c r="I435" s="107"/>
      <c r="J435" s="107"/>
      <c r="K435" s="107"/>
      <c r="L435" s="107"/>
      <c r="M435" s="107"/>
      <c r="N435" s="107"/>
      <c r="O435" s="107"/>
      <c r="P435" s="107"/>
      <c r="Q435" s="107"/>
      <c r="R435" s="107"/>
      <c r="S435" s="107"/>
      <c r="T435" s="107"/>
      <c r="U435" s="107"/>
      <c r="V435" s="107"/>
      <c r="W435" s="107"/>
      <c r="X435" s="107"/>
      <c r="Y435" s="107"/>
      <c r="Z435" s="107"/>
    </row>
    <row r="436" ht="15.75" customHeight="1">
      <c r="A436" s="105" t="s">
        <v>3016</v>
      </c>
      <c r="B436" s="105" t="s">
        <v>3017</v>
      </c>
      <c r="C436" s="106" t="s">
        <v>3018</v>
      </c>
      <c r="D436" s="105" t="s">
        <v>3019</v>
      </c>
      <c r="E436" s="108" t="s">
        <v>3020</v>
      </c>
      <c r="F436" s="107"/>
      <c r="G436" s="107"/>
      <c r="H436" s="107"/>
      <c r="I436" s="107"/>
      <c r="J436" s="107"/>
      <c r="K436" s="107"/>
      <c r="L436" s="107"/>
      <c r="M436" s="107"/>
      <c r="N436" s="107"/>
      <c r="O436" s="107"/>
      <c r="P436" s="107"/>
      <c r="Q436" s="107"/>
      <c r="R436" s="107"/>
      <c r="S436" s="107"/>
      <c r="T436" s="107"/>
      <c r="U436" s="107"/>
      <c r="V436" s="107"/>
      <c r="W436" s="107"/>
      <c r="X436" s="107"/>
      <c r="Y436" s="107"/>
      <c r="Z436" s="107"/>
    </row>
    <row r="437" ht="15.75" customHeight="1">
      <c r="A437" s="105" t="s">
        <v>3021</v>
      </c>
      <c r="B437" s="105" t="s">
        <v>3022</v>
      </c>
      <c r="C437" s="106" t="s">
        <v>3023</v>
      </c>
      <c r="D437" s="105" t="s">
        <v>3024</v>
      </c>
      <c r="E437" s="105" t="s">
        <v>3025</v>
      </c>
      <c r="F437" s="107"/>
      <c r="G437" s="107"/>
      <c r="H437" s="107"/>
      <c r="I437" s="107"/>
      <c r="J437" s="107"/>
      <c r="K437" s="107"/>
      <c r="L437" s="107"/>
      <c r="M437" s="107"/>
      <c r="N437" s="107"/>
      <c r="O437" s="107"/>
      <c r="P437" s="107"/>
      <c r="Q437" s="107"/>
      <c r="R437" s="107"/>
      <c r="S437" s="107"/>
      <c r="T437" s="107"/>
      <c r="U437" s="107"/>
      <c r="V437" s="107"/>
      <c r="W437" s="107"/>
      <c r="X437" s="107"/>
      <c r="Y437" s="107"/>
      <c r="Z437" s="107"/>
    </row>
    <row r="438" ht="15.75" customHeight="1">
      <c r="A438" s="105" t="s">
        <v>3026</v>
      </c>
      <c r="B438" s="105" t="s">
        <v>3027</v>
      </c>
      <c r="C438" s="106" t="s">
        <v>3028</v>
      </c>
      <c r="D438" s="105" t="s">
        <v>3029</v>
      </c>
      <c r="E438" s="105" t="s">
        <v>3030</v>
      </c>
      <c r="F438" s="107"/>
      <c r="G438" s="107"/>
      <c r="H438" s="107"/>
      <c r="I438" s="107"/>
      <c r="J438" s="107"/>
      <c r="K438" s="107"/>
      <c r="L438" s="107"/>
      <c r="M438" s="107"/>
      <c r="N438" s="107"/>
      <c r="O438" s="107"/>
      <c r="P438" s="107"/>
      <c r="Q438" s="107"/>
      <c r="R438" s="107"/>
      <c r="S438" s="107"/>
      <c r="T438" s="107"/>
      <c r="U438" s="107"/>
      <c r="V438" s="107"/>
      <c r="W438" s="107"/>
      <c r="X438" s="107"/>
      <c r="Y438" s="107"/>
      <c r="Z438" s="107"/>
    </row>
    <row r="439" ht="15.75" customHeight="1">
      <c r="A439" s="105" t="s">
        <v>3031</v>
      </c>
      <c r="B439" s="105" t="s">
        <v>3032</v>
      </c>
      <c r="C439" s="106" t="s">
        <v>3033</v>
      </c>
      <c r="D439" s="105" t="s">
        <v>3034</v>
      </c>
      <c r="E439" s="108" t="s">
        <v>3035</v>
      </c>
      <c r="F439" s="107"/>
      <c r="G439" s="107"/>
      <c r="H439" s="107"/>
      <c r="I439" s="107"/>
      <c r="J439" s="107"/>
      <c r="K439" s="107"/>
      <c r="L439" s="107"/>
      <c r="M439" s="107"/>
      <c r="N439" s="107"/>
      <c r="O439" s="107"/>
      <c r="P439" s="107"/>
      <c r="Q439" s="107"/>
      <c r="R439" s="107"/>
      <c r="S439" s="107"/>
      <c r="T439" s="107"/>
      <c r="U439" s="107"/>
      <c r="V439" s="107"/>
      <c r="W439" s="107"/>
      <c r="X439" s="107"/>
      <c r="Y439" s="107"/>
      <c r="Z439" s="107"/>
    </row>
    <row r="440" ht="15.75" customHeight="1">
      <c r="A440" s="105" t="s">
        <v>3036</v>
      </c>
      <c r="B440" s="105" t="s">
        <v>3037</v>
      </c>
      <c r="C440" s="106" t="s">
        <v>3038</v>
      </c>
      <c r="D440" s="105" t="s">
        <v>3039</v>
      </c>
      <c r="E440" s="105" t="s">
        <v>3040</v>
      </c>
      <c r="F440" s="107"/>
      <c r="G440" s="107"/>
      <c r="H440" s="107"/>
      <c r="I440" s="107"/>
      <c r="J440" s="107"/>
      <c r="K440" s="107"/>
      <c r="L440" s="107"/>
      <c r="M440" s="107"/>
      <c r="N440" s="107"/>
      <c r="O440" s="107"/>
      <c r="P440" s="107"/>
      <c r="Q440" s="107"/>
      <c r="R440" s="107"/>
      <c r="S440" s="107"/>
      <c r="T440" s="107"/>
      <c r="U440" s="107"/>
      <c r="V440" s="107"/>
      <c r="W440" s="107"/>
      <c r="X440" s="107"/>
      <c r="Y440" s="107"/>
      <c r="Z440" s="107"/>
    </row>
    <row r="441" ht="15.75" customHeight="1">
      <c r="A441" s="107" t="s">
        <v>3041</v>
      </c>
      <c r="B441" s="107" t="s">
        <v>3041</v>
      </c>
      <c r="C441" s="107" t="s">
        <v>3041</v>
      </c>
      <c r="D441" s="105" t="s">
        <v>3042</v>
      </c>
      <c r="E441" s="108" t="s">
        <v>3043</v>
      </c>
      <c r="F441" s="107"/>
      <c r="G441" s="107"/>
      <c r="H441" s="107"/>
      <c r="I441" s="107"/>
      <c r="J441" s="107"/>
      <c r="K441" s="107"/>
      <c r="L441" s="107"/>
      <c r="M441" s="107"/>
      <c r="N441" s="107"/>
      <c r="O441" s="107"/>
      <c r="P441" s="107"/>
      <c r="Q441" s="107"/>
      <c r="R441" s="107"/>
      <c r="S441" s="107"/>
      <c r="T441" s="107"/>
      <c r="U441" s="107"/>
      <c r="V441" s="107"/>
      <c r="W441" s="107"/>
      <c r="X441" s="107"/>
      <c r="Y441" s="107"/>
      <c r="Z441" s="107"/>
    </row>
    <row r="442" ht="15.75" customHeight="1">
      <c r="A442" s="105" t="s">
        <v>3044</v>
      </c>
      <c r="B442" s="105" t="s">
        <v>3045</v>
      </c>
      <c r="C442" s="105" t="s">
        <v>3046</v>
      </c>
      <c r="D442" s="105" t="s">
        <v>3047</v>
      </c>
      <c r="E442" s="105" t="s">
        <v>3048</v>
      </c>
      <c r="F442" s="107"/>
      <c r="G442" s="107"/>
      <c r="H442" s="107"/>
      <c r="I442" s="107"/>
      <c r="J442" s="107"/>
      <c r="K442" s="107"/>
      <c r="L442" s="107"/>
      <c r="M442" s="107"/>
      <c r="N442" s="107"/>
      <c r="O442" s="107"/>
      <c r="P442" s="107"/>
      <c r="Q442" s="107"/>
      <c r="R442" s="107"/>
      <c r="S442" s="107"/>
      <c r="T442" s="107"/>
      <c r="U442" s="107"/>
      <c r="V442" s="107"/>
      <c r="W442" s="107"/>
      <c r="X442" s="107"/>
      <c r="Y442" s="107"/>
      <c r="Z442" s="107"/>
    </row>
    <row r="443" ht="15.75" customHeight="1">
      <c r="A443" s="105" t="s">
        <v>3049</v>
      </c>
      <c r="B443" s="105" t="s">
        <v>3050</v>
      </c>
      <c r="C443" s="105" t="s">
        <v>3051</v>
      </c>
      <c r="D443" s="105" t="s">
        <v>3052</v>
      </c>
      <c r="E443" s="108" t="s">
        <v>3053</v>
      </c>
      <c r="F443" s="107"/>
      <c r="G443" s="107"/>
      <c r="H443" s="107"/>
      <c r="I443" s="107"/>
      <c r="J443" s="107"/>
      <c r="K443" s="107"/>
      <c r="L443" s="107"/>
      <c r="M443" s="107"/>
      <c r="N443" s="107"/>
      <c r="O443" s="107"/>
      <c r="P443" s="107"/>
      <c r="Q443" s="107"/>
      <c r="R443" s="107"/>
      <c r="S443" s="107"/>
      <c r="T443" s="107"/>
      <c r="U443" s="107"/>
      <c r="V443" s="107"/>
      <c r="W443" s="107"/>
      <c r="X443" s="107"/>
      <c r="Y443" s="107"/>
      <c r="Z443" s="107"/>
    </row>
    <row r="444" ht="15.75" customHeight="1">
      <c r="A444" s="105" t="s">
        <v>3054</v>
      </c>
      <c r="B444" s="105" t="s">
        <v>3055</v>
      </c>
      <c r="C444" s="105" t="s">
        <v>3056</v>
      </c>
      <c r="D444" s="105" t="s">
        <v>3057</v>
      </c>
      <c r="E444" s="108" t="s">
        <v>3011</v>
      </c>
      <c r="F444" s="107"/>
      <c r="G444" s="107"/>
      <c r="H444" s="107"/>
      <c r="I444" s="107"/>
      <c r="J444" s="107"/>
      <c r="K444" s="107"/>
      <c r="L444" s="107"/>
      <c r="M444" s="107"/>
      <c r="N444" s="107"/>
      <c r="O444" s="107"/>
      <c r="P444" s="107"/>
      <c r="Q444" s="107"/>
      <c r="R444" s="107"/>
      <c r="S444" s="107"/>
      <c r="T444" s="107"/>
      <c r="U444" s="107"/>
      <c r="V444" s="107"/>
      <c r="W444" s="107"/>
      <c r="X444" s="107"/>
      <c r="Y444" s="107"/>
      <c r="Z444" s="107"/>
    </row>
    <row r="445" ht="15.75" customHeight="1">
      <c r="A445" s="105" t="s">
        <v>3058</v>
      </c>
      <c r="B445" s="105" t="s">
        <v>3059</v>
      </c>
      <c r="C445" s="105" t="s">
        <v>3060</v>
      </c>
      <c r="D445" s="105" t="s">
        <v>3061</v>
      </c>
      <c r="E445" s="107" t="s">
        <v>3062</v>
      </c>
      <c r="F445" s="107"/>
      <c r="G445" s="107"/>
      <c r="H445" s="107"/>
      <c r="I445" s="107"/>
      <c r="J445" s="107"/>
      <c r="K445" s="107"/>
      <c r="L445" s="107"/>
      <c r="M445" s="107"/>
      <c r="N445" s="107"/>
      <c r="O445" s="107"/>
      <c r="P445" s="107"/>
      <c r="Q445" s="107"/>
      <c r="R445" s="107"/>
      <c r="S445" s="107"/>
      <c r="T445" s="107"/>
      <c r="U445" s="107"/>
      <c r="V445" s="107"/>
      <c r="W445" s="107"/>
      <c r="X445" s="107"/>
      <c r="Y445" s="107"/>
      <c r="Z445" s="107"/>
    </row>
    <row r="446" ht="15.75" customHeight="1">
      <c r="A446" s="105" t="s">
        <v>3063</v>
      </c>
      <c r="B446" s="105" t="s">
        <v>3064</v>
      </c>
      <c r="C446" s="105" t="s">
        <v>3065</v>
      </c>
      <c r="D446" s="105" t="s">
        <v>3066</v>
      </c>
      <c r="E446" s="105" t="s">
        <v>3067</v>
      </c>
      <c r="F446" s="107"/>
      <c r="G446" s="107"/>
      <c r="H446" s="107"/>
      <c r="I446" s="107"/>
      <c r="J446" s="107"/>
      <c r="K446" s="107"/>
      <c r="L446" s="107"/>
      <c r="M446" s="107"/>
      <c r="N446" s="107"/>
      <c r="O446" s="107"/>
      <c r="P446" s="107"/>
      <c r="Q446" s="107"/>
      <c r="R446" s="107"/>
      <c r="S446" s="107"/>
      <c r="T446" s="107"/>
      <c r="U446" s="107"/>
      <c r="V446" s="107"/>
      <c r="W446" s="107"/>
      <c r="X446" s="107"/>
      <c r="Y446" s="107"/>
      <c r="Z446" s="107"/>
    </row>
    <row r="447" ht="15.75" customHeight="1">
      <c r="A447" s="105" t="s">
        <v>3068</v>
      </c>
      <c r="B447" s="105" t="s">
        <v>3069</v>
      </c>
      <c r="C447" s="105" t="s">
        <v>3070</v>
      </c>
      <c r="D447" s="105" t="s">
        <v>3071</v>
      </c>
      <c r="E447" s="107" t="s">
        <v>3072</v>
      </c>
      <c r="F447" s="107"/>
      <c r="G447" s="107"/>
      <c r="H447" s="107"/>
      <c r="I447" s="107"/>
      <c r="J447" s="107"/>
      <c r="K447" s="107"/>
      <c r="L447" s="107"/>
      <c r="M447" s="107"/>
      <c r="N447" s="107"/>
      <c r="O447" s="107"/>
      <c r="P447" s="107"/>
      <c r="Q447" s="107"/>
      <c r="R447" s="107"/>
      <c r="S447" s="107"/>
      <c r="T447" s="107"/>
      <c r="U447" s="107"/>
      <c r="V447" s="107"/>
      <c r="W447" s="107"/>
      <c r="X447" s="107"/>
      <c r="Y447" s="107"/>
      <c r="Z447" s="107"/>
    </row>
    <row r="448" ht="15.75" customHeight="1">
      <c r="A448" s="105" t="s">
        <v>3073</v>
      </c>
      <c r="B448" s="105" t="s">
        <v>3074</v>
      </c>
      <c r="C448" s="105" t="s">
        <v>3075</v>
      </c>
      <c r="D448" s="105" t="s">
        <v>3076</v>
      </c>
      <c r="E448" s="105" t="s">
        <v>3077</v>
      </c>
      <c r="F448" s="107"/>
      <c r="G448" s="107"/>
      <c r="H448" s="107"/>
      <c r="I448" s="107"/>
      <c r="J448" s="107"/>
      <c r="K448" s="107"/>
      <c r="L448" s="107"/>
      <c r="M448" s="107"/>
      <c r="N448" s="107"/>
      <c r="O448" s="107"/>
      <c r="P448" s="107"/>
      <c r="Q448" s="107"/>
      <c r="R448" s="107"/>
      <c r="S448" s="107"/>
      <c r="T448" s="107"/>
      <c r="U448" s="107"/>
      <c r="V448" s="107"/>
      <c r="W448" s="107"/>
      <c r="X448" s="107"/>
      <c r="Y448" s="107"/>
      <c r="Z448" s="107"/>
    </row>
    <row r="449" ht="15.75" customHeight="1">
      <c r="A449" s="105" t="s">
        <v>3078</v>
      </c>
      <c r="B449" s="105" t="s">
        <v>3079</v>
      </c>
      <c r="C449" s="105" t="s">
        <v>3080</v>
      </c>
      <c r="D449" s="105" t="s">
        <v>3081</v>
      </c>
      <c r="E449" s="107" t="s">
        <v>3082</v>
      </c>
      <c r="F449" s="107"/>
      <c r="G449" s="107"/>
      <c r="H449" s="107"/>
      <c r="I449" s="107"/>
      <c r="J449" s="107"/>
      <c r="K449" s="107"/>
      <c r="L449" s="107"/>
      <c r="M449" s="107"/>
      <c r="N449" s="107"/>
      <c r="O449" s="107"/>
      <c r="P449" s="107"/>
      <c r="Q449" s="107"/>
      <c r="R449" s="107"/>
      <c r="S449" s="107"/>
      <c r="T449" s="107"/>
      <c r="U449" s="107"/>
      <c r="V449" s="107"/>
      <c r="W449" s="107"/>
      <c r="X449" s="107"/>
      <c r="Y449" s="107"/>
      <c r="Z449" s="107"/>
    </row>
    <row r="450" ht="15.75" customHeight="1">
      <c r="A450" s="105" t="s">
        <v>3083</v>
      </c>
      <c r="B450" s="105" t="s">
        <v>3084</v>
      </c>
      <c r="C450" s="105" t="s">
        <v>3085</v>
      </c>
      <c r="D450" s="105" t="s">
        <v>3086</v>
      </c>
      <c r="E450" s="105" t="s">
        <v>3087</v>
      </c>
      <c r="F450" s="107"/>
      <c r="G450" s="107"/>
      <c r="H450" s="107"/>
      <c r="I450" s="107"/>
      <c r="J450" s="107"/>
      <c r="K450" s="107"/>
      <c r="L450" s="107"/>
      <c r="M450" s="107"/>
      <c r="N450" s="107"/>
      <c r="O450" s="107"/>
      <c r="P450" s="107"/>
      <c r="Q450" s="107"/>
      <c r="R450" s="107"/>
      <c r="S450" s="107"/>
      <c r="T450" s="107"/>
      <c r="U450" s="107"/>
      <c r="V450" s="107"/>
      <c r="W450" s="107"/>
      <c r="X450" s="107"/>
      <c r="Y450" s="107"/>
      <c r="Z450" s="107"/>
    </row>
    <row r="451" ht="15.75" customHeight="1">
      <c r="A451" s="105" t="s">
        <v>3088</v>
      </c>
      <c r="B451" s="105" t="s">
        <v>3089</v>
      </c>
      <c r="C451" s="105" t="s">
        <v>3090</v>
      </c>
      <c r="D451" s="105" t="s">
        <v>3091</v>
      </c>
      <c r="E451" s="107" t="s">
        <v>3053</v>
      </c>
      <c r="F451" s="107"/>
      <c r="G451" s="107"/>
      <c r="H451" s="107"/>
      <c r="I451" s="107"/>
      <c r="J451" s="107"/>
      <c r="K451" s="107"/>
      <c r="L451" s="107"/>
      <c r="M451" s="107"/>
      <c r="N451" s="107"/>
      <c r="O451" s="107"/>
      <c r="P451" s="107"/>
      <c r="Q451" s="107"/>
      <c r="R451" s="107"/>
      <c r="S451" s="107"/>
      <c r="T451" s="107"/>
      <c r="U451" s="107"/>
      <c r="V451" s="107"/>
      <c r="W451" s="107"/>
      <c r="X451" s="107"/>
      <c r="Y451" s="107"/>
      <c r="Z451" s="107"/>
    </row>
    <row r="452" ht="15.75" customHeight="1">
      <c r="A452" s="105" t="s">
        <v>3092</v>
      </c>
      <c r="B452" s="105" t="s">
        <v>3093</v>
      </c>
      <c r="C452" s="105" t="s">
        <v>3094</v>
      </c>
      <c r="D452" s="105" t="s">
        <v>3095</v>
      </c>
      <c r="E452" s="105" t="s">
        <v>3096</v>
      </c>
      <c r="F452" s="107"/>
      <c r="G452" s="107"/>
      <c r="H452" s="107"/>
      <c r="I452" s="107"/>
      <c r="J452" s="107"/>
      <c r="K452" s="107"/>
      <c r="L452" s="107"/>
      <c r="M452" s="107"/>
      <c r="N452" s="107"/>
      <c r="O452" s="107"/>
      <c r="P452" s="107"/>
      <c r="Q452" s="107"/>
      <c r="R452" s="107"/>
      <c r="S452" s="107"/>
      <c r="T452" s="107"/>
      <c r="U452" s="107"/>
      <c r="V452" s="107"/>
      <c r="W452" s="107"/>
      <c r="X452" s="107"/>
      <c r="Y452" s="107"/>
      <c r="Z452" s="107"/>
    </row>
    <row r="453" ht="15.75" customHeight="1">
      <c r="A453" s="105" t="s">
        <v>3097</v>
      </c>
      <c r="B453" s="105" t="s">
        <v>3098</v>
      </c>
      <c r="C453" s="105" t="s">
        <v>3099</v>
      </c>
      <c r="D453" s="105" t="s">
        <v>3100</v>
      </c>
      <c r="E453" s="107" t="s">
        <v>3011</v>
      </c>
      <c r="F453" s="107"/>
      <c r="G453" s="107"/>
      <c r="H453" s="107"/>
      <c r="I453" s="107"/>
      <c r="J453" s="107"/>
      <c r="K453" s="107"/>
      <c r="L453" s="107"/>
      <c r="M453" s="107"/>
      <c r="N453" s="107"/>
      <c r="O453" s="107"/>
      <c r="P453" s="107"/>
      <c r="Q453" s="107"/>
      <c r="R453" s="107"/>
      <c r="S453" s="107"/>
      <c r="T453" s="107"/>
      <c r="U453" s="107"/>
      <c r="V453" s="107"/>
      <c r="W453" s="107"/>
      <c r="X453" s="107"/>
      <c r="Y453" s="107"/>
      <c r="Z453" s="107"/>
    </row>
    <row r="454" ht="15.75" customHeight="1">
      <c r="A454" s="105" t="s">
        <v>3101</v>
      </c>
      <c r="B454" s="105" t="s">
        <v>3102</v>
      </c>
      <c r="C454" s="105" t="s">
        <v>3103</v>
      </c>
      <c r="D454" s="105" t="s">
        <v>3104</v>
      </c>
      <c r="E454" s="107" t="s">
        <v>3030</v>
      </c>
      <c r="F454" s="107"/>
      <c r="G454" s="107"/>
      <c r="H454" s="107"/>
      <c r="I454" s="107"/>
      <c r="J454" s="107"/>
      <c r="K454" s="107"/>
      <c r="L454" s="107"/>
      <c r="M454" s="107"/>
      <c r="N454" s="107"/>
      <c r="O454" s="107"/>
      <c r="P454" s="107"/>
      <c r="Q454" s="107"/>
      <c r="R454" s="107"/>
      <c r="S454" s="107"/>
      <c r="T454" s="107"/>
      <c r="U454" s="107"/>
      <c r="V454" s="107"/>
      <c r="W454" s="107"/>
      <c r="X454" s="107"/>
      <c r="Y454" s="107"/>
      <c r="Z454" s="107"/>
    </row>
    <row r="455" ht="15.75" customHeight="1">
      <c r="A455" s="105" t="s">
        <v>3105</v>
      </c>
      <c r="B455" s="105" t="s">
        <v>3106</v>
      </c>
      <c r="C455" s="105" t="s">
        <v>3107</v>
      </c>
      <c r="D455" s="105" t="s">
        <v>3108</v>
      </c>
      <c r="E455" s="107" t="s">
        <v>3109</v>
      </c>
      <c r="F455" s="107"/>
      <c r="G455" s="107"/>
      <c r="H455" s="107"/>
      <c r="I455" s="107"/>
      <c r="J455" s="107"/>
      <c r="K455" s="107"/>
      <c r="L455" s="107"/>
      <c r="M455" s="107"/>
      <c r="N455" s="107"/>
      <c r="O455" s="107"/>
      <c r="P455" s="107"/>
      <c r="Q455" s="107"/>
      <c r="R455" s="107"/>
      <c r="S455" s="107"/>
      <c r="T455" s="107"/>
      <c r="U455" s="107"/>
      <c r="V455" s="107"/>
      <c r="W455" s="107"/>
      <c r="X455" s="107"/>
      <c r="Y455" s="107"/>
      <c r="Z455" s="107"/>
    </row>
    <row r="456" ht="15.75" customHeight="1">
      <c r="A456" s="105" t="s">
        <v>3110</v>
      </c>
      <c r="B456" s="105" t="s">
        <v>3111</v>
      </c>
      <c r="C456" s="105" t="s">
        <v>3112</v>
      </c>
      <c r="D456" s="105" t="s">
        <v>3113</v>
      </c>
      <c r="E456" s="105" t="s">
        <v>1090</v>
      </c>
      <c r="F456" s="107"/>
      <c r="G456" s="107"/>
      <c r="H456" s="107"/>
      <c r="I456" s="107"/>
      <c r="J456" s="107"/>
      <c r="K456" s="107"/>
      <c r="L456" s="107"/>
      <c r="M456" s="107"/>
      <c r="N456" s="107"/>
      <c r="O456" s="107"/>
      <c r="P456" s="107"/>
      <c r="Q456" s="107"/>
      <c r="R456" s="107"/>
      <c r="S456" s="107"/>
      <c r="T456" s="107"/>
      <c r="U456" s="107"/>
      <c r="V456" s="107"/>
      <c r="W456" s="107"/>
      <c r="X456" s="107"/>
      <c r="Y456" s="107"/>
      <c r="Z456" s="107"/>
    </row>
    <row r="457" ht="15.75" customHeight="1">
      <c r="A457" s="109" t="s">
        <v>3114</v>
      </c>
      <c r="B457" s="95" t="s">
        <v>3114</v>
      </c>
      <c r="C457" s="95" t="s">
        <v>3115</v>
      </c>
      <c r="D457" s="110" t="s">
        <v>3116</v>
      </c>
      <c r="E457" s="111"/>
      <c r="F457" s="111"/>
      <c r="G457" s="111"/>
      <c r="H457" s="111"/>
      <c r="I457" s="111"/>
      <c r="J457" s="111"/>
      <c r="K457" s="111"/>
      <c r="L457" s="111"/>
      <c r="M457" s="111"/>
      <c r="N457" s="111"/>
      <c r="O457" s="111"/>
      <c r="P457" s="111"/>
      <c r="Q457" s="111"/>
      <c r="R457" s="111"/>
      <c r="S457" s="111"/>
      <c r="T457" s="111"/>
      <c r="U457" s="111"/>
      <c r="V457" s="111"/>
      <c r="W457" s="111"/>
      <c r="X457" s="111"/>
      <c r="Y457" s="111"/>
      <c r="Z457" s="111"/>
    </row>
    <row r="458" ht="15.75" customHeight="1">
      <c r="A458" s="50" t="s">
        <v>3117</v>
      </c>
      <c r="B458" s="50" t="s">
        <v>3118</v>
      </c>
      <c r="C458" s="50" t="s">
        <v>3119</v>
      </c>
      <c r="D458" s="50" t="s">
        <v>3120</v>
      </c>
      <c r="E458" s="50" t="s">
        <v>254</v>
      </c>
      <c r="F458" s="72"/>
      <c r="G458" s="72"/>
      <c r="H458" s="72"/>
      <c r="I458" s="72"/>
      <c r="J458" s="72"/>
      <c r="K458" s="72"/>
      <c r="L458" s="72"/>
      <c r="M458" s="72"/>
      <c r="N458" s="72"/>
      <c r="O458" s="72"/>
      <c r="P458" s="72"/>
      <c r="Q458" s="72"/>
      <c r="R458" s="72"/>
      <c r="S458" s="72"/>
      <c r="T458" s="72"/>
      <c r="U458" s="72"/>
      <c r="V458" s="72"/>
      <c r="W458" s="72"/>
      <c r="X458" s="72"/>
      <c r="Y458" s="72"/>
      <c r="Z458" s="72"/>
    </row>
    <row r="459" ht="15.75" customHeight="1">
      <c r="A459" s="50" t="s">
        <v>3121</v>
      </c>
      <c r="B459" s="50" t="s">
        <v>3122</v>
      </c>
      <c r="C459" s="50" t="s">
        <v>3123</v>
      </c>
      <c r="D459" s="50" t="s">
        <v>3124</v>
      </c>
      <c r="E459" s="50" t="s">
        <v>1350</v>
      </c>
      <c r="F459" s="72"/>
      <c r="G459" s="72"/>
      <c r="H459" s="72"/>
      <c r="I459" s="72"/>
      <c r="J459" s="72"/>
      <c r="K459" s="72"/>
      <c r="L459" s="72"/>
      <c r="M459" s="72"/>
      <c r="N459" s="72"/>
      <c r="O459" s="72"/>
      <c r="P459" s="72"/>
      <c r="Q459" s="72"/>
      <c r="R459" s="72"/>
      <c r="S459" s="72"/>
      <c r="T459" s="72"/>
      <c r="U459" s="72"/>
      <c r="V459" s="72"/>
      <c r="W459" s="72"/>
      <c r="X459" s="72"/>
      <c r="Y459" s="72"/>
      <c r="Z459" s="72"/>
    </row>
    <row r="460" ht="15.75" customHeight="1">
      <c r="A460" s="50" t="s">
        <v>3125</v>
      </c>
      <c r="B460" s="50" t="s">
        <v>3126</v>
      </c>
      <c r="C460" s="50" t="s">
        <v>3127</v>
      </c>
      <c r="D460" s="50" t="s">
        <v>3128</v>
      </c>
      <c r="E460" s="50" t="s">
        <v>1350</v>
      </c>
      <c r="F460" s="72"/>
      <c r="G460" s="72"/>
      <c r="H460" s="72"/>
      <c r="I460" s="72"/>
      <c r="J460" s="72"/>
      <c r="K460" s="72"/>
      <c r="L460" s="72"/>
      <c r="M460" s="72"/>
      <c r="N460" s="72"/>
      <c r="O460" s="72"/>
      <c r="P460" s="72"/>
      <c r="Q460" s="72"/>
      <c r="R460" s="72"/>
      <c r="S460" s="72"/>
      <c r="T460" s="72"/>
      <c r="U460" s="72"/>
      <c r="V460" s="72"/>
      <c r="W460" s="72"/>
      <c r="X460" s="72"/>
      <c r="Y460" s="72"/>
      <c r="Z460" s="72"/>
    </row>
    <row r="461" ht="15.75" customHeight="1">
      <c r="A461" s="50" t="s">
        <v>3129</v>
      </c>
      <c r="B461" s="50" t="s">
        <v>3130</v>
      </c>
      <c r="C461" s="50" t="s">
        <v>3131</v>
      </c>
      <c r="D461" s="50" t="s">
        <v>3132</v>
      </c>
      <c r="E461" s="50" t="s">
        <v>1350</v>
      </c>
      <c r="F461" s="72"/>
      <c r="G461" s="72"/>
      <c r="H461" s="72"/>
      <c r="I461" s="72"/>
      <c r="J461" s="72"/>
      <c r="K461" s="72"/>
      <c r="L461" s="72"/>
      <c r="M461" s="72"/>
      <c r="N461" s="72"/>
      <c r="O461" s="72"/>
      <c r="P461" s="72"/>
      <c r="Q461" s="72"/>
      <c r="R461" s="72"/>
      <c r="S461" s="72"/>
      <c r="T461" s="72"/>
      <c r="U461" s="72"/>
      <c r="V461" s="72"/>
      <c r="W461" s="72"/>
      <c r="X461" s="72"/>
      <c r="Y461" s="72"/>
      <c r="Z461" s="72"/>
    </row>
    <row r="462" ht="15.75" customHeight="1">
      <c r="A462" s="50" t="s">
        <v>3133</v>
      </c>
      <c r="B462" s="50" t="s">
        <v>3134</v>
      </c>
      <c r="C462" s="50" t="s">
        <v>3135</v>
      </c>
      <c r="D462" s="50" t="s">
        <v>3136</v>
      </c>
      <c r="E462" s="50" t="s">
        <v>1350</v>
      </c>
      <c r="F462" s="72"/>
      <c r="G462" s="72"/>
      <c r="H462" s="72"/>
      <c r="I462" s="72"/>
      <c r="J462" s="72"/>
      <c r="K462" s="72"/>
      <c r="L462" s="72"/>
      <c r="M462" s="72"/>
      <c r="N462" s="72"/>
      <c r="O462" s="72"/>
      <c r="P462" s="72"/>
      <c r="Q462" s="72"/>
      <c r="R462" s="72"/>
      <c r="S462" s="72"/>
      <c r="T462" s="72"/>
      <c r="U462" s="72"/>
      <c r="V462" s="72"/>
      <c r="W462" s="72"/>
      <c r="X462" s="72"/>
      <c r="Y462" s="72"/>
      <c r="Z462" s="72"/>
    </row>
    <row r="463" ht="15.75" customHeight="1">
      <c r="A463" s="50" t="s">
        <v>3137</v>
      </c>
      <c r="B463" s="50" t="s">
        <v>3138</v>
      </c>
      <c r="C463" s="50" t="s">
        <v>3139</v>
      </c>
      <c r="D463" s="50" t="s">
        <v>3140</v>
      </c>
      <c r="E463" s="50" t="s">
        <v>254</v>
      </c>
      <c r="F463" s="72"/>
      <c r="G463" s="72"/>
      <c r="H463" s="72"/>
      <c r="I463" s="72"/>
      <c r="J463" s="72"/>
      <c r="K463" s="72"/>
      <c r="L463" s="72"/>
      <c r="M463" s="72"/>
      <c r="N463" s="72"/>
      <c r="O463" s="72"/>
      <c r="P463" s="72"/>
      <c r="Q463" s="72"/>
      <c r="R463" s="72"/>
      <c r="S463" s="72"/>
      <c r="T463" s="72"/>
      <c r="U463" s="72"/>
      <c r="V463" s="72"/>
      <c r="W463" s="72"/>
      <c r="X463" s="72"/>
      <c r="Y463" s="72"/>
      <c r="Z463" s="72"/>
    </row>
    <row r="464" ht="15.75" customHeight="1">
      <c r="A464" s="50" t="s">
        <v>3141</v>
      </c>
      <c r="B464" s="50" t="s">
        <v>3142</v>
      </c>
      <c r="C464" s="50" t="s">
        <v>3143</v>
      </c>
      <c r="D464" s="50" t="s">
        <v>3144</v>
      </c>
      <c r="E464" s="50" t="s">
        <v>1378</v>
      </c>
      <c r="F464" s="72"/>
      <c r="G464" s="72"/>
      <c r="H464" s="72"/>
      <c r="I464" s="72"/>
      <c r="J464" s="72"/>
      <c r="K464" s="72"/>
      <c r="L464" s="72"/>
      <c r="M464" s="72"/>
      <c r="N464" s="72"/>
      <c r="O464" s="72"/>
      <c r="P464" s="72"/>
      <c r="Q464" s="72"/>
      <c r="R464" s="72"/>
      <c r="S464" s="72"/>
      <c r="T464" s="72"/>
      <c r="U464" s="72"/>
      <c r="V464" s="72"/>
      <c r="W464" s="72"/>
      <c r="X464" s="72"/>
      <c r="Y464" s="72"/>
      <c r="Z464" s="72"/>
    </row>
    <row r="465" ht="15.75" customHeight="1">
      <c r="A465" s="50" t="s">
        <v>3145</v>
      </c>
      <c r="B465" s="50" t="s">
        <v>3146</v>
      </c>
      <c r="C465" s="50" t="s">
        <v>3147</v>
      </c>
      <c r="D465" s="50" t="s">
        <v>3148</v>
      </c>
      <c r="E465" s="50" t="s">
        <v>254</v>
      </c>
      <c r="F465" s="72"/>
      <c r="G465" s="72"/>
      <c r="H465" s="72"/>
      <c r="I465" s="72"/>
      <c r="J465" s="72"/>
      <c r="K465" s="72"/>
      <c r="L465" s="72"/>
      <c r="M465" s="72"/>
      <c r="N465" s="72"/>
      <c r="O465" s="72"/>
      <c r="P465" s="72"/>
      <c r="Q465" s="72"/>
      <c r="R465" s="72"/>
      <c r="S465" s="72"/>
      <c r="T465" s="72"/>
      <c r="U465" s="72"/>
      <c r="V465" s="72"/>
      <c r="W465" s="72"/>
      <c r="X465" s="72"/>
      <c r="Y465" s="72"/>
      <c r="Z465" s="72"/>
    </row>
    <row r="466" ht="15.75" customHeight="1">
      <c r="A466" s="50" t="s">
        <v>3149</v>
      </c>
      <c r="B466" s="50" t="s">
        <v>3150</v>
      </c>
      <c r="C466" s="50" t="s">
        <v>3151</v>
      </c>
      <c r="D466" s="50" t="s">
        <v>3152</v>
      </c>
      <c r="E466" s="50" t="s">
        <v>1378</v>
      </c>
      <c r="F466" s="72"/>
      <c r="G466" s="72"/>
      <c r="H466" s="72"/>
      <c r="I466" s="72"/>
      <c r="J466" s="72"/>
      <c r="K466" s="72"/>
      <c r="L466" s="72"/>
      <c r="M466" s="72"/>
      <c r="N466" s="72"/>
      <c r="O466" s="72"/>
      <c r="P466" s="72"/>
      <c r="Q466" s="72"/>
      <c r="R466" s="72"/>
      <c r="S466" s="72"/>
      <c r="T466" s="72"/>
      <c r="U466" s="72"/>
      <c r="V466" s="72"/>
      <c r="W466" s="72"/>
      <c r="X466" s="72"/>
      <c r="Y466" s="72"/>
      <c r="Z466" s="72"/>
    </row>
    <row r="467" ht="15.75" customHeight="1">
      <c r="A467" s="95" t="s">
        <v>3153</v>
      </c>
      <c r="B467" s="95" t="s">
        <v>3154</v>
      </c>
      <c r="C467" s="95" t="s">
        <v>3155</v>
      </c>
      <c r="D467" s="111"/>
      <c r="E467" s="110" t="s">
        <v>276</v>
      </c>
      <c r="F467" s="111"/>
      <c r="G467" s="111"/>
      <c r="H467" s="111"/>
      <c r="I467" s="111"/>
      <c r="J467" s="111"/>
      <c r="K467" s="111"/>
      <c r="L467" s="111"/>
      <c r="M467" s="111"/>
      <c r="N467" s="111"/>
      <c r="O467" s="111"/>
      <c r="P467" s="111"/>
      <c r="Q467" s="111"/>
      <c r="R467" s="111"/>
      <c r="S467" s="111"/>
      <c r="T467" s="111"/>
      <c r="U467" s="111"/>
      <c r="V467" s="111"/>
      <c r="W467" s="111"/>
      <c r="X467" s="111"/>
      <c r="Y467" s="111"/>
      <c r="Z467" s="111"/>
    </row>
    <row r="468" ht="15.75" customHeight="1">
      <c r="A468" s="96"/>
      <c r="B468" s="96"/>
      <c r="C468" s="96"/>
      <c r="D468" s="111"/>
      <c r="E468" s="111"/>
      <c r="F468" s="111"/>
      <c r="G468" s="111"/>
      <c r="H468" s="111"/>
      <c r="I468" s="111"/>
      <c r="J468" s="111"/>
      <c r="K468" s="111"/>
      <c r="L468" s="111"/>
      <c r="M468" s="111"/>
      <c r="N468" s="111"/>
      <c r="O468" s="111"/>
      <c r="P468" s="111"/>
      <c r="Q468" s="111"/>
      <c r="R468" s="111"/>
      <c r="S468" s="111"/>
      <c r="T468" s="111"/>
      <c r="U468" s="111"/>
      <c r="V468" s="111"/>
      <c r="W468" s="111"/>
      <c r="X468" s="111"/>
      <c r="Y468" s="111"/>
      <c r="Z468" s="111"/>
    </row>
    <row r="469" ht="15.75" customHeight="1">
      <c r="A469" s="96"/>
      <c r="B469" s="96"/>
      <c r="C469" s="96"/>
      <c r="D469" s="111"/>
      <c r="E469" s="111"/>
      <c r="F469" s="111"/>
      <c r="G469" s="111"/>
      <c r="H469" s="111"/>
      <c r="I469" s="111"/>
      <c r="J469" s="111"/>
      <c r="K469" s="111"/>
      <c r="L469" s="111"/>
      <c r="M469" s="111"/>
      <c r="N469" s="111"/>
      <c r="O469" s="111"/>
      <c r="P469" s="111"/>
      <c r="Q469" s="111"/>
      <c r="R469" s="111"/>
      <c r="S469" s="111"/>
      <c r="T469" s="111"/>
      <c r="U469" s="111"/>
      <c r="V469" s="111"/>
      <c r="W469" s="111"/>
      <c r="X469" s="111"/>
      <c r="Y469" s="111"/>
      <c r="Z469" s="111"/>
    </row>
    <row r="470" ht="15.75" customHeight="1">
      <c r="A470" s="96"/>
      <c r="B470" s="96"/>
      <c r="C470" s="96"/>
      <c r="D470" s="111"/>
      <c r="E470" s="111"/>
      <c r="F470" s="111"/>
      <c r="G470" s="111"/>
      <c r="H470" s="111"/>
      <c r="I470" s="111"/>
      <c r="J470" s="111"/>
      <c r="K470" s="111"/>
      <c r="L470" s="111"/>
      <c r="M470" s="111"/>
      <c r="N470" s="111"/>
      <c r="O470" s="111"/>
      <c r="P470" s="111"/>
      <c r="Q470" s="111"/>
      <c r="R470" s="111"/>
      <c r="S470" s="111"/>
      <c r="T470" s="111"/>
      <c r="U470" s="111"/>
      <c r="V470" s="111"/>
      <c r="W470" s="111"/>
      <c r="X470" s="111"/>
      <c r="Y470" s="111"/>
      <c r="Z470" s="111"/>
    </row>
    <row r="471" ht="15.75" customHeight="1">
      <c r="A471" s="112"/>
      <c r="B471" s="112"/>
      <c r="C471" s="112"/>
      <c r="D471" s="113"/>
      <c r="E471" s="113"/>
      <c r="F471" s="113"/>
      <c r="G471" s="113"/>
      <c r="H471" s="113"/>
      <c r="I471" s="113"/>
      <c r="J471" s="113"/>
      <c r="K471" s="113"/>
      <c r="L471" s="113"/>
      <c r="M471" s="113"/>
      <c r="N471" s="113"/>
      <c r="O471" s="113"/>
      <c r="P471" s="113"/>
      <c r="Q471" s="113"/>
      <c r="R471" s="113"/>
      <c r="S471" s="113"/>
      <c r="T471" s="113"/>
      <c r="U471" s="113"/>
      <c r="V471" s="113"/>
      <c r="W471" s="113"/>
      <c r="X471" s="113"/>
      <c r="Y471" s="113"/>
      <c r="Z471" s="113"/>
    </row>
    <row r="472" ht="15.75" customHeight="1">
      <c r="A472" s="112"/>
      <c r="B472" s="112"/>
      <c r="C472" s="112"/>
      <c r="D472" s="113"/>
      <c r="E472" s="113"/>
      <c r="F472" s="113"/>
      <c r="G472" s="113"/>
      <c r="H472" s="113"/>
      <c r="I472" s="113"/>
      <c r="J472" s="113"/>
      <c r="K472" s="113"/>
      <c r="L472" s="113"/>
      <c r="M472" s="113"/>
      <c r="N472" s="113"/>
      <c r="O472" s="113"/>
      <c r="P472" s="113"/>
      <c r="Q472" s="113"/>
      <c r="R472" s="113"/>
      <c r="S472" s="113"/>
      <c r="T472" s="113"/>
      <c r="U472" s="113"/>
      <c r="V472" s="113"/>
      <c r="W472" s="113"/>
      <c r="X472" s="113"/>
      <c r="Y472" s="113"/>
      <c r="Z472" s="113"/>
    </row>
    <row r="473" ht="15.75" customHeight="1">
      <c r="A473" s="112"/>
      <c r="B473" s="112"/>
      <c r="C473" s="112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 ht="15.75" customHeight="1">
      <c r="A474" s="112"/>
      <c r="B474" s="112"/>
      <c r="C474" s="112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 ht="15.75" customHeight="1">
      <c r="A475" s="112"/>
      <c r="B475" s="112"/>
      <c r="C475" s="112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 ht="15.75" customHeight="1">
      <c r="A476" s="112"/>
      <c r="B476" s="112"/>
      <c r="C476" s="112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 ht="15.75" customHeight="1">
      <c r="A477" s="112"/>
      <c r="B477" s="112"/>
      <c r="C477" s="112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 ht="15.75" customHeight="1">
      <c r="A478" s="112"/>
      <c r="B478" s="112"/>
      <c r="C478" s="112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 ht="15.75" customHeight="1">
      <c r="A479" s="112"/>
      <c r="B479" s="112"/>
      <c r="C479" s="112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 ht="15.75" customHeight="1">
      <c r="A480" s="112"/>
      <c r="B480" s="112"/>
      <c r="C480" s="112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 ht="15.75" customHeight="1">
      <c r="A481" s="112"/>
      <c r="B481" s="112"/>
      <c r="C481" s="112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 ht="15.75" customHeight="1">
      <c r="A482" s="112"/>
      <c r="B482" s="112"/>
      <c r="C482" s="112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 ht="15.75" customHeight="1">
      <c r="A483" s="112"/>
      <c r="B483" s="112"/>
      <c r="C483" s="112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 ht="15.75" customHeight="1">
      <c r="A484" s="112"/>
      <c r="B484" s="112"/>
      <c r="C484" s="112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 ht="15.75" customHeight="1">
      <c r="A485" s="112"/>
      <c r="B485" s="112"/>
      <c r="C485" s="112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 ht="15.75" customHeight="1">
      <c r="A486" s="112"/>
      <c r="B486" s="112"/>
      <c r="C486" s="112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 ht="15.75" customHeight="1">
      <c r="A487" s="112"/>
      <c r="B487" s="112"/>
      <c r="C487" s="112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 ht="15.75" customHeight="1">
      <c r="A488" s="112"/>
      <c r="B488" s="112"/>
      <c r="C488" s="112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 ht="15.75" customHeight="1">
      <c r="A489" s="112"/>
      <c r="B489" s="112"/>
      <c r="C489" s="112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 ht="15.75" customHeight="1">
      <c r="A490" s="112"/>
      <c r="B490" s="112"/>
      <c r="C490" s="112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 ht="15.75" customHeight="1">
      <c r="A491" s="112"/>
      <c r="B491" s="112"/>
      <c r="C491" s="112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 ht="15.75" customHeight="1">
      <c r="A492" s="112"/>
      <c r="B492" s="112"/>
      <c r="C492" s="112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 ht="15.75" customHeight="1">
      <c r="A493" s="112"/>
      <c r="B493" s="112"/>
      <c r="C493" s="112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 ht="15.75" customHeight="1">
      <c r="A494" s="112"/>
      <c r="B494" s="112"/>
      <c r="C494" s="112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 ht="15.75" customHeight="1">
      <c r="A495" s="112"/>
      <c r="B495" s="112"/>
      <c r="C495" s="112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 ht="15.75" customHeight="1">
      <c r="A496" s="112"/>
      <c r="B496" s="112"/>
      <c r="C496" s="112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 ht="15.75" customHeight="1">
      <c r="A497" s="112"/>
      <c r="B497" s="112"/>
      <c r="C497" s="112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 ht="15.75" customHeight="1">
      <c r="A498" s="112"/>
      <c r="B498" s="112"/>
      <c r="C498" s="112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 ht="15.75" customHeight="1">
      <c r="A499" s="112"/>
      <c r="B499" s="112"/>
      <c r="C499" s="112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 ht="15.75" customHeight="1">
      <c r="A500" s="112"/>
      <c r="B500" s="112"/>
      <c r="C500" s="112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 ht="15.75" customHeight="1">
      <c r="A501" s="112"/>
      <c r="B501" s="112"/>
      <c r="C501" s="112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 ht="15.75" customHeight="1">
      <c r="A502" s="112"/>
      <c r="B502" s="112"/>
      <c r="C502" s="112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 ht="15.75" customHeight="1">
      <c r="A503" s="112"/>
      <c r="B503" s="112"/>
      <c r="C503" s="112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 ht="15.75" customHeight="1">
      <c r="A504" s="112"/>
      <c r="B504" s="112"/>
      <c r="C504" s="112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 ht="15.75" customHeight="1">
      <c r="A505" s="112"/>
      <c r="B505" s="112"/>
      <c r="C505" s="112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 ht="15.75" customHeight="1">
      <c r="A506" s="112"/>
      <c r="B506" s="112"/>
      <c r="C506" s="112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 ht="15.75" customHeight="1">
      <c r="A507" s="112"/>
      <c r="B507" s="112"/>
      <c r="C507" s="112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 ht="15.75" customHeight="1">
      <c r="A508" s="112"/>
      <c r="B508" s="112"/>
      <c r="C508" s="112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 ht="15.75" customHeight="1">
      <c r="A509" s="112"/>
      <c r="B509" s="112"/>
      <c r="C509" s="112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 ht="15.75" customHeight="1">
      <c r="A510" s="112"/>
      <c r="B510" s="112"/>
      <c r="C510" s="112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 ht="15.75" customHeight="1">
      <c r="A511" s="112"/>
      <c r="B511" s="112"/>
      <c r="C511" s="112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 ht="15.75" customHeight="1">
      <c r="A512" s="112"/>
      <c r="B512" s="112"/>
      <c r="C512" s="112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 ht="15.75" customHeight="1">
      <c r="A513" s="112"/>
      <c r="B513" s="112"/>
      <c r="C513" s="112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 ht="15.75" customHeight="1">
      <c r="A514" s="112"/>
      <c r="B514" s="112"/>
      <c r="C514" s="112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 ht="15.75" customHeight="1">
      <c r="A515" s="112"/>
      <c r="B515" s="112"/>
      <c r="C515" s="112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 ht="15.75" customHeight="1">
      <c r="A516" s="112"/>
      <c r="B516" s="112"/>
      <c r="C516" s="112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 ht="15.75" customHeight="1">
      <c r="A517" s="112"/>
      <c r="B517" s="112"/>
      <c r="C517" s="112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 ht="15.75" customHeight="1">
      <c r="A518" s="112"/>
      <c r="B518" s="112"/>
      <c r="C518" s="112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 ht="15.75" customHeight="1">
      <c r="A519" s="112"/>
      <c r="B519" s="112"/>
      <c r="C519" s="112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 ht="15.75" customHeight="1">
      <c r="A520" s="112"/>
      <c r="B520" s="112"/>
      <c r="C520" s="112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 ht="15.75" customHeight="1">
      <c r="A521" s="112"/>
      <c r="B521" s="112"/>
      <c r="C521" s="112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 ht="15.75" customHeight="1">
      <c r="A522" s="112"/>
      <c r="B522" s="112"/>
      <c r="C522" s="112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 ht="15.75" customHeight="1">
      <c r="A523" s="112"/>
      <c r="B523" s="112"/>
      <c r="C523" s="112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 ht="15.75" customHeight="1">
      <c r="A524" s="112"/>
      <c r="B524" s="112"/>
      <c r="C524" s="112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 ht="15.75" customHeight="1">
      <c r="A525" s="112"/>
      <c r="B525" s="112"/>
      <c r="C525" s="112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 ht="15.75" customHeight="1">
      <c r="A526" s="112"/>
      <c r="B526" s="112"/>
      <c r="C526" s="112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 ht="15.75" customHeight="1">
      <c r="A527" s="112"/>
      <c r="B527" s="112"/>
      <c r="C527" s="112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 ht="15.75" customHeight="1">
      <c r="A528" s="112"/>
      <c r="B528" s="112"/>
      <c r="C528" s="112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 ht="15.75" customHeight="1">
      <c r="A529" s="112"/>
      <c r="B529" s="112"/>
      <c r="C529" s="112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 ht="15.75" customHeight="1">
      <c r="A530" s="112"/>
      <c r="B530" s="112"/>
      <c r="C530" s="112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 ht="15.75" customHeight="1">
      <c r="A531" s="112"/>
      <c r="B531" s="112"/>
      <c r="C531" s="112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 ht="15.75" customHeight="1">
      <c r="A532" s="112"/>
      <c r="B532" s="112"/>
      <c r="C532" s="112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 ht="15.75" customHeight="1">
      <c r="A533" s="112"/>
      <c r="B533" s="112"/>
      <c r="C533" s="112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 ht="15.75" customHeight="1">
      <c r="A534" s="112"/>
      <c r="B534" s="112"/>
      <c r="C534" s="112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 ht="15.75" customHeight="1">
      <c r="A535" s="112"/>
      <c r="B535" s="112"/>
      <c r="C535" s="112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 ht="15.75" customHeight="1">
      <c r="A536" s="112"/>
      <c r="B536" s="112"/>
      <c r="C536" s="112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 ht="15.75" customHeight="1">
      <c r="A537" s="112"/>
      <c r="B537" s="112"/>
      <c r="C537" s="112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 ht="15.75" customHeight="1">
      <c r="A538" s="112"/>
      <c r="B538" s="112"/>
      <c r="C538" s="112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 ht="15.75" customHeight="1">
      <c r="A539" s="112"/>
      <c r="B539" s="112"/>
      <c r="C539" s="112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 ht="15.75" customHeight="1">
      <c r="A540" s="112"/>
      <c r="B540" s="112"/>
      <c r="C540" s="112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 ht="15.75" customHeight="1">
      <c r="A541" s="112"/>
      <c r="B541" s="112"/>
      <c r="C541" s="112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 ht="15.75" customHeight="1">
      <c r="A542" s="112"/>
      <c r="B542" s="112"/>
      <c r="C542" s="112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 ht="15.75" customHeight="1">
      <c r="A543" s="112"/>
      <c r="B543" s="112"/>
      <c r="C543" s="112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 ht="15.75" customHeight="1">
      <c r="A544" s="112"/>
      <c r="B544" s="112"/>
      <c r="C544" s="112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 ht="15.75" customHeight="1">
      <c r="A545" s="112"/>
      <c r="B545" s="112"/>
      <c r="C545" s="112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 ht="15.75" customHeight="1">
      <c r="A546" s="112"/>
      <c r="B546" s="112"/>
      <c r="C546" s="112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 ht="15.75" customHeight="1">
      <c r="A547" s="112"/>
      <c r="B547" s="112"/>
      <c r="C547" s="112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 ht="15.75" customHeight="1">
      <c r="A548" s="112"/>
      <c r="B548" s="112"/>
      <c r="C548" s="112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 ht="15.75" customHeight="1">
      <c r="A549" s="112"/>
      <c r="B549" s="112"/>
      <c r="C549" s="112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 ht="15.75" customHeight="1">
      <c r="A550" s="112"/>
      <c r="B550" s="112"/>
      <c r="C550" s="112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 ht="15.75" customHeight="1">
      <c r="A551" s="112"/>
      <c r="B551" s="112"/>
      <c r="C551" s="112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 ht="15.75" customHeight="1">
      <c r="A552" s="112"/>
      <c r="B552" s="112"/>
      <c r="C552" s="112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 ht="15.75" customHeight="1">
      <c r="A553" s="112"/>
      <c r="B553" s="112"/>
      <c r="C553" s="112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 ht="15.75" customHeight="1">
      <c r="A554" s="112"/>
      <c r="B554" s="112"/>
      <c r="C554" s="112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 ht="15.75" customHeight="1">
      <c r="A555" s="112"/>
      <c r="B555" s="112"/>
      <c r="C555" s="112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 ht="15.75" customHeight="1">
      <c r="A556" s="112"/>
      <c r="B556" s="112"/>
      <c r="C556" s="112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 ht="15.75" customHeight="1">
      <c r="A557" s="112"/>
      <c r="B557" s="112"/>
      <c r="C557" s="112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 ht="15.75" customHeight="1">
      <c r="A558" s="112"/>
      <c r="B558" s="112"/>
      <c r="C558" s="112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 ht="15.75" customHeight="1">
      <c r="A559" s="112"/>
      <c r="B559" s="112"/>
      <c r="C559" s="112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 ht="15.75" customHeight="1">
      <c r="A560" s="112"/>
      <c r="B560" s="112"/>
      <c r="C560" s="112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 ht="15.75" customHeight="1">
      <c r="A561" s="112"/>
      <c r="B561" s="112"/>
      <c r="C561" s="112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 ht="15.75" customHeight="1">
      <c r="A562" s="112"/>
      <c r="B562" s="112"/>
      <c r="C562" s="112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 ht="15.75" customHeight="1">
      <c r="A563" s="112"/>
      <c r="B563" s="112"/>
      <c r="C563" s="112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 ht="15.75" customHeight="1">
      <c r="A564" s="112"/>
      <c r="B564" s="112"/>
      <c r="C564" s="112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 ht="15.75" customHeight="1">
      <c r="A565" s="112"/>
      <c r="B565" s="112"/>
      <c r="C565" s="112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 ht="15.75" customHeight="1">
      <c r="A566" s="112"/>
      <c r="B566" s="112"/>
      <c r="C566" s="112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 ht="15.75" customHeight="1">
      <c r="A567" s="112"/>
      <c r="B567" s="112"/>
      <c r="C567" s="112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 ht="15.75" customHeight="1">
      <c r="A568" s="112"/>
      <c r="B568" s="112"/>
      <c r="C568" s="112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 ht="15.75" customHeight="1">
      <c r="A569" s="112"/>
      <c r="B569" s="112"/>
      <c r="C569" s="112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 ht="15.75" customHeight="1">
      <c r="A570" s="112"/>
      <c r="B570" s="112"/>
      <c r="C570" s="112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 ht="15.75" customHeight="1">
      <c r="A571" s="112"/>
      <c r="B571" s="112"/>
      <c r="C571" s="112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 ht="15.75" customHeight="1">
      <c r="A572" s="112"/>
      <c r="B572" s="112"/>
      <c r="C572" s="112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 ht="15.75" customHeight="1">
      <c r="A573" s="112"/>
      <c r="B573" s="112"/>
      <c r="C573" s="112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 ht="15.75" customHeight="1">
      <c r="A574" s="112"/>
      <c r="B574" s="112"/>
      <c r="C574" s="112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 ht="15.75" customHeight="1">
      <c r="A575" s="112"/>
      <c r="B575" s="112"/>
      <c r="C575" s="112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 ht="15.75" customHeight="1">
      <c r="A576" s="112"/>
      <c r="B576" s="112"/>
      <c r="C576" s="112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 ht="15.75" customHeight="1">
      <c r="A577" s="112"/>
      <c r="B577" s="112"/>
      <c r="C577" s="112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 ht="15.75" customHeight="1">
      <c r="A578" s="112"/>
      <c r="B578" s="112"/>
      <c r="C578" s="112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 ht="15.75" customHeight="1">
      <c r="A579" s="112"/>
      <c r="B579" s="112"/>
      <c r="C579" s="112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 ht="15.75" customHeight="1">
      <c r="A580" s="112"/>
      <c r="B580" s="112"/>
      <c r="C580" s="112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 ht="15.75" customHeight="1">
      <c r="A581" s="112"/>
      <c r="B581" s="112"/>
      <c r="C581" s="112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 ht="15.75" customHeight="1">
      <c r="A582" s="112"/>
      <c r="B582" s="112"/>
      <c r="C582" s="112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 ht="15.75" customHeight="1">
      <c r="A583" s="112"/>
      <c r="B583" s="112"/>
      <c r="C583" s="112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 ht="15.75" customHeight="1">
      <c r="A584" s="112"/>
      <c r="B584" s="112"/>
      <c r="C584" s="112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 ht="15.75" customHeight="1">
      <c r="A585" s="112"/>
      <c r="B585" s="112"/>
      <c r="C585" s="112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 ht="15.75" customHeight="1">
      <c r="A586" s="112"/>
      <c r="B586" s="112"/>
      <c r="C586" s="112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 ht="15.75" customHeight="1">
      <c r="A587" s="112"/>
      <c r="B587" s="112"/>
      <c r="C587" s="112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 ht="15.75" customHeight="1">
      <c r="A588" s="112"/>
      <c r="B588" s="112"/>
      <c r="C588" s="112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 ht="15.75" customHeight="1">
      <c r="A589" s="112"/>
      <c r="B589" s="112"/>
      <c r="C589" s="112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 ht="15.75" customHeight="1">
      <c r="A590" s="112"/>
      <c r="B590" s="112"/>
      <c r="C590" s="112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 ht="15.75" customHeight="1">
      <c r="A591" s="112"/>
      <c r="B591" s="112"/>
      <c r="C591" s="112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 ht="15.75" customHeight="1">
      <c r="A592" s="112"/>
      <c r="B592" s="112"/>
      <c r="C592" s="112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 ht="15.75" customHeight="1">
      <c r="A593" s="112"/>
      <c r="B593" s="112"/>
      <c r="C593" s="112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 ht="15.75" customHeight="1">
      <c r="A594" s="112"/>
      <c r="B594" s="112"/>
      <c r="C594" s="112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 ht="15.75" customHeight="1">
      <c r="A595" s="112"/>
      <c r="B595" s="112"/>
      <c r="C595" s="112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 ht="15.75" customHeight="1">
      <c r="A596" s="112"/>
      <c r="B596" s="112"/>
      <c r="C596" s="112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 ht="15.75" customHeight="1">
      <c r="A597" s="112"/>
      <c r="B597" s="112"/>
      <c r="C597" s="112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 ht="15.75" customHeight="1">
      <c r="A598" s="112"/>
      <c r="B598" s="112"/>
      <c r="C598" s="112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 ht="15.75" customHeight="1">
      <c r="A599" s="112"/>
      <c r="B599" s="112"/>
      <c r="C599" s="112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 ht="15.75" customHeight="1">
      <c r="A600" s="112"/>
      <c r="B600" s="112"/>
      <c r="C600" s="112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 ht="15.75" customHeight="1">
      <c r="A601" s="112"/>
      <c r="B601" s="112"/>
      <c r="C601" s="112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 ht="15.75" customHeight="1">
      <c r="A602" s="112"/>
      <c r="B602" s="112"/>
      <c r="C602" s="112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 ht="15.75" customHeight="1">
      <c r="A603" s="112"/>
      <c r="B603" s="112"/>
      <c r="C603" s="112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 ht="15.75" customHeight="1">
      <c r="A604" s="112"/>
      <c r="B604" s="112"/>
      <c r="C604" s="112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 ht="15.75" customHeight="1">
      <c r="A605" s="112"/>
      <c r="B605" s="112"/>
      <c r="C605" s="112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 ht="15.75" customHeight="1">
      <c r="A606" s="112"/>
      <c r="B606" s="112"/>
      <c r="C606" s="112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 ht="15.75" customHeight="1">
      <c r="A607" s="112"/>
      <c r="B607" s="112"/>
      <c r="C607" s="112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 ht="15.75" customHeight="1">
      <c r="A608" s="112"/>
      <c r="B608" s="112"/>
      <c r="C608" s="112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 ht="15.75" customHeight="1">
      <c r="A609" s="112"/>
      <c r="B609" s="112"/>
      <c r="C609" s="112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 ht="15.75" customHeight="1">
      <c r="A610" s="112"/>
      <c r="B610" s="112"/>
      <c r="C610" s="112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 ht="15.75" customHeight="1">
      <c r="A611" s="112"/>
      <c r="B611" s="112"/>
      <c r="C611" s="112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 ht="15.75" customHeight="1">
      <c r="A612" s="112"/>
      <c r="B612" s="112"/>
      <c r="C612" s="112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 ht="15.75" customHeight="1">
      <c r="A613" s="112"/>
      <c r="B613" s="112"/>
      <c r="C613" s="112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 ht="15.75" customHeight="1">
      <c r="A614" s="112"/>
      <c r="B614" s="112"/>
      <c r="C614" s="112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 ht="15.75" customHeight="1">
      <c r="A615" s="112"/>
      <c r="B615" s="112"/>
      <c r="C615" s="112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 ht="15.75" customHeight="1">
      <c r="A616" s="112"/>
      <c r="B616" s="112"/>
      <c r="C616" s="112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 ht="15.75" customHeight="1">
      <c r="A617" s="112"/>
      <c r="B617" s="112"/>
      <c r="C617" s="112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 ht="15.75" customHeight="1">
      <c r="A618" s="112"/>
      <c r="B618" s="112"/>
      <c r="C618" s="112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 ht="15.75" customHeight="1">
      <c r="A619" s="112"/>
      <c r="B619" s="112"/>
      <c r="C619" s="112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 ht="15.75" customHeight="1">
      <c r="A620" s="112"/>
      <c r="B620" s="112"/>
      <c r="C620" s="112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 ht="15.75" customHeight="1">
      <c r="A621" s="112"/>
      <c r="B621" s="112"/>
      <c r="C621" s="112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 ht="15.75" customHeight="1">
      <c r="A622" s="112"/>
      <c r="B622" s="112"/>
      <c r="C622" s="112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 ht="15.75" customHeight="1">
      <c r="A623" s="112"/>
      <c r="B623" s="112"/>
      <c r="C623" s="112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 ht="15.75" customHeight="1">
      <c r="A624" s="112"/>
      <c r="B624" s="112"/>
      <c r="C624" s="112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 ht="15.75" customHeight="1">
      <c r="A625" s="112"/>
      <c r="B625" s="112"/>
      <c r="C625" s="112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 ht="15.75" customHeight="1">
      <c r="A626" s="112"/>
      <c r="B626" s="112"/>
      <c r="C626" s="112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 ht="15.75" customHeight="1">
      <c r="A627" s="112"/>
      <c r="B627" s="112"/>
      <c r="C627" s="112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 ht="15.75" customHeight="1">
      <c r="A628" s="112"/>
      <c r="B628" s="112"/>
      <c r="C628" s="112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 ht="15.75" customHeight="1">
      <c r="A629" s="112"/>
      <c r="B629" s="112"/>
      <c r="C629" s="112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 ht="15.75" customHeight="1">
      <c r="A630" s="112"/>
      <c r="B630" s="112"/>
      <c r="C630" s="112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 ht="15.75" customHeight="1">
      <c r="A631" s="112"/>
      <c r="B631" s="112"/>
      <c r="C631" s="112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 ht="15.75" customHeight="1">
      <c r="A632" s="112"/>
      <c r="B632" s="112"/>
      <c r="C632" s="112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 ht="15.75" customHeight="1">
      <c r="A633" s="112"/>
      <c r="B633" s="112"/>
      <c r="C633" s="112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 ht="15.75" customHeight="1">
      <c r="A634" s="112"/>
      <c r="B634" s="112"/>
      <c r="C634" s="112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 ht="15.75" customHeight="1">
      <c r="A635" s="112"/>
      <c r="B635" s="112"/>
      <c r="C635" s="112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 ht="15.75" customHeight="1">
      <c r="A636" s="112"/>
      <c r="B636" s="112"/>
      <c r="C636" s="112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 ht="15.75" customHeight="1">
      <c r="A637" s="112"/>
      <c r="B637" s="112"/>
      <c r="C637" s="112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 ht="15.75" customHeight="1">
      <c r="A638" s="112"/>
      <c r="B638" s="112"/>
      <c r="C638" s="112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 ht="15.75" customHeight="1">
      <c r="A639" s="112"/>
      <c r="B639" s="112"/>
      <c r="C639" s="112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 ht="15.75" customHeight="1">
      <c r="A640" s="112"/>
      <c r="B640" s="112"/>
      <c r="C640" s="112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 ht="15.75" customHeight="1">
      <c r="A641" s="112"/>
      <c r="B641" s="112"/>
      <c r="C641" s="112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 ht="15.75" customHeight="1">
      <c r="A642" s="112"/>
      <c r="B642" s="112"/>
      <c r="C642" s="112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 ht="15.75" customHeight="1">
      <c r="A643" s="112"/>
      <c r="B643" s="112"/>
      <c r="C643" s="112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 ht="15.75" customHeight="1">
      <c r="A644" s="112"/>
      <c r="B644" s="112"/>
      <c r="C644" s="112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 ht="15.75" customHeight="1">
      <c r="A645" s="112"/>
      <c r="B645" s="112"/>
      <c r="C645" s="112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 ht="15.75" customHeight="1">
      <c r="A646" s="112"/>
      <c r="B646" s="112"/>
      <c r="C646" s="112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 ht="15.75" customHeight="1">
      <c r="A647" s="112"/>
      <c r="B647" s="112"/>
      <c r="C647" s="112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 ht="15.75" customHeight="1">
      <c r="A648" s="112"/>
      <c r="B648" s="112"/>
      <c r="C648" s="112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 ht="15.75" customHeight="1">
      <c r="A649" s="112"/>
      <c r="B649" s="112"/>
      <c r="C649" s="112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 ht="15.75" customHeight="1">
      <c r="A650" s="112"/>
      <c r="B650" s="112"/>
      <c r="C650" s="112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 ht="15.75" customHeight="1">
      <c r="A651" s="112"/>
      <c r="B651" s="112"/>
      <c r="C651" s="112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 ht="15.75" customHeight="1">
      <c r="A652" s="112"/>
      <c r="B652" s="112"/>
      <c r="C652" s="112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 ht="15.75" customHeight="1">
      <c r="A653" s="112"/>
      <c r="B653" s="112"/>
      <c r="C653" s="112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 ht="15.75" customHeight="1">
      <c r="A654" s="112"/>
      <c r="B654" s="112"/>
      <c r="C654" s="112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 ht="15.75" customHeight="1">
      <c r="A655" s="112"/>
      <c r="B655" s="112"/>
      <c r="C655" s="112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 ht="15.75" customHeight="1">
      <c r="A656" s="112"/>
      <c r="B656" s="112"/>
      <c r="C656" s="112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 ht="15.75" customHeight="1">
      <c r="A657" s="112"/>
      <c r="B657" s="112"/>
      <c r="C657" s="112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 ht="15.75" customHeight="1">
      <c r="A658" s="112"/>
      <c r="B658" s="112"/>
      <c r="C658" s="112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 ht="15.75" customHeight="1">
      <c r="A659" s="112"/>
      <c r="B659" s="112"/>
      <c r="C659" s="112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 ht="15.75" customHeight="1">
      <c r="A660" s="112"/>
      <c r="B660" s="112"/>
      <c r="C660" s="112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 ht="15.75" customHeight="1">
      <c r="A661" s="112"/>
      <c r="B661" s="112"/>
      <c r="C661" s="112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 ht="15.75" customHeight="1">
      <c r="A662" s="112"/>
      <c r="B662" s="112"/>
      <c r="C662" s="112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 ht="15.75" customHeight="1">
      <c r="A663" s="112"/>
      <c r="B663" s="112"/>
      <c r="C663" s="112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 ht="15.75" customHeight="1">
      <c r="A664" s="112"/>
      <c r="B664" s="112"/>
      <c r="C664" s="112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 ht="15.75" customHeight="1">
      <c r="A665" s="112"/>
      <c r="B665" s="112"/>
      <c r="C665" s="112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 ht="15.75" customHeight="1">
      <c r="A666" s="112"/>
      <c r="B666" s="112"/>
      <c r="C666" s="112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 ht="15.75" customHeight="1">
      <c r="A667" s="112"/>
      <c r="B667" s="112"/>
      <c r="C667" s="112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 ht="15.75" customHeight="1">
      <c r="A668" s="112"/>
      <c r="B668" s="112"/>
      <c r="C668" s="112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 ht="15.75" customHeight="1">
      <c r="A669" s="112"/>
      <c r="B669" s="112"/>
      <c r="C669" s="112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 ht="15.75" customHeight="1">
      <c r="A670" s="112"/>
      <c r="B670" s="112"/>
      <c r="C670" s="112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 ht="15.75" customHeight="1">
      <c r="A671" s="112"/>
      <c r="B671" s="112"/>
      <c r="C671" s="112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 ht="15.75" customHeight="1">
      <c r="A672" s="112"/>
      <c r="B672" s="112"/>
      <c r="C672" s="112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 ht="15.75" customHeight="1">
      <c r="A673" s="112"/>
      <c r="B673" s="112"/>
      <c r="C673" s="112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 ht="15.75" customHeight="1">
      <c r="A674" s="112"/>
      <c r="B674" s="112"/>
      <c r="C674" s="112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 ht="15.75" customHeight="1">
      <c r="A675" s="112"/>
      <c r="B675" s="112"/>
      <c r="C675" s="112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 ht="15.75" customHeight="1">
      <c r="A676" s="112"/>
      <c r="B676" s="112"/>
      <c r="C676" s="112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 ht="15.75" customHeight="1">
      <c r="A677" s="112"/>
      <c r="B677" s="112"/>
      <c r="C677" s="112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 ht="15.75" customHeight="1">
      <c r="A678" s="112"/>
      <c r="B678" s="112"/>
      <c r="C678" s="112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 ht="15.75" customHeight="1">
      <c r="A679" s="112"/>
      <c r="B679" s="112"/>
      <c r="C679" s="112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 ht="15.75" customHeight="1">
      <c r="A680" s="112"/>
      <c r="B680" s="112"/>
      <c r="C680" s="112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 ht="15.75" customHeight="1">
      <c r="A681" s="112"/>
      <c r="B681" s="112"/>
      <c r="C681" s="112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 ht="15.75" customHeight="1">
      <c r="A682" s="112"/>
      <c r="B682" s="112"/>
      <c r="C682" s="112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 ht="15.75" customHeight="1">
      <c r="A683" s="112"/>
      <c r="B683" s="112"/>
      <c r="C683" s="112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 ht="15.75" customHeight="1">
      <c r="A684" s="112"/>
      <c r="B684" s="112"/>
      <c r="C684" s="112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 ht="15.75" customHeight="1">
      <c r="A685" s="112"/>
      <c r="B685" s="112"/>
      <c r="C685" s="112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 ht="15.75" customHeight="1">
      <c r="A686" s="112"/>
      <c r="B686" s="112"/>
      <c r="C686" s="112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 ht="15.75" customHeight="1">
      <c r="A687" s="112"/>
      <c r="B687" s="112"/>
      <c r="C687" s="112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 ht="15.75" customHeight="1">
      <c r="A688" s="112"/>
      <c r="B688" s="112"/>
      <c r="C688" s="112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 ht="15.75" customHeight="1">
      <c r="A689" s="112"/>
      <c r="B689" s="112"/>
      <c r="C689" s="112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 ht="15.75" customHeight="1">
      <c r="A690" s="112"/>
      <c r="B690" s="112"/>
      <c r="C690" s="112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 ht="15.75" customHeight="1">
      <c r="A691" s="112"/>
      <c r="B691" s="112"/>
      <c r="C691" s="112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 ht="15.75" customHeight="1">
      <c r="A692" s="112"/>
      <c r="B692" s="112"/>
      <c r="C692" s="112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 ht="15.75" customHeight="1">
      <c r="A693" s="112"/>
      <c r="B693" s="112"/>
      <c r="C693" s="112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 ht="15.75" customHeight="1">
      <c r="A694" s="112"/>
      <c r="B694" s="112"/>
      <c r="C694" s="112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 ht="15.75" customHeight="1">
      <c r="A695" s="112"/>
      <c r="B695" s="112"/>
      <c r="C695" s="112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 ht="15.75" customHeight="1">
      <c r="A696" s="112"/>
      <c r="B696" s="112"/>
      <c r="C696" s="112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 ht="15.75" customHeight="1">
      <c r="A697" s="112"/>
      <c r="B697" s="112"/>
      <c r="C697" s="112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 ht="15.75" customHeight="1">
      <c r="A698" s="112"/>
      <c r="B698" s="112"/>
      <c r="C698" s="112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 ht="15.75" customHeight="1">
      <c r="A699" s="112"/>
      <c r="B699" s="112"/>
      <c r="C699" s="112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 ht="15.75" customHeight="1">
      <c r="A700" s="112"/>
      <c r="B700" s="112"/>
      <c r="C700" s="112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 ht="15.75" customHeight="1">
      <c r="A701" s="112"/>
      <c r="B701" s="112"/>
      <c r="C701" s="112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 ht="15.75" customHeight="1">
      <c r="A702" s="112"/>
      <c r="B702" s="112"/>
      <c r="C702" s="112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 ht="15.75" customHeight="1">
      <c r="A703" s="112"/>
      <c r="B703" s="112"/>
      <c r="C703" s="112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 ht="15.75" customHeight="1">
      <c r="A704" s="112"/>
      <c r="B704" s="112"/>
      <c r="C704" s="112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 ht="15.75" customHeight="1">
      <c r="A705" s="112"/>
      <c r="B705" s="112"/>
      <c r="C705" s="112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 ht="15.75" customHeight="1">
      <c r="A706" s="112"/>
      <c r="B706" s="112"/>
      <c r="C706" s="112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 ht="15.75" customHeight="1">
      <c r="A707" s="112"/>
      <c r="B707" s="112"/>
      <c r="C707" s="112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 ht="15.75" customHeight="1">
      <c r="A708" s="112"/>
      <c r="B708" s="112"/>
      <c r="C708" s="112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 ht="15.75" customHeight="1">
      <c r="A709" s="112"/>
      <c r="B709" s="112"/>
      <c r="C709" s="112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 ht="15.75" customHeight="1">
      <c r="A710" s="112"/>
      <c r="B710" s="112"/>
      <c r="C710" s="112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 ht="15.75" customHeight="1">
      <c r="A711" s="112"/>
      <c r="B711" s="112"/>
      <c r="C711" s="112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 ht="15.75" customHeight="1">
      <c r="A712" s="112"/>
      <c r="B712" s="112"/>
      <c r="C712" s="112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 ht="15.75" customHeight="1">
      <c r="A713" s="112"/>
      <c r="B713" s="112"/>
      <c r="C713" s="112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 ht="15.75" customHeight="1">
      <c r="A714" s="112"/>
      <c r="B714" s="112"/>
      <c r="C714" s="112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 ht="15.75" customHeight="1">
      <c r="A715" s="112"/>
      <c r="B715" s="112"/>
      <c r="C715" s="112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 ht="15.75" customHeight="1">
      <c r="A716" s="112"/>
      <c r="B716" s="112"/>
      <c r="C716" s="112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 ht="15.75" customHeight="1">
      <c r="A717" s="112"/>
      <c r="B717" s="112"/>
      <c r="C717" s="112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 ht="15.75" customHeight="1">
      <c r="A718" s="112"/>
      <c r="B718" s="112"/>
      <c r="C718" s="112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 ht="15.75" customHeight="1">
      <c r="A719" s="112"/>
      <c r="B719" s="112"/>
      <c r="C719" s="112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 ht="15.75" customHeight="1">
      <c r="A720" s="112"/>
      <c r="B720" s="112"/>
      <c r="C720" s="112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 ht="15.75" customHeight="1">
      <c r="A721" s="112"/>
      <c r="B721" s="112"/>
      <c r="C721" s="112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 ht="15.75" customHeight="1">
      <c r="A722" s="112"/>
      <c r="B722" s="112"/>
      <c r="C722" s="112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 ht="15.75" customHeight="1">
      <c r="A723" s="112"/>
      <c r="B723" s="112"/>
      <c r="C723" s="112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 ht="15.75" customHeight="1">
      <c r="A724" s="112"/>
      <c r="B724" s="112"/>
      <c r="C724" s="112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 ht="15.75" customHeight="1">
      <c r="A725" s="112"/>
      <c r="B725" s="112"/>
      <c r="C725" s="112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 ht="15.75" customHeight="1">
      <c r="A726" s="112"/>
      <c r="B726" s="112"/>
      <c r="C726" s="112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 ht="15.75" customHeight="1">
      <c r="A727" s="112"/>
      <c r="B727" s="112"/>
      <c r="C727" s="112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 ht="15.75" customHeight="1">
      <c r="A728" s="112"/>
      <c r="B728" s="112"/>
      <c r="C728" s="112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 ht="15.75" customHeight="1">
      <c r="A729" s="112"/>
      <c r="B729" s="112"/>
      <c r="C729" s="112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 ht="15.75" customHeight="1">
      <c r="A730" s="112"/>
      <c r="B730" s="112"/>
      <c r="C730" s="112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 ht="15.75" customHeight="1">
      <c r="A731" s="112"/>
      <c r="B731" s="112"/>
      <c r="C731" s="112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 ht="15.75" customHeight="1">
      <c r="A732" s="112"/>
      <c r="B732" s="112"/>
      <c r="C732" s="112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 ht="15.75" customHeight="1">
      <c r="A733" s="112"/>
      <c r="B733" s="112"/>
      <c r="C733" s="112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 ht="15.75" customHeight="1">
      <c r="A734" s="112"/>
      <c r="B734" s="112"/>
      <c r="C734" s="112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 ht="15.75" customHeight="1">
      <c r="A735" s="112"/>
      <c r="B735" s="112"/>
      <c r="C735" s="112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 ht="15.75" customHeight="1">
      <c r="A736" s="112"/>
      <c r="B736" s="112"/>
      <c r="C736" s="112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 ht="15.75" customHeight="1">
      <c r="A737" s="112"/>
      <c r="B737" s="112"/>
      <c r="C737" s="112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 ht="15.75" customHeight="1">
      <c r="A738" s="112"/>
      <c r="B738" s="112"/>
      <c r="C738" s="112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 ht="15.75" customHeight="1">
      <c r="A739" s="112"/>
      <c r="B739" s="112"/>
      <c r="C739" s="112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 ht="15.75" customHeight="1">
      <c r="A740" s="112"/>
      <c r="B740" s="112"/>
      <c r="C740" s="112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 ht="15.75" customHeight="1">
      <c r="A741" s="112"/>
      <c r="B741" s="112"/>
      <c r="C741" s="112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 ht="15.75" customHeight="1">
      <c r="A742" s="112"/>
      <c r="B742" s="112"/>
      <c r="C742" s="112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 ht="15.75" customHeight="1">
      <c r="A743" s="112"/>
      <c r="B743" s="112"/>
      <c r="C743" s="112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 ht="15.75" customHeight="1">
      <c r="A744" s="112"/>
      <c r="B744" s="112"/>
      <c r="C744" s="112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 ht="15.75" customHeight="1">
      <c r="A745" s="112"/>
      <c r="B745" s="112"/>
      <c r="C745" s="112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 ht="15.75" customHeight="1">
      <c r="A746" s="112"/>
      <c r="B746" s="112"/>
      <c r="C746" s="112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 ht="15.75" customHeight="1">
      <c r="A747" s="112"/>
      <c r="B747" s="112"/>
      <c r="C747" s="112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 ht="15.75" customHeight="1">
      <c r="A748" s="112"/>
      <c r="B748" s="112"/>
      <c r="C748" s="112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 ht="15.75" customHeight="1">
      <c r="A749" s="112"/>
      <c r="B749" s="112"/>
      <c r="C749" s="112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 ht="15.75" customHeight="1">
      <c r="A750" s="112"/>
      <c r="B750" s="112"/>
      <c r="C750" s="112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 ht="15.75" customHeight="1">
      <c r="A751" s="112"/>
      <c r="B751" s="112"/>
      <c r="C751" s="112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 ht="15.75" customHeight="1">
      <c r="A752" s="112"/>
      <c r="B752" s="112"/>
      <c r="C752" s="112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 ht="15.75" customHeight="1">
      <c r="A753" s="112"/>
      <c r="B753" s="112"/>
      <c r="C753" s="112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 ht="15.75" customHeight="1">
      <c r="A754" s="112"/>
      <c r="B754" s="112"/>
      <c r="C754" s="112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 ht="15.75" customHeight="1">
      <c r="A755" s="112"/>
      <c r="B755" s="112"/>
      <c r="C755" s="112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 ht="15.75" customHeight="1">
      <c r="A756" s="112"/>
      <c r="B756" s="112"/>
      <c r="C756" s="112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 ht="15.75" customHeight="1">
      <c r="A757" s="112"/>
      <c r="B757" s="112"/>
      <c r="C757" s="112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 ht="15.75" customHeight="1">
      <c r="A758" s="112"/>
      <c r="B758" s="112"/>
      <c r="C758" s="112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 ht="15.75" customHeight="1">
      <c r="A759" s="112"/>
      <c r="B759" s="112"/>
      <c r="C759" s="112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 ht="15.75" customHeight="1">
      <c r="A760" s="112"/>
      <c r="B760" s="112"/>
      <c r="C760" s="112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 ht="15.75" customHeight="1">
      <c r="A761" s="112"/>
      <c r="B761" s="112"/>
      <c r="C761" s="112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 ht="15.75" customHeight="1">
      <c r="A762" s="112"/>
      <c r="B762" s="112"/>
      <c r="C762" s="112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 ht="15.75" customHeight="1">
      <c r="A763" s="112"/>
      <c r="B763" s="112"/>
      <c r="C763" s="112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 ht="15.75" customHeight="1">
      <c r="A764" s="112"/>
      <c r="B764" s="112"/>
      <c r="C764" s="112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 ht="15.75" customHeight="1">
      <c r="A765" s="112"/>
      <c r="B765" s="112"/>
      <c r="C765" s="112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 ht="15.75" customHeight="1">
      <c r="A766" s="112"/>
      <c r="B766" s="112"/>
      <c r="C766" s="112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 ht="15.75" customHeight="1">
      <c r="A767" s="112"/>
      <c r="B767" s="112"/>
      <c r="C767" s="112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 ht="15.75" customHeight="1">
      <c r="A768" s="112"/>
      <c r="B768" s="112"/>
      <c r="C768" s="112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 ht="15.75" customHeight="1">
      <c r="A769" s="112"/>
      <c r="B769" s="112"/>
      <c r="C769" s="112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 ht="15.75" customHeight="1">
      <c r="A770" s="112"/>
      <c r="B770" s="112"/>
      <c r="C770" s="112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 ht="15.75" customHeight="1">
      <c r="A771" s="112"/>
      <c r="B771" s="112"/>
      <c r="C771" s="112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 ht="15.75" customHeight="1">
      <c r="A772" s="112"/>
      <c r="B772" s="112"/>
      <c r="C772" s="112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 ht="15.75" customHeight="1">
      <c r="A773" s="112"/>
      <c r="B773" s="112"/>
      <c r="C773" s="112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 ht="15.75" customHeight="1">
      <c r="A774" s="112"/>
      <c r="B774" s="112"/>
      <c r="C774" s="112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 ht="15.75" customHeight="1">
      <c r="A775" s="112"/>
      <c r="B775" s="112"/>
      <c r="C775" s="112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 ht="15.75" customHeight="1">
      <c r="A776" s="112"/>
      <c r="B776" s="112"/>
      <c r="C776" s="112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 ht="15.75" customHeight="1">
      <c r="A777" s="112"/>
      <c r="B777" s="112"/>
      <c r="C777" s="112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 ht="15.75" customHeight="1">
      <c r="A778" s="112"/>
      <c r="B778" s="112"/>
      <c r="C778" s="112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 ht="15.75" customHeight="1">
      <c r="A779" s="112"/>
      <c r="B779" s="112"/>
      <c r="C779" s="112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 ht="15.75" customHeight="1">
      <c r="A780" s="112"/>
      <c r="B780" s="112"/>
      <c r="C780" s="112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 ht="15.75" customHeight="1">
      <c r="A781" s="112"/>
      <c r="B781" s="112"/>
      <c r="C781" s="112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 ht="15.75" customHeight="1">
      <c r="A782" s="112"/>
      <c r="B782" s="112"/>
      <c r="C782" s="112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 ht="15.75" customHeight="1">
      <c r="A783" s="112"/>
      <c r="B783" s="112"/>
      <c r="C783" s="112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 ht="15.75" customHeight="1">
      <c r="A784" s="112"/>
      <c r="B784" s="112"/>
      <c r="C784" s="112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 ht="15.75" customHeight="1">
      <c r="A785" s="112"/>
      <c r="B785" s="112"/>
      <c r="C785" s="112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 ht="15.75" customHeight="1">
      <c r="A786" s="112"/>
      <c r="B786" s="112"/>
      <c r="C786" s="112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 ht="15.75" customHeight="1">
      <c r="A787" s="112"/>
      <c r="B787" s="112"/>
      <c r="C787" s="112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 ht="15.75" customHeight="1">
      <c r="A788" s="112"/>
      <c r="B788" s="112"/>
      <c r="C788" s="112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 ht="15.75" customHeight="1">
      <c r="A789" s="112"/>
      <c r="B789" s="112"/>
      <c r="C789" s="112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 ht="15.75" customHeight="1">
      <c r="A790" s="112"/>
      <c r="B790" s="112"/>
      <c r="C790" s="112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 ht="15.75" customHeight="1">
      <c r="A791" s="112"/>
      <c r="B791" s="112"/>
      <c r="C791" s="112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 ht="15.75" customHeight="1">
      <c r="A792" s="112"/>
      <c r="B792" s="112"/>
      <c r="C792" s="112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 ht="15.75" customHeight="1">
      <c r="A793" s="112"/>
      <c r="B793" s="112"/>
      <c r="C793" s="112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 ht="15.75" customHeight="1">
      <c r="A794" s="112"/>
      <c r="B794" s="112"/>
      <c r="C794" s="112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 ht="15.75" customHeight="1">
      <c r="A795" s="112"/>
      <c r="B795" s="112"/>
      <c r="C795" s="112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 ht="15.75" customHeight="1">
      <c r="A796" s="112"/>
      <c r="B796" s="112"/>
      <c r="C796" s="112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 ht="15.75" customHeight="1">
      <c r="A797" s="112"/>
      <c r="B797" s="112"/>
      <c r="C797" s="112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 ht="15.75" customHeight="1">
      <c r="A798" s="112"/>
      <c r="B798" s="112"/>
      <c r="C798" s="112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 ht="15.75" customHeight="1">
      <c r="A799" s="112"/>
      <c r="B799" s="112"/>
      <c r="C799" s="112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 ht="15.75" customHeight="1">
      <c r="A800" s="112"/>
      <c r="B800" s="112"/>
      <c r="C800" s="112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 ht="15.75" customHeight="1">
      <c r="A801" s="112"/>
      <c r="B801" s="112"/>
      <c r="C801" s="112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 ht="15.75" customHeight="1">
      <c r="A802" s="112"/>
      <c r="B802" s="112"/>
      <c r="C802" s="112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 ht="15.75" customHeight="1">
      <c r="A803" s="112"/>
      <c r="B803" s="112"/>
      <c r="C803" s="112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 ht="15.75" customHeight="1">
      <c r="A804" s="112"/>
      <c r="B804" s="112"/>
      <c r="C804" s="112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 ht="15.75" customHeight="1">
      <c r="A805" s="112"/>
      <c r="B805" s="112"/>
      <c r="C805" s="112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 ht="15.75" customHeight="1">
      <c r="A806" s="112"/>
      <c r="B806" s="112"/>
      <c r="C806" s="112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 ht="15.75" customHeight="1">
      <c r="A807" s="112"/>
      <c r="B807" s="112"/>
      <c r="C807" s="112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 ht="15.75" customHeight="1">
      <c r="A808" s="112"/>
      <c r="B808" s="112"/>
      <c r="C808" s="112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 ht="15.75" customHeight="1">
      <c r="A809" s="112"/>
      <c r="B809" s="112"/>
      <c r="C809" s="112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 ht="15.75" customHeight="1">
      <c r="A810" s="112"/>
      <c r="B810" s="112"/>
      <c r="C810" s="112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 ht="15.75" customHeight="1">
      <c r="A811" s="112"/>
      <c r="B811" s="112"/>
      <c r="C811" s="112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 ht="15.75" customHeight="1">
      <c r="A812" s="112"/>
      <c r="B812" s="112"/>
      <c r="C812" s="112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 ht="15.75" customHeight="1">
      <c r="A813" s="112"/>
      <c r="B813" s="112"/>
      <c r="C813" s="112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 ht="15.75" customHeight="1">
      <c r="A814" s="112"/>
      <c r="B814" s="112"/>
      <c r="C814" s="112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 ht="15.75" customHeight="1">
      <c r="A815" s="112"/>
      <c r="B815" s="112"/>
      <c r="C815" s="112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 ht="15.75" customHeight="1">
      <c r="A816" s="112"/>
      <c r="B816" s="112"/>
      <c r="C816" s="112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 ht="15.75" customHeight="1">
      <c r="A817" s="112"/>
      <c r="B817" s="112"/>
      <c r="C817" s="112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 ht="15.75" customHeight="1">
      <c r="A818" s="112"/>
      <c r="B818" s="112"/>
      <c r="C818" s="112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 ht="15.75" customHeight="1">
      <c r="A819" s="112"/>
      <c r="B819" s="112"/>
      <c r="C819" s="112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 ht="15.75" customHeight="1">
      <c r="A820" s="112"/>
      <c r="B820" s="112"/>
      <c r="C820" s="112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 ht="15.75" customHeight="1">
      <c r="A821" s="112"/>
      <c r="B821" s="112"/>
      <c r="C821" s="112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 ht="15.75" customHeight="1">
      <c r="A822" s="112"/>
      <c r="B822" s="112"/>
      <c r="C822" s="112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 ht="15.75" customHeight="1">
      <c r="A823" s="112"/>
      <c r="B823" s="112"/>
      <c r="C823" s="112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 ht="15.75" customHeight="1">
      <c r="A824" s="112"/>
      <c r="B824" s="112"/>
      <c r="C824" s="112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 ht="15.75" customHeight="1">
      <c r="A825" s="112"/>
      <c r="B825" s="112"/>
      <c r="C825" s="112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 ht="15.75" customHeight="1">
      <c r="A826" s="112"/>
      <c r="B826" s="112"/>
      <c r="C826" s="112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 ht="15.75" customHeight="1">
      <c r="A827" s="112"/>
      <c r="B827" s="112"/>
      <c r="C827" s="112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 ht="15.75" customHeight="1">
      <c r="A828" s="112"/>
      <c r="B828" s="112"/>
      <c r="C828" s="112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 ht="15.75" customHeight="1">
      <c r="A829" s="112"/>
      <c r="B829" s="112"/>
      <c r="C829" s="112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 ht="15.75" customHeight="1">
      <c r="A830" s="112"/>
      <c r="B830" s="112"/>
      <c r="C830" s="112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 ht="15.75" customHeight="1">
      <c r="A831" s="112"/>
      <c r="B831" s="112"/>
      <c r="C831" s="112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 ht="15.75" customHeight="1">
      <c r="A832" s="112"/>
      <c r="B832" s="112"/>
      <c r="C832" s="112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 ht="15.75" customHeight="1">
      <c r="A833" s="112"/>
      <c r="B833" s="112"/>
      <c r="C833" s="112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 ht="15.75" customHeight="1">
      <c r="A834" s="112"/>
      <c r="B834" s="112"/>
      <c r="C834" s="112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 ht="15.75" customHeight="1">
      <c r="A835" s="112"/>
      <c r="B835" s="112"/>
      <c r="C835" s="112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 ht="15.75" customHeight="1">
      <c r="A836" s="112"/>
      <c r="B836" s="112"/>
      <c r="C836" s="112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 ht="15.75" customHeight="1">
      <c r="A837" s="112"/>
      <c r="B837" s="112"/>
      <c r="C837" s="112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 ht="15.75" customHeight="1">
      <c r="A838" s="112"/>
      <c r="B838" s="112"/>
      <c r="C838" s="112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 ht="15.75" customHeight="1">
      <c r="A839" s="112"/>
      <c r="B839" s="112"/>
      <c r="C839" s="112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 ht="15.75" customHeight="1">
      <c r="A840" s="112"/>
      <c r="B840" s="112"/>
      <c r="C840" s="112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 ht="15.75" customHeight="1">
      <c r="A841" s="112"/>
      <c r="B841" s="112"/>
      <c r="C841" s="112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 ht="15.75" customHeight="1">
      <c r="A842" s="112"/>
      <c r="B842" s="112"/>
      <c r="C842" s="112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 ht="15.75" customHeight="1">
      <c r="A843" s="112"/>
      <c r="B843" s="112"/>
      <c r="C843" s="112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 ht="15.75" customHeight="1">
      <c r="A844" s="112"/>
      <c r="B844" s="112"/>
      <c r="C844" s="112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 ht="15.75" customHeight="1">
      <c r="A845" s="112"/>
      <c r="B845" s="112"/>
      <c r="C845" s="112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 ht="15.75" customHeight="1">
      <c r="A846" s="112"/>
      <c r="B846" s="112"/>
      <c r="C846" s="112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 ht="15.75" customHeight="1">
      <c r="A847" s="112"/>
      <c r="B847" s="112"/>
      <c r="C847" s="112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 ht="15.75" customHeight="1">
      <c r="A848" s="112"/>
      <c r="B848" s="112"/>
      <c r="C848" s="112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 ht="15.75" customHeight="1">
      <c r="A849" s="112"/>
      <c r="B849" s="112"/>
      <c r="C849" s="112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 ht="15.75" customHeight="1">
      <c r="A850" s="112"/>
      <c r="B850" s="112"/>
      <c r="C850" s="112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 ht="15.75" customHeight="1">
      <c r="A851" s="112"/>
      <c r="B851" s="112"/>
      <c r="C851" s="112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 ht="15.75" customHeight="1">
      <c r="A852" s="112"/>
      <c r="B852" s="112"/>
      <c r="C852" s="112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 ht="15.75" customHeight="1">
      <c r="A853" s="112"/>
      <c r="B853" s="112"/>
      <c r="C853" s="112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 ht="15.75" customHeight="1">
      <c r="A854" s="112"/>
      <c r="B854" s="112"/>
      <c r="C854" s="112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 ht="15.75" customHeight="1">
      <c r="A855" s="112"/>
      <c r="B855" s="112"/>
      <c r="C855" s="112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 ht="15.75" customHeight="1">
      <c r="A856" s="112"/>
      <c r="B856" s="112"/>
      <c r="C856" s="112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 ht="15.75" customHeight="1">
      <c r="A857" s="112"/>
      <c r="B857" s="112"/>
      <c r="C857" s="112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 ht="15.75" customHeight="1">
      <c r="A858" s="112"/>
      <c r="B858" s="112"/>
      <c r="C858" s="112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 ht="15.75" customHeight="1">
      <c r="A859" s="112"/>
      <c r="B859" s="112"/>
      <c r="C859" s="112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 ht="15.75" customHeight="1">
      <c r="A860" s="112"/>
      <c r="B860" s="112"/>
      <c r="C860" s="112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 ht="15.75" customHeight="1">
      <c r="A861" s="112"/>
      <c r="B861" s="112"/>
      <c r="C861" s="112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 ht="15.75" customHeight="1">
      <c r="A862" s="112"/>
      <c r="B862" s="112"/>
      <c r="C862" s="112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 ht="15.75" customHeight="1">
      <c r="A863" s="112"/>
      <c r="B863" s="112"/>
      <c r="C863" s="112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 ht="15.75" customHeight="1">
      <c r="A864" s="112"/>
      <c r="B864" s="112"/>
      <c r="C864" s="112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 ht="15.75" customHeight="1">
      <c r="A865" s="112"/>
      <c r="B865" s="112"/>
      <c r="C865" s="112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 ht="15.75" customHeight="1">
      <c r="A866" s="112"/>
      <c r="B866" s="112"/>
      <c r="C866" s="112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 ht="15.75" customHeight="1">
      <c r="A867" s="112"/>
      <c r="B867" s="112"/>
      <c r="C867" s="112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 ht="15.75" customHeight="1">
      <c r="A868" s="112"/>
      <c r="B868" s="112"/>
      <c r="C868" s="112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 ht="15.75" customHeight="1">
      <c r="A869" s="112"/>
      <c r="B869" s="112"/>
      <c r="C869" s="112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 ht="15.75" customHeight="1">
      <c r="A870" s="112"/>
      <c r="B870" s="112"/>
      <c r="C870" s="112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 ht="15.75" customHeight="1">
      <c r="A871" s="112"/>
      <c r="B871" s="112"/>
      <c r="C871" s="112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 ht="15.75" customHeight="1">
      <c r="A872" s="112"/>
      <c r="B872" s="112"/>
      <c r="C872" s="112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 ht="15.75" customHeight="1">
      <c r="A873" s="112"/>
      <c r="B873" s="112"/>
      <c r="C873" s="112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 ht="15.75" customHeight="1">
      <c r="A874" s="112"/>
      <c r="B874" s="112"/>
      <c r="C874" s="112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 ht="15.75" customHeight="1">
      <c r="A875" s="112"/>
      <c r="B875" s="112"/>
      <c r="C875" s="112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 ht="15.75" customHeight="1">
      <c r="A876" s="112"/>
      <c r="B876" s="112"/>
      <c r="C876" s="112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 ht="15.75" customHeight="1">
      <c r="A877" s="112"/>
      <c r="B877" s="112"/>
      <c r="C877" s="112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 ht="15.75" customHeight="1">
      <c r="A878" s="112"/>
      <c r="B878" s="112"/>
      <c r="C878" s="112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 ht="15.75" customHeight="1">
      <c r="A879" s="112"/>
      <c r="B879" s="112"/>
      <c r="C879" s="112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 ht="15.75" customHeight="1">
      <c r="A880" s="112"/>
      <c r="B880" s="112"/>
      <c r="C880" s="112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 ht="15.75" customHeight="1">
      <c r="A881" s="112"/>
      <c r="B881" s="112"/>
      <c r="C881" s="112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 ht="15.75" customHeight="1">
      <c r="A882" s="112"/>
      <c r="B882" s="112"/>
      <c r="C882" s="112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 ht="15.75" customHeight="1">
      <c r="A883" s="112"/>
      <c r="B883" s="112"/>
      <c r="C883" s="112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 ht="15.75" customHeight="1">
      <c r="A884" s="112"/>
      <c r="B884" s="112"/>
      <c r="C884" s="112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 ht="15.75" customHeight="1">
      <c r="A885" s="112"/>
      <c r="B885" s="112"/>
      <c r="C885" s="112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 ht="15.75" customHeight="1">
      <c r="A886" s="112"/>
      <c r="B886" s="112"/>
      <c r="C886" s="112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 ht="15.75" customHeight="1">
      <c r="A887" s="112"/>
      <c r="B887" s="112"/>
      <c r="C887" s="112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 ht="15.75" customHeight="1">
      <c r="A888" s="112"/>
      <c r="B888" s="112"/>
      <c r="C888" s="112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 ht="15.75" customHeight="1">
      <c r="A889" s="112"/>
      <c r="B889" s="112"/>
      <c r="C889" s="112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 ht="15.75" customHeight="1">
      <c r="A890" s="112"/>
      <c r="B890" s="112"/>
      <c r="C890" s="112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 ht="15.75" customHeight="1">
      <c r="A891" s="112"/>
      <c r="B891" s="112"/>
      <c r="C891" s="112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 ht="15.75" customHeight="1">
      <c r="A892" s="112"/>
      <c r="B892" s="112"/>
      <c r="C892" s="112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 ht="15.75" customHeight="1">
      <c r="A893" s="112"/>
      <c r="B893" s="112"/>
      <c r="C893" s="112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 ht="15.75" customHeight="1">
      <c r="A894" s="112"/>
      <c r="B894" s="112"/>
      <c r="C894" s="112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 ht="15.75" customHeight="1">
      <c r="A895" s="112"/>
      <c r="B895" s="112"/>
      <c r="C895" s="112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 ht="15.75" customHeight="1">
      <c r="A896" s="112"/>
      <c r="B896" s="112"/>
      <c r="C896" s="112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 ht="15.75" customHeight="1">
      <c r="A897" s="112"/>
      <c r="B897" s="112"/>
      <c r="C897" s="112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 ht="15.75" customHeight="1">
      <c r="A898" s="112"/>
      <c r="B898" s="112"/>
      <c r="C898" s="112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 ht="15.75" customHeight="1">
      <c r="A899" s="112"/>
      <c r="B899" s="112"/>
      <c r="C899" s="112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 ht="15.75" customHeight="1">
      <c r="A900" s="112"/>
      <c r="B900" s="112"/>
      <c r="C900" s="112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 ht="15.75" customHeight="1">
      <c r="A901" s="112"/>
      <c r="B901" s="112"/>
      <c r="C901" s="112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 ht="15.75" customHeight="1">
      <c r="A902" s="112"/>
      <c r="B902" s="112"/>
      <c r="C902" s="112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 ht="15.75" customHeight="1">
      <c r="A903" s="112"/>
      <c r="B903" s="112"/>
      <c r="C903" s="112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 ht="15.75" customHeight="1">
      <c r="A904" s="112"/>
      <c r="B904" s="112"/>
      <c r="C904" s="112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 ht="15.75" customHeight="1">
      <c r="A905" s="112"/>
      <c r="B905" s="112"/>
      <c r="C905" s="112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 ht="15.75" customHeight="1">
      <c r="A906" s="112"/>
      <c r="B906" s="112"/>
      <c r="C906" s="112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 ht="15.75" customHeight="1">
      <c r="A907" s="112"/>
      <c r="B907" s="112"/>
      <c r="C907" s="112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 ht="15.75" customHeight="1">
      <c r="A908" s="112"/>
      <c r="B908" s="112"/>
      <c r="C908" s="112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 ht="15.75" customHeight="1">
      <c r="A909" s="112"/>
      <c r="B909" s="112"/>
      <c r="C909" s="112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 ht="15.75" customHeight="1">
      <c r="A910" s="112"/>
      <c r="B910" s="112"/>
      <c r="C910" s="112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 ht="15.75" customHeight="1">
      <c r="A911" s="112"/>
      <c r="B911" s="112"/>
      <c r="C911" s="112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 ht="15.75" customHeight="1">
      <c r="A912" s="112"/>
      <c r="B912" s="112"/>
      <c r="C912" s="112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 ht="15.75" customHeight="1">
      <c r="A913" s="112"/>
      <c r="B913" s="112"/>
      <c r="C913" s="112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 ht="15.75" customHeight="1">
      <c r="A914" s="112"/>
      <c r="B914" s="112"/>
      <c r="C914" s="112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 ht="15.75" customHeight="1">
      <c r="A915" s="112"/>
      <c r="B915" s="112"/>
      <c r="C915" s="112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 ht="15.75" customHeight="1">
      <c r="A916" s="112"/>
      <c r="B916" s="112"/>
      <c r="C916" s="112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 ht="15.75" customHeight="1">
      <c r="A917" s="112"/>
      <c r="B917" s="112"/>
      <c r="C917" s="112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 ht="15.75" customHeight="1">
      <c r="A918" s="112"/>
      <c r="B918" s="112"/>
      <c r="C918" s="112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 ht="15.75" customHeight="1">
      <c r="A919" s="112"/>
      <c r="B919" s="112"/>
      <c r="C919" s="112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 ht="15.75" customHeight="1">
      <c r="A920" s="112"/>
      <c r="B920" s="112"/>
      <c r="C920" s="112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 ht="15.75" customHeight="1">
      <c r="A921" s="112"/>
      <c r="B921" s="112"/>
      <c r="C921" s="112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 ht="15.75" customHeight="1">
      <c r="A922" s="112"/>
      <c r="B922" s="112"/>
      <c r="C922" s="112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 ht="15.75" customHeight="1">
      <c r="A923" s="112"/>
      <c r="B923" s="112"/>
      <c r="C923" s="112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 ht="15.75" customHeight="1">
      <c r="A924" s="112"/>
      <c r="B924" s="112"/>
      <c r="C924" s="112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 ht="15.75" customHeight="1">
      <c r="A925" s="112"/>
      <c r="B925" s="112"/>
      <c r="C925" s="112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 ht="15.75" customHeight="1">
      <c r="A926" s="112"/>
      <c r="B926" s="112"/>
      <c r="C926" s="112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 ht="15.75" customHeight="1">
      <c r="A927" s="112"/>
      <c r="B927" s="112"/>
      <c r="C927" s="112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 ht="15.75" customHeight="1">
      <c r="A928" s="112"/>
      <c r="B928" s="112"/>
      <c r="C928" s="112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 ht="15.75" customHeight="1">
      <c r="A929" s="112"/>
      <c r="B929" s="112"/>
      <c r="C929" s="112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 ht="15.75" customHeight="1">
      <c r="A930" s="112"/>
      <c r="B930" s="112"/>
      <c r="C930" s="112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 ht="15.75" customHeight="1">
      <c r="A931" s="112"/>
      <c r="B931" s="112"/>
      <c r="C931" s="112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 ht="15.75" customHeight="1">
      <c r="A932" s="112"/>
      <c r="B932" s="112"/>
      <c r="C932" s="112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 ht="15.75" customHeight="1">
      <c r="A933" s="112"/>
      <c r="B933" s="112"/>
      <c r="C933" s="112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 ht="15.75" customHeight="1">
      <c r="A934" s="112"/>
      <c r="B934" s="112"/>
      <c r="C934" s="112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 ht="15.75" customHeight="1">
      <c r="A935" s="112"/>
      <c r="B935" s="112"/>
      <c r="C935" s="112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 ht="15.75" customHeight="1">
      <c r="A936" s="112"/>
      <c r="B936" s="112"/>
      <c r="C936" s="112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 ht="15.75" customHeight="1">
      <c r="A937" s="112"/>
      <c r="B937" s="112"/>
      <c r="C937" s="112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 ht="15.75" customHeight="1">
      <c r="A938" s="112"/>
      <c r="B938" s="112"/>
      <c r="C938" s="112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 ht="15.75" customHeight="1">
      <c r="A939" s="112"/>
      <c r="B939" s="112"/>
      <c r="C939" s="112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 ht="15.75" customHeight="1">
      <c r="A940" s="112"/>
      <c r="B940" s="112"/>
      <c r="C940" s="112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 ht="15.75" customHeight="1">
      <c r="A941" s="112"/>
      <c r="B941" s="112"/>
      <c r="C941" s="112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 ht="15.75" customHeight="1">
      <c r="A942" s="112"/>
      <c r="B942" s="112"/>
      <c r="C942" s="112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 ht="15.75" customHeight="1">
      <c r="A943" s="112"/>
      <c r="B943" s="112"/>
      <c r="C943" s="112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 ht="15.75" customHeight="1">
      <c r="A944" s="112"/>
      <c r="B944" s="112"/>
      <c r="C944" s="112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 ht="15.75" customHeight="1">
      <c r="A945" s="112"/>
      <c r="B945" s="112"/>
      <c r="C945" s="112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 ht="15.75" customHeight="1">
      <c r="A946" s="112"/>
      <c r="B946" s="112"/>
      <c r="C946" s="112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 ht="15.75" customHeight="1">
      <c r="A947" s="112"/>
      <c r="B947" s="112"/>
      <c r="C947" s="112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 ht="15.75" customHeight="1">
      <c r="A948" s="112"/>
      <c r="B948" s="112"/>
      <c r="C948" s="112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 ht="15.75" customHeight="1">
      <c r="A949" s="112"/>
      <c r="B949" s="112"/>
      <c r="C949" s="112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 ht="15.75" customHeight="1">
      <c r="A950" s="112"/>
      <c r="B950" s="112"/>
      <c r="C950" s="112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 ht="15.75" customHeight="1">
      <c r="A951" s="112"/>
      <c r="B951" s="112"/>
      <c r="C951" s="112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 ht="15.75" customHeight="1">
      <c r="A952" s="112"/>
      <c r="B952" s="112"/>
      <c r="C952" s="112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 ht="15.75" customHeight="1">
      <c r="A953" s="112"/>
      <c r="B953" s="112"/>
      <c r="C953" s="112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 ht="15.75" customHeight="1">
      <c r="A954" s="112"/>
      <c r="B954" s="112"/>
      <c r="C954" s="112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 ht="15.75" customHeight="1">
      <c r="A955" s="112"/>
      <c r="B955" s="112"/>
      <c r="C955" s="112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 ht="15.75" customHeight="1">
      <c r="A956" s="112"/>
      <c r="B956" s="112"/>
      <c r="C956" s="112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 ht="15.75" customHeight="1">
      <c r="A957" s="134"/>
      <c r="B957" s="134"/>
      <c r="C957" s="134"/>
    </row>
    <row r="958" ht="15.75" customHeight="1">
      <c r="A958" s="134"/>
      <c r="B958" s="134"/>
      <c r="C958" s="134"/>
    </row>
    <row r="959" ht="15.75" customHeight="1">
      <c r="A959" s="134"/>
      <c r="B959" s="134"/>
      <c r="C959" s="134"/>
    </row>
    <row r="960" ht="15.75" customHeight="1">
      <c r="A960" s="134"/>
      <c r="B960" s="134"/>
      <c r="C960" s="134"/>
    </row>
    <row r="961" ht="15.75" customHeight="1">
      <c r="A961" s="134"/>
      <c r="B961" s="134"/>
      <c r="C961" s="134"/>
    </row>
    <row r="962" ht="15.75" customHeight="1">
      <c r="A962" s="134"/>
      <c r="B962" s="134"/>
      <c r="C962" s="134"/>
    </row>
    <row r="963" ht="15.75" customHeight="1">
      <c r="A963" s="134"/>
      <c r="B963" s="134"/>
      <c r="C963" s="134"/>
    </row>
    <row r="964" ht="15.75" customHeight="1">
      <c r="A964" s="134"/>
      <c r="B964" s="134"/>
      <c r="C964" s="134"/>
    </row>
    <row r="974" ht="15.75" customHeight="1">
      <c r="A974" s="134"/>
      <c r="B974" s="135"/>
      <c r="C974" s="134"/>
    </row>
    <row r="975" ht="15.75" customHeight="1">
      <c r="A975" s="134"/>
      <c r="B975" s="136"/>
      <c r="C975" s="134"/>
    </row>
    <row r="976" ht="15.75" customHeight="1">
      <c r="A976" s="134"/>
      <c r="B976" s="135"/>
      <c r="C976" s="134"/>
    </row>
    <row r="977" ht="15.75" customHeight="1">
      <c r="A977" s="134"/>
      <c r="B977" s="134"/>
      <c r="C977" s="134"/>
    </row>
    <row r="978" ht="15.75" customHeight="1">
      <c r="A978" s="134"/>
      <c r="B978" s="134"/>
      <c r="C978" s="134"/>
    </row>
    <row r="979" ht="15.75" customHeight="1">
      <c r="A979" s="134"/>
      <c r="B979" s="134"/>
      <c r="C979" s="134"/>
    </row>
    <row r="980" ht="15.75" customHeight="1">
      <c r="A980" s="134"/>
      <c r="B980" s="134"/>
      <c r="C980" s="134"/>
    </row>
    <row r="981" ht="15.75" customHeight="1">
      <c r="A981" s="134"/>
      <c r="B981" s="134"/>
      <c r="C981" s="134"/>
    </row>
    <row r="982" ht="15.75" customHeight="1">
      <c r="A982" s="134"/>
      <c r="B982" s="134"/>
      <c r="C982" s="134"/>
    </row>
    <row r="983" ht="15.75" customHeight="1">
      <c r="A983" s="134"/>
      <c r="B983" s="134"/>
      <c r="C983" s="134"/>
    </row>
    <row r="984" ht="15.75" customHeight="1">
      <c r="A984" s="134"/>
      <c r="B984" s="134"/>
      <c r="C984" s="134"/>
    </row>
    <row r="985" ht="15.75" customHeight="1">
      <c r="A985" s="134"/>
      <c r="B985" s="134"/>
      <c r="C985" s="134"/>
    </row>
    <row r="986" ht="15.75" customHeight="1">
      <c r="A986" s="134"/>
      <c r="B986" s="134"/>
      <c r="C986" s="134"/>
    </row>
    <row r="987" ht="15.75" customHeight="1">
      <c r="A987" s="134"/>
      <c r="B987" s="134"/>
      <c r="C987" s="134"/>
    </row>
    <row r="988" ht="15.75" customHeight="1">
      <c r="A988" s="134"/>
      <c r="B988" s="134"/>
      <c r="C988" s="134"/>
    </row>
    <row r="989" ht="15.75" customHeight="1">
      <c r="A989" s="134"/>
      <c r="B989" s="134"/>
      <c r="C989" s="134"/>
    </row>
    <row r="990" ht="15.75" customHeight="1">
      <c r="A990" s="134"/>
      <c r="B990" s="134"/>
      <c r="C990" s="134"/>
    </row>
    <row r="991" ht="15.75" customHeight="1">
      <c r="A991" s="134"/>
      <c r="B991" s="134"/>
      <c r="C991" s="134"/>
    </row>
    <row r="992" ht="15.75" customHeight="1">
      <c r="A992" s="134"/>
      <c r="B992" s="134"/>
      <c r="C992" s="134"/>
    </row>
    <row r="993" ht="15.75" customHeight="1">
      <c r="A993" s="134"/>
      <c r="B993" s="134"/>
      <c r="C993" s="134"/>
    </row>
    <row r="994" ht="15.75" customHeight="1">
      <c r="A994" s="134"/>
      <c r="B994" s="134"/>
      <c r="C994" s="134"/>
    </row>
    <row r="995" ht="15.75" customHeight="1">
      <c r="A995" s="134"/>
      <c r="B995" s="134"/>
      <c r="C995" s="134"/>
    </row>
    <row r="996" ht="15.75" customHeight="1">
      <c r="A996" s="134"/>
      <c r="B996" s="134"/>
      <c r="C996" s="134"/>
    </row>
    <row r="997" ht="15.75" customHeight="1">
      <c r="A997" s="134"/>
      <c r="B997" s="134"/>
      <c r="C997" s="134"/>
    </row>
    <row r="998" ht="15.75" customHeight="1">
      <c r="A998" s="134"/>
      <c r="B998" s="134"/>
      <c r="C998" s="134"/>
    </row>
    <row r="999" ht="15.75" customHeight="1">
      <c r="A999" s="134"/>
      <c r="B999" s="134"/>
      <c r="C999" s="134"/>
    </row>
    <row r="1000" ht="15.75" customHeight="1">
      <c r="A1000" s="134"/>
      <c r="B1000" s="134"/>
      <c r="C1000" s="134"/>
    </row>
    <row r="1001" ht="15.75" customHeight="1">
      <c r="A1001" s="134"/>
      <c r="B1001" s="134"/>
      <c r="C1001" s="134"/>
    </row>
    <row r="1002" ht="15.75" customHeight="1">
      <c r="A1002" s="134"/>
      <c r="B1002" s="134"/>
      <c r="C1002" s="134"/>
    </row>
    <row r="1003" ht="15.75" customHeight="1">
      <c r="A1003" s="134"/>
      <c r="B1003" s="134"/>
      <c r="C1003" s="134"/>
    </row>
    <row r="1004" ht="15.75" customHeight="1">
      <c r="A1004" s="134"/>
      <c r="B1004" s="134"/>
      <c r="C1004" s="134"/>
    </row>
    <row r="1005" ht="15.75" customHeight="1">
      <c r="A1005" s="134"/>
      <c r="B1005" s="134"/>
      <c r="C1005" s="134"/>
    </row>
    <row r="1006" ht="15.75" customHeight="1">
      <c r="A1006" s="134"/>
      <c r="B1006" s="134"/>
      <c r="C1006" s="134"/>
    </row>
    <row r="1007" ht="15.75" customHeight="1">
      <c r="A1007" s="134"/>
      <c r="B1007" s="134"/>
      <c r="C1007" s="134"/>
    </row>
    <row r="1008" ht="15.75" customHeight="1">
      <c r="A1008" s="134"/>
      <c r="B1008" s="134"/>
      <c r="C1008" s="134"/>
    </row>
    <row r="1009" ht="15.75" customHeight="1">
      <c r="A1009" s="134"/>
      <c r="B1009" s="134"/>
      <c r="C1009" s="134"/>
    </row>
    <row r="1010" ht="15.75" customHeight="1">
      <c r="A1010" s="134"/>
      <c r="B1010" s="134"/>
      <c r="C1010" s="134"/>
    </row>
    <row r="1011" ht="15.75" customHeight="1">
      <c r="A1011" s="134"/>
      <c r="B1011" s="134"/>
      <c r="C1011" s="134"/>
    </row>
    <row r="1012" ht="15.75" customHeight="1">
      <c r="A1012" s="134"/>
      <c r="B1012" s="134"/>
      <c r="C1012" s="134"/>
    </row>
    <row r="1013" ht="15.75" customHeight="1">
      <c r="A1013" s="134"/>
      <c r="B1013" s="134"/>
      <c r="C1013" s="134"/>
    </row>
    <row r="1014" ht="15.75" customHeight="1">
      <c r="A1014" s="134"/>
      <c r="B1014" s="134"/>
      <c r="C1014" s="134"/>
    </row>
    <row r="1015" ht="15.75" customHeight="1">
      <c r="A1015" s="134"/>
      <c r="B1015" s="134"/>
      <c r="C1015" s="134"/>
    </row>
    <row r="1016" ht="15.75" customHeight="1">
      <c r="A1016" s="134"/>
      <c r="B1016" s="134"/>
      <c r="C1016" s="134"/>
    </row>
    <row r="1017" ht="15.75" customHeight="1">
      <c r="A1017" s="134"/>
      <c r="B1017" s="134"/>
      <c r="C1017" s="134"/>
    </row>
    <row r="1018" ht="15.75" customHeight="1">
      <c r="A1018" s="134"/>
      <c r="B1018" s="134"/>
      <c r="C1018" s="134"/>
    </row>
    <row r="1019" ht="15.75" customHeight="1">
      <c r="A1019" s="134"/>
      <c r="B1019" s="134"/>
      <c r="C1019" s="134"/>
    </row>
    <row r="1020" ht="15.75" customHeight="1">
      <c r="A1020" s="134"/>
      <c r="B1020" s="134"/>
      <c r="C1020" s="134"/>
    </row>
    <row r="1021" ht="15.75" customHeight="1">
      <c r="A1021" s="134"/>
      <c r="B1021" s="134"/>
      <c r="C1021" s="134"/>
    </row>
    <row r="1022" ht="15.75" customHeight="1">
      <c r="A1022" s="134"/>
      <c r="B1022" s="134"/>
      <c r="C1022" s="134"/>
    </row>
    <row r="1023" ht="15.75" customHeight="1">
      <c r="A1023" s="134"/>
      <c r="B1023" s="134"/>
      <c r="C1023" s="134"/>
    </row>
    <row r="1024" ht="15.75" customHeight="1">
      <c r="A1024" s="134"/>
      <c r="B1024" s="134"/>
      <c r="C1024" s="134"/>
    </row>
    <row r="1025" ht="15.75" customHeight="1">
      <c r="A1025" s="134"/>
      <c r="B1025" s="134"/>
      <c r="C1025" s="134"/>
    </row>
    <row r="1026" ht="15.75" customHeight="1">
      <c r="A1026" s="134"/>
      <c r="B1026" s="134"/>
      <c r="C1026" s="134"/>
    </row>
    <row r="1027" ht="15.75" customHeight="1">
      <c r="A1027" s="134"/>
      <c r="B1027" s="134"/>
      <c r="C1027" s="134"/>
    </row>
    <row r="1028" ht="15.75" customHeight="1">
      <c r="A1028" s="134"/>
      <c r="B1028" s="134"/>
      <c r="C1028" s="134"/>
    </row>
    <row r="1029" ht="15.75" customHeight="1">
      <c r="A1029" s="134"/>
      <c r="B1029" s="134"/>
      <c r="C1029" s="134"/>
    </row>
    <row r="1030" ht="15.75" customHeight="1">
      <c r="A1030" s="134"/>
      <c r="B1030" s="134"/>
      <c r="C1030" s="134"/>
    </row>
    <row r="1031" ht="15.75" customHeight="1">
      <c r="A1031" s="134"/>
      <c r="B1031" s="134"/>
      <c r="C1031" s="134"/>
    </row>
    <row r="1032" ht="15.75" customHeight="1">
      <c r="A1032" s="134"/>
      <c r="B1032" s="134"/>
      <c r="C1032" s="134"/>
    </row>
    <row r="1033" ht="15.75" customHeight="1">
      <c r="A1033" s="134"/>
      <c r="B1033" s="134"/>
      <c r="C1033" s="134"/>
    </row>
    <row r="1034" ht="15.75" customHeight="1">
      <c r="A1034" s="134"/>
      <c r="B1034" s="134"/>
      <c r="C1034" s="134"/>
    </row>
    <row r="1035" ht="15.75" customHeight="1">
      <c r="A1035" s="134"/>
      <c r="B1035" s="134"/>
      <c r="C1035" s="134"/>
    </row>
    <row r="1036" ht="15.75" customHeight="1">
      <c r="A1036" s="134"/>
      <c r="B1036" s="134"/>
      <c r="C1036" s="134"/>
    </row>
    <row r="1037" ht="15.75" customHeight="1">
      <c r="A1037" s="134"/>
      <c r="B1037" s="134"/>
      <c r="C1037" s="134"/>
    </row>
    <row r="1038" ht="15.75" customHeight="1">
      <c r="A1038" s="134"/>
      <c r="B1038" s="134"/>
      <c r="C1038" s="134"/>
    </row>
    <row r="1039" ht="15.75" customHeight="1">
      <c r="A1039" s="134"/>
      <c r="B1039" s="134"/>
      <c r="C1039" s="134"/>
    </row>
    <row r="1040" ht="15.75" customHeight="1">
      <c r="A1040" s="134"/>
      <c r="B1040" s="134"/>
      <c r="C1040" s="134"/>
    </row>
    <row r="1041" ht="15.75" customHeight="1">
      <c r="A1041" s="134"/>
      <c r="B1041" s="134"/>
      <c r="C1041" s="134"/>
    </row>
    <row r="1042" ht="15.75" customHeight="1">
      <c r="A1042" s="134"/>
      <c r="B1042" s="134"/>
      <c r="C1042" s="134"/>
    </row>
    <row r="1043" ht="15.75" customHeight="1">
      <c r="A1043" s="134"/>
      <c r="B1043" s="134"/>
      <c r="C1043" s="134"/>
    </row>
    <row r="1044" ht="15.75" customHeight="1">
      <c r="A1044" s="134"/>
      <c r="B1044" s="134"/>
      <c r="C1044" s="134"/>
    </row>
    <row r="1045" ht="15.75" customHeight="1">
      <c r="A1045" s="134"/>
      <c r="B1045" s="134"/>
      <c r="C1045" s="134"/>
    </row>
    <row r="1046" ht="15.75" customHeight="1">
      <c r="A1046" s="134"/>
      <c r="B1046" s="134"/>
      <c r="C1046" s="134"/>
    </row>
    <row r="1047" ht="15.75" customHeight="1">
      <c r="A1047" s="134"/>
      <c r="B1047" s="134"/>
      <c r="C1047" s="134"/>
    </row>
    <row r="1048" ht="15.75" customHeight="1">
      <c r="A1048" s="134"/>
      <c r="B1048" s="134"/>
      <c r="C1048" s="134"/>
    </row>
    <row r="1049" ht="15.75" customHeight="1">
      <c r="A1049" s="134"/>
      <c r="B1049" s="134"/>
      <c r="C1049" s="134"/>
    </row>
    <row r="1050" ht="15.75" customHeight="1">
      <c r="A1050" s="134"/>
      <c r="B1050" s="134"/>
      <c r="C1050" s="134"/>
    </row>
    <row r="1051" ht="15.75" customHeight="1">
      <c r="A1051" s="134"/>
      <c r="B1051" s="134"/>
      <c r="C1051" s="134"/>
    </row>
    <row r="1052" ht="15.75" customHeight="1">
      <c r="A1052" s="134"/>
      <c r="B1052" s="134"/>
      <c r="C1052" s="134"/>
    </row>
    <row r="1053" ht="15.75" customHeight="1">
      <c r="A1053" s="134"/>
      <c r="B1053" s="134"/>
      <c r="C1053" s="134"/>
    </row>
    <row r="1054" ht="15.75" customHeight="1">
      <c r="A1054" s="134"/>
      <c r="B1054" s="134"/>
      <c r="C1054" s="134"/>
    </row>
    <row r="1055" ht="15.75" customHeight="1">
      <c r="A1055" s="134"/>
      <c r="B1055" s="134"/>
      <c r="C1055" s="134"/>
    </row>
    <row r="1056" ht="15.75" customHeight="1">
      <c r="A1056" s="134"/>
      <c r="B1056" s="134"/>
      <c r="C1056" s="134"/>
    </row>
    <row r="1057" ht="15.75" customHeight="1">
      <c r="A1057" s="134"/>
      <c r="B1057" s="134"/>
      <c r="C1057" s="134"/>
    </row>
    <row r="1058" ht="15.75" customHeight="1">
      <c r="A1058" s="134"/>
      <c r="B1058" s="134"/>
      <c r="C1058" s="134"/>
    </row>
    <row r="1059" ht="15.75" customHeight="1">
      <c r="A1059" s="134"/>
      <c r="B1059" s="134"/>
      <c r="C1059" s="134"/>
    </row>
    <row r="1060" ht="15.75" customHeight="1">
      <c r="A1060" s="134"/>
      <c r="B1060" s="134"/>
      <c r="C1060" s="134"/>
    </row>
    <row r="1061" ht="15.75" customHeight="1">
      <c r="A1061" s="134"/>
      <c r="B1061" s="134"/>
      <c r="C1061" s="134"/>
    </row>
    <row r="1062" ht="15.75" customHeight="1">
      <c r="A1062" s="134"/>
      <c r="B1062" s="134"/>
      <c r="C1062" s="134"/>
    </row>
    <row r="1063" ht="15.75" customHeight="1">
      <c r="A1063" s="134"/>
      <c r="B1063" s="134"/>
      <c r="C1063" s="134"/>
    </row>
    <row r="1064" ht="15.75" customHeight="1">
      <c r="A1064" s="134"/>
      <c r="B1064" s="134"/>
      <c r="C1064" s="134"/>
    </row>
    <row r="1065" ht="15.75" customHeight="1">
      <c r="A1065" s="134"/>
      <c r="B1065" s="134"/>
      <c r="C1065" s="134"/>
    </row>
    <row r="1066" ht="15.75" customHeight="1">
      <c r="A1066" s="134"/>
      <c r="B1066" s="134"/>
      <c r="C1066" s="134"/>
    </row>
    <row r="1067" ht="15.75" customHeight="1">
      <c r="A1067" s="134"/>
      <c r="B1067" s="134"/>
      <c r="C1067" s="134"/>
    </row>
    <row r="1068" ht="15.75" customHeight="1">
      <c r="A1068" s="134"/>
      <c r="B1068" s="134"/>
      <c r="C1068" s="134"/>
    </row>
    <row r="1069" ht="15.75" customHeight="1">
      <c r="A1069" s="134"/>
      <c r="B1069" s="134"/>
      <c r="C1069" s="134"/>
    </row>
    <row r="1070" ht="15.75" customHeight="1">
      <c r="A1070" s="134"/>
      <c r="B1070" s="134"/>
      <c r="C1070" s="134"/>
    </row>
    <row r="1071" ht="15.75" customHeight="1">
      <c r="A1071" s="134"/>
      <c r="B1071" s="134"/>
      <c r="C1071" s="134"/>
    </row>
    <row r="1072" ht="15.75" customHeight="1">
      <c r="A1072" s="134"/>
      <c r="B1072" s="134"/>
      <c r="C1072" s="134"/>
    </row>
    <row r="1073" ht="15.75" customHeight="1">
      <c r="A1073" s="134"/>
      <c r="B1073" s="134"/>
      <c r="C1073" s="134"/>
    </row>
    <row r="1074" ht="15.75" customHeight="1">
      <c r="A1074" s="134"/>
      <c r="B1074" s="134"/>
      <c r="C1074" s="134"/>
    </row>
    <row r="1075" ht="15.75" customHeight="1">
      <c r="A1075" s="134"/>
      <c r="B1075" s="134"/>
      <c r="C1075" s="134"/>
    </row>
    <row r="1076" ht="15.75" customHeight="1">
      <c r="A1076" s="134"/>
      <c r="B1076" s="134"/>
      <c r="C1076" s="134"/>
    </row>
    <row r="1077" ht="15.75" customHeight="1">
      <c r="A1077" s="134"/>
      <c r="B1077" s="134"/>
      <c r="C1077" s="134"/>
    </row>
    <row r="1078" ht="15.75" customHeight="1">
      <c r="A1078" s="134"/>
      <c r="B1078" s="134"/>
      <c r="C1078" s="134"/>
    </row>
    <row r="1079" ht="15.75" customHeight="1">
      <c r="A1079" s="134"/>
      <c r="B1079" s="134"/>
      <c r="C1079" s="134"/>
    </row>
    <row r="1080" ht="15.75" customHeight="1">
      <c r="A1080" s="134"/>
      <c r="B1080" s="134"/>
      <c r="C1080" s="134"/>
    </row>
    <row r="1081" ht="15.75" customHeight="1">
      <c r="A1081" s="134"/>
      <c r="B1081" s="134"/>
      <c r="C1081" s="134"/>
    </row>
    <row r="1082" ht="15.75" customHeight="1">
      <c r="A1082" s="134"/>
      <c r="B1082" s="134"/>
      <c r="C1082" s="134"/>
    </row>
    <row r="1083" ht="15.75" customHeight="1">
      <c r="A1083" s="134"/>
      <c r="B1083" s="134"/>
      <c r="C1083" s="134"/>
    </row>
    <row r="1084" ht="15.75" customHeight="1">
      <c r="A1084" s="134"/>
      <c r="B1084" s="134"/>
      <c r="C1084" s="134"/>
    </row>
    <row r="1085" ht="15.75" customHeight="1">
      <c r="A1085" s="134"/>
      <c r="B1085" s="134"/>
      <c r="C1085" s="134"/>
    </row>
    <row r="1086" ht="15.75" customHeight="1">
      <c r="A1086" s="134"/>
      <c r="B1086" s="134"/>
      <c r="C1086" s="134"/>
    </row>
    <row r="1087" ht="15.75" customHeight="1">
      <c r="A1087" s="134"/>
      <c r="B1087" s="134"/>
      <c r="C1087" s="134"/>
    </row>
    <row r="1088" ht="15.75" customHeight="1">
      <c r="A1088" s="134"/>
      <c r="B1088" s="134"/>
      <c r="C1088" s="134"/>
    </row>
    <row r="1089" ht="15.75" customHeight="1">
      <c r="A1089" s="134"/>
      <c r="B1089" s="134"/>
      <c r="C1089" s="134"/>
    </row>
    <row r="1090" ht="15.75" customHeight="1">
      <c r="A1090" s="134"/>
      <c r="B1090" s="134"/>
      <c r="C1090" s="134"/>
    </row>
    <row r="1091" ht="15.75" customHeight="1">
      <c r="A1091" s="134"/>
      <c r="B1091" s="134"/>
      <c r="C1091" s="134"/>
    </row>
    <row r="1092" ht="15.75" customHeight="1">
      <c r="A1092" s="134"/>
      <c r="B1092" s="134"/>
      <c r="C1092" s="134"/>
    </row>
    <row r="1093" ht="15.75" customHeight="1">
      <c r="A1093" s="134"/>
      <c r="B1093" s="134"/>
      <c r="C1093" s="134"/>
    </row>
    <row r="1094" ht="15.75" customHeight="1">
      <c r="A1094" s="134"/>
      <c r="B1094" s="134"/>
      <c r="C1094" s="134"/>
    </row>
    <row r="1095" ht="15.75" customHeight="1">
      <c r="A1095" s="134"/>
      <c r="B1095" s="134"/>
      <c r="C1095" s="134"/>
    </row>
    <row r="1096" ht="15.75" customHeight="1">
      <c r="A1096" s="134"/>
      <c r="B1096" s="134"/>
      <c r="C1096" s="134"/>
    </row>
    <row r="1097" ht="15.75" customHeight="1">
      <c r="A1097" s="134"/>
      <c r="B1097" s="134"/>
      <c r="C1097" s="134"/>
    </row>
    <row r="1098" ht="15.75" customHeight="1">
      <c r="A1098" s="134"/>
      <c r="B1098" s="134"/>
      <c r="C1098" s="134"/>
    </row>
    <row r="1099" ht="15.75" customHeight="1">
      <c r="A1099" s="134"/>
      <c r="B1099" s="134"/>
      <c r="C1099" s="134"/>
    </row>
    <row r="1100" ht="15.75" customHeight="1">
      <c r="A1100" s="134"/>
      <c r="B1100" s="134"/>
      <c r="C1100" s="134"/>
    </row>
    <row r="1101" ht="15.75" customHeight="1">
      <c r="A1101" s="134"/>
      <c r="B1101" s="134"/>
      <c r="C1101" s="134"/>
    </row>
    <row r="1102" ht="15.75" customHeight="1">
      <c r="A1102" s="134"/>
      <c r="B1102" s="134"/>
      <c r="C1102" s="134"/>
    </row>
    <row r="1103" ht="15.75" customHeight="1">
      <c r="A1103" s="134"/>
      <c r="B1103" s="134"/>
      <c r="C1103" s="134"/>
    </row>
    <row r="1104" ht="15.75" customHeight="1">
      <c r="A1104" s="134"/>
      <c r="B1104" s="134"/>
      <c r="C1104" s="134"/>
    </row>
    <row r="1105" ht="15.75" customHeight="1">
      <c r="A1105" s="134"/>
      <c r="B1105" s="134"/>
      <c r="C1105" s="134"/>
    </row>
    <row r="1106" ht="15.75" customHeight="1">
      <c r="A1106" s="134"/>
      <c r="B1106" s="134"/>
      <c r="C1106" s="134"/>
    </row>
    <row r="1107" ht="15.75" customHeight="1">
      <c r="A1107" s="134"/>
      <c r="B1107" s="134"/>
      <c r="C1107" s="134"/>
    </row>
    <row r="1108" ht="15.75" customHeight="1">
      <c r="A1108" s="134"/>
      <c r="B1108" s="134"/>
      <c r="C1108" s="134"/>
    </row>
    <row r="1109" ht="15.75" customHeight="1">
      <c r="A1109" s="134"/>
      <c r="B1109" s="134"/>
      <c r="C1109" s="134"/>
    </row>
    <row r="1110" ht="15.75" customHeight="1">
      <c r="A1110" s="134"/>
      <c r="B1110" s="134"/>
      <c r="C1110" s="134"/>
    </row>
    <row r="1111" ht="15.75" customHeight="1">
      <c r="A1111" s="134"/>
      <c r="B1111" s="134"/>
      <c r="C1111" s="134"/>
    </row>
    <row r="1112" ht="15.75" customHeight="1">
      <c r="A1112" s="134"/>
      <c r="B1112" s="134"/>
      <c r="C1112" s="134"/>
    </row>
    <row r="1113" ht="15.75" customHeight="1">
      <c r="A1113" s="134"/>
      <c r="B1113" s="134"/>
      <c r="C1113" s="134"/>
    </row>
    <row r="1114" ht="15.75" customHeight="1">
      <c r="A1114" s="134"/>
      <c r="B1114" s="134"/>
      <c r="C1114" s="134"/>
    </row>
    <row r="1115" ht="15.75" customHeight="1">
      <c r="A1115" s="134"/>
      <c r="B1115" s="134"/>
      <c r="C1115" s="134"/>
    </row>
    <row r="1116" ht="15.75" customHeight="1">
      <c r="A1116" s="134"/>
      <c r="B1116" s="134"/>
      <c r="C1116" s="134"/>
    </row>
    <row r="1117" ht="15.75" customHeight="1">
      <c r="A1117" s="134"/>
      <c r="B1117" s="134"/>
      <c r="C1117" s="134"/>
    </row>
    <row r="1118" ht="15.75" customHeight="1">
      <c r="A1118" s="134"/>
      <c r="B1118" s="134"/>
      <c r="C1118" s="134"/>
    </row>
    <row r="1119" ht="15.75" customHeight="1">
      <c r="A1119" s="134"/>
      <c r="B1119" s="134"/>
      <c r="C1119" s="134"/>
    </row>
    <row r="1120" ht="15.75" customHeight="1">
      <c r="A1120" s="134"/>
      <c r="B1120" s="134"/>
      <c r="C1120" s="134"/>
    </row>
    <row r="1121" ht="15.75" customHeight="1">
      <c r="A1121" s="134"/>
      <c r="B1121" s="134"/>
      <c r="C1121" s="134"/>
    </row>
    <row r="1122" ht="15.75" customHeight="1">
      <c r="A1122" s="134"/>
      <c r="B1122" s="134"/>
      <c r="C1122" s="134"/>
    </row>
    <row r="1123" ht="15.75" customHeight="1">
      <c r="A1123" s="134"/>
      <c r="B1123" s="134"/>
      <c r="C1123" s="134"/>
    </row>
    <row r="1124" ht="15.75" customHeight="1">
      <c r="A1124" s="134"/>
      <c r="B1124" s="134"/>
      <c r="C1124" s="134"/>
    </row>
    <row r="1125" ht="15.75" customHeight="1">
      <c r="A1125" s="134"/>
      <c r="B1125" s="134"/>
      <c r="C1125" s="134"/>
    </row>
    <row r="1126" ht="15.75" customHeight="1">
      <c r="A1126" s="134"/>
      <c r="B1126" s="134"/>
      <c r="C1126" s="134"/>
    </row>
    <row r="1127" ht="15.75" customHeight="1">
      <c r="A1127" s="134"/>
      <c r="B1127" s="134"/>
      <c r="C1127" s="134"/>
    </row>
    <row r="1128" ht="15.75" customHeight="1">
      <c r="A1128" s="134"/>
      <c r="B1128" s="134"/>
      <c r="C1128" s="134"/>
    </row>
    <row r="1129" ht="15.75" customHeight="1">
      <c r="A1129" s="134"/>
      <c r="B1129" s="134"/>
      <c r="C1129" s="134"/>
    </row>
    <row r="1130" ht="15.75" customHeight="1">
      <c r="A1130" s="134"/>
      <c r="B1130" s="134"/>
      <c r="C1130" s="134"/>
    </row>
    <row r="1131" ht="15.75" customHeight="1">
      <c r="A1131" s="134"/>
      <c r="B1131" s="134"/>
      <c r="C1131" s="134"/>
    </row>
    <row r="1132" ht="15.75" customHeight="1">
      <c r="A1132" s="134"/>
      <c r="B1132" s="134"/>
      <c r="C1132" s="134"/>
    </row>
    <row r="1133" ht="15.75" customHeight="1">
      <c r="A1133" s="134"/>
      <c r="B1133" s="134"/>
      <c r="C1133" s="134"/>
    </row>
    <row r="1134" ht="15.75" customHeight="1">
      <c r="A1134" s="134"/>
      <c r="B1134" s="134"/>
      <c r="C1134" s="134"/>
    </row>
    <row r="1135" ht="15.75" customHeight="1">
      <c r="A1135" s="134"/>
      <c r="B1135" s="134"/>
      <c r="C1135" s="134"/>
    </row>
    <row r="1136" ht="15.75" customHeight="1">
      <c r="A1136" s="134"/>
      <c r="B1136" s="134"/>
      <c r="C1136" s="134"/>
    </row>
    <row r="1137" ht="15.75" customHeight="1">
      <c r="A1137" s="134"/>
      <c r="B1137" s="134"/>
      <c r="C1137" s="134"/>
    </row>
    <row r="1138" ht="15.75" customHeight="1">
      <c r="A1138" s="134"/>
      <c r="B1138" s="134"/>
      <c r="C1138" s="134"/>
    </row>
    <row r="1139" ht="15.75" customHeight="1">
      <c r="A1139" s="134"/>
      <c r="B1139" s="134"/>
      <c r="C1139" s="134"/>
    </row>
    <row r="1140" ht="15.75" customHeight="1">
      <c r="A1140" s="134"/>
      <c r="B1140" s="134"/>
      <c r="C1140" s="134"/>
    </row>
    <row r="1141" ht="15.75" customHeight="1">
      <c r="A1141" s="134"/>
      <c r="B1141" s="134"/>
      <c r="C1141" s="134"/>
    </row>
    <row r="1142" ht="15.75" customHeight="1">
      <c r="A1142" s="134"/>
      <c r="B1142" s="134"/>
      <c r="C1142" s="134"/>
    </row>
    <row r="1143" ht="15.75" customHeight="1">
      <c r="A1143" s="134"/>
      <c r="B1143" s="134"/>
      <c r="C1143" s="134"/>
    </row>
    <row r="1144" ht="15.75" customHeight="1">
      <c r="A1144" s="134"/>
      <c r="B1144" s="134"/>
      <c r="C1144" s="134"/>
    </row>
    <row r="1145" ht="15.75" customHeight="1">
      <c r="A1145" s="134"/>
      <c r="B1145" s="134"/>
      <c r="C1145" s="134"/>
    </row>
    <row r="1146" ht="15.75" customHeight="1">
      <c r="A1146" s="134"/>
      <c r="B1146" s="134"/>
      <c r="C1146" s="134"/>
    </row>
    <row r="1147" ht="15.75" customHeight="1">
      <c r="A1147" s="134"/>
      <c r="B1147" s="134"/>
      <c r="C1147" s="134"/>
    </row>
    <row r="1148" ht="15.75" customHeight="1">
      <c r="A1148" s="134"/>
      <c r="B1148" s="134"/>
      <c r="C1148" s="134"/>
    </row>
    <row r="1149" ht="15.75" customHeight="1">
      <c r="A1149" s="134"/>
      <c r="B1149" s="134"/>
      <c r="C1149" s="134"/>
    </row>
    <row r="1150" ht="15.75" customHeight="1">
      <c r="A1150" s="134"/>
      <c r="B1150" s="134"/>
      <c r="C1150" s="134"/>
    </row>
    <row r="1151" ht="15.75" customHeight="1">
      <c r="A1151" s="134"/>
      <c r="B1151" s="134"/>
      <c r="C1151" s="134"/>
    </row>
    <row r="1152" ht="15.75" customHeight="1">
      <c r="A1152" s="134"/>
      <c r="B1152" s="134"/>
      <c r="C1152" s="134"/>
    </row>
    <row r="1153" ht="15.75" customHeight="1">
      <c r="A1153" s="134"/>
      <c r="B1153" s="134"/>
      <c r="C1153" s="134"/>
    </row>
    <row r="1154" ht="15.75" customHeight="1">
      <c r="A1154" s="134"/>
      <c r="B1154" s="134"/>
      <c r="C1154" s="134"/>
    </row>
    <row r="1155" ht="15.75" customHeight="1">
      <c r="A1155" s="134"/>
      <c r="B1155" s="134"/>
      <c r="C1155" s="134"/>
    </row>
    <row r="1156" ht="15.75" customHeight="1">
      <c r="A1156" s="134"/>
      <c r="B1156" s="134"/>
      <c r="C1156" s="134"/>
    </row>
    <row r="1157" ht="15.75" customHeight="1">
      <c r="A1157" s="134"/>
      <c r="B1157" s="134"/>
      <c r="C1157" s="134"/>
    </row>
    <row r="1158" ht="15.75" customHeight="1">
      <c r="A1158" s="134"/>
      <c r="B1158" s="134"/>
      <c r="C1158" s="134"/>
    </row>
    <row r="1159" ht="15.75" customHeight="1">
      <c r="A1159" s="134"/>
      <c r="B1159" s="134"/>
      <c r="C1159" s="134"/>
    </row>
    <row r="1160" ht="15.75" customHeight="1">
      <c r="A1160" s="134"/>
      <c r="B1160" s="134"/>
      <c r="C1160" s="134"/>
    </row>
    <row r="1161" ht="15.75" customHeight="1">
      <c r="A1161" s="134"/>
      <c r="B1161" s="134"/>
      <c r="C1161" s="134"/>
    </row>
    <row r="1162" ht="15.75" customHeight="1">
      <c r="A1162" s="134"/>
      <c r="B1162" s="134"/>
      <c r="C1162" s="134"/>
    </row>
    <row r="1163" ht="15.75" customHeight="1">
      <c r="A1163" s="134"/>
      <c r="B1163" s="134"/>
      <c r="C1163" s="134"/>
    </row>
    <row r="1164" ht="15.75" customHeight="1">
      <c r="A1164" s="134"/>
      <c r="B1164" s="134"/>
      <c r="C1164" s="134"/>
    </row>
    <row r="1165" ht="15.75" customHeight="1">
      <c r="A1165" s="134"/>
      <c r="B1165" s="134"/>
      <c r="C1165" s="134"/>
    </row>
    <row r="1166" ht="15.75" customHeight="1">
      <c r="A1166" s="134"/>
      <c r="B1166" s="134"/>
      <c r="C1166" s="134"/>
    </row>
    <row r="1167" ht="15.75" customHeight="1">
      <c r="A1167" s="134"/>
      <c r="B1167" s="134"/>
      <c r="C1167" s="134"/>
    </row>
    <row r="1168" ht="15.75" customHeight="1">
      <c r="A1168" s="134"/>
      <c r="B1168" s="134"/>
      <c r="C1168" s="134"/>
    </row>
    <row r="1169" ht="15.75" customHeight="1">
      <c r="A1169" s="134"/>
      <c r="B1169" s="134"/>
      <c r="C1169" s="134"/>
    </row>
    <row r="1170" ht="15.75" customHeight="1">
      <c r="A1170" s="134"/>
      <c r="B1170" s="134"/>
      <c r="C1170" s="134"/>
    </row>
    <row r="1171" ht="15.75" customHeight="1">
      <c r="A1171" s="134"/>
      <c r="B1171" s="134"/>
      <c r="C1171" s="134"/>
    </row>
    <row r="1172" ht="15.75" customHeight="1">
      <c r="A1172" s="134"/>
      <c r="B1172" s="134"/>
      <c r="C1172" s="134"/>
    </row>
    <row r="1173" ht="15.75" customHeight="1">
      <c r="A1173" s="134"/>
      <c r="B1173" s="134"/>
      <c r="C1173" s="134"/>
    </row>
    <row r="1174" ht="15.75" customHeight="1">
      <c r="A1174" s="134"/>
      <c r="B1174" s="134"/>
      <c r="C1174" s="134"/>
    </row>
    <row r="1175" ht="15.75" customHeight="1">
      <c r="A1175" s="134"/>
      <c r="B1175" s="134"/>
      <c r="C1175" s="134"/>
    </row>
    <row r="1176" ht="15.75" customHeight="1">
      <c r="A1176" s="134"/>
      <c r="B1176" s="134"/>
      <c r="C1176" s="134"/>
    </row>
    <row r="1177" ht="15.75" customHeight="1">
      <c r="A1177" s="134"/>
      <c r="B1177" s="134"/>
      <c r="C1177" s="134"/>
    </row>
    <row r="1178" ht="15.75" customHeight="1">
      <c r="A1178" s="134"/>
      <c r="B1178" s="134"/>
      <c r="C1178" s="134"/>
    </row>
    <row r="1179" ht="15.75" customHeight="1">
      <c r="A1179" s="134"/>
      <c r="B1179" s="134"/>
      <c r="C1179" s="134"/>
    </row>
    <row r="1180" ht="15.75" customHeight="1">
      <c r="A1180" s="134"/>
      <c r="B1180" s="134"/>
      <c r="C1180" s="134"/>
    </row>
    <row r="1181" ht="15.75" customHeight="1">
      <c r="A1181" s="134"/>
      <c r="B1181" s="134"/>
      <c r="C1181" s="134"/>
    </row>
    <row r="1182" ht="15.75" customHeight="1">
      <c r="A1182" s="134"/>
      <c r="B1182" s="134"/>
      <c r="C1182" s="134"/>
    </row>
    <row r="1183" ht="15.75" customHeight="1">
      <c r="A1183" s="134"/>
      <c r="B1183" s="134"/>
      <c r="C1183" s="134"/>
    </row>
    <row r="1184" ht="15.75" customHeight="1">
      <c r="A1184" s="134"/>
      <c r="B1184" s="134"/>
      <c r="C1184" s="134"/>
    </row>
    <row r="1185" ht="15.75" customHeight="1">
      <c r="A1185" s="134"/>
      <c r="B1185" s="134"/>
      <c r="C1185" s="134"/>
    </row>
    <row r="1186" ht="15.75" customHeight="1">
      <c r="A1186" s="134"/>
      <c r="B1186" s="134"/>
      <c r="C1186" s="134"/>
    </row>
    <row r="1187" ht="15.75" customHeight="1">
      <c r="A1187" s="134"/>
      <c r="B1187" s="134"/>
      <c r="C1187" s="134"/>
    </row>
    <row r="1188" ht="15.75" customHeight="1">
      <c r="A1188" s="134"/>
      <c r="B1188" s="134"/>
      <c r="C1188" s="134"/>
    </row>
    <row r="1189" ht="15.75" customHeight="1">
      <c r="A1189" s="134"/>
      <c r="B1189" s="134"/>
      <c r="C1189" s="134"/>
    </row>
    <row r="1190" ht="15.75" customHeight="1">
      <c r="A1190" s="134"/>
      <c r="B1190" s="134"/>
      <c r="C1190" s="134"/>
    </row>
    <row r="1191" ht="15.75" customHeight="1">
      <c r="A1191" s="134"/>
      <c r="B1191" s="134"/>
      <c r="C1191" s="134"/>
    </row>
    <row r="1192" ht="15.75" customHeight="1">
      <c r="A1192" s="134"/>
      <c r="B1192" s="134"/>
      <c r="C1192" s="134"/>
    </row>
    <row r="1193" ht="15.75" customHeight="1">
      <c r="A1193" s="134"/>
      <c r="B1193" s="134"/>
      <c r="C1193" s="134"/>
    </row>
    <row r="1194" ht="15.75" customHeight="1">
      <c r="A1194" s="134"/>
      <c r="B1194" s="134"/>
      <c r="C1194" s="134"/>
    </row>
    <row r="1195" ht="15.75" customHeight="1">
      <c r="A1195" s="134"/>
      <c r="B1195" s="134"/>
      <c r="C1195" s="134"/>
    </row>
    <row r="1196" ht="15.75" customHeight="1">
      <c r="A1196" s="134"/>
      <c r="B1196" s="134"/>
      <c r="C1196" s="134"/>
    </row>
    <row r="1197" ht="15.75" customHeight="1">
      <c r="A1197" s="134"/>
      <c r="B1197" s="134"/>
      <c r="C1197" s="134"/>
    </row>
    <row r="1198" ht="15.75" customHeight="1">
      <c r="A1198" s="134"/>
      <c r="B1198" s="134"/>
      <c r="C1198" s="134"/>
    </row>
    <row r="1199" ht="15.75" customHeight="1">
      <c r="A1199" s="134"/>
      <c r="B1199" s="134"/>
      <c r="C1199" s="134"/>
    </row>
    <row r="1200" ht="15.75" customHeight="1">
      <c r="A1200" s="134"/>
      <c r="B1200" s="134"/>
      <c r="C1200" s="134"/>
    </row>
    <row r="1201" ht="15.75" customHeight="1">
      <c r="A1201" s="134"/>
      <c r="B1201" s="134"/>
      <c r="C1201" s="134"/>
    </row>
    <row r="1202" ht="15.75" customHeight="1">
      <c r="A1202" s="134"/>
      <c r="B1202" s="134"/>
      <c r="C1202" s="134"/>
    </row>
    <row r="1203" ht="15.75" customHeight="1">
      <c r="A1203" s="134"/>
      <c r="B1203" s="134"/>
      <c r="C1203" s="134"/>
    </row>
    <row r="1204" ht="15.75" customHeight="1">
      <c r="A1204" s="134"/>
      <c r="B1204" s="134"/>
      <c r="C1204" s="134"/>
    </row>
    <row r="1205" ht="15.75" customHeight="1">
      <c r="A1205" s="134"/>
      <c r="B1205" s="134"/>
      <c r="C1205" s="134"/>
    </row>
    <row r="1206" ht="15.75" customHeight="1">
      <c r="A1206" s="134"/>
      <c r="B1206" s="134"/>
      <c r="C1206" s="134"/>
    </row>
    <row r="1207" ht="15.75" customHeight="1">
      <c r="A1207" s="134"/>
      <c r="B1207" s="134"/>
      <c r="C1207" s="134"/>
    </row>
    <row r="1208" ht="15.75" customHeight="1">
      <c r="A1208" s="134"/>
      <c r="B1208" s="134"/>
      <c r="C1208" s="134"/>
    </row>
    <row r="1209" ht="15.75" customHeight="1">
      <c r="A1209" s="134"/>
      <c r="B1209" s="134"/>
      <c r="C1209" s="134"/>
    </row>
    <row r="1210" ht="15.75" customHeight="1">
      <c r="A1210" s="134"/>
      <c r="B1210" s="134"/>
      <c r="C1210" s="134"/>
    </row>
    <row r="1211" ht="15.75" customHeight="1">
      <c r="A1211" s="134"/>
      <c r="B1211" s="134"/>
      <c r="C1211" s="134"/>
    </row>
    <row r="1212" ht="15.75" customHeight="1">
      <c r="A1212" s="134"/>
      <c r="B1212" s="134"/>
      <c r="C1212" s="134"/>
    </row>
    <row r="1213" ht="15.75" customHeight="1">
      <c r="A1213" s="134"/>
      <c r="B1213" s="134"/>
      <c r="C1213" s="134"/>
    </row>
    <row r="1214" ht="15.75" customHeight="1">
      <c r="A1214" s="134"/>
      <c r="B1214" s="134"/>
      <c r="C1214" s="134"/>
    </row>
    <row r="1215" ht="15.75" customHeight="1">
      <c r="A1215" s="134"/>
      <c r="B1215" s="134"/>
      <c r="C1215" s="134"/>
    </row>
    <row r="1216" ht="15.75" customHeight="1">
      <c r="A1216" s="134"/>
      <c r="B1216" s="134"/>
      <c r="C1216" s="134"/>
    </row>
    <row r="1217" ht="15.75" customHeight="1">
      <c r="A1217" s="134"/>
      <c r="B1217" s="134"/>
      <c r="C1217" s="134"/>
    </row>
    <row r="1218" ht="15.75" customHeight="1">
      <c r="A1218" s="134"/>
      <c r="B1218" s="134"/>
      <c r="C1218" s="134"/>
    </row>
    <row r="1219" ht="15.75" customHeight="1">
      <c r="A1219" s="134"/>
      <c r="B1219" s="134"/>
      <c r="C1219" s="134"/>
    </row>
    <row r="1220" ht="15.75" customHeight="1">
      <c r="A1220" s="134"/>
      <c r="B1220" s="134"/>
      <c r="C1220" s="134"/>
    </row>
    <row r="1221" ht="15.75" customHeight="1">
      <c r="A1221" s="134"/>
      <c r="B1221" s="134"/>
      <c r="C1221" s="134"/>
    </row>
    <row r="1222" ht="15.75" customHeight="1">
      <c r="A1222" s="134"/>
      <c r="B1222" s="134"/>
      <c r="C1222" s="134"/>
    </row>
    <row r="1223" ht="15.75" customHeight="1">
      <c r="A1223" s="134"/>
      <c r="B1223" s="134"/>
      <c r="C1223" s="134"/>
    </row>
    <row r="1224" ht="15.75" customHeight="1">
      <c r="A1224" s="134"/>
      <c r="B1224" s="134"/>
      <c r="C1224" s="134"/>
    </row>
    <row r="1225" ht="15.75" customHeight="1">
      <c r="A1225" s="134"/>
      <c r="B1225" s="134"/>
      <c r="C1225" s="134"/>
    </row>
    <row r="1226" ht="15.75" customHeight="1">
      <c r="A1226" s="134"/>
      <c r="B1226" s="134"/>
      <c r="C1226" s="134"/>
    </row>
    <row r="1227" ht="15.75" customHeight="1">
      <c r="A1227" s="134"/>
      <c r="B1227" s="134"/>
      <c r="C1227" s="134"/>
    </row>
    <row r="1228" ht="15.75" customHeight="1">
      <c r="A1228" s="134"/>
      <c r="B1228" s="134"/>
      <c r="C1228" s="134"/>
    </row>
    <row r="1229" ht="15.75" customHeight="1">
      <c r="A1229" s="134"/>
      <c r="B1229" s="134"/>
      <c r="C1229" s="134"/>
    </row>
    <row r="1230" ht="15.75" customHeight="1">
      <c r="A1230" s="134"/>
      <c r="B1230" s="134"/>
      <c r="C1230" s="134"/>
    </row>
    <row r="1231" ht="15.75" customHeight="1">
      <c r="A1231" s="134"/>
      <c r="B1231" s="134"/>
      <c r="C1231" s="134"/>
    </row>
    <row r="1232" ht="15.75" customHeight="1">
      <c r="A1232" s="134"/>
      <c r="B1232" s="134"/>
      <c r="C1232" s="134"/>
    </row>
    <row r="1233" ht="15.75" customHeight="1">
      <c r="A1233" s="134"/>
      <c r="B1233" s="134"/>
      <c r="C1233" s="134"/>
    </row>
    <row r="1234" ht="15.75" customHeight="1">
      <c r="A1234" s="134"/>
      <c r="B1234" s="134"/>
      <c r="C1234" s="134"/>
    </row>
    <row r="1235" ht="15.75" customHeight="1">
      <c r="A1235" s="134"/>
      <c r="B1235" s="134"/>
      <c r="C1235" s="134"/>
    </row>
    <row r="1236" ht="15.75" customHeight="1">
      <c r="A1236" s="134"/>
      <c r="B1236" s="134"/>
      <c r="C1236" s="134"/>
    </row>
    <row r="1237" ht="15.75" customHeight="1">
      <c r="A1237" s="134"/>
      <c r="B1237" s="134"/>
      <c r="C1237" s="134"/>
    </row>
    <row r="1238" ht="15.75" customHeight="1">
      <c r="A1238" s="134"/>
      <c r="B1238" s="134"/>
      <c r="C1238" s="134"/>
    </row>
    <row r="1239" ht="15.75" customHeight="1">
      <c r="A1239" s="134"/>
      <c r="B1239" s="134"/>
      <c r="C1239" s="134"/>
    </row>
    <row r="1240" ht="15.75" customHeight="1">
      <c r="A1240" s="134"/>
      <c r="B1240" s="134"/>
      <c r="C1240" s="134"/>
    </row>
    <row r="1241" ht="15.75" customHeight="1">
      <c r="A1241" s="134"/>
      <c r="B1241" s="134"/>
      <c r="C1241" s="134"/>
    </row>
    <row r="1242" ht="15.75" customHeight="1">
      <c r="A1242" s="134"/>
      <c r="B1242" s="134"/>
      <c r="C1242" s="134"/>
    </row>
    <row r="1243" ht="15.75" customHeight="1">
      <c r="A1243" s="134"/>
      <c r="B1243" s="134"/>
      <c r="C1243" s="134"/>
    </row>
    <row r="1244" ht="15.75" customHeight="1">
      <c r="A1244" s="134"/>
      <c r="B1244" s="134"/>
      <c r="C1244" s="134"/>
    </row>
    <row r="1245" ht="15.75" customHeight="1">
      <c r="A1245" s="134"/>
      <c r="B1245" s="134"/>
      <c r="C1245" s="134"/>
    </row>
    <row r="1246" ht="15.75" customHeight="1">
      <c r="A1246" s="134"/>
      <c r="B1246" s="134"/>
      <c r="C1246" s="134"/>
    </row>
    <row r="1247" ht="15.75" customHeight="1">
      <c r="A1247" s="134"/>
      <c r="B1247" s="134"/>
      <c r="C1247" s="134"/>
    </row>
    <row r="1248" ht="15.75" customHeight="1">
      <c r="A1248" s="134"/>
      <c r="B1248" s="134"/>
      <c r="C1248" s="134"/>
    </row>
    <row r="1249" ht="15.75" customHeight="1">
      <c r="A1249" s="134"/>
      <c r="B1249" s="134"/>
      <c r="C1249" s="134"/>
    </row>
    <row r="1250" ht="15.75" customHeight="1">
      <c r="A1250" s="134"/>
      <c r="B1250" s="134"/>
      <c r="C1250" s="134"/>
    </row>
    <row r="1251" ht="15.75" customHeight="1">
      <c r="A1251" s="134"/>
      <c r="B1251" s="134"/>
      <c r="C1251" s="134"/>
    </row>
    <row r="1252" ht="15.75" customHeight="1">
      <c r="A1252" s="134"/>
      <c r="B1252" s="134"/>
      <c r="C1252" s="134"/>
    </row>
    <row r="1253" ht="15.75" customHeight="1">
      <c r="A1253" s="134"/>
      <c r="B1253" s="134"/>
      <c r="C1253" s="134"/>
    </row>
    <row r="1254" ht="15.75" customHeight="1">
      <c r="A1254" s="134"/>
      <c r="B1254" s="134"/>
      <c r="C1254" s="134"/>
    </row>
    <row r="1255" ht="15.75" customHeight="1">
      <c r="A1255" s="134"/>
      <c r="B1255" s="134"/>
      <c r="C1255" s="134"/>
    </row>
    <row r="1256" ht="15.75" customHeight="1">
      <c r="A1256" s="134"/>
      <c r="B1256" s="134"/>
      <c r="C1256" s="134"/>
    </row>
    <row r="1257" ht="15.75" customHeight="1">
      <c r="A1257" s="134"/>
      <c r="B1257" s="134"/>
      <c r="C1257" s="134"/>
    </row>
    <row r="1258" ht="15.75" customHeight="1">
      <c r="A1258" s="134"/>
      <c r="B1258" s="134"/>
      <c r="C1258" s="134"/>
    </row>
    <row r="1259" ht="15.75" customHeight="1">
      <c r="A1259" s="134"/>
      <c r="B1259" s="134"/>
      <c r="C1259" s="134"/>
    </row>
    <row r="1260" ht="15.75" customHeight="1">
      <c r="A1260" s="134"/>
      <c r="B1260" s="134"/>
      <c r="C1260" s="134"/>
    </row>
    <row r="1261" ht="15.75" customHeight="1">
      <c r="A1261" s="134"/>
      <c r="B1261" s="134"/>
      <c r="C1261" s="134"/>
    </row>
    <row r="1262" ht="15.75" customHeight="1">
      <c r="A1262" s="134"/>
      <c r="B1262" s="134"/>
      <c r="C1262" s="134"/>
    </row>
    <row r="1263" ht="15.75" customHeight="1">
      <c r="A1263" s="134"/>
      <c r="B1263" s="134"/>
      <c r="C1263" s="134"/>
    </row>
    <row r="1264" ht="15.75" customHeight="1">
      <c r="A1264" s="134"/>
      <c r="B1264" s="134"/>
      <c r="C1264" s="134"/>
    </row>
    <row r="1265" ht="15.75" customHeight="1">
      <c r="A1265" s="134"/>
      <c r="B1265" s="134"/>
      <c r="C1265" s="134"/>
    </row>
    <row r="1266" ht="15.75" customHeight="1">
      <c r="A1266" s="134"/>
      <c r="B1266" s="134"/>
      <c r="C1266" s="134"/>
    </row>
    <row r="1267" ht="15.75" customHeight="1">
      <c r="A1267" s="134"/>
      <c r="B1267" s="134"/>
      <c r="C1267" s="134"/>
    </row>
    <row r="1268" ht="15.75" customHeight="1">
      <c r="A1268" s="134"/>
      <c r="B1268" s="134"/>
      <c r="C1268" s="134"/>
    </row>
    <row r="1269" ht="15.75" customHeight="1">
      <c r="A1269" s="134"/>
      <c r="B1269" s="134"/>
      <c r="C1269" s="134"/>
    </row>
    <row r="1270" ht="15.75" customHeight="1">
      <c r="A1270" s="134"/>
      <c r="B1270" s="134"/>
      <c r="C1270" s="134"/>
    </row>
    <row r="1271" ht="15.75" customHeight="1">
      <c r="A1271" s="134"/>
      <c r="B1271" s="134"/>
      <c r="C1271" s="134"/>
    </row>
    <row r="1272" ht="15.75" customHeight="1">
      <c r="A1272" s="134"/>
      <c r="B1272" s="134"/>
      <c r="C1272" s="134"/>
    </row>
    <row r="1273" ht="15.75" customHeight="1">
      <c r="A1273" s="134"/>
      <c r="B1273" s="134"/>
      <c r="C1273" s="134"/>
    </row>
    <row r="1274" ht="15.75" customHeight="1">
      <c r="A1274" s="134"/>
      <c r="B1274" s="134"/>
      <c r="C1274" s="134"/>
    </row>
    <row r="1275" ht="15.75" customHeight="1">
      <c r="A1275" s="134"/>
      <c r="B1275" s="134"/>
      <c r="C1275" s="134"/>
    </row>
    <row r="1276" ht="15.75" customHeight="1">
      <c r="A1276" s="134"/>
      <c r="B1276" s="134"/>
      <c r="C1276" s="134"/>
    </row>
    <row r="1277" ht="15.75" customHeight="1">
      <c r="A1277" s="134"/>
      <c r="B1277" s="134"/>
      <c r="C1277" s="134"/>
    </row>
    <row r="1278" ht="15.75" customHeight="1">
      <c r="A1278" s="134"/>
      <c r="B1278" s="134"/>
      <c r="C1278" s="134"/>
    </row>
    <row r="1279" ht="15.75" customHeight="1">
      <c r="A1279" s="134"/>
      <c r="B1279" s="134"/>
      <c r="C1279" s="134"/>
    </row>
    <row r="1280" ht="15.75" customHeight="1">
      <c r="A1280" s="134"/>
      <c r="B1280" s="134"/>
      <c r="C1280" s="134"/>
    </row>
    <row r="1281" ht="15.75" customHeight="1">
      <c r="A1281" s="134"/>
      <c r="B1281" s="134"/>
      <c r="C1281" s="134"/>
    </row>
    <row r="1282" ht="15.75" customHeight="1">
      <c r="A1282" s="134"/>
      <c r="B1282" s="134"/>
      <c r="C1282" s="134"/>
    </row>
    <row r="1283" ht="15.75" customHeight="1">
      <c r="A1283" s="134"/>
      <c r="B1283" s="134"/>
      <c r="C1283" s="134"/>
    </row>
    <row r="1284" ht="15.75" customHeight="1">
      <c r="A1284" s="134"/>
      <c r="B1284" s="134"/>
      <c r="C1284" s="134"/>
    </row>
    <row r="1285" ht="15.75" customHeight="1">
      <c r="A1285" s="134"/>
      <c r="B1285" s="134"/>
      <c r="C1285" s="134"/>
    </row>
    <row r="1286" ht="15.75" customHeight="1">
      <c r="A1286" s="134"/>
      <c r="B1286" s="134"/>
      <c r="C1286" s="134"/>
    </row>
    <row r="1287" ht="15.75" customHeight="1">
      <c r="A1287" s="134"/>
      <c r="B1287" s="134"/>
      <c r="C1287" s="134"/>
    </row>
    <row r="1288" ht="15.75" customHeight="1">
      <c r="A1288" s="134"/>
      <c r="B1288" s="134"/>
      <c r="C1288" s="134"/>
    </row>
    <row r="1289" ht="15.75" customHeight="1">
      <c r="A1289" s="134"/>
      <c r="B1289" s="134"/>
      <c r="C1289" s="134"/>
    </row>
    <row r="1290" ht="15.75" customHeight="1">
      <c r="A1290" s="134"/>
      <c r="B1290" s="134"/>
      <c r="C1290" s="134"/>
    </row>
    <row r="1291" ht="15.75" customHeight="1">
      <c r="A1291" s="134"/>
      <c r="B1291" s="134"/>
      <c r="C1291" s="134"/>
    </row>
    <row r="1292" ht="15.75" customHeight="1">
      <c r="A1292" s="134"/>
      <c r="B1292" s="134"/>
      <c r="C1292" s="134"/>
    </row>
    <row r="1293" ht="15.75" customHeight="1">
      <c r="A1293" s="134"/>
      <c r="B1293" s="134"/>
      <c r="C1293" s="134"/>
    </row>
    <row r="1294" ht="15.75" customHeight="1">
      <c r="A1294" s="134"/>
      <c r="B1294" s="134"/>
      <c r="C1294" s="134"/>
    </row>
    <row r="1295" ht="15.75" customHeight="1">
      <c r="A1295" s="134"/>
      <c r="B1295" s="134"/>
      <c r="C1295" s="134"/>
    </row>
    <row r="1296" ht="15.75" customHeight="1">
      <c r="A1296" s="134"/>
      <c r="B1296" s="134"/>
      <c r="C1296" s="134"/>
    </row>
    <row r="1297" ht="15.75" customHeight="1">
      <c r="A1297" s="134"/>
      <c r="B1297" s="134"/>
      <c r="C1297" s="134"/>
    </row>
    <row r="1298" ht="15.75" customHeight="1">
      <c r="A1298" s="134"/>
      <c r="B1298" s="134"/>
      <c r="C1298" s="134"/>
    </row>
    <row r="1299" ht="15.75" customHeight="1">
      <c r="A1299" s="134"/>
      <c r="B1299" s="134"/>
      <c r="C1299" s="134"/>
    </row>
    <row r="1300" ht="15.75" customHeight="1">
      <c r="A1300" s="134"/>
      <c r="B1300" s="134"/>
      <c r="C1300" s="134"/>
    </row>
    <row r="1301" ht="15.75" customHeight="1">
      <c r="A1301" s="134"/>
      <c r="B1301" s="134"/>
      <c r="C1301" s="134"/>
    </row>
    <row r="1302" ht="15.75" customHeight="1">
      <c r="A1302" s="134"/>
      <c r="B1302" s="134"/>
      <c r="C1302" s="134"/>
    </row>
    <row r="1303" ht="15.75" customHeight="1">
      <c r="A1303" s="134"/>
      <c r="B1303" s="134"/>
      <c r="C1303" s="134"/>
    </row>
    <row r="1304" ht="15.75" customHeight="1">
      <c r="A1304" s="134"/>
      <c r="B1304" s="134"/>
      <c r="C1304" s="134"/>
    </row>
    <row r="1305" ht="15.75" customHeight="1">
      <c r="A1305" s="134"/>
      <c r="B1305" s="134"/>
      <c r="C1305" s="134"/>
    </row>
    <row r="1306" ht="15.75" customHeight="1">
      <c r="A1306" s="134"/>
      <c r="B1306" s="134"/>
      <c r="C1306" s="134"/>
    </row>
    <row r="1307" ht="15.75" customHeight="1">
      <c r="A1307" s="134"/>
      <c r="B1307" s="134"/>
      <c r="C1307" s="134"/>
    </row>
    <row r="1308" ht="15.75" customHeight="1">
      <c r="A1308" s="134"/>
      <c r="B1308" s="134"/>
      <c r="C1308" s="134"/>
    </row>
    <row r="1309" ht="15.75" customHeight="1">
      <c r="A1309" s="134"/>
      <c r="B1309" s="134"/>
      <c r="C1309" s="134"/>
    </row>
    <row r="1310" ht="15.75" customHeight="1">
      <c r="A1310" s="134"/>
      <c r="B1310" s="134"/>
      <c r="C1310" s="134"/>
    </row>
    <row r="1311" ht="15.75" customHeight="1">
      <c r="A1311" s="134"/>
      <c r="B1311" s="134"/>
      <c r="C1311" s="134"/>
    </row>
    <row r="1312" ht="15.75" customHeight="1">
      <c r="A1312" s="134"/>
      <c r="B1312" s="134"/>
      <c r="C1312" s="134"/>
    </row>
    <row r="1313" ht="15.75" customHeight="1">
      <c r="A1313" s="134"/>
      <c r="B1313" s="134"/>
      <c r="C1313" s="134"/>
    </row>
    <row r="1314" ht="15.75" customHeight="1">
      <c r="A1314" s="134"/>
      <c r="B1314" s="134"/>
      <c r="C1314" s="134"/>
    </row>
    <row r="1315" ht="15.75" customHeight="1">
      <c r="A1315" s="134"/>
      <c r="B1315" s="134"/>
      <c r="C1315" s="134"/>
    </row>
    <row r="1316" ht="15.75" customHeight="1">
      <c r="A1316" s="134"/>
      <c r="B1316" s="134"/>
      <c r="C1316" s="134"/>
    </row>
    <row r="1317" ht="15.75" customHeight="1">
      <c r="A1317" s="134"/>
      <c r="B1317" s="134"/>
      <c r="C1317" s="134"/>
    </row>
    <row r="1318" ht="15.75" customHeight="1">
      <c r="A1318" s="134"/>
      <c r="B1318" s="134"/>
      <c r="C1318" s="134"/>
    </row>
    <row r="1319" ht="15.75" customHeight="1">
      <c r="A1319" s="134"/>
      <c r="B1319" s="134"/>
      <c r="C1319" s="134"/>
    </row>
    <row r="1320" ht="15.75" customHeight="1">
      <c r="A1320" s="134"/>
      <c r="B1320" s="134"/>
      <c r="C1320" s="134"/>
    </row>
    <row r="1321" ht="15.75" customHeight="1">
      <c r="A1321" s="134"/>
      <c r="B1321" s="134"/>
      <c r="C1321" s="134"/>
    </row>
    <row r="1322" ht="15.75" customHeight="1">
      <c r="A1322" s="134"/>
      <c r="B1322" s="134"/>
      <c r="C1322" s="134"/>
    </row>
    <row r="1323" ht="15.75" customHeight="1">
      <c r="A1323" s="134"/>
      <c r="B1323" s="134"/>
      <c r="C1323" s="134"/>
    </row>
    <row r="1324" ht="15.75" customHeight="1">
      <c r="A1324" s="134"/>
      <c r="B1324" s="134"/>
      <c r="C1324" s="134"/>
    </row>
    <row r="1325" ht="15.75" customHeight="1">
      <c r="A1325" s="134"/>
      <c r="B1325" s="134"/>
      <c r="C1325" s="134"/>
    </row>
    <row r="1326" ht="15.75" customHeight="1">
      <c r="A1326" s="134"/>
      <c r="B1326" s="134"/>
      <c r="C1326" s="134"/>
    </row>
    <row r="1327" ht="15.75" customHeight="1">
      <c r="A1327" s="134"/>
      <c r="B1327" s="134"/>
      <c r="C1327" s="134"/>
    </row>
    <row r="1328" ht="15.75" customHeight="1">
      <c r="A1328" s="134"/>
      <c r="B1328" s="134"/>
      <c r="C1328" s="134"/>
    </row>
    <row r="1329" ht="15.75" customHeight="1">
      <c r="A1329" s="134"/>
      <c r="B1329" s="134"/>
      <c r="C1329" s="134"/>
    </row>
    <row r="1330" ht="15.75" customHeight="1">
      <c r="A1330" s="134"/>
      <c r="B1330" s="134"/>
      <c r="C1330" s="134"/>
    </row>
    <row r="1331" ht="15.75" customHeight="1">
      <c r="A1331" s="134"/>
      <c r="B1331" s="134"/>
      <c r="C1331" s="134"/>
    </row>
    <row r="1332" ht="15.75" customHeight="1">
      <c r="A1332" s="134"/>
      <c r="B1332" s="134"/>
      <c r="C1332" s="134"/>
    </row>
    <row r="1333" ht="15.75" customHeight="1">
      <c r="A1333" s="134"/>
      <c r="B1333" s="134"/>
      <c r="C1333" s="134"/>
    </row>
    <row r="1334" ht="15.75" customHeight="1">
      <c r="A1334" s="134"/>
      <c r="B1334" s="134"/>
      <c r="C1334" s="134"/>
    </row>
    <row r="1335" ht="15.75" customHeight="1">
      <c r="A1335" s="134"/>
      <c r="B1335" s="134"/>
      <c r="C1335" s="134"/>
    </row>
    <row r="1336" ht="15.75" customHeight="1">
      <c r="A1336" s="134"/>
      <c r="B1336" s="134"/>
      <c r="C1336" s="134"/>
    </row>
    <row r="1337" ht="15.75" customHeight="1">
      <c r="A1337" s="134"/>
      <c r="B1337" s="134"/>
      <c r="C1337" s="134"/>
    </row>
    <row r="1338" ht="15.75" customHeight="1">
      <c r="A1338" s="134"/>
      <c r="B1338" s="134"/>
      <c r="C1338" s="134"/>
    </row>
    <row r="1339" ht="15.75" customHeight="1">
      <c r="A1339" s="134"/>
      <c r="B1339" s="134"/>
      <c r="C1339" s="134"/>
    </row>
    <row r="1340" ht="15.75" customHeight="1">
      <c r="A1340" s="134"/>
      <c r="B1340" s="134"/>
      <c r="C1340" s="134"/>
    </row>
    <row r="1341" ht="15.75" customHeight="1">
      <c r="A1341" s="134"/>
      <c r="B1341" s="134"/>
      <c r="C1341" s="134"/>
    </row>
    <row r="1342" ht="15.75" customHeight="1">
      <c r="A1342" s="134"/>
      <c r="B1342" s="134"/>
      <c r="C1342" s="134"/>
    </row>
    <row r="1343" ht="15.75" customHeight="1">
      <c r="A1343" s="134"/>
      <c r="B1343" s="134"/>
      <c r="C1343" s="134"/>
    </row>
    <row r="1344" ht="15.75" customHeight="1">
      <c r="A1344" s="134"/>
      <c r="B1344" s="134"/>
      <c r="C1344" s="134"/>
    </row>
    <row r="1345" ht="15.75" customHeight="1">
      <c r="A1345" s="134"/>
      <c r="B1345" s="134"/>
      <c r="C1345" s="134"/>
    </row>
    <row r="1346" ht="15.75" customHeight="1">
      <c r="A1346" s="134"/>
      <c r="B1346" s="134"/>
      <c r="C1346" s="134"/>
    </row>
    <row r="1347" ht="15.75" customHeight="1">
      <c r="A1347" s="134"/>
      <c r="B1347" s="134"/>
      <c r="C1347" s="134"/>
    </row>
    <row r="1348" ht="15.75" customHeight="1">
      <c r="A1348" s="134"/>
      <c r="B1348" s="134"/>
      <c r="C1348" s="134"/>
    </row>
    <row r="1349" ht="15.75" customHeight="1">
      <c r="A1349" s="134"/>
      <c r="B1349" s="134"/>
      <c r="C1349" s="134"/>
    </row>
    <row r="1350" ht="15.75" customHeight="1">
      <c r="A1350" s="134"/>
      <c r="B1350" s="134"/>
      <c r="C1350" s="134"/>
    </row>
    <row r="1351" ht="15.75" customHeight="1">
      <c r="A1351" s="134"/>
      <c r="B1351" s="134"/>
      <c r="C1351" s="134"/>
    </row>
    <row r="1352" ht="15.75" customHeight="1">
      <c r="A1352" s="134"/>
      <c r="B1352" s="134"/>
      <c r="C1352" s="134"/>
    </row>
    <row r="1353" ht="15.75" customHeight="1">
      <c r="A1353" s="134"/>
      <c r="B1353" s="134"/>
      <c r="C1353" s="134"/>
    </row>
    <row r="1354" ht="15.75" customHeight="1">
      <c r="A1354" s="134"/>
      <c r="B1354" s="134"/>
      <c r="C1354" s="134"/>
    </row>
    <row r="1355" ht="15.75" customHeight="1">
      <c r="A1355" s="134"/>
      <c r="B1355" s="134"/>
      <c r="C1355" s="134"/>
    </row>
    <row r="1356" ht="15.75" customHeight="1">
      <c r="A1356" s="134"/>
      <c r="B1356" s="134"/>
      <c r="C1356" s="134"/>
    </row>
    <row r="1357" ht="15.75" customHeight="1">
      <c r="A1357" s="134"/>
      <c r="B1357" s="134"/>
      <c r="C1357" s="134"/>
    </row>
    <row r="1358" ht="15.75" customHeight="1">
      <c r="A1358" s="134"/>
      <c r="B1358" s="134"/>
      <c r="C1358" s="134"/>
    </row>
    <row r="1359" ht="15.75" customHeight="1">
      <c r="A1359" s="134"/>
      <c r="B1359" s="134"/>
      <c r="C1359" s="134"/>
    </row>
    <row r="1360" ht="15.75" customHeight="1">
      <c r="A1360" s="134"/>
      <c r="B1360" s="134"/>
      <c r="C1360" s="134"/>
    </row>
    <row r="1361" ht="15.75" customHeight="1">
      <c r="A1361" s="134"/>
      <c r="B1361" s="134"/>
      <c r="C1361" s="134"/>
    </row>
    <row r="1362" ht="15.75" customHeight="1">
      <c r="A1362" s="134"/>
      <c r="B1362" s="134"/>
      <c r="C1362" s="134"/>
    </row>
    <row r="1363" ht="15.75" customHeight="1">
      <c r="A1363" s="134"/>
      <c r="B1363" s="134"/>
      <c r="C1363" s="134"/>
    </row>
    <row r="1364" ht="15.75" customHeight="1">
      <c r="A1364" s="134"/>
      <c r="B1364" s="134"/>
      <c r="C1364" s="134"/>
    </row>
    <row r="1365" ht="15.75" customHeight="1">
      <c r="A1365" s="134"/>
      <c r="B1365" s="134"/>
      <c r="C1365" s="134"/>
    </row>
    <row r="1366" ht="15.75" customHeight="1">
      <c r="A1366" s="134"/>
      <c r="B1366" s="134"/>
      <c r="C1366" s="134"/>
    </row>
    <row r="1367" ht="15.75" customHeight="1">
      <c r="A1367" s="134"/>
      <c r="B1367" s="134"/>
      <c r="C1367" s="134"/>
    </row>
    <row r="1368" ht="15.75" customHeight="1">
      <c r="A1368" s="134"/>
      <c r="B1368" s="134"/>
      <c r="C1368" s="134"/>
    </row>
    <row r="1369" ht="15.75" customHeight="1">
      <c r="A1369" s="134"/>
      <c r="B1369" s="134"/>
      <c r="C1369" s="134"/>
    </row>
    <row r="1370" ht="15.75" customHeight="1">
      <c r="A1370" s="134"/>
      <c r="B1370" s="134"/>
      <c r="C1370" s="134"/>
    </row>
    <row r="1371" ht="15.75" customHeight="1">
      <c r="A1371" s="134"/>
      <c r="B1371" s="134"/>
      <c r="C1371" s="134"/>
    </row>
    <row r="1372" ht="15.75" customHeight="1">
      <c r="A1372" s="134"/>
      <c r="B1372" s="134"/>
      <c r="C1372" s="134"/>
    </row>
    <row r="1373" ht="15.75" customHeight="1">
      <c r="A1373" s="134"/>
      <c r="B1373" s="134"/>
      <c r="C1373" s="134"/>
    </row>
    <row r="1374" ht="15.75" customHeight="1">
      <c r="A1374" s="134"/>
      <c r="B1374" s="134"/>
      <c r="C1374" s="134"/>
    </row>
    <row r="1375" ht="15.75" customHeight="1">
      <c r="A1375" s="134"/>
      <c r="B1375" s="134"/>
      <c r="C1375" s="134"/>
    </row>
    <row r="1376" ht="15.75" customHeight="1">
      <c r="A1376" s="134"/>
      <c r="B1376" s="134"/>
      <c r="C1376" s="134"/>
    </row>
    <row r="1377" ht="15.75" customHeight="1">
      <c r="A1377" s="134"/>
      <c r="B1377" s="134"/>
      <c r="C1377" s="134"/>
    </row>
    <row r="1378" ht="15.75" customHeight="1">
      <c r="A1378" s="134"/>
      <c r="B1378" s="134"/>
      <c r="C1378" s="134"/>
    </row>
    <row r="1379" ht="15.75" customHeight="1">
      <c r="A1379" s="134"/>
      <c r="B1379" s="134"/>
      <c r="C1379" s="134"/>
    </row>
    <row r="1380" ht="15.75" customHeight="1">
      <c r="A1380" s="134"/>
      <c r="B1380" s="134"/>
      <c r="C1380" s="134"/>
    </row>
    <row r="1381" ht="15.75" customHeight="1">
      <c r="A1381" s="134"/>
      <c r="B1381" s="134"/>
      <c r="C1381" s="134"/>
    </row>
    <row r="1382" ht="15.75" customHeight="1">
      <c r="A1382" s="134"/>
      <c r="B1382" s="134"/>
      <c r="C1382" s="134"/>
    </row>
    <row r="1383" ht="15.75" customHeight="1">
      <c r="A1383" s="134"/>
      <c r="B1383" s="134"/>
      <c r="C1383" s="134"/>
    </row>
    <row r="1384" ht="15.75" customHeight="1">
      <c r="A1384" s="134"/>
      <c r="B1384" s="134"/>
      <c r="C1384" s="134"/>
    </row>
    <row r="1385" ht="15.75" customHeight="1">
      <c r="A1385" s="134"/>
      <c r="B1385" s="134"/>
      <c r="C1385" s="134"/>
    </row>
    <row r="1386" ht="15.75" customHeight="1">
      <c r="A1386" s="134"/>
      <c r="B1386" s="134"/>
      <c r="C1386" s="134"/>
    </row>
    <row r="1387" ht="15.75" customHeight="1">
      <c r="A1387" s="134"/>
      <c r="B1387" s="134"/>
      <c r="C1387" s="134"/>
    </row>
    <row r="1388" ht="15.75" customHeight="1">
      <c r="A1388" s="134"/>
      <c r="B1388" s="134"/>
      <c r="C1388" s="134"/>
    </row>
    <row r="1389" ht="15.75" customHeight="1">
      <c r="A1389" s="134"/>
      <c r="B1389" s="134"/>
      <c r="C1389" s="134"/>
    </row>
    <row r="1390" ht="15.75" customHeight="1">
      <c r="A1390" s="134"/>
      <c r="B1390" s="134"/>
      <c r="C1390" s="134"/>
    </row>
    <row r="1391" ht="15.75" customHeight="1">
      <c r="A1391" s="134"/>
      <c r="B1391" s="134"/>
      <c r="C1391" s="134"/>
    </row>
    <row r="1392" ht="15.75" customHeight="1">
      <c r="A1392" s="134"/>
      <c r="B1392" s="134"/>
      <c r="C1392" s="134"/>
    </row>
    <row r="1393" ht="15.75" customHeight="1">
      <c r="A1393" s="134"/>
      <c r="B1393" s="134"/>
      <c r="C1393" s="134"/>
    </row>
    <row r="1394" ht="15.75" customHeight="1">
      <c r="A1394" s="134"/>
      <c r="B1394" s="134"/>
      <c r="C1394" s="134"/>
    </row>
    <row r="1395" ht="15.75" customHeight="1">
      <c r="A1395" s="134"/>
      <c r="B1395" s="134"/>
      <c r="C1395" s="134"/>
    </row>
    <row r="1396" ht="15.75" customHeight="1">
      <c r="A1396" s="134"/>
      <c r="B1396" s="134"/>
      <c r="C1396" s="134"/>
    </row>
    <row r="1397" ht="15.75" customHeight="1">
      <c r="A1397" s="134"/>
      <c r="B1397" s="134"/>
      <c r="C1397" s="134"/>
    </row>
    <row r="1398" ht="15.75" customHeight="1">
      <c r="A1398" s="134"/>
      <c r="B1398" s="134"/>
      <c r="C1398" s="134"/>
    </row>
    <row r="1399" ht="15.75" customHeight="1">
      <c r="A1399" s="134"/>
      <c r="B1399" s="134"/>
      <c r="C1399" s="134"/>
    </row>
    <row r="1400" ht="15.75" customHeight="1">
      <c r="A1400" s="134"/>
      <c r="B1400" s="134"/>
      <c r="C1400" s="134"/>
    </row>
    <row r="1401" ht="15.75" customHeight="1">
      <c r="A1401" s="134"/>
      <c r="B1401" s="134"/>
      <c r="C1401" s="134"/>
    </row>
    <row r="1402" ht="15.75" customHeight="1">
      <c r="A1402" s="134"/>
      <c r="B1402" s="134"/>
      <c r="C1402" s="134"/>
    </row>
    <row r="1403" ht="15.75" customHeight="1">
      <c r="A1403" s="134"/>
      <c r="B1403" s="134"/>
      <c r="C1403" s="134"/>
    </row>
    <row r="1404" ht="15.75" customHeight="1">
      <c r="A1404" s="134"/>
      <c r="B1404" s="134"/>
      <c r="C1404" s="134"/>
    </row>
    <row r="1405" ht="15.75" customHeight="1">
      <c r="A1405" s="134"/>
      <c r="B1405" s="134"/>
      <c r="C1405" s="134"/>
    </row>
    <row r="1406" ht="15.75" customHeight="1">
      <c r="A1406" s="134"/>
      <c r="B1406" s="134"/>
      <c r="C1406" s="134"/>
    </row>
    <row r="1407" ht="15.75" customHeight="1">
      <c r="A1407" s="134"/>
      <c r="B1407" s="134"/>
      <c r="C1407" s="134"/>
    </row>
    <row r="1408" ht="15.75" customHeight="1">
      <c r="A1408" s="134"/>
      <c r="B1408" s="134"/>
      <c r="C1408" s="134"/>
    </row>
    <row r="1409" ht="15.75" customHeight="1">
      <c r="A1409" s="134"/>
      <c r="B1409" s="134"/>
      <c r="C1409" s="134"/>
    </row>
    <row r="1410" ht="15.75" customHeight="1">
      <c r="A1410" s="134"/>
      <c r="B1410" s="134"/>
      <c r="C1410" s="134"/>
    </row>
    <row r="1411" ht="15.75" customHeight="1">
      <c r="A1411" s="134"/>
      <c r="B1411" s="134"/>
      <c r="C1411" s="134"/>
    </row>
    <row r="1412" ht="15.75" customHeight="1">
      <c r="A1412" s="134"/>
      <c r="B1412" s="134"/>
      <c r="C1412" s="134"/>
    </row>
    <row r="1413" ht="15.75" customHeight="1">
      <c r="A1413" s="134"/>
      <c r="B1413" s="134"/>
      <c r="C1413" s="134"/>
    </row>
    <row r="1414" ht="15.75" customHeight="1">
      <c r="A1414" s="134"/>
      <c r="B1414" s="134"/>
      <c r="C1414" s="134"/>
    </row>
    <row r="1415" ht="15.75" customHeight="1">
      <c r="A1415" s="134"/>
      <c r="B1415" s="134"/>
      <c r="C1415" s="134"/>
    </row>
    <row r="1416" ht="15.75" customHeight="1">
      <c r="A1416" s="134"/>
      <c r="B1416" s="134"/>
      <c r="C1416" s="134"/>
    </row>
    <row r="1417" ht="15.75" customHeight="1">
      <c r="A1417" s="134"/>
      <c r="B1417" s="134"/>
      <c r="C1417" s="134"/>
    </row>
    <row r="1418" ht="15.75" customHeight="1">
      <c r="A1418" s="134"/>
      <c r="B1418" s="134"/>
      <c r="C1418" s="134"/>
    </row>
    <row r="1419" ht="15.75" customHeight="1">
      <c r="A1419" s="134"/>
      <c r="B1419" s="134"/>
      <c r="C1419" s="134"/>
    </row>
    <row r="1420" ht="15.75" customHeight="1">
      <c r="A1420" s="134"/>
      <c r="B1420" s="134"/>
      <c r="C1420" s="134"/>
    </row>
    <row r="1421" ht="15.75" customHeight="1">
      <c r="A1421" s="134"/>
      <c r="B1421" s="134"/>
      <c r="C1421" s="134"/>
    </row>
    <row r="1422" ht="15.75" customHeight="1">
      <c r="A1422" s="134"/>
      <c r="B1422" s="134"/>
      <c r="C1422" s="134"/>
    </row>
    <row r="1423" ht="15.75" customHeight="1">
      <c r="A1423" s="134"/>
      <c r="B1423" s="134"/>
      <c r="C1423" s="134"/>
    </row>
    <row r="1424" ht="15.75" customHeight="1">
      <c r="A1424" s="134"/>
      <c r="B1424" s="134"/>
      <c r="C1424" s="134"/>
    </row>
    <row r="1425" ht="15.75" customHeight="1">
      <c r="A1425" s="134"/>
      <c r="B1425" s="134"/>
      <c r="C1425" s="134"/>
    </row>
    <row r="1426" ht="15.75" customHeight="1">
      <c r="A1426" s="134"/>
      <c r="B1426" s="134"/>
      <c r="C1426" s="134"/>
    </row>
    <row r="1427" ht="15.75" customHeight="1">
      <c r="A1427" s="134"/>
      <c r="B1427" s="134"/>
      <c r="C1427" s="134"/>
    </row>
    <row r="1428" ht="15.75" customHeight="1">
      <c r="A1428" s="134"/>
      <c r="B1428" s="134"/>
      <c r="C1428" s="134"/>
    </row>
    <row r="1429" ht="15.75" customHeight="1">
      <c r="A1429" s="134"/>
      <c r="B1429" s="134"/>
      <c r="C1429" s="134"/>
    </row>
    <row r="1430" ht="15.75" customHeight="1">
      <c r="A1430" s="134"/>
      <c r="B1430" s="134"/>
      <c r="C1430" s="134"/>
    </row>
    <row r="1431" ht="15.75" customHeight="1">
      <c r="A1431" s="134"/>
      <c r="B1431" s="134"/>
      <c r="C1431" s="134"/>
    </row>
    <row r="1432" ht="15.75" customHeight="1">
      <c r="A1432" s="134"/>
      <c r="B1432" s="134"/>
      <c r="C1432" s="134"/>
    </row>
    <row r="1433" ht="15.75" customHeight="1">
      <c r="A1433" s="134"/>
      <c r="B1433" s="134"/>
      <c r="C1433" s="134"/>
    </row>
    <row r="1434" ht="15.75" customHeight="1">
      <c r="A1434" s="134"/>
      <c r="B1434" s="134"/>
      <c r="C1434" s="134"/>
    </row>
    <row r="1435" ht="15.75" customHeight="1">
      <c r="A1435" s="134"/>
      <c r="B1435" s="134"/>
      <c r="C1435" s="134"/>
    </row>
    <row r="1436" ht="15.75" customHeight="1">
      <c r="A1436" s="134"/>
      <c r="B1436" s="134"/>
      <c r="C1436" s="134"/>
    </row>
    <row r="1437" ht="15.75" customHeight="1">
      <c r="A1437" s="134"/>
      <c r="B1437" s="134"/>
      <c r="C1437" s="134"/>
    </row>
    <row r="1438" ht="15.75" customHeight="1">
      <c r="A1438" s="134"/>
      <c r="B1438" s="134"/>
      <c r="C1438" s="134"/>
    </row>
    <row r="1439" ht="15.75" customHeight="1">
      <c r="A1439" s="134"/>
      <c r="B1439" s="134"/>
      <c r="C1439" s="134"/>
    </row>
    <row r="1440" ht="15.75" customHeight="1">
      <c r="A1440" s="134"/>
      <c r="B1440" s="134"/>
      <c r="C1440" s="134"/>
    </row>
    <row r="1441" ht="15.75" customHeight="1">
      <c r="A1441" s="134"/>
      <c r="B1441" s="134"/>
      <c r="C1441" s="134"/>
    </row>
    <row r="1442" ht="15.75" customHeight="1">
      <c r="A1442" s="134"/>
      <c r="B1442" s="134"/>
      <c r="C1442" s="134"/>
    </row>
    <row r="1443" ht="15.75" customHeight="1">
      <c r="A1443" s="134"/>
      <c r="B1443" s="134"/>
      <c r="C1443" s="134"/>
    </row>
    <row r="1444" ht="15.75" customHeight="1">
      <c r="A1444" s="134"/>
      <c r="B1444" s="134"/>
      <c r="C1444" s="134"/>
    </row>
    <row r="1445" ht="15.75" customHeight="1">
      <c r="A1445" s="134"/>
      <c r="B1445" s="134"/>
      <c r="C1445" s="134"/>
    </row>
    <row r="1446" ht="15.75" customHeight="1">
      <c r="A1446" s="134"/>
      <c r="B1446" s="134"/>
      <c r="C1446" s="134"/>
    </row>
    <row r="1447" ht="15.75" customHeight="1">
      <c r="A1447" s="134"/>
      <c r="B1447" s="134"/>
      <c r="C1447" s="134"/>
    </row>
    <row r="1448" ht="15.75" customHeight="1">
      <c r="A1448" s="134"/>
      <c r="B1448" s="134"/>
      <c r="C1448" s="134"/>
    </row>
    <row r="1449" ht="15.75" customHeight="1">
      <c r="A1449" s="134"/>
      <c r="B1449" s="134"/>
      <c r="C1449" s="134"/>
    </row>
    <row r="1450" ht="15.75" customHeight="1">
      <c r="A1450" s="134"/>
      <c r="B1450" s="134"/>
      <c r="C1450" s="134"/>
    </row>
    <row r="1451" ht="15.75" customHeight="1">
      <c r="A1451" s="134"/>
      <c r="B1451" s="134"/>
      <c r="C1451" s="134"/>
    </row>
    <row r="1452" ht="15.75" customHeight="1">
      <c r="A1452" s="134"/>
      <c r="B1452" s="134"/>
      <c r="C1452" s="134"/>
    </row>
    <row r="1453" ht="15.75" customHeight="1">
      <c r="A1453" s="134"/>
      <c r="B1453" s="134"/>
      <c r="C1453" s="134"/>
    </row>
    <row r="1454" ht="15.75" customHeight="1">
      <c r="A1454" s="134"/>
      <c r="B1454" s="134"/>
      <c r="C1454" s="134"/>
    </row>
    <row r="1455" ht="15.75" customHeight="1">
      <c r="A1455" s="134"/>
      <c r="B1455" s="134"/>
      <c r="C1455" s="134"/>
    </row>
    <row r="1456" ht="15.75" customHeight="1">
      <c r="A1456" s="134"/>
      <c r="B1456" s="134"/>
      <c r="C1456" s="134"/>
    </row>
    <row r="1457" ht="15.75" customHeight="1">
      <c r="A1457" s="134"/>
      <c r="B1457" s="134"/>
      <c r="C1457" s="134"/>
    </row>
    <row r="1458" ht="15.75" customHeight="1">
      <c r="A1458" s="134"/>
      <c r="B1458" s="134"/>
      <c r="C1458" s="134"/>
    </row>
    <row r="1459" ht="15.75" customHeight="1">
      <c r="A1459" s="134"/>
      <c r="B1459" s="134"/>
      <c r="C1459" s="134"/>
    </row>
    <row r="1460" ht="15.75" customHeight="1">
      <c r="A1460" s="134"/>
      <c r="B1460" s="134"/>
      <c r="C1460" s="134"/>
    </row>
    <row r="1461" ht="15.75" customHeight="1">
      <c r="A1461" s="134"/>
      <c r="B1461" s="134"/>
      <c r="C1461" s="134"/>
    </row>
    <row r="1462" ht="15.75" customHeight="1">
      <c r="A1462" s="134"/>
      <c r="B1462" s="134"/>
      <c r="C1462" s="134"/>
    </row>
    <row r="1463" ht="15.75" customHeight="1">
      <c r="A1463" s="134"/>
      <c r="B1463" s="134"/>
      <c r="C1463" s="134"/>
    </row>
    <row r="1464" ht="15.75" customHeight="1">
      <c r="A1464" s="134"/>
      <c r="B1464" s="134"/>
      <c r="C1464" s="134"/>
    </row>
    <row r="1465" ht="15.75" customHeight="1">
      <c r="A1465" s="134"/>
      <c r="B1465" s="134"/>
      <c r="C1465" s="134"/>
    </row>
    <row r="1466" ht="15.75" customHeight="1">
      <c r="A1466" s="134"/>
      <c r="B1466" s="134"/>
      <c r="C1466" s="134"/>
    </row>
    <row r="1467" ht="15.75" customHeight="1">
      <c r="A1467" s="134"/>
      <c r="B1467" s="134"/>
      <c r="C1467" s="134"/>
    </row>
    <row r="1468" ht="15.75" customHeight="1">
      <c r="A1468" s="134"/>
      <c r="B1468" s="134"/>
      <c r="C1468" s="134"/>
    </row>
    <row r="1469" ht="15.75" customHeight="1">
      <c r="A1469" s="134"/>
      <c r="B1469" s="134"/>
      <c r="C1469" s="134"/>
    </row>
    <row r="1470" ht="15.75" customHeight="1">
      <c r="A1470" s="134"/>
      <c r="B1470" s="134"/>
      <c r="C1470" s="134"/>
    </row>
    <row r="1471" ht="15.75" customHeight="1">
      <c r="A1471" s="134"/>
      <c r="B1471" s="134"/>
      <c r="C1471" s="134"/>
    </row>
    <row r="1472" ht="15.75" customHeight="1">
      <c r="A1472" s="134"/>
      <c r="B1472" s="134"/>
      <c r="C1472" s="134"/>
    </row>
    <row r="1473" ht="15.75" customHeight="1">
      <c r="A1473" s="134"/>
      <c r="B1473" s="134"/>
      <c r="C1473" s="134"/>
    </row>
    <row r="1474" ht="15.75" customHeight="1">
      <c r="A1474" s="134"/>
      <c r="B1474" s="134"/>
      <c r="C1474" s="134"/>
    </row>
    <row r="1475" ht="15.75" customHeight="1">
      <c r="A1475" s="134"/>
      <c r="B1475" s="134"/>
      <c r="C1475" s="134"/>
    </row>
    <row r="1476" ht="15.75" customHeight="1">
      <c r="A1476" s="134"/>
      <c r="B1476" s="134"/>
      <c r="C1476" s="134"/>
    </row>
    <row r="1477" ht="15.75" customHeight="1">
      <c r="A1477" s="134"/>
      <c r="B1477" s="134"/>
      <c r="C1477" s="134"/>
    </row>
    <row r="1478" ht="15.75" customHeight="1">
      <c r="A1478" s="134"/>
      <c r="B1478" s="134"/>
      <c r="C1478" s="134"/>
    </row>
    <row r="1479" ht="15.75" customHeight="1">
      <c r="A1479" s="134"/>
      <c r="B1479" s="134"/>
      <c r="C1479" s="134"/>
    </row>
    <row r="1480" ht="15.75" customHeight="1">
      <c r="A1480" s="134"/>
      <c r="B1480" s="134"/>
      <c r="C1480" s="134"/>
    </row>
    <row r="1481" ht="15.75" customHeight="1">
      <c r="A1481" s="134"/>
      <c r="B1481" s="134"/>
      <c r="C1481" s="134"/>
    </row>
    <row r="1482" ht="15.75" customHeight="1">
      <c r="A1482" s="134"/>
      <c r="B1482" s="134"/>
      <c r="C1482" s="134"/>
    </row>
    <row r="1483" ht="15.75" customHeight="1">
      <c r="A1483" s="134"/>
      <c r="B1483" s="134"/>
      <c r="C1483" s="134"/>
    </row>
    <row r="1484" ht="15.75" customHeight="1">
      <c r="A1484" s="134"/>
      <c r="B1484" s="134"/>
      <c r="C1484" s="134"/>
    </row>
    <row r="1485" ht="15.75" customHeight="1">
      <c r="A1485" s="134"/>
      <c r="B1485" s="134"/>
      <c r="C1485" s="134"/>
    </row>
    <row r="1486" ht="15.75" customHeight="1">
      <c r="A1486" s="134"/>
      <c r="B1486" s="134"/>
      <c r="C1486" s="134"/>
    </row>
    <row r="1487" ht="15.75" customHeight="1">
      <c r="A1487" s="134"/>
      <c r="B1487" s="134"/>
      <c r="C1487" s="134"/>
    </row>
    <row r="1488" ht="15.75" customHeight="1">
      <c r="A1488" s="134"/>
      <c r="B1488" s="134"/>
      <c r="C1488" s="134"/>
    </row>
    <row r="1489" ht="15.75" customHeight="1">
      <c r="A1489" s="134"/>
      <c r="B1489" s="134"/>
      <c r="C1489" s="134"/>
    </row>
    <row r="1490" ht="15.75" customHeight="1">
      <c r="A1490" s="134"/>
      <c r="B1490" s="134"/>
      <c r="C1490" s="134"/>
    </row>
    <row r="1491" ht="15.75" customHeight="1">
      <c r="A1491" s="134"/>
      <c r="B1491" s="134"/>
      <c r="C1491" s="134"/>
    </row>
    <row r="1492" ht="15.75" customHeight="1">
      <c r="A1492" s="134"/>
      <c r="B1492" s="134"/>
      <c r="C1492" s="134"/>
    </row>
    <row r="1493" ht="15.75" customHeight="1">
      <c r="A1493" s="134"/>
      <c r="B1493" s="134"/>
      <c r="C1493" s="134"/>
    </row>
    <row r="1494" ht="15.75" customHeight="1">
      <c r="A1494" s="134"/>
      <c r="B1494" s="134"/>
      <c r="C1494" s="134"/>
    </row>
    <row r="1495" ht="15.75" customHeight="1">
      <c r="A1495" s="134"/>
      <c r="B1495" s="134"/>
      <c r="C1495" s="134"/>
    </row>
    <row r="1496" ht="15.75" customHeight="1">
      <c r="A1496" s="134"/>
      <c r="B1496" s="134"/>
      <c r="C1496" s="134"/>
    </row>
    <row r="1497" ht="15.75" customHeight="1">
      <c r="A1497" s="134"/>
      <c r="B1497" s="134"/>
      <c r="C1497" s="134"/>
    </row>
    <row r="1498" ht="15.75" customHeight="1">
      <c r="A1498" s="134"/>
      <c r="B1498" s="134"/>
      <c r="C1498" s="134"/>
    </row>
    <row r="1499" ht="15.75" customHeight="1">
      <c r="A1499" s="134"/>
      <c r="B1499" s="134"/>
      <c r="C1499" s="134"/>
    </row>
    <row r="1500" ht="15.75" customHeight="1">
      <c r="A1500" s="134"/>
      <c r="B1500" s="134"/>
      <c r="C1500" s="134"/>
    </row>
    <row r="1501" ht="15.75" customHeight="1">
      <c r="A1501" s="134"/>
      <c r="B1501" s="134"/>
      <c r="C1501" s="134"/>
    </row>
    <row r="1502" ht="15.75" customHeight="1">
      <c r="A1502" s="134"/>
      <c r="B1502" s="134"/>
      <c r="C1502" s="134"/>
    </row>
    <row r="1503" ht="15.75" customHeight="1">
      <c r="A1503" s="134"/>
      <c r="B1503" s="134"/>
      <c r="C1503" s="134"/>
    </row>
    <row r="1504" ht="15.75" customHeight="1">
      <c r="A1504" s="134"/>
      <c r="B1504" s="134"/>
      <c r="C1504" s="134"/>
    </row>
    <row r="1505" ht="15.75" customHeight="1">
      <c r="A1505" s="134"/>
      <c r="B1505" s="134"/>
      <c r="C1505" s="134"/>
    </row>
    <row r="1506" ht="15.75" customHeight="1">
      <c r="A1506" s="134"/>
      <c r="B1506" s="134"/>
      <c r="C1506" s="134"/>
    </row>
    <row r="1507" ht="15.75" customHeight="1">
      <c r="A1507" s="134"/>
      <c r="B1507" s="134"/>
      <c r="C1507" s="134"/>
    </row>
    <row r="1508" ht="15.75" customHeight="1">
      <c r="A1508" s="134"/>
      <c r="B1508" s="134"/>
      <c r="C1508" s="134"/>
    </row>
    <row r="1509" ht="15.75" customHeight="1">
      <c r="A1509" s="134"/>
      <c r="B1509" s="134"/>
      <c r="C1509" s="134"/>
    </row>
    <row r="1510" ht="15.75" customHeight="1">
      <c r="A1510" s="134"/>
      <c r="B1510" s="134"/>
      <c r="C1510" s="134"/>
    </row>
    <row r="1511" ht="15.75" customHeight="1">
      <c r="A1511" s="134"/>
      <c r="B1511" s="134"/>
      <c r="C1511" s="134"/>
    </row>
    <row r="1512" ht="15.75" customHeight="1">
      <c r="A1512" s="134"/>
      <c r="B1512" s="134"/>
      <c r="C1512" s="134"/>
    </row>
    <row r="1513" ht="15.75" customHeight="1">
      <c r="A1513" s="134"/>
      <c r="B1513" s="134"/>
      <c r="C1513" s="134"/>
    </row>
    <row r="1514" ht="15.75" customHeight="1">
      <c r="A1514" s="134"/>
      <c r="B1514" s="134"/>
      <c r="C1514" s="134"/>
    </row>
    <row r="1515" ht="15.75" customHeight="1">
      <c r="A1515" s="134"/>
      <c r="B1515" s="134"/>
      <c r="C1515" s="134"/>
    </row>
    <row r="1516" ht="15.75" customHeight="1">
      <c r="A1516" s="134"/>
      <c r="B1516" s="134"/>
      <c r="C1516" s="134"/>
    </row>
    <row r="1517" ht="15.75" customHeight="1">
      <c r="A1517" s="134"/>
      <c r="B1517" s="134"/>
      <c r="C1517" s="134"/>
    </row>
    <row r="1518" ht="15.75" customHeight="1">
      <c r="A1518" s="134"/>
      <c r="B1518" s="134"/>
      <c r="C1518" s="134"/>
    </row>
    <row r="1519" ht="15.75" customHeight="1">
      <c r="A1519" s="134"/>
      <c r="B1519" s="134"/>
      <c r="C1519" s="134"/>
    </row>
    <row r="1520" ht="15.75" customHeight="1">
      <c r="A1520" s="134"/>
      <c r="B1520" s="134"/>
      <c r="C1520" s="134"/>
    </row>
    <row r="1521" ht="15.75" customHeight="1">
      <c r="A1521" s="134"/>
      <c r="B1521" s="134"/>
      <c r="C1521" s="134"/>
    </row>
    <row r="1522" ht="15.75" customHeight="1">
      <c r="A1522" s="134"/>
      <c r="B1522" s="134"/>
      <c r="C1522" s="134"/>
    </row>
    <row r="1523" ht="15.75" customHeight="1">
      <c r="A1523" s="134"/>
      <c r="B1523" s="134"/>
      <c r="C1523" s="134"/>
    </row>
    <row r="1524" ht="15.75" customHeight="1">
      <c r="A1524" s="134"/>
      <c r="B1524" s="134"/>
      <c r="C1524" s="134"/>
    </row>
    <row r="1525" ht="15.75" customHeight="1">
      <c r="A1525" s="134"/>
      <c r="B1525" s="134"/>
      <c r="C1525" s="134"/>
    </row>
    <row r="1526" ht="15.75" customHeight="1">
      <c r="A1526" s="134"/>
      <c r="B1526" s="134"/>
      <c r="C1526" s="134"/>
    </row>
    <row r="1527" ht="15.75" customHeight="1">
      <c r="A1527" s="134"/>
      <c r="B1527" s="134"/>
      <c r="C1527" s="134"/>
    </row>
    <row r="1528" ht="15.75" customHeight="1">
      <c r="A1528" s="134"/>
      <c r="B1528" s="134"/>
      <c r="C1528" s="134"/>
    </row>
    <row r="1529" ht="15.75" customHeight="1">
      <c r="A1529" s="134"/>
      <c r="B1529" s="134"/>
      <c r="C1529" s="134"/>
    </row>
    <row r="1530" ht="15.75" customHeight="1">
      <c r="A1530" s="134"/>
      <c r="B1530" s="134"/>
      <c r="C1530" s="134"/>
    </row>
    <row r="1531" ht="15.75" customHeight="1">
      <c r="A1531" s="134"/>
      <c r="B1531" s="134"/>
      <c r="C1531" s="134"/>
    </row>
    <row r="1532" ht="15.75" customHeight="1">
      <c r="A1532" s="134"/>
      <c r="B1532" s="134"/>
      <c r="C1532" s="134"/>
    </row>
    <row r="1533" ht="15.75" customHeight="1">
      <c r="A1533" s="134"/>
      <c r="B1533" s="134"/>
      <c r="C1533" s="134"/>
    </row>
    <row r="1534" ht="15.75" customHeight="1">
      <c r="A1534" s="134"/>
      <c r="B1534" s="134"/>
      <c r="C1534" s="134"/>
    </row>
    <row r="1535" ht="15.75" customHeight="1">
      <c r="A1535" s="134"/>
      <c r="B1535" s="134"/>
      <c r="C1535" s="134"/>
    </row>
    <row r="1536" ht="15.75" customHeight="1">
      <c r="A1536" s="134"/>
      <c r="B1536" s="134"/>
      <c r="C1536" s="134"/>
    </row>
    <row r="1537" ht="15.75" customHeight="1">
      <c r="A1537" s="134"/>
      <c r="B1537" s="134"/>
      <c r="C1537" s="134"/>
    </row>
    <row r="1538" ht="15.75" customHeight="1">
      <c r="A1538" s="134"/>
      <c r="B1538" s="134"/>
      <c r="C1538" s="134"/>
    </row>
    <row r="1539" ht="15.75" customHeight="1">
      <c r="A1539" s="134"/>
      <c r="B1539" s="134"/>
      <c r="C1539" s="134"/>
    </row>
    <row r="1540" ht="15.75" customHeight="1">
      <c r="A1540" s="134"/>
      <c r="B1540" s="134"/>
      <c r="C1540" s="134"/>
    </row>
    <row r="1541" ht="15.75" customHeight="1">
      <c r="A1541" s="134"/>
      <c r="B1541" s="134"/>
      <c r="C1541" s="134"/>
    </row>
    <row r="1542" ht="15.75" customHeight="1">
      <c r="A1542" s="134"/>
      <c r="B1542" s="134"/>
      <c r="C1542" s="134"/>
    </row>
    <row r="1543" ht="15.75" customHeight="1">
      <c r="A1543" s="134"/>
      <c r="B1543" s="134"/>
      <c r="C1543" s="134"/>
    </row>
    <row r="1544" ht="15.75" customHeight="1">
      <c r="A1544" s="134"/>
      <c r="B1544" s="134"/>
      <c r="C1544" s="134"/>
    </row>
    <row r="1545" ht="15.75" customHeight="1">
      <c r="A1545" s="134"/>
      <c r="B1545" s="134"/>
      <c r="C1545" s="134"/>
    </row>
    <row r="1546" ht="15.75" customHeight="1">
      <c r="A1546" s="134"/>
      <c r="B1546" s="134"/>
      <c r="C1546" s="134"/>
    </row>
    <row r="1547" ht="15.75" customHeight="1">
      <c r="A1547" s="134"/>
      <c r="B1547" s="134"/>
      <c r="C1547" s="134"/>
    </row>
    <row r="1548" ht="15.75" customHeight="1">
      <c r="A1548" s="134"/>
      <c r="B1548" s="134"/>
      <c r="C1548" s="134"/>
    </row>
    <row r="1549" ht="15.75" customHeight="1">
      <c r="A1549" s="134"/>
      <c r="B1549" s="134"/>
      <c r="C1549" s="134"/>
    </row>
    <row r="1550" ht="15.75" customHeight="1">
      <c r="A1550" s="134"/>
      <c r="B1550" s="134"/>
      <c r="C1550" s="134"/>
    </row>
    <row r="1551" ht="15.75" customHeight="1">
      <c r="A1551" s="134"/>
      <c r="B1551" s="134"/>
      <c r="C1551" s="134"/>
    </row>
    <row r="1552" ht="15.75" customHeight="1">
      <c r="A1552" s="134"/>
      <c r="B1552" s="134"/>
      <c r="C1552" s="134"/>
    </row>
    <row r="1553" ht="15.75" customHeight="1">
      <c r="A1553" s="134"/>
      <c r="B1553" s="134"/>
      <c r="C1553" s="134"/>
    </row>
    <row r="1554" ht="15.75" customHeight="1">
      <c r="A1554" s="134"/>
      <c r="B1554" s="134"/>
      <c r="C1554" s="134"/>
    </row>
    <row r="1555" ht="15.75" customHeight="1">
      <c r="A1555" s="134"/>
      <c r="B1555" s="134"/>
      <c r="C1555" s="134"/>
    </row>
    <row r="1556" ht="15.75" customHeight="1">
      <c r="A1556" s="134"/>
      <c r="B1556" s="134"/>
      <c r="C1556" s="134"/>
    </row>
    <row r="1557" ht="15.75" customHeight="1">
      <c r="A1557" s="134"/>
      <c r="B1557" s="134"/>
      <c r="C1557" s="134"/>
    </row>
    <row r="1558" ht="15.75" customHeight="1">
      <c r="A1558" s="134"/>
      <c r="B1558" s="134"/>
      <c r="C1558" s="134"/>
    </row>
    <row r="1559" ht="15.75" customHeight="1">
      <c r="A1559" s="134"/>
      <c r="B1559" s="134"/>
      <c r="C1559" s="134"/>
    </row>
    <row r="1560" ht="15.75" customHeight="1">
      <c r="A1560" s="134"/>
      <c r="B1560" s="134"/>
      <c r="C1560" s="134"/>
    </row>
    <row r="1561" ht="15.75" customHeight="1">
      <c r="A1561" s="134"/>
      <c r="B1561" s="134"/>
      <c r="C1561" s="134"/>
    </row>
    <row r="1562" ht="15.75" customHeight="1">
      <c r="A1562" s="134"/>
      <c r="B1562" s="134"/>
      <c r="C1562" s="134"/>
    </row>
    <row r="1563" ht="15.75" customHeight="1">
      <c r="A1563" s="134"/>
      <c r="B1563" s="134"/>
      <c r="C1563" s="134"/>
    </row>
    <row r="1564" ht="15.75" customHeight="1">
      <c r="A1564" s="134"/>
      <c r="B1564" s="134"/>
      <c r="C1564" s="134"/>
    </row>
    <row r="1565" ht="15.75" customHeight="1">
      <c r="A1565" s="134"/>
      <c r="B1565" s="134"/>
      <c r="C1565" s="134"/>
    </row>
    <row r="1566" ht="15.75" customHeight="1">
      <c r="A1566" s="134"/>
      <c r="B1566" s="134"/>
      <c r="C1566" s="134"/>
    </row>
    <row r="1567" ht="15.75" customHeight="1">
      <c r="A1567" s="134"/>
      <c r="B1567" s="134"/>
      <c r="C1567" s="134"/>
    </row>
    <row r="1568" ht="15.75" customHeight="1">
      <c r="A1568" s="134"/>
      <c r="B1568" s="134"/>
      <c r="C1568" s="134"/>
    </row>
    <row r="1569" ht="15.75" customHeight="1">
      <c r="A1569" s="134"/>
      <c r="B1569" s="134"/>
      <c r="C1569" s="134"/>
    </row>
    <row r="1570" ht="15.75" customHeight="1">
      <c r="A1570" s="134"/>
      <c r="B1570" s="134"/>
      <c r="C1570" s="134"/>
    </row>
    <row r="1571" ht="15.75" customHeight="1">
      <c r="A1571" s="134"/>
      <c r="B1571" s="134"/>
      <c r="C1571" s="134"/>
    </row>
    <row r="1572" ht="15.75" customHeight="1">
      <c r="A1572" s="134"/>
      <c r="B1572" s="134"/>
      <c r="C1572" s="134"/>
    </row>
    <row r="1573" ht="15.75" customHeight="1">
      <c r="A1573" s="134"/>
      <c r="B1573" s="134"/>
      <c r="C1573" s="134"/>
    </row>
    <row r="1574" ht="15.75" customHeight="1">
      <c r="A1574" s="134"/>
      <c r="B1574" s="134"/>
      <c r="C1574" s="134"/>
    </row>
    <row r="1575" ht="15.75" customHeight="1">
      <c r="A1575" s="134"/>
      <c r="B1575" s="134"/>
      <c r="C1575" s="134"/>
    </row>
    <row r="1576" ht="15.75" customHeight="1">
      <c r="A1576" s="134"/>
      <c r="B1576" s="134"/>
      <c r="C1576" s="134"/>
    </row>
    <row r="1577" ht="15.75" customHeight="1">
      <c r="A1577" s="134"/>
      <c r="B1577" s="134"/>
      <c r="C1577" s="134"/>
    </row>
    <row r="1578" ht="15.75" customHeight="1">
      <c r="A1578" s="134"/>
      <c r="B1578" s="134"/>
      <c r="C1578" s="134"/>
    </row>
    <row r="1579" ht="15.75" customHeight="1">
      <c r="A1579" s="134"/>
      <c r="B1579" s="134"/>
      <c r="C1579" s="134"/>
    </row>
    <row r="1580" ht="15.75" customHeight="1">
      <c r="A1580" s="134"/>
      <c r="B1580" s="134"/>
      <c r="C1580" s="134"/>
    </row>
    <row r="1581" ht="15.75" customHeight="1">
      <c r="A1581" s="134"/>
      <c r="B1581" s="134"/>
      <c r="C1581" s="134"/>
    </row>
    <row r="1582" ht="15.75" customHeight="1">
      <c r="A1582" s="134"/>
      <c r="B1582" s="134"/>
      <c r="C1582" s="134"/>
    </row>
    <row r="1583" ht="15.75" customHeight="1">
      <c r="A1583" s="134"/>
      <c r="B1583" s="134"/>
      <c r="C1583" s="134"/>
    </row>
    <row r="1584" ht="15.75" customHeight="1">
      <c r="A1584" s="134"/>
      <c r="B1584" s="134"/>
      <c r="C1584" s="134"/>
    </row>
    <row r="1585" ht="15.75" customHeight="1">
      <c r="A1585" s="134"/>
      <c r="B1585" s="134"/>
      <c r="C1585" s="134"/>
    </row>
    <row r="1586" ht="15.75" customHeight="1">
      <c r="A1586" s="134"/>
      <c r="B1586" s="134"/>
      <c r="C1586" s="134"/>
    </row>
    <row r="1587" ht="15.75" customHeight="1">
      <c r="A1587" s="134"/>
      <c r="B1587" s="134"/>
      <c r="C1587" s="134"/>
    </row>
    <row r="1588" ht="15.75" customHeight="1">
      <c r="A1588" s="134"/>
      <c r="B1588" s="134"/>
      <c r="C1588" s="134"/>
    </row>
    <row r="1589" ht="15.75" customHeight="1">
      <c r="A1589" s="134"/>
      <c r="B1589" s="134"/>
      <c r="C1589" s="134"/>
    </row>
    <row r="1590" ht="15.75" customHeight="1">
      <c r="A1590" s="134"/>
      <c r="B1590" s="134"/>
      <c r="C1590" s="134"/>
    </row>
    <row r="1591" ht="15.75" customHeight="1">
      <c r="A1591" s="134"/>
      <c r="B1591" s="134"/>
      <c r="C1591" s="134"/>
    </row>
    <row r="1592" ht="15.75" customHeight="1">
      <c r="A1592" s="134"/>
      <c r="B1592" s="134"/>
      <c r="C1592" s="134"/>
    </row>
    <row r="1593" ht="15.75" customHeight="1">
      <c r="A1593" s="134"/>
      <c r="B1593" s="134"/>
      <c r="C1593" s="134"/>
    </row>
    <row r="1594" ht="15.75" customHeight="1">
      <c r="A1594" s="134"/>
      <c r="B1594" s="134"/>
      <c r="C1594" s="134"/>
    </row>
    <row r="1595" ht="15.75" customHeight="1">
      <c r="A1595" s="134"/>
      <c r="B1595" s="134"/>
      <c r="C1595" s="134"/>
    </row>
    <row r="1596" ht="15.75" customHeight="1">
      <c r="A1596" s="134"/>
      <c r="B1596" s="134"/>
      <c r="C1596" s="134"/>
    </row>
    <row r="1597" ht="15.75" customHeight="1">
      <c r="A1597" s="134"/>
      <c r="B1597" s="134"/>
      <c r="C1597" s="134"/>
    </row>
    <row r="1598" ht="15.75" customHeight="1">
      <c r="A1598" s="134"/>
      <c r="B1598" s="134"/>
      <c r="C1598" s="134"/>
    </row>
    <row r="1599" ht="15.75" customHeight="1">
      <c r="A1599" s="134"/>
      <c r="B1599" s="134"/>
      <c r="C1599" s="134"/>
    </row>
    <row r="1600" ht="15.75" customHeight="1">
      <c r="A1600" s="134"/>
      <c r="B1600" s="134"/>
      <c r="C1600" s="134"/>
    </row>
    <row r="1601" ht="15.75" customHeight="1">
      <c r="A1601" s="134"/>
      <c r="B1601" s="134"/>
      <c r="C1601" s="134"/>
    </row>
    <row r="1602" ht="15.75" customHeight="1">
      <c r="A1602" s="134"/>
      <c r="B1602" s="134"/>
      <c r="C1602" s="134"/>
    </row>
    <row r="1603" ht="15.75" customHeight="1">
      <c r="A1603" s="134"/>
      <c r="B1603" s="134"/>
      <c r="C1603" s="134"/>
    </row>
    <row r="1604" ht="15.75" customHeight="1">
      <c r="A1604" s="134"/>
      <c r="B1604" s="134"/>
      <c r="C1604" s="134"/>
    </row>
    <row r="1605" ht="15.75" customHeight="1">
      <c r="A1605" s="134"/>
      <c r="B1605" s="134"/>
      <c r="C1605" s="134"/>
    </row>
    <row r="1606" ht="15.75" customHeight="1">
      <c r="A1606" s="134"/>
      <c r="B1606" s="134"/>
      <c r="C1606" s="134"/>
    </row>
    <row r="1607" ht="15.75" customHeight="1">
      <c r="A1607" s="134"/>
      <c r="B1607" s="134"/>
      <c r="C1607" s="134"/>
    </row>
    <row r="1608" ht="15.75" customHeight="1">
      <c r="A1608" s="134"/>
      <c r="B1608" s="134"/>
      <c r="C1608" s="134"/>
    </row>
    <row r="1609" ht="15.75" customHeight="1">
      <c r="A1609" s="134"/>
      <c r="B1609" s="134"/>
      <c r="C1609" s="134"/>
    </row>
    <row r="1610" ht="15.75" customHeight="1">
      <c r="A1610" s="134"/>
      <c r="B1610" s="134"/>
      <c r="C1610" s="134"/>
    </row>
    <row r="1611" ht="15.75" customHeight="1">
      <c r="A1611" s="134"/>
      <c r="B1611" s="134"/>
      <c r="C1611" s="134"/>
    </row>
    <row r="1612" ht="15.75" customHeight="1">
      <c r="A1612" s="134"/>
      <c r="B1612" s="134"/>
      <c r="C1612" s="134"/>
    </row>
    <row r="1613" ht="15.75" customHeight="1">
      <c r="A1613" s="134"/>
      <c r="B1613" s="134"/>
      <c r="C1613" s="134"/>
    </row>
    <row r="1614" ht="15.75" customHeight="1">
      <c r="A1614" s="134"/>
      <c r="B1614" s="134"/>
      <c r="C1614" s="134"/>
    </row>
    <row r="1615" ht="15.75" customHeight="1">
      <c r="A1615" s="134"/>
      <c r="B1615" s="134"/>
      <c r="C1615" s="134"/>
    </row>
    <row r="1616" ht="15.75" customHeight="1">
      <c r="A1616" s="134"/>
      <c r="B1616" s="134"/>
      <c r="C1616" s="134"/>
    </row>
    <row r="1617" ht="15.75" customHeight="1">
      <c r="A1617" s="134"/>
      <c r="B1617" s="134"/>
      <c r="C1617" s="134"/>
    </row>
    <row r="1618" ht="15.75" customHeight="1">
      <c r="A1618" s="134"/>
      <c r="B1618" s="134"/>
      <c r="C1618" s="134"/>
    </row>
    <row r="1619" ht="15.75" customHeight="1">
      <c r="A1619" s="134"/>
      <c r="B1619" s="134"/>
      <c r="C1619" s="134"/>
    </row>
    <row r="1620" ht="15.75" customHeight="1">
      <c r="A1620" s="134"/>
      <c r="B1620" s="134"/>
      <c r="C1620" s="134"/>
    </row>
    <row r="1621" ht="15.75" customHeight="1">
      <c r="A1621" s="134"/>
      <c r="B1621" s="134"/>
      <c r="C1621" s="134"/>
    </row>
    <row r="1622" ht="15.75" customHeight="1">
      <c r="A1622" s="134"/>
      <c r="B1622" s="134"/>
      <c r="C1622" s="134"/>
    </row>
    <row r="1623" ht="15.75" customHeight="1">
      <c r="A1623" s="134"/>
      <c r="B1623" s="134"/>
      <c r="C1623" s="134"/>
    </row>
    <row r="1624" ht="15.75" customHeight="1">
      <c r="A1624" s="134"/>
      <c r="B1624" s="134"/>
      <c r="C1624" s="134"/>
    </row>
    <row r="1625" ht="15.75" customHeight="1">
      <c r="A1625" s="134"/>
      <c r="B1625" s="134"/>
      <c r="C1625" s="134"/>
    </row>
    <row r="1626" ht="15.75" customHeight="1">
      <c r="A1626" s="134"/>
      <c r="B1626" s="134"/>
      <c r="C1626" s="134"/>
    </row>
    <row r="1627" ht="15.75" customHeight="1">
      <c r="A1627" s="134"/>
      <c r="B1627" s="134"/>
      <c r="C1627" s="134"/>
    </row>
    <row r="1628" ht="15.75" customHeight="1">
      <c r="A1628" s="134"/>
      <c r="B1628" s="134"/>
      <c r="C1628" s="134"/>
    </row>
    <row r="1629" ht="15.75" customHeight="1">
      <c r="A1629" s="134"/>
      <c r="B1629" s="134"/>
      <c r="C1629" s="134"/>
    </row>
    <row r="1630" ht="15.75" customHeight="1">
      <c r="A1630" s="134"/>
      <c r="B1630" s="134"/>
      <c r="C1630" s="134"/>
    </row>
    <row r="1631" ht="15.75" customHeight="1">
      <c r="A1631" s="134"/>
      <c r="B1631" s="134"/>
      <c r="C1631" s="134"/>
    </row>
    <row r="1632" ht="15.75" customHeight="1">
      <c r="A1632" s="134"/>
      <c r="B1632" s="134"/>
      <c r="C1632" s="134"/>
    </row>
    <row r="1633" ht="15.75" customHeight="1">
      <c r="A1633" s="134"/>
      <c r="B1633" s="134"/>
      <c r="C1633" s="134"/>
    </row>
    <row r="1634" ht="15.75" customHeight="1">
      <c r="A1634" s="134"/>
      <c r="B1634" s="134"/>
      <c r="C1634" s="134"/>
    </row>
    <row r="1635" ht="15.75" customHeight="1">
      <c r="A1635" s="134"/>
      <c r="B1635" s="134"/>
      <c r="C1635" s="134"/>
    </row>
    <row r="1636" ht="15.75" customHeight="1">
      <c r="A1636" s="134"/>
      <c r="B1636" s="134"/>
      <c r="C1636" s="134"/>
    </row>
    <row r="1637" ht="15.75" customHeight="1">
      <c r="A1637" s="134"/>
      <c r="B1637" s="134"/>
      <c r="C1637" s="134"/>
    </row>
    <row r="1638" ht="15.75" customHeight="1">
      <c r="A1638" s="134"/>
      <c r="B1638" s="134"/>
      <c r="C1638" s="134"/>
    </row>
    <row r="1639" ht="15.75" customHeight="1">
      <c r="A1639" s="134"/>
      <c r="B1639" s="134"/>
      <c r="C1639" s="134"/>
    </row>
    <row r="1640" ht="15.75" customHeight="1">
      <c r="A1640" s="134"/>
      <c r="B1640" s="134"/>
      <c r="C1640" s="134"/>
    </row>
    <row r="1641" ht="15.75" customHeight="1">
      <c r="A1641" s="134"/>
      <c r="B1641" s="134"/>
      <c r="C1641" s="134"/>
    </row>
    <row r="1642" ht="15.75" customHeight="1">
      <c r="A1642" s="134"/>
      <c r="B1642" s="134"/>
      <c r="C1642" s="134"/>
    </row>
    <row r="1643" ht="15.75" customHeight="1">
      <c r="A1643" s="134"/>
      <c r="B1643" s="134"/>
      <c r="C1643" s="134"/>
    </row>
    <row r="1644" ht="15.75" customHeight="1">
      <c r="A1644" s="134"/>
      <c r="B1644" s="134"/>
      <c r="C1644" s="134"/>
    </row>
    <row r="1645" ht="15.75" customHeight="1">
      <c r="A1645" s="134"/>
      <c r="B1645" s="134"/>
      <c r="C1645" s="134"/>
    </row>
    <row r="1646" ht="15.75" customHeight="1">
      <c r="A1646" s="134"/>
      <c r="B1646" s="134"/>
      <c r="C1646" s="134"/>
    </row>
    <row r="1647" ht="15.75" customHeight="1">
      <c r="A1647" s="134"/>
      <c r="B1647" s="134"/>
      <c r="C1647" s="134"/>
    </row>
    <row r="1648" ht="15.75" customHeight="1">
      <c r="A1648" s="134"/>
      <c r="B1648" s="134"/>
      <c r="C1648" s="134"/>
    </row>
    <row r="1649" ht="15.75" customHeight="1">
      <c r="A1649" s="134"/>
      <c r="B1649" s="134"/>
      <c r="C1649" s="134"/>
    </row>
    <row r="1650" ht="15.75" customHeight="1">
      <c r="A1650" s="134"/>
      <c r="B1650" s="134"/>
      <c r="C1650" s="134"/>
    </row>
    <row r="1651" ht="15.75" customHeight="1">
      <c r="A1651" s="134"/>
      <c r="B1651" s="134"/>
      <c r="C1651" s="134"/>
    </row>
    <row r="1652" ht="15.75" customHeight="1">
      <c r="A1652" s="134"/>
      <c r="B1652" s="134"/>
      <c r="C1652" s="134"/>
    </row>
    <row r="1653" ht="15.75" customHeight="1">
      <c r="A1653" s="134"/>
      <c r="B1653" s="134"/>
      <c r="C1653" s="134"/>
    </row>
    <row r="1654" ht="15.75" customHeight="1">
      <c r="A1654" s="134"/>
      <c r="B1654" s="134"/>
      <c r="C1654" s="134"/>
    </row>
    <row r="1655" ht="15.75" customHeight="1">
      <c r="A1655" s="134"/>
      <c r="B1655" s="134"/>
      <c r="C1655" s="134"/>
    </row>
    <row r="1656" ht="15.75" customHeight="1">
      <c r="A1656" s="134"/>
      <c r="B1656" s="134"/>
      <c r="C1656" s="134"/>
    </row>
    <row r="1657" ht="15.75" customHeight="1">
      <c r="A1657" s="134"/>
      <c r="B1657" s="134"/>
      <c r="C1657" s="134"/>
    </row>
    <row r="1658" ht="15.75" customHeight="1">
      <c r="A1658" s="134"/>
      <c r="B1658" s="134"/>
      <c r="C1658" s="134"/>
    </row>
    <row r="1659" ht="15.75" customHeight="1">
      <c r="A1659" s="134"/>
      <c r="B1659" s="134"/>
      <c r="C1659" s="134"/>
    </row>
    <row r="1660" ht="15.75" customHeight="1">
      <c r="A1660" s="134"/>
      <c r="B1660" s="134"/>
      <c r="C1660" s="134"/>
    </row>
    <row r="1661" ht="15.75" customHeight="1">
      <c r="A1661" s="134"/>
      <c r="B1661" s="134"/>
      <c r="C1661" s="134"/>
    </row>
    <row r="1662" ht="15.75" customHeight="1">
      <c r="A1662" s="134"/>
      <c r="B1662" s="134"/>
      <c r="C1662" s="134"/>
    </row>
    <row r="1663" ht="15.75" customHeight="1">
      <c r="A1663" s="134"/>
      <c r="B1663" s="134"/>
      <c r="C1663" s="134"/>
    </row>
    <row r="1664" ht="15.75" customHeight="1">
      <c r="A1664" s="134"/>
      <c r="B1664" s="134"/>
      <c r="C1664" s="134"/>
    </row>
    <row r="1665" ht="15.75" customHeight="1">
      <c r="A1665" s="134"/>
      <c r="B1665" s="134"/>
      <c r="C1665" s="134"/>
    </row>
    <row r="1666" ht="15.75" customHeight="1">
      <c r="A1666" s="134"/>
      <c r="B1666" s="134"/>
      <c r="C1666" s="134"/>
    </row>
    <row r="1667" ht="15.75" customHeight="1">
      <c r="A1667" s="134"/>
      <c r="B1667" s="134"/>
      <c r="C1667" s="134"/>
    </row>
    <row r="1668" ht="15.75" customHeight="1">
      <c r="A1668" s="134"/>
      <c r="B1668" s="134"/>
      <c r="C1668" s="134"/>
    </row>
    <row r="1669" ht="15.75" customHeight="1">
      <c r="A1669" s="134"/>
      <c r="B1669" s="134"/>
      <c r="C1669" s="134"/>
    </row>
    <row r="1670" ht="15.75" customHeight="1">
      <c r="A1670" s="134"/>
      <c r="B1670" s="134"/>
      <c r="C1670" s="134"/>
    </row>
    <row r="1671" ht="15.75" customHeight="1">
      <c r="A1671" s="134"/>
      <c r="B1671" s="134"/>
      <c r="C1671" s="134"/>
    </row>
    <row r="1672" ht="15.75" customHeight="1">
      <c r="A1672" s="134"/>
      <c r="B1672" s="134"/>
      <c r="C1672" s="134"/>
    </row>
    <row r="1673" ht="15.75" customHeight="1">
      <c r="A1673" s="134"/>
      <c r="B1673" s="134"/>
      <c r="C1673" s="134"/>
    </row>
    <row r="1674" ht="15.75" customHeight="1">
      <c r="A1674" s="134"/>
      <c r="B1674" s="134"/>
      <c r="C1674" s="134"/>
    </row>
    <row r="1675" ht="15.75" customHeight="1">
      <c r="A1675" s="134"/>
      <c r="B1675" s="134"/>
      <c r="C1675" s="134"/>
    </row>
    <row r="1676" ht="15.75" customHeight="1">
      <c r="A1676" s="134"/>
      <c r="B1676" s="134"/>
      <c r="C1676" s="134"/>
    </row>
    <row r="1677" ht="15.75" customHeight="1">
      <c r="A1677" s="134"/>
      <c r="B1677" s="134"/>
      <c r="C1677" s="134"/>
    </row>
    <row r="1678" ht="15.75" customHeight="1">
      <c r="A1678" s="134"/>
      <c r="B1678" s="134"/>
      <c r="C1678" s="134"/>
    </row>
    <row r="1679" ht="15.75" customHeight="1">
      <c r="A1679" s="134"/>
      <c r="B1679" s="134"/>
      <c r="C1679" s="134"/>
    </row>
    <row r="1680" ht="15.75" customHeight="1">
      <c r="A1680" s="134"/>
      <c r="B1680" s="134"/>
      <c r="C1680" s="134"/>
    </row>
    <row r="1681" ht="15.75" customHeight="1">
      <c r="A1681" s="134"/>
      <c r="B1681" s="134"/>
      <c r="C1681" s="134"/>
    </row>
    <row r="1682" ht="15.75" customHeight="1">
      <c r="A1682" s="134"/>
      <c r="B1682" s="134"/>
      <c r="C1682" s="134"/>
    </row>
    <row r="1683" ht="15.75" customHeight="1">
      <c r="A1683" s="134"/>
      <c r="B1683" s="134"/>
      <c r="C1683" s="134"/>
    </row>
    <row r="1684" ht="15.75" customHeight="1">
      <c r="A1684" s="134"/>
      <c r="B1684" s="134"/>
      <c r="C1684" s="134"/>
    </row>
    <row r="1685" ht="15.75" customHeight="1">
      <c r="A1685" s="134"/>
      <c r="B1685" s="134"/>
      <c r="C1685" s="134"/>
    </row>
    <row r="1686" ht="15.75" customHeight="1">
      <c r="A1686" s="134"/>
      <c r="B1686" s="134"/>
      <c r="C1686" s="134"/>
    </row>
    <row r="1687" ht="15.75" customHeight="1">
      <c r="A1687" s="134"/>
      <c r="B1687" s="134"/>
      <c r="C1687" s="134"/>
    </row>
    <row r="1688" ht="15.75" customHeight="1">
      <c r="A1688" s="134"/>
      <c r="B1688" s="134"/>
      <c r="C1688" s="134"/>
    </row>
    <row r="1689" ht="15.75" customHeight="1">
      <c r="A1689" s="134"/>
      <c r="B1689" s="134"/>
      <c r="C1689" s="134"/>
    </row>
    <row r="1690" ht="15.75" customHeight="1">
      <c r="A1690" s="134"/>
      <c r="B1690" s="134"/>
      <c r="C1690" s="134"/>
    </row>
    <row r="1691" ht="15.75" customHeight="1">
      <c r="A1691" s="134"/>
      <c r="B1691" s="134"/>
      <c r="C1691" s="134"/>
    </row>
    <row r="1692" ht="15.75" customHeight="1">
      <c r="A1692" s="134"/>
      <c r="B1692" s="134"/>
      <c r="C1692" s="134"/>
    </row>
    <row r="1693" ht="15.75" customHeight="1">
      <c r="A1693" s="134"/>
      <c r="B1693" s="134"/>
      <c r="C1693" s="134"/>
    </row>
    <row r="1694" ht="15.75" customHeight="1">
      <c r="A1694" s="134"/>
      <c r="B1694" s="134"/>
      <c r="C1694" s="134"/>
    </row>
    <row r="1695" ht="15.75" customHeight="1">
      <c r="A1695" s="134"/>
      <c r="B1695" s="134"/>
      <c r="C1695" s="134"/>
    </row>
    <row r="1696" ht="15.75" customHeight="1">
      <c r="A1696" s="134"/>
      <c r="B1696" s="134"/>
      <c r="C1696" s="134"/>
    </row>
    <row r="1697" ht="15.75" customHeight="1">
      <c r="A1697" s="134"/>
      <c r="B1697" s="134"/>
      <c r="C1697" s="134"/>
    </row>
    <row r="1698" ht="15.75" customHeight="1">
      <c r="A1698" s="134"/>
      <c r="B1698" s="134"/>
      <c r="C1698" s="134"/>
    </row>
    <row r="1699" ht="15.75" customHeight="1">
      <c r="A1699" s="134"/>
      <c r="B1699" s="134"/>
      <c r="C1699" s="134"/>
    </row>
    <row r="1700" ht="15.75" customHeight="1">
      <c r="A1700" s="134"/>
      <c r="B1700" s="134"/>
      <c r="C1700" s="134"/>
    </row>
    <row r="1701" ht="15.75" customHeight="1">
      <c r="A1701" s="134"/>
      <c r="B1701" s="134"/>
      <c r="C1701" s="134"/>
    </row>
    <row r="1702" ht="15.75" customHeight="1">
      <c r="A1702" s="134"/>
      <c r="B1702" s="134"/>
      <c r="C1702" s="134"/>
    </row>
    <row r="1703" ht="15.75" customHeight="1">
      <c r="A1703" s="134"/>
      <c r="B1703" s="134"/>
      <c r="C1703" s="134"/>
    </row>
    <row r="1704" ht="15.75" customHeight="1">
      <c r="A1704" s="134"/>
      <c r="B1704" s="134"/>
      <c r="C1704" s="134"/>
    </row>
    <row r="1705" ht="15.75" customHeight="1">
      <c r="A1705" s="134"/>
      <c r="B1705" s="134"/>
      <c r="C1705" s="134"/>
    </row>
    <row r="1706" ht="15.75" customHeight="1">
      <c r="A1706" s="134"/>
      <c r="B1706" s="134"/>
      <c r="C1706" s="134"/>
    </row>
    <row r="1707" ht="15.75" customHeight="1">
      <c r="A1707" s="134"/>
      <c r="B1707" s="134"/>
      <c r="C1707" s="134"/>
    </row>
    <row r="1708" ht="15.75" customHeight="1">
      <c r="A1708" s="134"/>
      <c r="B1708" s="134"/>
      <c r="C1708" s="134"/>
    </row>
    <row r="1709" ht="15.75" customHeight="1">
      <c r="A1709" s="134"/>
      <c r="B1709" s="134"/>
      <c r="C1709" s="134"/>
    </row>
    <row r="1710" ht="15.75" customHeight="1">
      <c r="A1710" s="134"/>
      <c r="B1710" s="134"/>
      <c r="C1710" s="134"/>
    </row>
    <row r="1711" ht="15.75" customHeight="1">
      <c r="A1711" s="134"/>
      <c r="B1711" s="134"/>
      <c r="C1711" s="134"/>
    </row>
    <row r="1712" ht="15.75" customHeight="1">
      <c r="A1712" s="134"/>
      <c r="B1712" s="134"/>
      <c r="C1712" s="134"/>
    </row>
    <row r="1713" ht="15.75" customHeight="1">
      <c r="A1713" s="134"/>
      <c r="B1713" s="134"/>
      <c r="C1713" s="134"/>
    </row>
    <row r="1714" ht="15.75" customHeight="1">
      <c r="A1714" s="134"/>
      <c r="B1714" s="134"/>
      <c r="C1714" s="134"/>
    </row>
    <row r="1715" ht="15.75" customHeight="1">
      <c r="A1715" s="134"/>
      <c r="B1715" s="134"/>
      <c r="C1715" s="134"/>
    </row>
    <row r="1716" ht="15.75" customHeight="1">
      <c r="A1716" s="134"/>
      <c r="B1716" s="134"/>
      <c r="C1716" s="134"/>
    </row>
    <row r="1717" ht="15.75" customHeight="1">
      <c r="A1717" s="134"/>
      <c r="B1717" s="134"/>
      <c r="C1717" s="134"/>
    </row>
    <row r="1718" ht="15.75" customHeight="1">
      <c r="A1718" s="134"/>
      <c r="B1718" s="134"/>
      <c r="C1718" s="134"/>
    </row>
    <row r="1719" ht="15.75" customHeight="1">
      <c r="A1719" s="134"/>
      <c r="B1719" s="134"/>
      <c r="C1719" s="134"/>
    </row>
    <row r="1720" ht="15.75" customHeight="1">
      <c r="A1720" s="134"/>
      <c r="B1720" s="134"/>
      <c r="C1720" s="134"/>
    </row>
    <row r="1721" ht="15.75" customHeight="1">
      <c r="A1721" s="134"/>
      <c r="B1721" s="134"/>
      <c r="C1721" s="134"/>
    </row>
    <row r="1722" ht="15.75" customHeight="1">
      <c r="A1722" s="134"/>
      <c r="B1722" s="134"/>
      <c r="C1722" s="134"/>
    </row>
    <row r="1723" ht="15.75" customHeight="1">
      <c r="A1723" s="134"/>
      <c r="B1723" s="134"/>
      <c r="C1723" s="134"/>
    </row>
    <row r="1724" ht="15.75" customHeight="1">
      <c r="A1724" s="134"/>
      <c r="B1724" s="134"/>
      <c r="C1724" s="134"/>
    </row>
    <row r="1725" ht="15.75" customHeight="1">
      <c r="A1725" s="134"/>
      <c r="B1725" s="134"/>
      <c r="C1725" s="134"/>
    </row>
    <row r="1726" ht="15.75" customHeight="1">
      <c r="A1726" s="134"/>
      <c r="B1726" s="134"/>
      <c r="C1726" s="134"/>
    </row>
    <row r="1727" ht="15.75" customHeight="1">
      <c r="A1727" s="134"/>
      <c r="B1727" s="134"/>
      <c r="C1727" s="134"/>
    </row>
    <row r="1728" ht="15.75" customHeight="1">
      <c r="A1728" s="134"/>
      <c r="B1728" s="134"/>
      <c r="C1728" s="134"/>
    </row>
    <row r="1729" ht="15.75" customHeight="1">
      <c r="A1729" s="134"/>
      <c r="B1729" s="134"/>
      <c r="C1729" s="134"/>
    </row>
    <row r="1730" ht="15.75" customHeight="1">
      <c r="A1730" s="134"/>
      <c r="B1730" s="134"/>
      <c r="C1730" s="134"/>
    </row>
    <row r="1731" ht="15.75" customHeight="1">
      <c r="A1731" s="134"/>
      <c r="B1731" s="134"/>
      <c r="C1731" s="134"/>
    </row>
    <row r="1732" ht="15.75" customHeight="1">
      <c r="A1732" s="134"/>
      <c r="B1732" s="134"/>
      <c r="C1732" s="134"/>
    </row>
    <row r="1733" ht="15.75" customHeight="1">
      <c r="A1733" s="134"/>
      <c r="B1733" s="134"/>
      <c r="C1733" s="134"/>
    </row>
    <row r="1734" ht="15.75" customHeight="1">
      <c r="A1734" s="134"/>
      <c r="B1734" s="134"/>
      <c r="C1734" s="134"/>
    </row>
    <row r="1735" ht="15.75" customHeight="1">
      <c r="A1735" s="134"/>
      <c r="B1735" s="134"/>
      <c r="C1735" s="134"/>
    </row>
    <row r="1736" ht="15.75" customHeight="1">
      <c r="A1736" s="134"/>
      <c r="B1736" s="134"/>
      <c r="C1736" s="134"/>
    </row>
    <row r="1737" ht="15.75" customHeight="1">
      <c r="A1737" s="134"/>
      <c r="B1737" s="134"/>
      <c r="C1737" s="134"/>
    </row>
    <row r="1738" ht="15.75" customHeight="1">
      <c r="A1738" s="134"/>
      <c r="B1738" s="134"/>
      <c r="C1738" s="134"/>
    </row>
    <row r="1739" ht="15.75" customHeight="1">
      <c r="A1739" s="134"/>
      <c r="B1739" s="134"/>
      <c r="C1739" s="134"/>
    </row>
    <row r="1740" ht="15.75" customHeight="1">
      <c r="A1740" s="134"/>
      <c r="B1740" s="134"/>
      <c r="C1740" s="134"/>
    </row>
    <row r="1741" ht="15.75" customHeight="1">
      <c r="A1741" s="134"/>
      <c r="B1741" s="134"/>
      <c r="C1741" s="134"/>
    </row>
    <row r="1742" ht="15.75" customHeight="1">
      <c r="A1742" s="134"/>
      <c r="B1742" s="134"/>
      <c r="C1742" s="134"/>
    </row>
    <row r="1743" ht="15.75" customHeight="1">
      <c r="A1743" s="134"/>
      <c r="B1743" s="134"/>
      <c r="C1743" s="134"/>
    </row>
    <row r="1744" ht="15.75" customHeight="1">
      <c r="A1744" s="134"/>
      <c r="B1744" s="134"/>
      <c r="C1744" s="134"/>
    </row>
    <row r="1745" ht="15.75" customHeight="1">
      <c r="A1745" s="134"/>
      <c r="B1745" s="134"/>
      <c r="C1745" s="134"/>
    </row>
    <row r="1746" ht="15.75" customHeight="1">
      <c r="A1746" s="134"/>
      <c r="B1746" s="134"/>
      <c r="C1746" s="134"/>
    </row>
    <row r="1747" ht="15.75" customHeight="1">
      <c r="A1747" s="134"/>
      <c r="B1747" s="134"/>
      <c r="C1747" s="134"/>
    </row>
    <row r="1748" ht="15.75" customHeight="1">
      <c r="A1748" s="134"/>
      <c r="B1748" s="134"/>
      <c r="C1748" s="134"/>
    </row>
    <row r="1749" ht="15.75" customHeight="1">
      <c r="A1749" s="134"/>
      <c r="B1749" s="134"/>
      <c r="C1749" s="134"/>
    </row>
    <row r="1750" ht="15.75" customHeight="1">
      <c r="A1750" s="134"/>
      <c r="B1750" s="134"/>
      <c r="C1750" s="134"/>
    </row>
    <row r="1751" ht="15.75" customHeight="1">
      <c r="A1751" s="134"/>
      <c r="B1751" s="134"/>
      <c r="C1751" s="134"/>
    </row>
    <row r="1752" ht="15.75" customHeight="1">
      <c r="A1752" s="134"/>
      <c r="B1752" s="134"/>
      <c r="C1752" s="134"/>
    </row>
    <row r="1753" ht="15.75" customHeight="1">
      <c r="A1753" s="134"/>
      <c r="B1753" s="134"/>
      <c r="C1753" s="134"/>
    </row>
    <row r="1754" ht="15.75" customHeight="1">
      <c r="A1754" s="134"/>
      <c r="B1754" s="134"/>
      <c r="C1754" s="134"/>
    </row>
    <row r="1755" ht="15.75" customHeight="1">
      <c r="A1755" s="134"/>
      <c r="B1755" s="134"/>
      <c r="C1755" s="134"/>
    </row>
    <row r="1756" ht="15.75" customHeight="1">
      <c r="A1756" s="134"/>
      <c r="B1756" s="134"/>
      <c r="C1756" s="134"/>
    </row>
    <row r="1757" ht="15.75" customHeight="1">
      <c r="A1757" s="134"/>
      <c r="B1757" s="134"/>
      <c r="C1757" s="134"/>
    </row>
    <row r="1758" ht="15.75" customHeight="1">
      <c r="A1758" s="134"/>
      <c r="B1758" s="134"/>
      <c r="C1758" s="134"/>
    </row>
    <row r="1759" ht="15.75" customHeight="1">
      <c r="A1759" s="134"/>
      <c r="B1759" s="134"/>
      <c r="C1759" s="134"/>
    </row>
    <row r="1760" ht="15.75" customHeight="1">
      <c r="A1760" s="134"/>
      <c r="B1760" s="134"/>
      <c r="C1760" s="134"/>
    </row>
    <row r="1761" ht="15.75" customHeight="1">
      <c r="A1761" s="134"/>
      <c r="B1761" s="134"/>
      <c r="C1761" s="134"/>
    </row>
    <row r="1762" ht="15.75" customHeight="1">
      <c r="A1762" s="134"/>
      <c r="B1762" s="134"/>
      <c r="C1762" s="134"/>
    </row>
    <row r="1763" ht="15.75" customHeight="1">
      <c r="A1763" s="134"/>
      <c r="B1763" s="134"/>
      <c r="C1763" s="134"/>
    </row>
    <row r="1764" ht="15.75" customHeight="1">
      <c r="A1764" s="134"/>
      <c r="B1764" s="134"/>
      <c r="C1764" s="134"/>
    </row>
    <row r="1765" ht="15.75" customHeight="1">
      <c r="A1765" s="134"/>
      <c r="B1765" s="134"/>
      <c r="C1765" s="134"/>
    </row>
    <row r="1766" ht="15.75" customHeight="1">
      <c r="A1766" s="134"/>
      <c r="B1766" s="134"/>
      <c r="C1766" s="134"/>
    </row>
    <row r="1767" ht="15.75" customHeight="1">
      <c r="A1767" s="134"/>
      <c r="B1767" s="134"/>
      <c r="C1767" s="134"/>
    </row>
    <row r="1768" ht="15.75" customHeight="1">
      <c r="A1768" s="134"/>
      <c r="B1768" s="134"/>
      <c r="C1768" s="134"/>
    </row>
    <row r="1769" ht="15.75" customHeight="1">
      <c r="A1769" s="134"/>
      <c r="B1769" s="134"/>
      <c r="C1769" s="134"/>
    </row>
    <row r="1770" ht="15.75" customHeight="1">
      <c r="A1770" s="134"/>
      <c r="B1770" s="134"/>
      <c r="C1770" s="134"/>
    </row>
    <row r="1771" ht="15.75" customHeight="1">
      <c r="A1771" s="134"/>
      <c r="B1771" s="134"/>
      <c r="C1771" s="134"/>
    </row>
    <row r="1772" ht="15.75" customHeight="1">
      <c r="A1772" s="134"/>
      <c r="B1772" s="134"/>
      <c r="C1772" s="134"/>
    </row>
    <row r="1773" ht="15.75" customHeight="1">
      <c r="A1773" s="134"/>
      <c r="B1773" s="134"/>
      <c r="C1773" s="134"/>
    </row>
    <row r="1774" ht="15.75" customHeight="1">
      <c r="A1774" s="134"/>
      <c r="B1774" s="134"/>
      <c r="C1774" s="134"/>
    </row>
    <row r="1775" ht="15.75" customHeight="1">
      <c r="A1775" s="134"/>
      <c r="B1775" s="134"/>
      <c r="C1775" s="134"/>
    </row>
    <row r="1776" ht="15.75" customHeight="1">
      <c r="A1776" s="134"/>
      <c r="B1776" s="134"/>
      <c r="C1776" s="134"/>
    </row>
    <row r="1777" ht="15.75" customHeight="1">
      <c r="A1777" s="134"/>
      <c r="B1777" s="134"/>
      <c r="C1777" s="134"/>
    </row>
    <row r="1778" ht="15.75" customHeight="1">
      <c r="A1778" s="134"/>
      <c r="B1778" s="134"/>
      <c r="C1778" s="134"/>
    </row>
    <row r="1779" ht="15.75" customHeight="1">
      <c r="A1779" s="134"/>
      <c r="B1779" s="134"/>
      <c r="C1779" s="134"/>
    </row>
    <row r="1780" ht="15.75" customHeight="1">
      <c r="A1780" s="134"/>
      <c r="B1780" s="134"/>
      <c r="C1780" s="134"/>
    </row>
    <row r="1781" ht="15.75" customHeight="1">
      <c r="A1781" s="134"/>
      <c r="B1781" s="134"/>
      <c r="C1781" s="134"/>
    </row>
    <row r="1782" ht="15.75" customHeight="1">
      <c r="A1782" s="134"/>
      <c r="B1782" s="134"/>
      <c r="C1782" s="134"/>
    </row>
    <row r="1783" ht="15.75" customHeight="1">
      <c r="A1783" s="134"/>
      <c r="B1783" s="134"/>
      <c r="C1783" s="134"/>
    </row>
    <row r="1784" ht="15.75" customHeight="1">
      <c r="A1784" s="134"/>
      <c r="B1784" s="134"/>
      <c r="C1784" s="134"/>
    </row>
    <row r="1785" ht="15.75" customHeight="1">
      <c r="A1785" s="134"/>
      <c r="B1785" s="134"/>
      <c r="C1785" s="134"/>
    </row>
    <row r="1786" ht="15.75" customHeight="1">
      <c r="A1786" s="134"/>
      <c r="B1786" s="134"/>
      <c r="C1786" s="134"/>
    </row>
    <row r="1787" ht="15.75" customHeight="1">
      <c r="A1787" s="134"/>
      <c r="B1787" s="134"/>
      <c r="C1787" s="134"/>
    </row>
    <row r="1788" ht="15.75" customHeight="1">
      <c r="A1788" s="134"/>
      <c r="B1788" s="134"/>
      <c r="C1788" s="134"/>
    </row>
    <row r="1789" ht="15.75" customHeight="1">
      <c r="A1789" s="134"/>
      <c r="B1789" s="134"/>
      <c r="C1789" s="134"/>
    </row>
    <row r="1790" ht="15.75" customHeight="1">
      <c r="A1790" s="134"/>
      <c r="B1790" s="134"/>
      <c r="C1790" s="134"/>
    </row>
    <row r="1791" ht="15.75" customHeight="1">
      <c r="A1791" s="134"/>
      <c r="B1791" s="134"/>
      <c r="C1791" s="134"/>
    </row>
    <row r="1792" ht="15.75" customHeight="1">
      <c r="A1792" s="134"/>
      <c r="B1792" s="134"/>
      <c r="C1792" s="134"/>
    </row>
    <row r="1793" ht="15.75" customHeight="1">
      <c r="A1793" s="134"/>
      <c r="B1793" s="134"/>
      <c r="C1793" s="134"/>
    </row>
    <row r="1794" ht="15.75" customHeight="1">
      <c r="A1794" s="134"/>
      <c r="B1794" s="134"/>
      <c r="C1794" s="134"/>
    </row>
    <row r="1795" ht="15.75" customHeight="1">
      <c r="A1795" s="134"/>
      <c r="B1795" s="134"/>
      <c r="C1795" s="134"/>
    </row>
    <row r="1796" ht="15.75" customHeight="1">
      <c r="A1796" s="134"/>
      <c r="B1796" s="134"/>
      <c r="C1796" s="134"/>
    </row>
    <row r="1797" ht="15.75" customHeight="1">
      <c r="A1797" s="134"/>
      <c r="B1797" s="134"/>
      <c r="C1797" s="134"/>
    </row>
    <row r="1798" ht="15.75" customHeight="1">
      <c r="A1798" s="134"/>
      <c r="B1798" s="134"/>
      <c r="C1798" s="134"/>
    </row>
    <row r="1799" ht="15.75" customHeight="1">
      <c r="A1799" s="134"/>
      <c r="B1799" s="134"/>
      <c r="C1799" s="134"/>
    </row>
    <row r="1800" ht="15.75" customHeight="1">
      <c r="A1800" s="134"/>
      <c r="B1800" s="134"/>
      <c r="C1800" s="134"/>
    </row>
    <row r="1801" ht="15.75" customHeight="1">
      <c r="A1801" s="134"/>
      <c r="B1801" s="134"/>
      <c r="C1801" s="134"/>
    </row>
    <row r="1802" ht="15.75" customHeight="1">
      <c r="A1802" s="134"/>
      <c r="B1802" s="134"/>
      <c r="C1802" s="134"/>
    </row>
    <row r="1803" ht="15.75" customHeight="1">
      <c r="A1803" s="134"/>
      <c r="B1803" s="134"/>
      <c r="C1803" s="134"/>
    </row>
    <row r="1804" ht="15.75" customHeight="1">
      <c r="A1804" s="134"/>
      <c r="B1804" s="134"/>
      <c r="C1804" s="134"/>
    </row>
    <row r="1805" ht="15.75" customHeight="1">
      <c r="A1805" s="134"/>
      <c r="B1805" s="134"/>
      <c r="C1805" s="134"/>
    </row>
    <row r="1806" ht="15.75" customHeight="1">
      <c r="A1806" s="134"/>
      <c r="B1806" s="134"/>
      <c r="C1806" s="134"/>
    </row>
    <row r="1807" ht="15.75" customHeight="1">
      <c r="A1807" s="134"/>
      <c r="B1807" s="134"/>
      <c r="C1807" s="134"/>
    </row>
    <row r="1808" ht="15.75" customHeight="1">
      <c r="A1808" s="134"/>
      <c r="B1808" s="134"/>
      <c r="C1808" s="134"/>
    </row>
    <row r="1809" ht="15.75" customHeight="1">
      <c r="A1809" s="134"/>
      <c r="B1809" s="134"/>
      <c r="C1809" s="134"/>
    </row>
    <row r="1810" ht="15.75" customHeight="1">
      <c r="A1810" s="134"/>
      <c r="B1810" s="134"/>
      <c r="C1810" s="134"/>
    </row>
    <row r="1811" ht="15.75" customHeight="1">
      <c r="A1811" s="134"/>
      <c r="B1811" s="134"/>
      <c r="C1811" s="134"/>
    </row>
    <row r="1812" ht="15.75" customHeight="1">
      <c r="A1812" s="134"/>
      <c r="B1812" s="134"/>
      <c r="C1812" s="134"/>
    </row>
    <row r="1813" ht="15.75" customHeight="1">
      <c r="A1813" s="134"/>
      <c r="B1813" s="134"/>
      <c r="C1813" s="134"/>
    </row>
    <row r="1814" ht="15.75" customHeight="1">
      <c r="A1814" s="134"/>
      <c r="B1814" s="134"/>
      <c r="C1814" s="134"/>
    </row>
    <row r="1815" ht="15.75" customHeight="1">
      <c r="A1815" s="134"/>
      <c r="B1815" s="134"/>
      <c r="C1815" s="134"/>
    </row>
    <row r="1816" ht="15.75" customHeight="1">
      <c r="A1816" s="134"/>
      <c r="B1816" s="134"/>
      <c r="C1816" s="134"/>
    </row>
    <row r="1817" ht="15.75" customHeight="1">
      <c r="A1817" s="134"/>
      <c r="B1817" s="134"/>
      <c r="C1817" s="134"/>
    </row>
    <row r="1818" ht="15.75" customHeight="1">
      <c r="A1818" s="134"/>
      <c r="B1818" s="134"/>
      <c r="C1818" s="134"/>
    </row>
    <row r="1819" ht="15.75" customHeight="1">
      <c r="A1819" s="134"/>
      <c r="B1819" s="134"/>
      <c r="C1819" s="134"/>
    </row>
    <row r="1820" ht="15.75" customHeight="1">
      <c r="A1820" s="134"/>
      <c r="B1820" s="134"/>
      <c r="C1820" s="134"/>
    </row>
    <row r="1821" ht="15.75" customHeight="1">
      <c r="A1821" s="134"/>
      <c r="B1821" s="134"/>
      <c r="C1821" s="134"/>
    </row>
    <row r="1822" ht="15.75" customHeight="1">
      <c r="A1822" s="134"/>
      <c r="B1822" s="134"/>
      <c r="C1822" s="134"/>
    </row>
    <row r="1823" ht="15.75" customHeight="1">
      <c r="A1823" s="134"/>
      <c r="B1823" s="134"/>
      <c r="C1823" s="134"/>
    </row>
    <row r="1824" ht="15.75" customHeight="1">
      <c r="A1824" s="134"/>
      <c r="B1824" s="134"/>
      <c r="C1824" s="134"/>
    </row>
    <row r="1825" ht="15.75" customHeight="1">
      <c r="A1825" s="134"/>
      <c r="B1825" s="134"/>
      <c r="C1825" s="134"/>
    </row>
    <row r="1826" ht="15.75" customHeight="1">
      <c r="A1826" s="134"/>
      <c r="B1826" s="134"/>
      <c r="C1826" s="134"/>
    </row>
    <row r="1827" ht="15.75" customHeight="1">
      <c r="A1827" s="134"/>
      <c r="B1827" s="134"/>
      <c r="C1827" s="134"/>
    </row>
    <row r="1828" ht="15.75" customHeight="1">
      <c r="A1828" s="134"/>
      <c r="B1828" s="134"/>
      <c r="C1828" s="134"/>
    </row>
    <row r="1829" ht="15.75" customHeight="1">
      <c r="A1829" s="134"/>
      <c r="B1829" s="134"/>
      <c r="C1829" s="134"/>
    </row>
    <row r="1830" ht="15.75" customHeight="1">
      <c r="A1830" s="134"/>
      <c r="B1830" s="134"/>
      <c r="C1830" s="134"/>
    </row>
    <row r="1831" ht="15.75" customHeight="1">
      <c r="A1831" s="134"/>
      <c r="B1831" s="134"/>
      <c r="C1831" s="134"/>
    </row>
    <row r="1832" ht="15.75" customHeight="1">
      <c r="A1832" s="134"/>
      <c r="B1832" s="134"/>
      <c r="C1832" s="134"/>
    </row>
    <row r="1833" ht="15.75" customHeight="1">
      <c r="A1833" s="134"/>
      <c r="B1833" s="134"/>
      <c r="C1833" s="134"/>
    </row>
    <row r="1834" ht="15.75" customHeight="1">
      <c r="A1834" s="134"/>
      <c r="B1834" s="134"/>
      <c r="C1834" s="134"/>
    </row>
    <row r="1835" ht="15.75" customHeight="1">
      <c r="A1835" s="134"/>
      <c r="B1835" s="134"/>
      <c r="C1835" s="134"/>
    </row>
    <row r="1836" ht="15.75" customHeight="1">
      <c r="A1836" s="134"/>
      <c r="B1836" s="134"/>
      <c r="C1836" s="134"/>
    </row>
    <row r="1837" ht="15.75" customHeight="1">
      <c r="A1837" s="134"/>
      <c r="B1837" s="134"/>
      <c r="C1837" s="134"/>
    </row>
    <row r="1838" ht="15.75" customHeight="1">
      <c r="A1838" s="134"/>
      <c r="B1838" s="134"/>
      <c r="C1838" s="134"/>
    </row>
    <row r="1839" ht="15.75" customHeight="1">
      <c r="A1839" s="134"/>
      <c r="B1839" s="134"/>
      <c r="C1839" s="134"/>
    </row>
    <row r="1840" ht="15.75" customHeight="1">
      <c r="A1840" s="134"/>
      <c r="B1840" s="134"/>
      <c r="C1840" s="134"/>
    </row>
    <row r="1841" ht="15.75" customHeight="1">
      <c r="A1841" s="134"/>
      <c r="B1841" s="134"/>
      <c r="C1841" s="134"/>
    </row>
    <row r="1842" ht="15.75" customHeight="1">
      <c r="A1842" s="134"/>
      <c r="B1842" s="134"/>
      <c r="C1842" s="134"/>
    </row>
    <row r="1843" ht="15.75" customHeight="1">
      <c r="A1843" s="134"/>
      <c r="B1843" s="134"/>
      <c r="C1843" s="134"/>
    </row>
    <row r="1844" ht="15.75" customHeight="1">
      <c r="A1844" s="134"/>
      <c r="B1844" s="134"/>
      <c r="C1844" s="134"/>
    </row>
    <row r="1845" ht="15.75" customHeight="1">
      <c r="A1845" s="134"/>
      <c r="B1845" s="134"/>
      <c r="C1845" s="134"/>
    </row>
    <row r="1846" ht="15.75" customHeight="1">
      <c r="A1846" s="134"/>
      <c r="B1846" s="134"/>
      <c r="C1846" s="134"/>
    </row>
    <row r="1847" ht="15.75" customHeight="1">
      <c r="A1847" s="134"/>
      <c r="B1847" s="134"/>
      <c r="C1847" s="134"/>
    </row>
    <row r="1848" ht="15.75" customHeight="1">
      <c r="A1848" s="134"/>
      <c r="B1848" s="134"/>
      <c r="C1848" s="134"/>
    </row>
    <row r="1849" ht="15.75" customHeight="1">
      <c r="A1849" s="134"/>
      <c r="B1849" s="134"/>
      <c r="C1849" s="134"/>
    </row>
    <row r="1850" ht="15.75" customHeight="1">
      <c r="A1850" s="134"/>
      <c r="B1850" s="134"/>
      <c r="C1850" s="134"/>
    </row>
    <row r="1851" ht="15.75" customHeight="1">
      <c r="A1851" s="134"/>
      <c r="B1851" s="134"/>
      <c r="C1851" s="134"/>
    </row>
    <row r="1852" ht="15.75" customHeight="1">
      <c r="A1852" s="134"/>
      <c r="B1852" s="134"/>
      <c r="C1852" s="134"/>
    </row>
    <row r="1853" ht="15.75" customHeight="1">
      <c r="A1853" s="134"/>
      <c r="B1853" s="134"/>
      <c r="C1853" s="134"/>
    </row>
    <row r="1854" ht="15.75" customHeight="1">
      <c r="A1854" s="134"/>
      <c r="B1854" s="134"/>
      <c r="C1854" s="134"/>
    </row>
    <row r="1855" ht="15.75" customHeight="1">
      <c r="A1855" s="134"/>
      <c r="B1855" s="134"/>
      <c r="C1855" s="134"/>
    </row>
    <row r="1856" ht="15.75" customHeight="1">
      <c r="A1856" s="134"/>
      <c r="B1856" s="134"/>
      <c r="C1856" s="134"/>
    </row>
    <row r="1857" ht="15.75" customHeight="1">
      <c r="A1857" s="134"/>
      <c r="B1857" s="134"/>
      <c r="C1857" s="134"/>
    </row>
    <row r="1858" ht="15.75" customHeight="1">
      <c r="A1858" s="134"/>
      <c r="B1858" s="134"/>
      <c r="C1858" s="134"/>
    </row>
    <row r="1859" ht="15.75" customHeight="1">
      <c r="A1859" s="134"/>
      <c r="B1859" s="134"/>
      <c r="C1859" s="134"/>
    </row>
    <row r="1860" ht="15.75" customHeight="1">
      <c r="A1860" s="134"/>
      <c r="B1860" s="134"/>
      <c r="C1860" s="134"/>
    </row>
    <row r="1861" ht="15.75" customHeight="1">
      <c r="A1861" s="134"/>
      <c r="B1861" s="134"/>
      <c r="C1861" s="134"/>
    </row>
    <row r="1862" ht="15.75" customHeight="1">
      <c r="A1862" s="134"/>
      <c r="B1862" s="134"/>
      <c r="C1862" s="134"/>
    </row>
    <row r="1863" ht="15.75" customHeight="1">
      <c r="A1863" s="134"/>
      <c r="B1863" s="134"/>
      <c r="C1863" s="134"/>
    </row>
    <row r="1864" ht="15.75" customHeight="1">
      <c r="A1864" s="134"/>
      <c r="B1864" s="134"/>
      <c r="C1864" s="134"/>
    </row>
    <row r="1865" ht="15.75" customHeight="1">
      <c r="A1865" s="134"/>
      <c r="B1865" s="134"/>
      <c r="C1865" s="134"/>
    </row>
    <row r="1866" ht="15.75" customHeight="1">
      <c r="A1866" s="134"/>
      <c r="B1866" s="134"/>
      <c r="C1866" s="134"/>
    </row>
    <row r="1867" ht="15.75" customHeight="1">
      <c r="A1867" s="134"/>
      <c r="B1867" s="134"/>
      <c r="C1867" s="134"/>
    </row>
    <row r="1868" ht="15.75" customHeight="1">
      <c r="A1868" s="134"/>
      <c r="B1868" s="134"/>
      <c r="C1868" s="134"/>
    </row>
    <row r="1869" ht="15.75" customHeight="1">
      <c r="A1869" s="134"/>
      <c r="B1869" s="134"/>
      <c r="C1869" s="134"/>
    </row>
    <row r="1870" ht="15.75" customHeight="1">
      <c r="A1870" s="134"/>
      <c r="B1870" s="134"/>
      <c r="C1870" s="134"/>
    </row>
    <row r="1871" ht="15.75" customHeight="1">
      <c r="A1871" s="134"/>
      <c r="B1871" s="134"/>
      <c r="C1871" s="134"/>
    </row>
    <row r="1872" ht="15.75" customHeight="1">
      <c r="A1872" s="134"/>
      <c r="B1872" s="134"/>
      <c r="C1872" s="134"/>
    </row>
    <row r="1873" ht="15.75" customHeight="1">
      <c r="A1873" s="134"/>
      <c r="B1873" s="134"/>
      <c r="C1873" s="134"/>
    </row>
    <row r="1874" ht="15.75" customHeight="1">
      <c r="A1874" s="134"/>
      <c r="B1874" s="134"/>
      <c r="C1874" s="134"/>
    </row>
    <row r="1875" ht="15.75" customHeight="1">
      <c r="A1875" s="134"/>
      <c r="B1875" s="134"/>
      <c r="C1875" s="134"/>
    </row>
    <row r="1876" ht="15.75" customHeight="1">
      <c r="A1876" s="134"/>
      <c r="B1876" s="134"/>
      <c r="C1876" s="134"/>
    </row>
    <row r="1877" ht="15.75" customHeight="1">
      <c r="A1877" s="134"/>
      <c r="B1877" s="134"/>
      <c r="C1877" s="134"/>
    </row>
    <row r="1878" ht="15.75" customHeight="1">
      <c r="A1878" s="134"/>
      <c r="B1878" s="134"/>
      <c r="C1878" s="134"/>
    </row>
    <row r="1879" ht="15.75" customHeight="1">
      <c r="A1879" s="134"/>
      <c r="B1879" s="134"/>
      <c r="C1879" s="134"/>
    </row>
    <row r="1880" ht="15.75" customHeight="1">
      <c r="A1880" s="134"/>
      <c r="B1880" s="134"/>
      <c r="C1880" s="134"/>
    </row>
    <row r="1881" ht="15.75" customHeight="1">
      <c r="A1881" s="134"/>
      <c r="B1881" s="134"/>
      <c r="C1881" s="134"/>
    </row>
    <row r="1882" ht="15.75" customHeight="1">
      <c r="A1882" s="134"/>
      <c r="B1882" s="134"/>
      <c r="C1882" s="134"/>
    </row>
    <row r="1883" ht="15.75" customHeight="1">
      <c r="A1883" s="134"/>
      <c r="B1883" s="134"/>
      <c r="C1883" s="134"/>
    </row>
    <row r="1884" ht="15.75" customHeight="1">
      <c r="A1884" s="134"/>
      <c r="B1884" s="134"/>
      <c r="C1884" s="134"/>
    </row>
    <row r="1885" ht="15.75" customHeight="1">
      <c r="A1885" s="134"/>
      <c r="B1885" s="134"/>
      <c r="C1885" s="134"/>
    </row>
    <row r="1886" ht="15.75" customHeight="1">
      <c r="A1886" s="134"/>
      <c r="B1886" s="134"/>
      <c r="C1886" s="134"/>
    </row>
    <row r="1887" ht="15.75" customHeight="1">
      <c r="A1887" s="134"/>
      <c r="B1887" s="134"/>
      <c r="C1887" s="134"/>
    </row>
    <row r="1888" ht="15.75" customHeight="1">
      <c r="A1888" s="134"/>
      <c r="B1888" s="134"/>
      <c r="C1888" s="134"/>
    </row>
    <row r="1889" ht="15.75" customHeight="1">
      <c r="A1889" s="134"/>
      <c r="B1889" s="134"/>
      <c r="C1889" s="134"/>
    </row>
    <row r="1890" ht="15.75" customHeight="1">
      <c r="A1890" s="134"/>
      <c r="B1890" s="134"/>
      <c r="C1890" s="134"/>
    </row>
    <row r="1891" ht="15.75" customHeight="1">
      <c r="A1891" s="134"/>
      <c r="B1891" s="134"/>
      <c r="C1891" s="134"/>
    </row>
    <row r="1892" ht="15.75" customHeight="1">
      <c r="A1892" s="134"/>
      <c r="B1892" s="134"/>
      <c r="C1892" s="134"/>
    </row>
    <row r="1893" ht="15.75" customHeight="1">
      <c r="A1893" s="134"/>
      <c r="B1893" s="134"/>
      <c r="C1893" s="134"/>
    </row>
    <row r="1894" ht="15.75" customHeight="1">
      <c r="A1894" s="134"/>
      <c r="B1894" s="134"/>
      <c r="C1894" s="134"/>
    </row>
    <row r="1895" ht="15.75" customHeight="1">
      <c r="A1895" s="134"/>
      <c r="B1895" s="134"/>
      <c r="C1895" s="134"/>
    </row>
    <row r="1896" ht="15.75" customHeight="1">
      <c r="A1896" s="134"/>
      <c r="B1896" s="134"/>
      <c r="C1896" s="134"/>
    </row>
    <row r="1897" ht="15.75" customHeight="1">
      <c r="A1897" s="134"/>
      <c r="B1897" s="134"/>
      <c r="C1897" s="134"/>
    </row>
    <row r="1898" ht="15.75" customHeight="1">
      <c r="A1898" s="134"/>
      <c r="B1898" s="134"/>
      <c r="C1898" s="134"/>
    </row>
    <row r="1899" ht="15.75" customHeight="1">
      <c r="A1899" s="134"/>
      <c r="B1899" s="134"/>
      <c r="C1899" s="134"/>
    </row>
    <row r="1900" ht="15.75" customHeight="1">
      <c r="A1900" s="134"/>
      <c r="B1900" s="134"/>
      <c r="C1900" s="134"/>
    </row>
    <row r="1901" ht="15.75" customHeight="1">
      <c r="A1901" s="134"/>
      <c r="B1901" s="134"/>
      <c r="C1901" s="134"/>
    </row>
    <row r="1902" ht="15.75" customHeight="1">
      <c r="A1902" s="134"/>
      <c r="B1902" s="134"/>
      <c r="C1902" s="134"/>
    </row>
    <row r="1903" ht="15.75" customHeight="1">
      <c r="A1903" s="134"/>
      <c r="B1903" s="134"/>
      <c r="C1903" s="134"/>
    </row>
    <row r="1904" ht="15.75" customHeight="1">
      <c r="A1904" s="134"/>
      <c r="B1904" s="134"/>
      <c r="C1904" s="134"/>
    </row>
    <row r="1905" ht="15.75" customHeight="1">
      <c r="A1905" s="134"/>
      <c r="B1905" s="134"/>
      <c r="C1905" s="134"/>
    </row>
    <row r="1906" ht="15.75" customHeight="1">
      <c r="A1906" s="134"/>
      <c r="B1906" s="134"/>
      <c r="C1906" s="134"/>
    </row>
    <row r="1907" ht="15.75" customHeight="1">
      <c r="A1907" s="134"/>
      <c r="B1907" s="134"/>
      <c r="C1907" s="134"/>
    </row>
    <row r="1908" ht="15.75" customHeight="1">
      <c r="A1908" s="134"/>
      <c r="B1908" s="134"/>
      <c r="C1908" s="134"/>
    </row>
    <row r="1909" ht="15.75" customHeight="1">
      <c r="A1909" s="134"/>
      <c r="B1909" s="134"/>
      <c r="C1909" s="134"/>
    </row>
    <row r="1910" ht="15.75" customHeight="1">
      <c r="A1910" s="134"/>
      <c r="B1910" s="134"/>
      <c r="C1910" s="134"/>
    </row>
    <row r="1911" ht="15.75" customHeight="1">
      <c r="A1911" s="134"/>
      <c r="B1911" s="134"/>
      <c r="C1911" s="134"/>
    </row>
    <row r="1912" ht="15.75" customHeight="1">
      <c r="A1912" s="134"/>
      <c r="B1912" s="134"/>
      <c r="C1912" s="134"/>
    </row>
    <row r="1913" ht="15.75" customHeight="1">
      <c r="A1913" s="134"/>
      <c r="B1913" s="134"/>
      <c r="C1913" s="134"/>
    </row>
    <row r="1914" ht="15.75" customHeight="1">
      <c r="A1914" s="134"/>
      <c r="B1914" s="134"/>
      <c r="C1914" s="134"/>
    </row>
    <row r="1915" ht="15.75" customHeight="1">
      <c r="A1915" s="134"/>
      <c r="B1915" s="134"/>
      <c r="C1915" s="134"/>
    </row>
    <row r="1916" ht="15.75" customHeight="1">
      <c r="A1916" s="134"/>
      <c r="B1916" s="134"/>
      <c r="C1916" s="134"/>
    </row>
    <row r="1917" ht="15.75" customHeight="1">
      <c r="A1917" s="134"/>
      <c r="B1917" s="134"/>
      <c r="C1917" s="134"/>
    </row>
    <row r="1918" ht="15.75" customHeight="1">
      <c r="A1918" s="134"/>
      <c r="B1918" s="134"/>
      <c r="C1918" s="134"/>
    </row>
    <row r="1919" ht="15.75" customHeight="1">
      <c r="A1919" s="134"/>
      <c r="B1919" s="134"/>
      <c r="C1919" s="134"/>
    </row>
    <row r="1920" ht="15.75" customHeight="1">
      <c r="A1920" s="134"/>
      <c r="B1920" s="134"/>
      <c r="C1920" s="134"/>
    </row>
    <row r="1921" ht="15.75" customHeight="1">
      <c r="A1921" s="134"/>
      <c r="B1921" s="134"/>
      <c r="C1921" s="134"/>
    </row>
    <row r="1922" ht="15.75" customHeight="1">
      <c r="A1922" s="134"/>
      <c r="B1922" s="134"/>
      <c r="C1922" s="134"/>
    </row>
    <row r="1923" ht="15.75" customHeight="1">
      <c r="A1923" s="134"/>
      <c r="B1923" s="134"/>
      <c r="C1923" s="134"/>
    </row>
    <row r="1924" ht="15.75" customHeight="1">
      <c r="A1924" s="134"/>
      <c r="B1924" s="134"/>
      <c r="C1924" s="134"/>
    </row>
    <row r="1925" ht="15.75" customHeight="1">
      <c r="A1925" s="134"/>
      <c r="B1925" s="134"/>
      <c r="C1925" s="134"/>
    </row>
    <row r="1926" ht="15.75" customHeight="1">
      <c r="A1926" s="134"/>
      <c r="B1926" s="134"/>
      <c r="C1926" s="134"/>
    </row>
    <row r="1927" ht="15.75" customHeight="1">
      <c r="A1927" s="134"/>
      <c r="B1927" s="134"/>
      <c r="C1927" s="134"/>
    </row>
    <row r="1928" ht="15.75" customHeight="1">
      <c r="A1928" s="134"/>
      <c r="B1928" s="134"/>
      <c r="C1928" s="134"/>
    </row>
    <row r="1929" ht="15.75" customHeight="1">
      <c r="A1929" s="134"/>
      <c r="B1929" s="134"/>
      <c r="C1929" s="134"/>
    </row>
    <row r="1930" ht="15.75" customHeight="1">
      <c r="A1930" s="134"/>
      <c r="B1930" s="134"/>
      <c r="C1930" s="134"/>
    </row>
    <row r="1931" ht="15.75" customHeight="1">
      <c r="A1931" s="134"/>
      <c r="B1931" s="134"/>
      <c r="C1931" s="134"/>
    </row>
    <row r="1932" ht="15.75" customHeight="1">
      <c r="A1932" s="134"/>
      <c r="B1932" s="134"/>
      <c r="C1932" s="134"/>
    </row>
    <row r="1933" ht="15.75" customHeight="1">
      <c r="A1933" s="134"/>
      <c r="B1933" s="134"/>
      <c r="C1933" s="134"/>
    </row>
    <row r="1934" ht="15.75" customHeight="1">
      <c r="A1934" s="134"/>
      <c r="B1934" s="134"/>
      <c r="C1934" s="134"/>
    </row>
    <row r="1935" ht="15.75" customHeight="1">
      <c r="A1935" s="134"/>
      <c r="B1935" s="134"/>
      <c r="C1935" s="134"/>
    </row>
    <row r="1936" ht="15.75" customHeight="1">
      <c r="A1936" s="134"/>
      <c r="B1936" s="134"/>
      <c r="C1936" s="134"/>
    </row>
    <row r="1937" ht="15.75" customHeight="1">
      <c r="A1937" s="134"/>
      <c r="B1937" s="134"/>
      <c r="C1937" s="134"/>
    </row>
    <row r="1938" ht="15.75" customHeight="1">
      <c r="A1938" s="134"/>
      <c r="B1938" s="134"/>
      <c r="C1938" s="134"/>
    </row>
    <row r="1939" ht="15.75" customHeight="1">
      <c r="A1939" s="134"/>
      <c r="B1939" s="134"/>
      <c r="C1939" s="134"/>
    </row>
    <row r="1940" ht="15.75" customHeight="1">
      <c r="A1940" s="134"/>
      <c r="B1940" s="134"/>
      <c r="C1940" s="134"/>
    </row>
    <row r="1941" ht="15.75" customHeight="1">
      <c r="A1941" s="134"/>
      <c r="B1941" s="134"/>
      <c r="C1941" s="134"/>
    </row>
    <row r="1942" ht="15.75" customHeight="1">
      <c r="A1942" s="134"/>
      <c r="B1942" s="134"/>
      <c r="C1942" s="134"/>
    </row>
    <row r="1943" ht="15.75" customHeight="1">
      <c r="A1943" s="134"/>
      <c r="B1943" s="134"/>
      <c r="C1943" s="134"/>
    </row>
    <row r="1944" ht="15.75" customHeight="1">
      <c r="A1944" s="134"/>
      <c r="B1944" s="134"/>
      <c r="C1944" s="134"/>
    </row>
    <row r="1945" ht="15.75" customHeight="1">
      <c r="A1945" s="134"/>
      <c r="B1945" s="134"/>
      <c r="C1945" s="134"/>
    </row>
    <row r="1946" ht="15.75" customHeight="1">
      <c r="A1946" s="134"/>
      <c r="B1946" s="134"/>
      <c r="C1946" s="134"/>
    </row>
    <row r="1947" ht="15.75" customHeight="1">
      <c r="A1947" s="134"/>
      <c r="B1947" s="134"/>
      <c r="C1947" s="134"/>
    </row>
    <row r="1948" ht="15.75" customHeight="1">
      <c r="A1948" s="134"/>
      <c r="B1948" s="134"/>
      <c r="C1948" s="134"/>
    </row>
    <row r="1949" ht="15.75" customHeight="1">
      <c r="A1949" s="134"/>
      <c r="B1949" s="134"/>
      <c r="C1949" s="134"/>
    </row>
    <row r="1950" ht="15.75" customHeight="1">
      <c r="A1950" s="134"/>
      <c r="B1950" s="134"/>
      <c r="C1950" s="134"/>
    </row>
    <row r="1951" ht="15.75" customHeight="1">
      <c r="A1951" s="134"/>
      <c r="B1951" s="134"/>
      <c r="C1951" s="134"/>
    </row>
    <row r="1952" ht="15.75" customHeight="1">
      <c r="A1952" s="134"/>
      <c r="B1952" s="134"/>
      <c r="C1952" s="134"/>
    </row>
    <row r="1953" ht="15.75" customHeight="1">
      <c r="A1953" s="134"/>
      <c r="B1953" s="134"/>
      <c r="C1953" s="134"/>
    </row>
    <row r="1954" ht="15.75" customHeight="1">
      <c r="A1954" s="134"/>
      <c r="B1954" s="134"/>
      <c r="C1954" s="134"/>
    </row>
    <row r="1955" ht="15.75" customHeight="1">
      <c r="A1955" s="134"/>
      <c r="B1955" s="134"/>
      <c r="C1955" s="134"/>
    </row>
    <row r="1956" ht="15.75" customHeight="1">
      <c r="A1956" s="134"/>
      <c r="B1956" s="134"/>
      <c r="C1956" s="134"/>
    </row>
    <row r="1957" ht="15.75" customHeight="1">
      <c r="A1957" s="134"/>
      <c r="B1957" s="134"/>
      <c r="C1957" s="134"/>
    </row>
    <row r="1958" ht="15.75" customHeight="1">
      <c r="A1958" s="134"/>
      <c r="B1958" s="134"/>
      <c r="C1958" s="134"/>
    </row>
    <row r="1959" ht="15.75" customHeight="1">
      <c r="A1959" s="134"/>
      <c r="B1959" s="134"/>
      <c r="C1959" s="134"/>
    </row>
    <row r="1960" ht="15.75" customHeight="1">
      <c r="A1960" s="134"/>
      <c r="B1960" s="134"/>
      <c r="C1960" s="134"/>
    </row>
    <row r="1961" ht="15.75" customHeight="1">
      <c r="A1961" s="134"/>
      <c r="B1961" s="134"/>
      <c r="C1961" s="134"/>
    </row>
    <row r="1962" ht="15.75" customHeight="1">
      <c r="A1962" s="134"/>
      <c r="B1962" s="134"/>
      <c r="C1962" s="134"/>
    </row>
  </sheetData>
  <autoFilter ref="$E$1:$E$964"/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45.86"/>
    <col customWidth="1" min="2" max="2" width="29.86"/>
    <col customWidth="1" min="3" max="3" width="30.43"/>
    <col customWidth="1" min="4" max="4" width="56.71"/>
    <col customWidth="1" min="5" max="5" width="31.43"/>
  </cols>
  <sheetData>
    <row r="1">
      <c r="A1" s="1" t="s">
        <v>0</v>
      </c>
      <c r="B1" s="1" t="s">
        <v>1</v>
      </c>
      <c r="C1" s="1" t="s">
        <v>2</v>
      </c>
      <c r="D1" s="3" t="s">
        <v>3</v>
      </c>
      <c r="E1" s="1" t="s">
        <v>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114"/>
      <c r="AB1" s="114"/>
      <c r="AC1" s="114"/>
    </row>
    <row r="2">
      <c r="A2" s="56" t="s">
        <v>3156</v>
      </c>
      <c r="B2" s="12" t="s">
        <v>3157</v>
      </c>
      <c r="C2" s="56" t="s">
        <v>3158</v>
      </c>
      <c r="D2" s="16" t="s">
        <v>3159</v>
      </c>
      <c r="E2" s="12" t="str">
        <f t="shared" ref="E2:E3" si="1">MID(B2,FIND(" {",B2) + 1 + 1,FIND("}",B2) - 1 - (FIND(" {",B2) + 1))</f>
        <v>supplier</v>
      </c>
      <c r="F2" s="58"/>
      <c r="G2" s="58"/>
      <c r="H2" s="58"/>
      <c r="I2" s="58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114"/>
      <c r="AB2" s="114"/>
      <c r="AC2" s="114"/>
    </row>
    <row r="3">
      <c r="A3" s="56" t="s">
        <v>3160</v>
      </c>
      <c r="B3" s="12" t="s">
        <v>3161</v>
      </c>
      <c r="C3" s="56" t="s">
        <v>3162</v>
      </c>
      <c r="D3" s="16" t="s">
        <v>3163</v>
      </c>
      <c r="E3" s="12" t="str">
        <f t="shared" si="1"/>
        <v>item_code</v>
      </c>
      <c r="F3" s="58"/>
      <c r="G3" s="58"/>
      <c r="H3" s="58"/>
      <c r="I3" s="58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114"/>
      <c r="AB3" s="114"/>
      <c r="AC3" s="114"/>
    </row>
    <row r="4">
      <c r="A4" s="48" t="s">
        <v>3164</v>
      </c>
      <c r="B4" s="11" t="s">
        <v>3165</v>
      </c>
      <c r="C4" s="48" t="s">
        <v>3166</v>
      </c>
      <c r="D4" s="31" t="s">
        <v>3167</v>
      </c>
      <c r="E4" s="59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14"/>
      <c r="AB4" s="114"/>
      <c r="AC4" s="114"/>
    </row>
    <row r="5">
      <c r="A5" s="56" t="s">
        <v>3168</v>
      </c>
      <c r="B5" s="12" t="s">
        <v>3168</v>
      </c>
      <c r="C5" s="56" t="s">
        <v>3169</v>
      </c>
      <c r="D5" s="16" t="s">
        <v>3170</v>
      </c>
      <c r="E5" s="86"/>
      <c r="F5" s="58"/>
      <c r="G5" s="58"/>
      <c r="H5" s="58"/>
      <c r="I5" s="58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114"/>
      <c r="AB5" s="114"/>
      <c r="AC5" s="114"/>
    </row>
    <row r="6">
      <c r="A6" s="29" t="s">
        <v>3171</v>
      </c>
      <c r="B6" s="29" t="s">
        <v>3172</v>
      </c>
      <c r="C6" s="29" t="s">
        <v>3173</v>
      </c>
      <c r="D6" s="16" t="s">
        <v>3174</v>
      </c>
      <c r="E6" s="29" t="s">
        <v>3175</v>
      </c>
      <c r="F6" s="58"/>
      <c r="G6" s="58"/>
      <c r="H6" s="58"/>
      <c r="I6" s="58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114"/>
      <c r="AB6" s="114"/>
      <c r="AC6" s="114"/>
    </row>
    <row r="7">
      <c r="A7" s="56" t="s">
        <v>3176</v>
      </c>
      <c r="B7" s="12" t="s">
        <v>3177</v>
      </c>
      <c r="C7" s="56" t="s">
        <v>3178</v>
      </c>
      <c r="D7" s="16" t="s">
        <v>3179</v>
      </c>
      <c r="E7" s="86"/>
      <c r="F7" s="58"/>
      <c r="G7" s="58"/>
      <c r="H7" s="58"/>
      <c r="I7" s="58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114"/>
      <c r="AB7" s="114"/>
      <c r="AC7" s="114"/>
    </row>
    <row r="8">
      <c r="A8" s="56" t="s">
        <v>3180</v>
      </c>
      <c r="B8" s="12" t="s">
        <v>3181</v>
      </c>
      <c r="C8" s="56" t="s">
        <v>3182</v>
      </c>
      <c r="D8" s="16" t="s">
        <v>3183</v>
      </c>
      <c r="E8" s="86"/>
      <c r="F8" s="58"/>
      <c r="G8" s="58"/>
      <c r="H8" s="58"/>
      <c r="I8" s="58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114"/>
      <c r="AB8" s="114"/>
      <c r="AC8" s="114"/>
    </row>
    <row r="9">
      <c r="A9" s="56" t="s">
        <v>3184</v>
      </c>
      <c r="B9" s="12" t="s">
        <v>3185</v>
      </c>
      <c r="C9" s="56" t="s">
        <v>3186</v>
      </c>
      <c r="D9" s="16" t="s">
        <v>3187</v>
      </c>
      <c r="E9" s="12" t="s">
        <v>3188</v>
      </c>
      <c r="F9" s="58"/>
      <c r="G9" s="58"/>
      <c r="H9" s="58"/>
      <c r="I9" s="58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114"/>
      <c r="AB9" s="114"/>
      <c r="AC9" s="114"/>
    </row>
    <row r="10">
      <c r="A10" s="56" t="s">
        <v>3189</v>
      </c>
      <c r="B10" s="12" t="s">
        <v>3190</v>
      </c>
      <c r="C10" s="56" t="s">
        <v>3191</v>
      </c>
      <c r="D10" s="16" t="s">
        <v>3192</v>
      </c>
      <c r="E10" s="86"/>
      <c r="F10" s="58"/>
      <c r="G10" s="58"/>
      <c r="H10" s="58"/>
      <c r="I10" s="58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114"/>
      <c r="AB10" s="114"/>
      <c r="AC10" s="114"/>
    </row>
    <row r="11">
      <c r="A11" s="56" t="s">
        <v>3193</v>
      </c>
      <c r="B11" s="12" t="s">
        <v>3193</v>
      </c>
      <c r="C11" s="56" t="s">
        <v>3194</v>
      </c>
      <c r="D11" s="16" t="s">
        <v>3195</v>
      </c>
      <c r="E11" s="86"/>
      <c r="F11" s="58"/>
      <c r="G11" s="58"/>
      <c r="H11" s="58"/>
      <c r="I11" s="58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114"/>
      <c r="AB11" s="114"/>
      <c r="AC11" s="114"/>
    </row>
    <row r="12">
      <c r="A12" s="56" t="s">
        <v>3196</v>
      </c>
      <c r="B12" s="12" t="s">
        <v>3197</v>
      </c>
      <c r="C12" s="56" t="s">
        <v>3198</v>
      </c>
      <c r="D12" s="16" t="s">
        <v>3199</v>
      </c>
      <c r="E12" s="12" t="s">
        <v>696</v>
      </c>
      <c r="F12" s="58"/>
      <c r="G12" s="58"/>
      <c r="H12" s="58"/>
      <c r="I12" s="58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114"/>
      <c r="AB12" s="114"/>
      <c r="AC12" s="114"/>
    </row>
    <row r="13">
      <c r="A13" s="56" t="s">
        <v>3200</v>
      </c>
      <c r="B13" s="12" t="s">
        <v>3201</v>
      </c>
      <c r="C13" s="56" t="s">
        <v>3202</v>
      </c>
      <c r="D13" s="16" t="s">
        <v>3203</v>
      </c>
      <c r="E13" s="86"/>
      <c r="F13" s="58"/>
      <c r="G13" s="58"/>
      <c r="H13" s="58"/>
      <c r="I13" s="58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114"/>
      <c r="AB13" s="114"/>
      <c r="AC13" s="114"/>
    </row>
    <row r="14">
      <c r="A14" s="56" t="s">
        <v>3204</v>
      </c>
      <c r="B14" s="12" t="s">
        <v>3204</v>
      </c>
      <c r="C14" s="29" t="s">
        <v>3205</v>
      </c>
      <c r="D14" s="16" t="s">
        <v>3206</v>
      </c>
      <c r="E14" s="86"/>
      <c r="F14" s="58"/>
      <c r="G14" s="58"/>
      <c r="H14" s="58"/>
      <c r="I14" s="58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114"/>
      <c r="AB14" s="114"/>
      <c r="AC14" s="114"/>
    </row>
    <row r="15">
      <c r="A15" s="56" t="s">
        <v>3207</v>
      </c>
      <c r="B15" s="12" t="s">
        <v>3207</v>
      </c>
      <c r="C15" s="56" t="s">
        <v>3208</v>
      </c>
      <c r="D15" s="16" t="s">
        <v>3209</v>
      </c>
      <c r="E15" s="86"/>
      <c r="F15" s="58"/>
      <c r="G15" s="58"/>
      <c r="H15" s="58"/>
      <c r="I15" s="58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114"/>
      <c r="AB15" s="114"/>
      <c r="AC15" s="114"/>
    </row>
    <row r="16">
      <c r="A16" s="56" t="s">
        <v>3210</v>
      </c>
      <c r="B16" s="12" t="s">
        <v>3210</v>
      </c>
      <c r="C16" s="56" t="s">
        <v>3211</v>
      </c>
      <c r="D16" s="16" t="s">
        <v>3212</v>
      </c>
      <c r="E16" s="86"/>
      <c r="F16" s="58"/>
      <c r="G16" s="58"/>
      <c r="H16" s="58"/>
      <c r="I16" s="58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114"/>
      <c r="AB16" s="114"/>
      <c r="AC16" s="114"/>
    </row>
    <row r="17">
      <c r="A17" s="29" t="s">
        <v>3213</v>
      </c>
      <c r="B17" s="29" t="s">
        <v>3214</v>
      </c>
      <c r="C17" s="29" t="s">
        <v>3215</v>
      </c>
      <c r="D17" s="16" t="s">
        <v>3216</v>
      </c>
      <c r="E17" s="86"/>
      <c r="F17" s="58"/>
      <c r="G17" s="58"/>
      <c r="H17" s="58"/>
      <c r="I17" s="58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114"/>
      <c r="AB17" s="114"/>
      <c r="AC17" s="114"/>
    </row>
    <row r="18">
      <c r="A18" s="56" t="s">
        <v>3217</v>
      </c>
      <c r="B18" s="12" t="s">
        <v>3218</v>
      </c>
      <c r="C18" s="56" t="s">
        <v>3219</v>
      </c>
      <c r="D18" s="16" t="s">
        <v>3220</v>
      </c>
      <c r="E18" s="86"/>
      <c r="F18" s="58"/>
      <c r="G18" s="58"/>
      <c r="H18" s="58"/>
      <c r="I18" s="58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114"/>
      <c r="AB18" s="114"/>
      <c r="AC18" s="114"/>
    </row>
    <row r="19">
      <c r="A19" s="56" t="s">
        <v>3221</v>
      </c>
      <c r="B19" s="12" t="s">
        <v>3222</v>
      </c>
      <c r="C19" s="56" t="s">
        <v>3223</v>
      </c>
      <c r="D19" s="16" t="s">
        <v>3224</v>
      </c>
      <c r="E19" s="86"/>
      <c r="F19" s="58"/>
      <c r="G19" s="58"/>
      <c r="H19" s="58"/>
      <c r="I19" s="58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114"/>
      <c r="AB19" s="114"/>
      <c r="AC19" s="114"/>
    </row>
    <row r="20">
      <c r="A20" s="29" t="s">
        <v>3225</v>
      </c>
      <c r="B20" s="29" t="s">
        <v>3226</v>
      </c>
      <c r="C20" s="29" t="s">
        <v>3227</v>
      </c>
      <c r="D20" s="16" t="s">
        <v>3228</v>
      </c>
      <c r="E20" s="12" t="str">
        <f t="shared" ref="E20:E24" si="2">MID(B20,FIND(" {",B20) + 1 + 1,FIND("}",B20) - 1 - (FIND(" {",B20) + 1))</f>
        <v>buyer</v>
      </c>
      <c r="F20" s="58"/>
      <c r="G20" s="58"/>
      <c r="H20" s="58"/>
      <c r="I20" s="58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114"/>
      <c r="AB20" s="114"/>
      <c r="AC20" s="114"/>
    </row>
    <row r="21">
      <c r="A21" s="56" t="s">
        <v>3229</v>
      </c>
      <c r="B21" s="12" t="s">
        <v>3230</v>
      </c>
      <c r="C21" s="56" t="s">
        <v>3231</v>
      </c>
      <c r="D21" s="16" t="s">
        <v>3232</v>
      </c>
      <c r="E21" s="12" t="str">
        <f t="shared" si="2"/>
        <v>supplier</v>
      </c>
      <c r="F21" s="58"/>
      <c r="G21" s="58"/>
      <c r="H21" s="58"/>
      <c r="I21" s="58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114"/>
      <c r="AB21" s="114"/>
      <c r="AC21" s="114"/>
    </row>
    <row r="22">
      <c r="A22" s="56" t="s">
        <v>3233</v>
      </c>
      <c r="B22" s="12" t="s">
        <v>3234</v>
      </c>
      <c r="C22" s="56" t="s">
        <v>3235</v>
      </c>
      <c r="D22" s="16" t="s">
        <v>3236</v>
      </c>
      <c r="E22" s="12" t="str">
        <f t="shared" si="2"/>
        <v>item_code</v>
      </c>
      <c r="F22" s="58"/>
      <c r="G22" s="58"/>
      <c r="H22" s="58"/>
      <c r="I22" s="58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114"/>
      <c r="AB22" s="114"/>
      <c r="AC22" s="114"/>
    </row>
    <row r="23">
      <c r="A23" s="56" t="s">
        <v>3237</v>
      </c>
      <c r="B23" s="12" t="s">
        <v>3238</v>
      </c>
      <c r="C23" s="56" t="s">
        <v>3239</v>
      </c>
      <c r="D23" s="16" t="s">
        <v>3240</v>
      </c>
      <c r="E23" s="12" t="str">
        <f t="shared" si="2"/>
        <v>month</v>
      </c>
      <c r="F23" s="58"/>
      <c r="G23" s="58"/>
      <c r="H23" s="58"/>
      <c r="I23" s="58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114"/>
      <c r="AB23" s="114"/>
      <c r="AC23" s="114"/>
    </row>
    <row r="24">
      <c r="A24" s="56" t="s">
        <v>3241</v>
      </c>
      <c r="B24" s="12" t="s">
        <v>3242</v>
      </c>
      <c r="C24" s="56" t="s">
        <v>3243</v>
      </c>
      <c r="D24" s="16" t="s">
        <v>3244</v>
      </c>
      <c r="E24" s="12" t="str">
        <f t="shared" si="2"/>
        <v>year</v>
      </c>
      <c r="F24" s="58"/>
      <c r="G24" s="58"/>
      <c r="H24" s="58"/>
      <c r="I24" s="58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114"/>
      <c r="AB24" s="114"/>
      <c r="AC24" s="114"/>
    </row>
    <row r="25">
      <c r="A25" s="56" t="s">
        <v>3245</v>
      </c>
      <c r="B25" s="12" t="s">
        <v>3246</v>
      </c>
      <c r="C25" s="56" t="s">
        <v>3247</v>
      </c>
      <c r="D25" s="16" t="s">
        <v>3248</v>
      </c>
      <c r="E25" s="12" t="s">
        <v>1335</v>
      </c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  <c r="AA25" s="115"/>
      <c r="AB25" s="115"/>
      <c r="AC25" s="115"/>
    </row>
    <row r="26">
      <c r="A26" s="29" t="s">
        <v>3249</v>
      </c>
      <c r="B26" s="29" t="s">
        <v>3250</v>
      </c>
      <c r="C26" s="29" t="s">
        <v>3251</v>
      </c>
      <c r="D26" s="16" t="s">
        <v>3252</v>
      </c>
      <c r="E26" s="12" t="str">
        <f t="shared" ref="E26:E28" si="3">MID(B26,FIND(" {",B26) + 1 + 1,FIND("}",B26) - 1 - (FIND(" {",B26) + 1))</f>
        <v>customer</v>
      </c>
      <c r="F26" s="58"/>
      <c r="G26" s="58"/>
      <c r="H26" s="58"/>
      <c r="I26" s="58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114"/>
      <c r="AB26" s="114"/>
      <c r="AC26" s="114"/>
    </row>
    <row r="27">
      <c r="A27" s="29" t="s">
        <v>3253</v>
      </c>
      <c r="B27" s="29" t="s">
        <v>3254</v>
      </c>
      <c r="C27" s="29" t="s">
        <v>3255</v>
      </c>
      <c r="D27" s="16" t="s">
        <v>3256</v>
      </c>
      <c r="E27" s="12" t="str">
        <f t="shared" si="3"/>
        <v>product_group</v>
      </c>
      <c r="F27" s="58"/>
      <c r="G27" s="58"/>
      <c r="H27" s="58"/>
      <c r="I27" s="58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114"/>
      <c r="AB27" s="114"/>
      <c r="AC27" s="114"/>
    </row>
    <row r="28">
      <c r="A28" s="29" t="s">
        <v>3257</v>
      </c>
      <c r="B28" s="29" t="s">
        <v>3258</v>
      </c>
      <c r="C28" s="29" t="s">
        <v>3259</v>
      </c>
      <c r="D28" s="16" t="s">
        <v>3260</v>
      </c>
      <c r="E28" s="12" t="str">
        <f t="shared" si="3"/>
        <v>product_model</v>
      </c>
      <c r="F28" s="58"/>
      <c r="G28" s="58"/>
      <c r="H28" s="58"/>
      <c r="I28" s="58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114"/>
      <c r="AB28" s="114"/>
      <c r="AC28" s="114"/>
    </row>
    <row r="29">
      <c r="A29" s="56" t="s">
        <v>3261</v>
      </c>
      <c r="B29" s="12" t="s">
        <v>3261</v>
      </c>
      <c r="C29" s="56" t="s">
        <v>3262</v>
      </c>
      <c r="D29" s="16" t="s">
        <v>3263</v>
      </c>
      <c r="E29" s="86"/>
      <c r="F29" s="58"/>
      <c r="G29" s="58"/>
      <c r="H29" s="58"/>
      <c r="I29" s="58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114"/>
      <c r="AB29" s="114"/>
      <c r="AC29" s="114"/>
    </row>
    <row r="30">
      <c r="A30" s="56" t="s">
        <v>3264</v>
      </c>
      <c r="B30" s="12" t="s">
        <v>3265</v>
      </c>
      <c r="C30" s="56" t="s">
        <v>3266</v>
      </c>
      <c r="D30" s="16" t="s">
        <v>3267</v>
      </c>
      <c r="E30" s="86"/>
      <c r="F30" s="58"/>
      <c r="G30" s="58"/>
      <c r="H30" s="58"/>
      <c r="I30" s="58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114"/>
      <c r="AB30" s="114"/>
      <c r="AC30" s="114"/>
    </row>
    <row r="31">
      <c r="A31" s="56" t="s">
        <v>3268</v>
      </c>
      <c r="B31" s="12" t="s">
        <v>3269</v>
      </c>
      <c r="C31" s="56" t="s">
        <v>3270</v>
      </c>
      <c r="D31" s="16" t="s">
        <v>3271</v>
      </c>
      <c r="E31" s="86"/>
      <c r="F31" s="58"/>
      <c r="G31" s="58"/>
      <c r="H31" s="58"/>
      <c r="I31" s="58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114"/>
      <c r="AB31" s="114"/>
      <c r="AC31" s="114"/>
    </row>
    <row r="32">
      <c r="A32" s="56" t="s">
        <v>3272</v>
      </c>
      <c r="B32" s="12" t="s">
        <v>3273</v>
      </c>
      <c r="C32" s="56" t="s">
        <v>3274</v>
      </c>
      <c r="D32" s="16" t="s">
        <v>3275</v>
      </c>
      <c r="E32" s="86"/>
      <c r="F32" s="58"/>
      <c r="G32" s="58"/>
      <c r="H32" s="58"/>
      <c r="I32" s="58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114"/>
      <c r="AB32" s="114"/>
      <c r="AC32" s="114"/>
    </row>
    <row r="33">
      <c r="A33" s="56" t="s">
        <v>3276</v>
      </c>
      <c r="B33" s="12" t="s">
        <v>3276</v>
      </c>
      <c r="C33" s="56" t="s">
        <v>3277</v>
      </c>
      <c r="D33" s="16" t="s">
        <v>3278</v>
      </c>
      <c r="E33" s="86"/>
      <c r="F33" s="58"/>
      <c r="G33" s="58"/>
      <c r="H33" s="58"/>
      <c r="I33" s="58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114"/>
      <c r="AB33" s="114"/>
      <c r="AC33" s="114"/>
    </row>
    <row r="34">
      <c r="A34" s="56" t="s">
        <v>3279</v>
      </c>
      <c r="B34" s="12" t="s">
        <v>3280</v>
      </c>
      <c r="C34" s="56" t="s">
        <v>3281</v>
      </c>
      <c r="D34" s="16" t="s">
        <v>3282</v>
      </c>
      <c r="E34" s="86"/>
      <c r="F34" s="58"/>
      <c r="G34" s="58"/>
      <c r="H34" s="58"/>
      <c r="I34" s="58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114"/>
      <c r="AB34" s="114"/>
      <c r="AC34" s="114"/>
    </row>
    <row r="35">
      <c r="A35" s="56" t="s">
        <v>3283</v>
      </c>
      <c r="B35" s="12" t="s">
        <v>3283</v>
      </c>
      <c r="C35" s="56" t="s">
        <v>3284</v>
      </c>
      <c r="D35" s="16" t="s">
        <v>3285</v>
      </c>
      <c r="E35" s="86"/>
      <c r="F35" s="58"/>
      <c r="G35" s="58"/>
      <c r="H35" s="58"/>
      <c r="I35" s="58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114"/>
      <c r="AB35" s="114"/>
      <c r="AC35" s="114"/>
    </row>
    <row r="36">
      <c r="A36" s="29" t="s">
        <v>3286</v>
      </c>
      <c r="B36" s="29" t="s">
        <v>3287</v>
      </c>
      <c r="C36" s="29" t="s">
        <v>3288</v>
      </c>
      <c r="D36" s="16" t="s">
        <v>3289</v>
      </c>
      <c r="E36" s="12" t="str">
        <f t="shared" ref="E36:E40" si="4">MID(B36,FIND(" {",B36) + 1 + 1,FIND("}",B36) - 1 - (FIND(" {",B36) + 1))</f>
        <v>buyer</v>
      </c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  <c r="AA36" s="115"/>
      <c r="AB36" s="115"/>
      <c r="AC36" s="115"/>
    </row>
    <row r="37">
      <c r="A37" s="56" t="s">
        <v>3290</v>
      </c>
      <c r="B37" s="12" t="s">
        <v>3291</v>
      </c>
      <c r="C37" s="56" t="s">
        <v>3292</v>
      </c>
      <c r="D37" s="16" t="s">
        <v>3293</v>
      </c>
      <c r="E37" s="12" t="str">
        <f t="shared" si="4"/>
        <v>supplier</v>
      </c>
      <c r="F37" s="58"/>
      <c r="G37" s="58"/>
      <c r="H37" s="58"/>
      <c r="I37" s="58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114"/>
      <c r="AB37" s="114"/>
      <c r="AC37" s="114"/>
    </row>
    <row r="38">
      <c r="A38" s="56" t="s">
        <v>3294</v>
      </c>
      <c r="B38" s="12" t="s">
        <v>3295</v>
      </c>
      <c r="C38" s="56" t="s">
        <v>3296</v>
      </c>
      <c r="D38" s="16" t="s">
        <v>3297</v>
      </c>
      <c r="E38" s="12" t="str">
        <f t="shared" si="4"/>
        <v>item_code</v>
      </c>
      <c r="F38" s="58"/>
      <c r="G38" s="58"/>
      <c r="H38" s="58"/>
      <c r="I38" s="58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114"/>
      <c r="AB38" s="114"/>
      <c r="AC38" s="114"/>
    </row>
    <row r="39">
      <c r="A39" s="56" t="s">
        <v>3298</v>
      </c>
      <c r="B39" s="12" t="s">
        <v>3299</v>
      </c>
      <c r="C39" s="56" t="s">
        <v>3300</v>
      </c>
      <c r="D39" s="16" t="s">
        <v>3301</v>
      </c>
      <c r="E39" s="12" t="str">
        <f t="shared" si="4"/>
        <v>month</v>
      </c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115"/>
      <c r="AB39" s="115"/>
      <c r="AC39" s="115"/>
    </row>
    <row r="40">
      <c r="A40" s="56" t="s">
        <v>3302</v>
      </c>
      <c r="B40" s="12" t="s">
        <v>3303</v>
      </c>
      <c r="C40" s="56" t="s">
        <v>3304</v>
      </c>
      <c r="D40" s="16" t="s">
        <v>3305</v>
      </c>
      <c r="E40" s="12" t="str">
        <f t="shared" si="4"/>
        <v>year</v>
      </c>
      <c r="F40" s="58"/>
      <c r="G40" s="58"/>
      <c r="H40" s="58"/>
      <c r="I40" s="58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114"/>
      <c r="AB40" s="114"/>
      <c r="AC40" s="114"/>
    </row>
    <row r="41">
      <c r="A41" s="56" t="s">
        <v>3306</v>
      </c>
      <c r="B41" s="12" t="s">
        <v>3307</v>
      </c>
      <c r="C41" s="56" t="s">
        <v>3308</v>
      </c>
      <c r="D41" s="16" t="s">
        <v>3309</v>
      </c>
      <c r="E41" s="12" t="s">
        <v>151</v>
      </c>
      <c r="F41" s="58"/>
      <c r="G41" s="58"/>
      <c r="H41" s="58"/>
      <c r="I41" s="58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114"/>
      <c r="AB41" s="114"/>
      <c r="AC41" s="114"/>
    </row>
    <row r="42">
      <c r="A42" s="56" t="s">
        <v>3310</v>
      </c>
      <c r="B42" s="12" t="s">
        <v>3311</v>
      </c>
      <c r="C42" s="56" t="s">
        <v>3312</v>
      </c>
      <c r="D42" s="16" t="s">
        <v>3313</v>
      </c>
      <c r="E42" s="86"/>
      <c r="F42" s="58"/>
      <c r="G42" s="58"/>
      <c r="H42" s="58"/>
      <c r="I42" s="58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114"/>
      <c r="AB42" s="114"/>
      <c r="AC42" s="114"/>
    </row>
    <row r="43">
      <c r="A43" s="56" t="s">
        <v>3314</v>
      </c>
      <c r="B43" s="12" t="s">
        <v>3315</v>
      </c>
      <c r="C43" s="56" t="s">
        <v>3316</v>
      </c>
      <c r="D43" s="16" t="s">
        <v>3317</v>
      </c>
      <c r="E43" s="86"/>
      <c r="F43" s="58"/>
      <c r="G43" s="58"/>
      <c r="H43" s="58"/>
      <c r="I43" s="58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114"/>
      <c r="AB43" s="114"/>
      <c r="AC43" s="114"/>
    </row>
    <row r="44">
      <c r="A44" s="56" t="s">
        <v>3323</v>
      </c>
      <c r="B44" s="12" t="s">
        <v>3324</v>
      </c>
      <c r="C44" s="56" t="s">
        <v>3325</v>
      </c>
      <c r="D44" s="16" t="s">
        <v>3326</v>
      </c>
      <c r="E44" s="86"/>
      <c r="F44" s="58"/>
      <c r="G44" s="58"/>
      <c r="H44" s="58"/>
      <c r="I44" s="58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114"/>
      <c r="AB44" s="114"/>
      <c r="AC44" s="114"/>
    </row>
    <row r="45">
      <c r="A45" s="56" t="s">
        <v>3328</v>
      </c>
      <c r="B45" s="12" t="s">
        <v>3328</v>
      </c>
      <c r="C45" s="56" t="s">
        <v>3331</v>
      </c>
      <c r="D45" s="16" t="s">
        <v>3332</v>
      </c>
      <c r="E45" s="86"/>
      <c r="F45" s="58"/>
      <c r="G45" s="58"/>
      <c r="H45" s="58"/>
      <c r="I45" s="58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114"/>
      <c r="AB45" s="114"/>
      <c r="AC45" s="114"/>
    </row>
    <row r="46">
      <c r="A46" s="56" t="s">
        <v>3334</v>
      </c>
      <c r="B46" s="12" t="s">
        <v>3335</v>
      </c>
      <c r="C46" s="56" t="s">
        <v>3336</v>
      </c>
      <c r="D46" s="16" t="s">
        <v>3338</v>
      </c>
      <c r="E46" s="86"/>
      <c r="F46" s="58"/>
      <c r="G46" s="58"/>
      <c r="H46" s="58"/>
      <c r="I46" s="58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114"/>
      <c r="AB46" s="114"/>
      <c r="AC46" s="114"/>
    </row>
    <row r="47">
      <c r="A47" s="56" t="s">
        <v>3343</v>
      </c>
      <c r="B47" s="12" t="s">
        <v>3344</v>
      </c>
      <c r="C47" s="56" t="s">
        <v>3345</v>
      </c>
      <c r="D47" s="16" t="s">
        <v>3346</v>
      </c>
      <c r="E47" s="12" t="str">
        <f t="shared" ref="E47:E51" si="5">MID(B47,FIND(" {",B47) + 1 + 1,FIND("}",B47) - 1 - (FIND(" {",B47) + 1))</f>
        <v>item_code</v>
      </c>
      <c r="F47" s="58"/>
      <c r="G47" s="58"/>
      <c r="H47" s="58"/>
      <c r="I47" s="58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114"/>
      <c r="AB47" s="114"/>
      <c r="AC47" s="114"/>
    </row>
    <row r="48">
      <c r="A48" s="56" t="s">
        <v>3366</v>
      </c>
      <c r="B48" s="12" t="s">
        <v>3368</v>
      </c>
      <c r="C48" s="56" t="s">
        <v>3370</v>
      </c>
      <c r="D48" s="16" t="s">
        <v>3371</v>
      </c>
      <c r="E48" s="12" t="str">
        <f t="shared" si="5"/>
        <v>supplier</v>
      </c>
      <c r="F48" s="58"/>
      <c r="G48" s="58"/>
      <c r="H48" s="58"/>
      <c r="I48" s="58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114"/>
      <c r="AB48" s="114"/>
      <c r="AC48" s="114"/>
    </row>
    <row r="49">
      <c r="A49" s="29" t="s">
        <v>3376</v>
      </c>
      <c r="B49" s="29" t="s">
        <v>3378</v>
      </c>
      <c r="C49" s="29" t="s">
        <v>3380</v>
      </c>
      <c r="D49" s="16" t="s">
        <v>3381</v>
      </c>
      <c r="E49" s="12" t="str">
        <f t="shared" si="5"/>
        <v>buyer</v>
      </c>
      <c r="F49" s="58"/>
      <c r="G49" s="58"/>
      <c r="H49" s="58"/>
      <c r="I49" s="58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114"/>
      <c r="AB49" s="114"/>
      <c r="AC49" s="114"/>
    </row>
    <row r="50">
      <c r="A50" s="56" t="s">
        <v>3386</v>
      </c>
      <c r="B50" s="12" t="s">
        <v>3388</v>
      </c>
      <c r="C50" s="56" t="s">
        <v>3389</v>
      </c>
      <c r="D50" s="16" t="s">
        <v>3390</v>
      </c>
      <c r="E50" s="12" t="str">
        <f t="shared" si="5"/>
        <v>quantity</v>
      </c>
      <c r="F50" s="58"/>
      <c r="G50" s="58"/>
      <c r="H50" s="58"/>
      <c r="I50" s="58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114"/>
      <c r="AB50" s="114"/>
      <c r="AC50" s="114"/>
    </row>
    <row r="51">
      <c r="A51" s="56" t="s">
        <v>3397</v>
      </c>
      <c r="B51" s="12" t="s">
        <v>3398</v>
      </c>
      <c r="C51" s="56" t="s">
        <v>3399</v>
      </c>
      <c r="D51" s="16" t="s">
        <v>3400</v>
      </c>
      <c r="E51" s="12" t="str">
        <f t="shared" si="5"/>
        <v>quantity</v>
      </c>
      <c r="F51" s="58"/>
      <c r="G51" s="58"/>
      <c r="H51" s="58"/>
      <c r="I51" s="58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114"/>
      <c r="AB51" s="114"/>
      <c r="AC51" s="114"/>
    </row>
    <row r="52">
      <c r="A52" s="56" t="s">
        <v>3408</v>
      </c>
      <c r="B52" s="12" t="s">
        <v>3409</v>
      </c>
      <c r="C52" s="56" t="s">
        <v>3411</v>
      </c>
      <c r="D52" s="16" t="s">
        <v>3412</v>
      </c>
      <c r="E52" s="86"/>
      <c r="F52" s="58"/>
      <c r="G52" s="58"/>
      <c r="H52" s="58"/>
      <c r="I52" s="58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114"/>
      <c r="AB52" s="114"/>
      <c r="AC52" s="114"/>
    </row>
    <row r="53">
      <c r="A53" s="29" t="s">
        <v>3417</v>
      </c>
      <c r="B53" s="29" t="s">
        <v>3418</v>
      </c>
      <c r="C53" s="29" t="s">
        <v>3419</v>
      </c>
      <c r="D53" s="16" t="s">
        <v>3420</v>
      </c>
      <c r="E53" s="12" t="str">
        <f t="shared" ref="E53:E57" si="6">MID(B53,FIND(" {",B53) + 1 + 1,FIND("}",B53) - 1 - (FIND(" {",B53) + 1))</f>
        <v>buyer</v>
      </c>
      <c r="F53" s="58"/>
      <c r="G53" s="58"/>
      <c r="H53" s="58"/>
      <c r="I53" s="58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114"/>
      <c r="AB53" s="114"/>
      <c r="AC53" s="114"/>
    </row>
    <row r="54">
      <c r="A54" s="29" t="s">
        <v>3447</v>
      </c>
      <c r="B54" s="29" t="s">
        <v>3449</v>
      </c>
      <c r="C54" s="29" t="s">
        <v>3451</v>
      </c>
      <c r="D54" s="16" t="s">
        <v>3452</v>
      </c>
      <c r="E54" s="12" t="str">
        <f t="shared" si="6"/>
        <v>buyer</v>
      </c>
      <c r="F54" s="58"/>
      <c r="G54" s="58"/>
      <c r="H54" s="58"/>
      <c r="I54" s="58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114"/>
      <c r="AB54" s="114"/>
      <c r="AC54" s="114"/>
    </row>
    <row r="55">
      <c r="A55" s="29" t="s">
        <v>3457</v>
      </c>
      <c r="B55" s="29" t="s">
        <v>3458</v>
      </c>
      <c r="C55" s="29" t="s">
        <v>3460</v>
      </c>
      <c r="D55" s="16" t="s">
        <v>3463</v>
      </c>
      <c r="E55" s="12" t="str">
        <f t="shared" si="6"/>
        <v>buyer</v>
      </c>
      <c r="F55" s="58"/>
      <c r="G55" s="58"/>
      <c r="H55" s="58"/>
      <c r="I55" s="58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114"/>
      <c r="AB55" s="114"/>
      <c r="AC55" s="114"/>
    </row>
    <row r="56">
      <c r="A56" s="29" t="s">
        <v>3467</v>
      </c>
      <c r="B56" s="29" t="s">
        <v>3468</v>
      </c>
      <c r="C56" s="29" t="s">
        <v>3469</v>
      </c>
      <c r="D56" s="16" t="s">
        <v>3470</v>
      </c>
      <c r="E56" s="12" t="str">
        <f t="shared" si="6"/>
        <v>buyer</v>
      </c>
      <c r="F56" s="58"/>
      <c r="G56" s="58"/>
      <c r="H56" s="58"/>
      <c r="I56" s="58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114"/>
      <c r="AB56" s="114"/>
      <c r="AC56" s="114"/>
    </row>
    <row r="57">
      <c r="A57" s="29" t="s">
        <v>3476</v>
      </c>
      <c r="B57" s="29" t="s">
        <v>3477</v>
      </c>
      <c r="C57" s="29" t="s">
        <v>3479</v>
      </c>
      <c r="D57" s="16" t="s">
        <v>3482</v>
      </c>
      <c r="E57" s="12" t="str">
        <f t="shared" si="6"/>
        <v>buyer</v>
      </c>
      <c r="F57" s="58"/>
      <c r="G57" s="58"/>
      <c r="H57" s="58"/>
      <c r="I57" s="58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114"/>
      <c r="AB57" s="114"/>
      <c r="AC57" s="114"/>
    </row>
    <row r="58">
      <c r="A58" s="48" t="s">
        <v>3488</v>
      </c>
      <c r="B58" s="11" t="s">
        <v>3488</v>
      </c>
      <c r="C58" s="48" t="s">
        <v>3490</v>
      </c>
      <c r="D58" s="31" t="s">
        <v>3491</v>
      </c>
      <c r="E58" s="59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  <c r="AA58" s="114"/>
      <c r="AB58" s="114"/>
      <c r="AC58" s="114"/>
    </row>
    <row r="59">
      <c r="A59" s="56" t="s">
        <v>3497</v>
      </c>
      <c r="B59" s="12" t="s">
        <v>3499</v>
      </c>
      <c r="C59" s="56" t="s">
        <v>3502</v>
      </c>
      <c r="D59" s="16" t="s">
        <v>3505</v>
      </c>
      <c r="E59" s="86"/>
      <c r="F59" s="58"/>
      <c r="G59" s="58"/>
      <c r="H59" s="58"/>
      <c r="I59" s="58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114"/>
      <c r="AB59" s="114"/>
      <c r="AC59" s="114"/>
    </row>
    <row r="60">
      <c r="A60" s="29" t="s">
        <v>3508</v>
      </c>
      <c r="B60" s="29" t="s">
        <v>3509</v>
      </c>
      <c r="C60" s="29" t="s">
        <v>3510</v>
      </c>
      <c r="D60" s="16" t="s">
        <v>3512</v>
      </c>
      <c r="E60" s="29" t="s">
        <v>41</v>
      </c>
      <c r="F60" s="58"/>
      <c r="G60" s="58"/>
      <c r="H60" s="58"/>
      <c r="I60" s="58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114"/>
      <c r="AB60" s="114"/>
      <c r="AC60" s="114"/>
    </row>
    <row r="61">
      <c r="A61" s="56" t="s">
        <v>3522</v>
      </c>
      <c r="B61" s="12" t="s">
        <v>3522</v>
      </c>
      <c r="C61" s="56" t="s">
        <v>3523</v>
      </c>
      <c r="D61" s="16" t="s">
        <v>3524</v>
      </c>
      <c r="E61" s="86"/>
      <c r="F61" s="58"/>
      <c r="G61" s="58"/>
      <c r="H61" s="58"/>
      <c r="I61" s="58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114"/>
      <c r="AB61" s="114"/>
      <c r="AC61" s="114"/>
    </row>
    <row r="62">
      <c r="A62" s="56" t="s">
        <v>3529</v>
      </c>
      <c r="B62" s="12" t="s">
        <v>3530</v>
      </c>
      <c r="C62" s="56" t="s">
        <v>3531</v>
      </c>
      <c r="D62" s="16" t="s">
        <v>3534</v>
      </c>
      <c r="E62" s="86"/>
      <c r="F62" s="58"/>
      <c r="G62" s="58"/>
      <c r="H62" s="58"/>
      <c r="I62" s="58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114"/>
      <c r="AB62" s="114"/>
      <c r="AC62" s="114"/>
    </row>
    <row r="63">
      <c r="A63" s="56" t="s">
        <v>3540</v>
      </c>
      <c r="B63" s="12" t="s">
        <v>3542</v>
      </c>
      <c r="C63" s="56" t="s">
        <v>3544</v>
      </c>
      <c r="D63" s="16" t="s">
        <v>3545</v>
      </c>
      <c r="E63" s="86"/>
      <c r="F63" s="58"/>
      <c r="G63" s="58"/>
      <c r="H63" s="58"/>
      <c r="I63" s="58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114"/>
      <c r="AB63" s="114"/>
      <c r="AC63" s="114"/>
    </row>
    <row r="64">
      <c r="A64" s="56" t="s">
        <v>3550</v>
      </c>
      <c r="B64" s="12" t="s">
        <v>3552</v>
      </c>
      <c r="C64" s="56" t="s">
        <v>3553</v>
      </c>
      <c r="D64" s="16" t="s">
        <v>3554</v>
      </c>
      <c r="E64" s="86"/>
      <c r="F64" s="58"/>
      <c r="G64" s="58"/>
      <c r="H64" s="58"/>
      <c r="I64" s="58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114"/>
      <c r="AB64" s="114"/>
      <c r="AC64" s="114"/>
    </row>
    <row r="65">
      <c r="A65" s="56" t="s">
        <v>3559</v>
      </c>
      <c r="B65" s="12" t="s">
        <v>3561</v>
      </c>
      <c r="C65" s="56" t="s">
        <v>3562</v>
      </c>
      <c r="D65" s="16" t="s">
        <v>3563</v>
      </c>
      <c r="E65" s="86"/>
      <c r="F65" s="58"/>
      <c r="G65" s="58"/>
      <c r="H65" s="58"/>
      <c r="I65" s="58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114"/>
      <c r="AB65" s="114"/>
      <c r="AC65" s="114"/>
    </row>
    <row r="66">
      <c r="A66" s="56" t="s">
        <v>3567</v>
      </c>
      <c r="B66" s="12" t="s">
        <v>3568</v>
      </c>
      <c r="C66" s="56" t="s">
        <v>3570</v>
      </c>
      <c r="D66" s="16" t="s">
        <v>3571</v>
      </c>
      <c r="E66" s="86"/>
      <c r="F66" s="58"/>
      <c r="G66" s="58"/>
      <c r="H66" s="58"/>
      <c r="I66" s="58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114"/>
      <c r="AB66" s="114"/>
      <c r="AC66" s="114"/>
    </row>
    <row r="67">
      <c r="A67" s="56" t="s">
        <v>3574</v>
      </c>
      <c r="B67" s="12" t="s">
        <v>3574</v>
      </c>
      <c r="C67" s="56" t="s">
        <v>3576</v>
      </c>
      <c r="D67" s="16" t="s">
        <v>3578</v>
      </c>
      <c r="E67" s="86"/>
      <c r="F67" s="58"/>
      <c r="G67" s="58"/>
      <c r="H67" s="58"/>
      <c r="I67" s="58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114"/>
      <c r="AB67" s="114"/>
      <c r="AC67" s="114"/>
    </row>
    <row r="68">
      <c r="A68" s="56" t="s">
        <v>3581</v>
      </c>
      <c r="B68" s="12" t="s">
        <v>3583</v>
      </c>
      <c r="C68" s="56" t="s">
        <v>3585</v>
      </c>
      <c r="D68" s="16" t="s">
        <v>3587</v>
      </c>
      <c r="E68" s="86"/>
      <c r="F68" s="58"/>
      <c r="G68" s="58"/>
      <c r="H68" s="58"/>
      <c r="I68" s="58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114"/>
      <c r="AB68" s="114"/>
      <c r="AC68" s="114"/>
    </row>
    <row r="69">
      <c r="A69" s="56" t="s">
        <v>3589</v>
      </c>
      <c r="B69" s="12" t="s">
        <v>3591</v>
      </c>
      <c r="C69" s="56" t="s">
        <v>3593</v>
      </c>
      <c r="D69" s="16" t="s">
        <v>3594</v>
      </c>
      <c r="E69" s="86"/>
      <c r="F69" s="58"/>
      <c r="G69" s="58"/>
      <c r="H69" s="58"/>
      <c r="I69" s="58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114"/>
      <c r="AB69" s="114"/>
      <c r="AC69" s="114"/>
    </row>
    <row r="70">
      <c r="A70" s="56" t="s">
        <v>3597</v>
      </c>
      <c r="B70" s="12" t="s">
        <v>3599</v>
      </c>
      <c r="C70" s="56" t="s">
        <v>3601</v>
      </c>
      <c r="D70" s="16" t="s">
        <v>3605</v>
      </c>
      <c r="E70" s="12" t="str">
        <f>MID(B70,FIND(" {",B70) + 1 + 1,FIND("}",B70) - 1 - (FIND(" {",B70) + 1))</f>
        <v>supplier</v>
      </c>
      <c r="F70" s="58"/>
      <c r="G70" s="58"/>
      <c r="H70" s="58"/>
      <c r="I70" s="58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114"/>
      <c r="AB70" s="114"/>
      <c r="AC70" s="114"/>
    </row>
    <row r="71">
      <c r="A71" s="29" t="s">
        <v>3632</v>
      </c>
      <c r="B71" s="29" t="s">
        <v>3635</v>
      </c>
      <c r="C71" s="29" t="s">
        <v>3637</v>
      </c>
      <c r="D71" s="16" t="s">
        <v>3640</v>
      </c>
      <c r="E71" s="29" t="s">
        <v>3006</v>
      </c>
      <c r="F71" s="58"/>
      <c r="G71" s="58"/>
      <c r="H71" s="58"/>
      <c r="I71" s="58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4"/>
      <c r="AB71" s="114"/>
      <c r="AC71" s="114"/>
    </row>
    <row r="72">
      <c r="A72" s="56" t="s">
        <v>3646</v>
      </c>
      <c r="B72" s="12" t="s">
        <v>3649</v>
      </c>
      <c r="C72" s="56" t="s">
        <v>3650</v>
      </c>
      <c r="D72" s="16" t="s">
        <v>3652</v>
      </c>
      <c r="E72" s="12" t="str">
        <f t="shared" ref="E72:E76" si="7">MID(B72,FIND(" {",B72) + 1 + 1,FIND("}",B72) - 1 - (FIND(" {",B72) + 1))</f>
        <v>supplier</v>
      </c>
      <c r="F72" s="58"/>
      <c r="G72" s="58"/>
      <c r="H72" s="58"/>
      <c r="I72" s="58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114"/>
      <c r="AB72" s="114"/>
      <c r="AC72" s="114"/>
    </row>
    <row r="73">
      <c r="A73" s="56" t="s">
        <v>3670</v>
      </c>
      <c r="B73" s="12" t="s">
        <v>3672</v>
      </c>
      <c r="C73" s="56" t="s">
        <v>3674</v>
      </c>
      <c r="D73" s="16" t="s">
        <v>3676</v>
      </c>
      <c r="E73" s="12" t="str">
        <f t="shared" si="7"/>
        <v>supplier</v>
      </c>
      <c r="F73" s="58"/>
      <c r="G73" s="58"/>
      <c r="H73" s="58"/>
      <c r="I73" s="58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114"/>
      <c r="AB73" s="114"/>
      <c r="AC73" s="114"/>
    </row>
    <row r="74">
      <c r="A74" s="56" t="s">
        <v>3682</v>
      </c>
      <c r="B74" s="12" t="s">
        <v>3683</v>
      </c>
      <c r="C74" s="56" t="s">
        <v>3684</v>
      </c>
      <c r="D74" s="16" t="s">
        <v>3685</v>
      </c>
      <c r="E74" s="12" t="str">
        <f t="shared" si="7"/>
        <v>supplier</v>
      </c>
      <c r="F74" s="58"/>
      <c r="G74" s="58"/>
      <c r="H74" s="58"/>
      <c r="I74" s="58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119"/>
      <c r="AB74" s="119"/>
      <c r="AC74" s="119"/>
    </row>
    <row r="75">
      <c r="A75" s="56" t="s">
        <v>3694</v>
      </c>
      <c r="B75" s="12" t="s">
        <v>3695</v>
      </c>
      <c r="C75" s="56" t="s">
        <v>3696</v>
      </c>
      <c r="D75" s="16" t="s">
        <v>3697</v>
      </c>
      <c r="E75" s="12" t="str">
        <f t="shared" si="7"/>
        <v>amount</v>
      </c>
      <c r="F75" s="58"/>
      <c r="G75" s="58"/>
      <c r="H75" s="58"/>
      <c r="I75" s="58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114"/>
      <c r="AB75" s="114"/>
      <c r="AC75" s="114"/>
    </row>
    <row r="76">
      <c r="A76" s="56" t="s">
        <v>3701</v>
      </c>
      <c r="B76" s="12" t="s">
        <v>3702</v>
      </c>
      <c r="C76" s="56" t="s">
        <v>3703</v>
      </c>
      <c r="D76" s="16" t="s">
        <v>3704</v>
      </c>
      <c r="E76" s="12" t="str">
        <f t="shared" si="7"/>
        <v>days</v>
      </c>
      <c r="F76" s="58"/>
      <c r="G76" s="58"/>
      <c r="H76" s="58"/>
      <c r="I76" s="58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114"/>
      <c r="AB76" s="114"/>
      <c r="AC76" s="114"/>
    </row>
    <row r="77">
      <c r="A77" s="56" t="s">
        <v>3713</v>
      </c>
      <c r="B77" s="12" t="s">
        <v>3714</v>
      </c>
      <c r="C77" s="56" t="s">
        <v>3715</v>
      </c>
      <c r="D77" s="16" t="s">
        <v>3716</v>
      </c>
      <c r="E77" s="86"/>
      <c r="F77" s="58"/>
      <c r="G77" s="58"/>
      <c r="H77" s="58"/>
      <c r="I77" s="58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114"/>
      <c r="AB77" s="114"/>
      <c r="AC77" s="114"/>
    </row>
    <row r="78">
      <c r="A78" s="56" t="s">
        <v>3721</v>
      </c>
      <c r="B78" s="12" t="s">
        <v>3722</v>
      </c>
      <c r="C78" s="56" t="s">
        <v>3723</v>
      </c>
      <c r="D78" s="16" t="s">
        <v>3725</v>
      </c>
      <c r="E78" s="86"/>
      <c r="F78" s="58"/>
      <c r="G78" s="58"/>
      <c r="H78" s="58"/>
      <c r="I78" s="58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114"/>
      <c r="AB78" s="114"/>
      <c r="AC78" s="114"/>
    </row>
    <row r="79">
      <c r="A79" s="56" t="s">
        <v>3733</v>
      </c>
      <c r="B79" s="56" t="s">
        <v>3734</v>
      </c>
      <c r="C79" s="56" t="s">
        <v>3735</v>
      </c>
      <c r="D79" s="16" t="s">
        <v>3736</v>
      </c>
      <c r="E79" s="86"/>
      <c r="F79" s="58"/>
      <c r="G79" s="58"/>
      <c r="H79" s="58"/>
      <c r="I79" s="58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114"/>
      <c r="AB79" s="114"/>
      <c r="AC79" s="114"/>
    </row>
    <row r="80">
      <c r="A80" s="56" t="s">
        <v>3741</v>
      </c>
      <c r="B80" s="12" t="s">
        <v>3741</v>
      </c>
      <c r="C80" s="56" t="s">
        <v>3742</v>
      </c>
      <c r="D80" s="16" t="s">
        <v>3743</v>
      </c>
      <c r="E80" s="86"/>
      <c r="F80" s="58"/>
      <c r="G80" s="58"/>
      <c r="H80" s="58"/>
      <c r="I80" s="58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114"/>
      <c r="AB80" s="114"/>
      <c r="AC80" s="114"/>
    </row>
    <row r="81">
      <c r="A81" s="56" t="s">
        <v>3748</v>
      </c>
      <c r="B81" s="12" t="s">
        <v>3750</v>
      </c>
      <c r="C81" s="56" t="s">
        <v>3752</v>
      </c>
      <c r="D81" s="16" t="s">
        <v>3754</v>
      </c>
      <c r="E81" s="86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  <c r="AA81" s="115"/>
      <c r="AB81" s="115"/>
      <c r="AC81" s="115"/>
    </row>
    <row r="82">
      <c r="A82" s="56" t="s">
        <v>3757</v>
      </c>
      <c r="B82" s="12" t="s">
        <v>3760</v>
      </c>
      <c r="C82" s="56" t="s">
        <v>3762</v>
      </c>
      <c r="D82" s="16" t="s">
        <v>3763</v>
      </c>
      <c r="E82" s="86"/>
      <c r="F82" s="58"/>
      <c r="G82" s="58"/>
      <c r="H82" s="58"/>
      <c r="I82" s="58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114"/>
      <c r="AB82" s="114"/>
      <c r="AC82" s="114"/>
    </row>
    <row r="83">
      <c r="A83" s="56" t="s">
        <v>3766</v>
      </c>
      <c r="B83" s="12" t="s">
        <v>3768</v>
      </c>
      <c r="C83" s="56" t="s">
        <v>3769</v>
      </c>
      <c r="D83" s="16" t="s">
        <v>3771</v>
      </c>
      <c r="E83" s="86"/>
      <c r="F83" s="58"/>
      <c r="G83" s="58"/>
      <c r="H83" s="58"/>
      <c r="I83" s="58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114"/>
      <c r="AB83" s="114"/>
      <c r="AC83" s="114"/>
    </row>
    <row r="84">
      <c r="A84" s="56" t="s">
        <v>3774</v>
      </c>
      <c r="B84" s="12" t="s">
        <v>3776</v>
      </c>
      <c r="C84" s="56" t="s">
        <v>3778</v>
      </c>
      <c r="D84" s="16" t="s">
        <v>3779</v>
      </c>
      <c r="E84" s="86"/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  <c r="AA84" s="114"/>
      <c r="AB84" s="114"/>
      <c r="AC84" s="114"/>
    </row>
    <row r="85">
      <c r="A85" s="56" t="s">
        <v>3783</v>
      </c>
      <c r="B85" s="12" t="s">
        <v>3785</v>
      </c>
      <c r="C85" s="56" t="s">
        <v>3786</v>
      </c>
      <c r="D85" s="16" t="s">
        <v>3787</v>
      </c>
      <c r="E85" s="86"/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114"/>
      <c r="AB85" s="114"/>
      <c r="AC85" s="114"/>
    </row>
    <row r="86">
      <c r="A86" s="56" t="s">
        <v>3791</v>
      </c>
      <c r="B86" s="12" t="s">
        <v>3792</v>
      </c>
      <c r="C86" s="56" t="s">
        <v>3793</v>
      </c>
      <c r="D86" s="16" t="s">
        <v>3794</v>
      </c>
      <c r="E86" s="86"/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  <c r="AA86" s="114"/>
      <c r="AB86" s="114"/>
      <c r="AC86" s="114"/>
    </row>
    <row r="87">
      <c r="A87" s="56" t="s">
        <v>3798</v>
      </c>
      <c r="B87" s="12" t="s">
        <v>3799</v>
      </c>
      <c r="C87" s="56" t="s">
        <v>3800</v>
      </c>
      <c r="D87" s="16" t="s">
        <v>3802</v>
      </c>
      <c r="E87" s="86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  <c r="AA87" s="115"/>
      <c r="AB87" s="115"/>
      <c r="AC87" s="115"/>
    </row>
    <row r="88">
      <c r="A88" s="56" t="s">
        <v>3806</v>
      </c>
      <c r="B88" s="12" t="s">
        <v>3806</v>
      </c>
      <c r="C88" s="56" t="s">
        <v>3808</v>
      </c>
      <c r="D88" s="16" t="s">
        <v>3809</v>
      </c>
      <c r="E88" s="86"/>
      <c r="F88" s="58"/>
      <c r="G88" s="58"/>
      <c r="H88" s="58"/>
      <c r="I88" s="58"/>
      <c r="J88" s="58"/>
      <c r="K88" s="58"/>
      <c r="L88" s="58"/>
      <c r="M88" s="58"/>
      <c r="N88" s="58"/>
      <c r="O88" s="58"/>
      <c r="P88" s="58"/>
      <c r="Q88" s="58"/>
      <c r="R88" s="58"/>
      <c r="S88" s="58"/>
      <c r="T88" s="58"/>
      <c r="U88" s="58"/>
      <c r="V88" s="58"/>
      <c r="W88" s="58"/>
      <c r="X88" s="58"/>
      <c r="Y88" s="58"/>
      <c r="Z88" s="58"/>
      <c r="AA88" s="115"/>
      <c r="AB88" s="115"/>
      <c r="AC88" s="115"/>
    </row>
    <row r="89">
      <c r="A89" s="56" t="s">
        <v>3812</v>
      </c>
      <c r="B89" s="12" t="s">
        <v>3813</v>
      </c>
      <c r="C89" s="56" t="s">
        <v>3814</v>
      </c>
      <c r="D89" s="16" t="s">
        <v>3816</v>
      </c>
      <c r="E89" s="86"/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  <c r="AA89" s="115"/>
      <c r="AB89" s="115"/>
      <c r="AC89" s="115"/>
    </row>
    <row r="90">
      <c r="A90" s="56" t="s">
        <v>3822</v>
      </c>
      <c r="B90" s="12" t="s">
        <v>3824</v>
      </c>
      <c r="C90" s="56" t="s">
        <v>3826</v>
      </c>
      <c r="D90" s="16" t="s">
        <v>3827</v>
      </c>
      <c r="E90" s="12" t="str">
        <f t="shared" ref="E90:E94" si="8">MID(B90,FIND(" {",B90) + 1 + 1,FIND("}",B90) - 1 - (FIND(" {",B90) + 1))</f>
        <v>item_code</v>
      </c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  <c r="AA90" s="115"/>
      <c r="AB90" s="115"/>
      <c r="AC90" s="115"/>
    </row>
    <row r="91">
      <c r="A91" s="56" t="s">
        <v>3852</v>
      </c>
      <c r="B91" s="12" t="s">
        <v>3854</v>
      </c>
      <c r="C91" s="56" t="s">
        <v>3855</v>
      </c>
      <c r="D91" s="16" t="s">
        <v>3857</v>
      </c>
      <c r="E91" s="12" t="str">
        <f t="shared" si="8"/>
        <v>item_code</v>
      </c>
      <c r="F91" s="58"/>
      <c r="G91" s="58"/>
      <c r="H91" s="58"/>
      <c r="I91" s="58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115"/>
      <c r="AB91" s="115"/>
      <c r="AC91" s="115"/>
    </row>
    <row r="92">
      <c r="A92" s="56" t="s">
        <v>3862</v>
      </c>
      <c r="B92" s="12" t="s">
        <v>3863</v>
      </c>
      <c r="C92" s="56" t="s">
        <v>3864</v>
      </c>
      <c r="D92" s="16" t="s">
        <v>3865</v>
      </c>
      <c r="E92" s="12" t="str">
        <f t="shared" si="8"/>
        <v>item_code</v>
      </c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  <c r="AA92" s="115"/>
      <c r="AB92" s="115"/>
      <c r="AC92" s="115"/>
    </row>
    <row r="93">
      <c r="A93" s="56" t="s">
        <v>3870</v>
      </c>
      <c r="B93" s="12" t="s">
        <v>3873</v>
      </c>
      <c r="C93" s="56" t="s">
        <v>3875</v>
      </c>
      <c r="D93" s="16" t="s">
        <v>3877</v>
      </c>
      <c r="E93" s="12" t="str">
        <f t="shared" si="8"/>
        <v>item_code</v>
      </c>
      <c r="F93" s="58"/>
      <c r="G93" s="58"/>
      <c r="H93" s="58"/>
      <c r="I93" s="58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115"/>
      <c r="AB93" s="115"/>
      <c r="AC93" s="115"/>
    </row>
    <row r="94">
      <c r="A94" s="56" t="s">
        <v>3882</v>
      </c>
      <c r="B94" s="12" t="s">
        <v>3884</v>
      </c>
      <c r="C94" s="56" t="s">
        <v>3885</v>
      </c>
      <c r="D94" s="16" t="s">
        <v>3886</v>
      </c>
      <c r="E94" s="12" t="str">
        <f t="shared" si="8"/>
        <v>item_code</v>
      </c>
      <c r="F94" s="58"/>
      <c r="G94" s="58"/>
      <c r="H94" s="58"/>
      <c r="I94" s="58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114"/>
      <c r="AB94" s="114"/>
      <c r="AC94" s="114"/>
    </row>
    <row r="95">
      <c r="A95" s="56" t="s">
        <v>3895</v>
      </c>
      <c r="B95" s="12" t="s">
        <v>3900</v>
      </c>
      <c r="C95" s="56" t="s">
        <v>3903</v>
      </c>
      <c r="D95" s="16" t="s">
        <v>3905</v>
      </c>
      <c r="E95" s="86"/>
      <c r="F95" s="58"/>
      <c r="G95" s="58"/>
      <c r="H95" s="58"/>
      <c r="I95" s="58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115"/>
      <c r="AB95" s="115"/>
      <c r="AC95" s="115"/>
    </row>
    <row r="96">
      <c r="A96" s="56" t="s">
        <v>3911</v>
      </c>
      <c r="B96" s="12" t="s">
        <v>3914</v>
      </c>
      <c r="C96" s="56" t="s">
        <v>3916</v>
      </c>
      <c r="D96" s="16" t="s">
        <v>3918</v>
      </c>
      <c r="E96" s="86"/>
      <c r="F96" s="58"/>
      <c r="G96" s="58"/>
      <c r="H96" s="58"/>
      <c r="I96" s="58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114"/>
      <c r="AB96" s="114"/>
      <c r="AC96" s="114"/>
    </row>
    <row r="97">
      <c r="A97" s="56" t="s">
        <v>3925</v>
      </c>
      <c r="B97" s="12" t="s">
        <v>3925</v>
      </c>
      <c r="C97" s="56" t="s">
        <v>3927</v>
      </c>
      <c r="D97" s="16" t="s">
        <v>3928</v>
      </c>
      <c r="E97" s="86"/>
      <c r="F97" s="58"/>
      <c r="G97" s="58"/>
      <c r="H97" s="58"/>
      <c r="I97" s="58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114"/>
      <c r="AB97" s="114"/>
      <c r="AC97" s="114"/>
    </row>
    <row r="98">
      <c r="A98" s="56" t="s">
        <v>3935</v>
      </c>
      <c r="B98" s="12" t="s">
        <v>3935</v>
      </c>
      <c r="C98" s="56" t="s">
        <v>3937</v>
      </c>
      <c r="D98" s="16" t="s">
        <v>3938</v>
      </c>
      <c r="E98" s="86"/>
      <c r="F98" s="58"/>
      <c r="G98" s="58"/>
      <c r="H98" s="58"/>
      <c r="I98" s="58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114"/>
      <c r="AB98" s="114"/>
      <c r="AC98" s="114"/>
    </row>
    <row r="99">
      <c r="A99" s="56" t="s">
        <v>3944</v>
      </c>
      <c r="B99" s="12" t="s">
        <v>3944</v>
      </c>
      <c r="C99" s="56" t="s">
        <v>3945</v>
      </c>
      <c r="D99" s="16" t="s">
        <v>3946</v>
      </c>
      <c r="E99" s="86"/>
      <c r="F99" s="58"/>
      <c r="G99" s="58"/>
      <c r="H99" s="58"/>
      <c r="I99" s="58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114"/>
      <c r="AB99" s="114"/>
      <c r="AC99" s="114"/>
    </row>
    <row r="100">
      <c r="A100" s="56" t="s">
        <v>3952</v>
      </c>
      <c r="B100" s="12" t="s">
        <v>3953</v>
      </c>
      <c r="C100" s="56" t="s">
        <v>3954</v>
      </c>
      <c r="D100" s="16" t="s">
        <v>3955</v>
      </c>
      <c r="E100" s="86"/>
      <c r="F100" s="58"/>
      <c r="G100" s="58"/>
      <c r="H100" s="58"/>
      <c r="I100" s="58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114"/>
      <c r="AB100" s="114"/>
      <c r="AC100" s="114"/>
    </row>
    <row r="101">
      <c r="A101" s="56" t="s">
        <v>3961</v>
      </c>
      <c r="B101" s="12" t="s">
        <v>3961</v>
      </c>
      <c r="C101" s="56" t="s">
        <v>3962</v>
      </c>
      <c r="D101" s="16" t="s">
        <v>3963</v>
      </c>
      <c r="E101" s="86"/>
      <c r="F101" s="58"/>
      <c r="G101" s="58"/>
      <c r="H101" s="58"/>
      <c r="I101" s="58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114"/>
      <c r="AB101" s="114"/>
      <c r="AC101" s="114"/>
    </row>
    <row r="102">
      <c r="A102" s="56" t="s">
        <v>3968</v>
      </c>
      <c r="B102" s="12" t="s">
        <v>3968</v>
      </c>
      <c r="C102" s="56" t="s">
        <v>3969</v>
      </c>
      <c r="D102" s="16" t="s">
        <v>3970</v>
      </c>
      <c r="E102" s="86"/>
      <c r="F102" s="58"/>
      <c r="G102" s="58"/>
      <c r="H102" s="58"/>
      <c r="I102" s="58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114"/>
      <c r="AB102" s="114"/>
      <c r="AC102" s="114"/>
    </row>
    <row r="103">
      <c r="A103" s="56" t="s">
        <v>3977</v>
      </c>
      <c r="B103" s="12" t="s">
        <v>3977</v>
      </c>
      <c r="C103" s="56" t="s">
        <v>3978</v>
      </c>
      <c r="D103" s="16" t="s">
        <v>3979</v>
      </c>
      <c r="E103" s="86"/>
      <c r="F103" s="58"/>
      <c r="G103" s="58"/>
      <c r="H103" s="58"/>
      <c r="I103" s="58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114"/>
      <c r="AB103" s="114"/>
      <c r="AC103" s="114"/>
    </row>
    <row r="104">
      <c r="A104" s="56" t="s">
        <v>3985</v>
      </c>
      <c r="B104" s="12" t="s">
        <v>3986</v>
      </c>
      <c r="C104" s="56" t="s">
        <v>3987</v>
      </c>
      <c r="D104" s="16" t="s">
        <v>3990</v>
      </c>
      <c r="E104" s="86"/>
      <c r="F104" s="58"/>
      <c r="G104" s="58"/>
      <c r="H104" s="58"/>
      <c r="I104" s="58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114"/>
      <c r="AB104" s="114"/>
      <c r="AC104" s="114"/>
    </row>
    <row r="105">
      <c r="A105" s="56" t="s">
        <v>3996</v>
      </c>
      <c r="B105" s="12" t="s">
        <v>3997</v>
      </c>
      <c r="C105" s="56" t="s">
        <v>3998</v>
      </c>
      <c r="D105" s="16" t="s">
        <v>3999</v>
      </c>
      <c r="E105" s="86"/>
      <c r="F105" s="58"/>
      <c r="G105" s="58"/>
      <c r="H105" s="58"/>
      <c r="I105" s="58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114"/>
      <c r="AB105" s="114"/>
      <c r="AC105" s="114"/>
    </row>
    <row r="106">
      <c r="A106" s="56" t="s">
        <v>4008</v>
      </c>
      <c r="B106" s="12" t="s">
        <v>4009</v>
      </c>
      <c r="C106" s="56" t="s">
        <v>4010</v>
      </c>
      <c r="D106" s="16" t="s">
        <v>4011</v>
      </c>
      <c r="E106" s="86"/>
      <c r="F106" s="58"/>
      <c r="G106" s="58"/>
      <c r="H106" s="58"/>
      <c r="I106" s="58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114"/>
      <c r="AB106" s="114"/>
      <c r="AC106" s="114"/>
    </row>
    <row r="107">
      <c r="A107" s="56" t="s">
        <v>4020</v>
      </c>
      <c r="B107" s="12" t="s">
        <v>4020</v>
      </c>
      <c r="C107" s="56" t="s">
        <v>4021</v>
      </c>
      <c r="D107" s="16" t="s">
        <v>4022</v>
      </c>
      <c r="E107" s="86"/>
      <c r="F107" s="58"/>
      <c r="G107" s="58"/>
      <c r="H107" s="58"/>
      <c r="I107" s="58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114"/>
      <c r="AB107" s="114"/>
      <c r="AC107" s="114"/>
    </row>
    <row r="108">
      <c r="A108" s="56" t="s">
        <v>4031</v>
      </c>
      <c r="B108" s="12" t="s">
        <v>4032</v>
      </c>
      <c r="C108" s="56" t="s">
        <v>4033</v>
      </c>
      <c r="D108" s="16" t="s">
        <v>4034</v>
      </c>
      <c r="E108" s="12" t="str">
        <f t="shared" ref="E108:E111" si="9">MID(B108,FIND(" {",B108) + 1 + 1,FIND("}",B108) - 1 - (FIND(" {",B108) + 1))</f>
        <v>item_code</v>
      </c>
      <c r="F108" s="58"/>
      <c r="G108" s="58"/>
      <c r="H108" s="58"/>
      <c r="I108" s="58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114"/>
      <c r="AB108" s="114"/>
      <c r="AC108" s="114"/>
    </row>
    <row r="109">
      <c r="A109" s="56" t="s">
        <v>4069</v>
      </c>
      <c r="B109" s="12" t="s">
        <v>4070</v>
      </c>
      <c r="C109" s="56" t="s">
        <v>4071</v>
      </c>
      <c r="D109" s="16" t="s">
        <v>4072</v>
      </c>
      <c r="E109" s="12" t="str">
        <f t="shared" si="9"/>
        <v>item_category</v>
      </c>
      <c r="F109" s="58"/>
      <c r="G109" s="58"/>
      <c r="H109" s="58"/>
      <c r="I109" s="58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114"/>
      <c r="AB109" s="114"/>
      <c r="AC109" s="114"/>
    </row>
    <row r="110">
      <c r="A110" s="56" t="s">
        <v>4080</v>
      </c>
      <c r="B110" s="12" t="s">
        <v>4081</v>
      </c>
      <c r="C110" s="56" t="s">
        <v>4084</v>
      </c>
      <c r="D110" s="16" t="s">
        <v>4088</v>
      </c>
      <c r="E110" s="12" t="str">
        <f t="shared" si="9"/>
        <v>item_code</v>
      </c>
      <c r="F110" s="58"/>
      <c r="G110" s="58"/>
      <c r="H110" s="58"/>
      <c r="I110" s="58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114"/>
      <c r="AB110" s="114"/>
      <c r="AC110" s="114"/>
    </row>
    <row r="111">
      <c r="A111" s="56" t="s">
        <v>4095</v>
      </c>
      <c r="B111" s="12" t="s">
        <v>4098</v>
      </c>
      <c r="C111" s="56" t="s">
        <v>4101</v>
      </c>
      <c r="D111" s="16" t="s">
        <v>4103</v>
      </c>
      <c r="E111" s="12" t="str">
        <f t="shared" si="9"/>
        <v>item_code</v>
      </c>
      <c r="F111" s="58"/>
      <c r="G111" s="58"/>
      <c r="H111" s="58"/>
      <c r="I111" s="58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114"/>
      <c r="AB111" s="114"/>
      <c r="AC111" s="114"/>
    </row>
    <row r="112">
      <c r="A112" s="56" t="s">
        <v>4112</v>
      </c>
      <c r="B112" s="12" t="s">
        <v>4113</v>
      </c>
      <c r="C112" s="56" t="s">
        <v>4114</v>
      </c>
      <c r="D112" s="16" t="s">
        <v>4115</v>
      </c>
      <c r="E112" s="86"/>
      <c r="F112" s="58"/>
      <c r="G112" s="58"/>
      <c r="H112" s="58"/>
      <c r="I112" s="58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114"/>
      <c r="AB112" s="114"/>
      <c r="AC112" s="114"/>
    </row>
    <row r="113">
      <c r="A113" s="56" t="s">
        <v>4124</v>
      </c>
      <c r="B113" s="12" t="s">
        <v>4124</v>
      </c>
      <c r="C113" s="56" t="s">
        <v>4125</v>
      </c>
      <c r="D113" s="16" t="s">
        <v>4128</v>
      </c>
      <c r="E113" s="86"/>
      <c r="F113" s="58"/>
      <c r="G113" s="58"/>
      <c r="H113" s="58"/>
      <c r="I113" s="58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114"/>
      <c r="AB113" s="114"/>
      <c r="AC113" s="114"/>
    </row>
    <row r="114">
      <c r="A114" s="56" t="s">
        <v>4135</v>
      </c>
      <c r="B114" s="12" t="s">
        <v>4138</v>
      </c>
      <c r="C114" s="56" t="s">
        <v>4140</v>
      </c>
      <c r="D114" s="16" t="s">
        <v>4142</v>
      </c>
      <c r="E114" s="86"/>
      <c r="F114" s="58"/>
      <c r="G114" s="58"/>
      <c r="H114" s="58"/>
      <c r="I114" s="58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114"/>
      <c r="AB114" s="114"/>
      <c r="AC114" s="114"/>
    </row>
    <row r="115">
      <c r="A115" s="56" t="s">
        <v>4151</v>
      </c>
      <c r="B115" s="12" t="s">
        <v>4152</v>
      </c>
      <c r="C115" s="56" t="s">
        <v>4153</v>
      </c>
      <c r="D115" s="16" t="s">
        <v>4154</v>
      </c>
      <c r="E115" s="86"/>
      <c r="F115" s="58"/>
      <c r="G115" s="58"/>
      <c r="H115" s="58"/>
      <c r="I115" s="58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114"/>
      <c r="AB115" s="114"/>
      <c r="AC115" s="114"/>
    </row>
    <row r="116">
      <c r="A116" s="56" t="s">
        <v>4163</v>
      </c>
      <c r="B116" s="12" t="s">
        <v>4164</v>
      </c>
      <c r="C116" s="56" t="s">
        <v>4165</v>
      </c>
      <c r="D116" s="16" t="s">
        <v>4166</v>
      </c>
      <c r="E116" s="86"/>
      <c r="F116" s="58"/>
      <c r="G116" s="58"/>
      <c r="H116" s="58"/>
      <c r="I116" s="58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114"/>
      <c r="AB116" s="114"/>
      <c r="AC116" s="114"/>
    </row>
    <row r="117">
      <c r="A117" s="56" t="s">
        <v>4175</v>
      </c>
      <c r="B117" s="12" t="s">
        <v>4175</v>
      </c>
      <c r="C117" s="56" t="s">
        <v>4176</v>
      </c>
      <c r="D117" s="16" t="s">
        <v>4179</v>
      </c>
      <c r="E117" s="86"/>
      <c r="F117" s="58"/>
      <c r="G117" s="58"/>
      <c r="H117" s="58"/>
      <c r="I117" s="58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114"/>
      <c r="AB117" s="114"/>
      <c r="AC117" s="114"/>
    </row>
    <row r="118">
      <c r="A118" s="56" t="s">
        <v>4192</v>
      </c>
      <c r="B118" s="12" t="s">
        <v>4194</v>
      </c>
      <c r="C118" s="56" t="s">
        <v>4196</v>
      </c>
      <c r="D118" s="16" t="s">
        <v>4197</v>
      </c>
      <c r="E118" s="86"/>
      <c r="F118" s="58"/>
      <c r="G118" s="58"/>
      <c r="H118" s="58"/>
      <c r="I118" s="58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114"/>
      <c r="AB118" s="114"/>
      <c r="AC118" s="114"/>
    </row>
    <row r="119">
      <c r="A119" s="56" t="s">
        <v>4206</v>
      </c>
      <c r="B119" s="12" t="s">
        <v>4206</v>
      </c>
      <c r="C119" s="56" t="s">
        <v>4207</v>
      </c>
      <c r="D119" s="16" t="s">
        <v>4209</v>
      </c>
      <c r="E119" s="86"/>
      <c r="F119" s="58"/>
      <c r="G119" s="58"/>
      <c r="H119" s="58"/>
      <c r="I119" s="58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114"/>
      <c r="AB119" s="114"/>
      <c r="AC119" s="114"/>
    </row>
    <row r="120">
      <c r="A120" s="56" t="s">
        <v>4221</v>
      </c>
      <c r="B120" s="12" t="s">
        <v>4221</v>
      </c>
      <c r="C120" s="56" t="s">
        <v>4222</v>
      </c>
      <c r="D120" s="16" t="s">
        <v>4223</v>
      </c>
      <c r="E120" s="86"/>
      <c r="F120" s="58"/>
      <c r="G120" s="58"/>
      <c r="H120" s="58"/>
      <c r="I120" s="58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114"/>
      <c r="AB120" s="114"/>
      <c r="AC120" s="114"/>
    </row>
    <row r="121">
      <c r="A121" s="56" t="s">
        <v>4232</v>
      </c>
      <c r="B121" s="12" t="s">
        <v>4233</v>
      </c>
      <c r="C121" s="56" t="s">
        <v>4234</v>
      </c>
      <c r="D121" s="16" t="s">
        <v>4235</v>
      </c>
      <c r="E121" s="12" t="str">
        <f t="shared" ref="E121:E123" si="10">MID(B121,FIND(" {",B121) + 1 + 1,FIND("}",B121) - 1 - (FIND(" {",B121) + 1))</f>
        <v>item_code</v>
      </c>
      <c r="F121" s="58"/>
      <c r="G121" s="58"/>
      <c r="H121" s="58"/>
      <c r="I121" s="58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114"/>
      <c r="AB121" s="114"/>
      <c r="AC121" s="114"/>
    </row>
    <row r="122">
      <c r="A122" s="56" t="s">
        <v>4285</v>
      </c>
      <c r="B122" s="12" t="s">
        <v>4288</v>
      </c>
      <c r="C122" s="56" t="s">
        <v>4290</v>
      </c>
      <c r="D122" s="16" t="s">
        <v>4292</v>
      </c>
      <c r="E122" s="12" t="str">
        <f t="shared" si="10"/>
        <v>Supplier</v>
      </c>
      <c r="F122" s="58"/>
      <c r="G122" s="58"/>
      <c r="H122" s="58"/>
      <c r="I122" s="58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114"/>
      <c r="AB122" s="114"/>
      <c r="AC122" s="114"/>
    </row>
    <row r="123">
      <c r="A123" s="56" t="s">
        <v>4306</v>
      </c>
      <c r="B123" s="12" t="s">
        <v>4309</v>
      </c>
      <c r="C123" s="56" t="s">
        <v>4311</v>
      </c>
      <c r="D123" s="16" t="s">
        <v>4312</v>
      </c>
      <c r="E123" s="12" t="str">
        <f t="shared" si="10"/>
        <v>quantity</v>
      </c>
      <c r="F123" s="58"/>
      <c r="G123" s="58"/>
      <c r="H123" s="58"/>
      <c r="I123" s="58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114"/>
      <c r="AB123" s="114"/>
      <c r="AC123" s="114"/>
    </row>
    <row r="124">
      <c r="A124" s="56" t="s">
        <v>4320</v>
      </c>
      <c r="B124" s="12" t="s">
        <v>4321</v>
      </c>
      <c r="C124" s="56" t="s">
        <v>4323</v>
      </c>
      <c r="D124" s="16" t="s">
        <v>4327</v>
      </c>
      <c r="E124" s="86"/>
      <c r="F124" s="58"/>
      <c r="G124" s="58"/>
      <c r="H124" s="58"/>
      <c r="I124" s="58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114"/>
      <c r="AB124" s="114"/>
      <c r="AC124" s="114"/>
    </row>
    <row r="125">
      <c r="A125" s="56" t="s">
        <v>4335</v>
      </c>
      <c r="B125" s="12" t="s">
        <v>4336</v>
      </c>
      <c r="C125" s="56" t="s">
        <v>4337</v>
      </c>
      <c r="D125" s="16" t="s">
        <v>4338</v>
      </c>
      <c r="E125" s="86"/>
      <c r="F125" s="58"/>
      <c r="G125" s="58"/>
      <c r="H125" s="58"/>
      <c r="I125" s="58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114"/>
      <c r="AB125" s="114"/>
      <c r="AC125" s="114"/>
    </row>
    <row r="126">
      <c r="A126" s="56" t="s">
        <v>4346</v>
      </c>
      <c r="B126" s="12" t="s">
        <v>4349</v>
      </c>
      <c r="C126" s="56" t="s">
        <v>4351</v>
      </c>
      <c r="D126" s="16" t="s">
        <v>4354</v>
      </c>
      <c r="E126" s="86"/>
      <c r="F126" s="58"/>
      <c r="G126" s="58"/>
      <c r="H126" s="58"/>
      <c r="I126" s="58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114"/>
      <c r="AB126" s="114"/>
      <c r="AC126" s="114"/>
    </row>
    <row r="127">
      <c r="A127" s="29" t="s">
        <v>4364</v>
      </c>
      <c r="B127" s="29" t="s">
        <v>4365</v>
      </c>
      <c r="C127" s="29" t="s">
        <v>4366</v>
      </c>
      <c r="D127" s="16" t="s">
        <v>4367</v>
      </c>
      <c r="E127" s="99" t="s">
        <v>254</v>
      </c>
      <c r="F127" s="58"/>
      <c r="G127" s="58"/>
      <c r="H127" s="58"/>
      <c r="I127" s="58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114"/>
      <c r="AB127" s="114"/>
      <c r="AC127" s="114"/>
    </row>
    <row r="128">
      <c r="A128" s="56" t="s">
        <v>4381</v>
      </c>
      <c r="B128" s="12" t="s">
        <v>4383</v>
      </c>
      <c r="C128" s="56" t="s">
        <v>4385</v>
      </c>
      <c r="D128" s="16" t="s">
        <v>4387</v>
      </c>
      <c r="E128" s="86"/>
      <c r="F128" s="58"/>
      <c r="G128" s="58"/>
      <c r="H128" s="58"/>
      <c r="I128" s="58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114"/>
      <c r="AB128" s="114"/>
      <c r="AC128" s="114"/>
    </row>
    <row r="129">
      <c r="A129" s="56" t="s">
        <v>4396</v>
      </c>
      <c r="B129" s="12" t="s">
        <v>4399</v>
      </c>
      <c r="C129" s="56" t="s">
        <v>4401</v>
      </c>
      <c r="D129" s="16" t="s">
        <v>4402</v>
      </c>
      <c r="E129" s="86"/>
      <c r="F129" s="58"/>
      <c r="G129" s="58"/>
      <c r="H129" s="58"/>
      <c r="I129" s="58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114"/>
      <c r="AB129" s="114"/>
      <c r="AC129" s="114"/>
    </row>
    <row r="130">
      <c r="A130" s="56" t="s">
        <v>4410</v>
      </c>
      <c r="B130" s="12" t="s">
        <v>4412</v>
      </c>
      <c r="C130" s="56" t="s">
        <v>4415</v>
      </c>
      <c r="D130" s="16" t="s">
        <v>4417</v>
      </c>
      <c r="E130" s="86"/>
      <c r="F130" s="58"/>
      <c r="G130" s="58"/>
      <c r="H130" s="58"/>
      <c r="I130" s="58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114"/>
      <c r="AB130" s="114"/>
      <c r="AC130" s="114"/>
    </row>
    <row r="131">
      <c r="A131" s="29" t="s">
        <v>4430</v>
      </c>
      <c r="B131" s="29" t="s">
        <v>4431</v>
      </c>
      <c r="C131" s="29" t="s">
        <v>4432</v>
      </c>
      <c r="D131" s="16" t="s">
        <v>4433</v>
      </c>
      <c r="E131" s="12" t="str">
        <f t="shared" ref="E131:E132" si="11">MID(B131,FIND(" {",B131) + 1 + 1,FIND("}",B131) - 1 - (FIND(" {",B131) + 1))</f>
        <v>item_code</v>
      </c>
      <c r="F131" s="58"/>
      <c r="G131" s="58"/>
      <c r="H131" s="58"/>
      <c r="I131" s="58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114"/>
      <c r="AB131" s="114"/>
      <c r="AC131" s="114"/>
    </row>
    <row r="132">
      <c r="A132" s="29" t="s">
        <v>4478</v>
      </c>
      <c r="B132" s="29" t="s">
        <v>4481</v>
      </c>
      <c r="C132" s="29" t="s">
        <v>4482</v>
      </c>
      <c r="D132" s="16" t="s">
        <v>4485</v>
      </c>
      <c r="E132" s="12" t="str">
        <f t="shared" si="11"/>
        <v>buyer</v>
      </c>
      <c r="F132" s="58"/>
      <c r="G132" s="58"/>
      <c r="H132" s="58"/>
      <c r="I132" s="58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114"/>
      <c r="AB132" s="114"/>
      <c r="AC132" s="114"/>
    </row>
    <row r="133">
      <c r="A133" s="29" t="s">
        <v>4495</v>
      </c>
      <c r="B133" s="29" t="s">
        <v>4497</v>
      </c>
      <c r="C133" s="29" t="s">
        <v>4498</v>
      </c>
      <c r="D133" s="16" t="s">
        <v>4499</v>
      </c>
      <c r="E133" s="29" t="s">
        <v>308</v>
      </c>
      <c r="F133" s="58"/>
      <c r="G133" s="58"/>
      <c r="H133" s="58"/>
      <c r="I133" s="58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114"/>
      <c r="AB133" s="114"/>
      <c r="AC133" s="114"/>
    </row>
    <row r="134">
      <c r="A134" s="56" t="s">
        <v>4506</v>
      </c>
      <c r="B134" s="12" t="s">
        <v>4506</v>
      </c>
      <c r="C134" s="56" t="s">
        <v>4509</v>
      </c>
      <c r="D134" s="16" t="s">
        <v>4511</v>
      </c>
      <c r="E134" s="86"/>
      <c r="F134" s="58"/>
      <c r="G134" s="58"/>
      <c r="H134" s="58"/>
      <c r="I134" s="58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114"/>
      <c r="AB134" s="114"/>
      <c r="AC134" s="114"/>
    </row>
    <row r="135">
      <c r="A135" s="56" t="s">
        <v>4520</v>
      </c>
      <c r="B135" s="12" t="s">
        <v>4523</v>
      </c>
      <c r="C135" s="56" t="s">
        <v>4525</v>
      </c>
      <c r="D135" s="16" t="s">
        <v>4527</v>
      </c>
      <c r="E135" s="86"/>
      <c r="F135" s="58"/>
      <c r="G135" s="58"/>
      <c r="H135" s="58"/>
      <c r="I135" s="58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114"/>
      <c r="AB135" s="114"/>
      <c r="AC135" s="114"/>
    </row>
    <row r="136">
      <c r="A136" s="56" t="s">
        <v>4534</v>
      </c>
      <c r="B136" s="12" t="s">
        <v>4536</v>
      </c>
      <c r="C136" s="56" t="s">
        <v>4537</v>
      </c>
      <c r="D136" s="16" t="s">
        <v>4540</v>
      </c>
      <c r="E136" s="86"/>
      <c r="F136" s="58"/>
      <c r="G136" s="58"/>
      <c r="H136" s="58"/>
      <c r="I136" s="58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114"/>
      <c r="AB136" s="114"/>
      <c r="AC136" s="114"/>
    </row>
    <row r="137">
      <c r="A137" s="56" t="s">
        <v>4549</v>
      </c>
      <c r="B137" s="12" t="s">
        <v>4551</v>
      </c>
      <c r="C137" s="56" t="s">
        <v>4552</v>
      </c>
      <c r="D137" s="16" t="s">
        <v>4553</v>
      </c>
      <c r="E137" s="86"/>
      <c r="F137" s="58"/>
      <c r="G137" s="58"/>
      <c r="H137" s="58"/>
      <c r="I137" s="58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114"/>
      <c r="AB137" s="114"/>
      <c r="AC137" s="114"/>
    </row>
    <row r="138">
      <c r="A138" s="56" t="s">
        <v>4562</v>
      </c>
      <c r="B138" s="12" t="s">
        <v>4563</v>
      </c>
      <c r="C138" s="56" t="s">
        <v>4564</v>
      </c>
      <c r="D138" s="16" t="s">
        <v>4565</v>
      </c>
      <c r="E138" s="86"/>
      <c r="F138" s="58"/>
      <c r="G138" s="58"/>
      <c r="H138" s="58"/>
      <c r="I138" s="58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114"/>
      <c r="AB138" s="114"/>
      <c r="AC138" s="114"/>
    </row>
    <row r="139">
      <c r="A139" s="56" t="s">
        <v>4572</v>
      </c>
      <c r="B139" s="12" t="s">
        <v>4574</v>
      </c>
      <c r="C139" s="56" t="s">
        <v>4575</v>
      </c>
      <c r="D139" s="16" t="s">
        <v>4577</v>
      </c>
      <c r="E139" s="12" t="str">
        <f t="shared" ref="E139:E142" si="12">MID(B139,FIND(" {",B139) + 1 + 1,FIND("}",B139) - 1 - (FIND(" {",B139) + 1))</f>
        <v>supplier</v>
      </c>
      <c r="F139" s="58"/>
      <c r="G139" s="58"/>
      <c r="H139" s="58"/>
      <c r="I139" s="58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114"/>
      <c r="AB139" s="114"/>
      <c r="AC139" s="114"/>
    </row>
    <row r="140">
      <c r="A140" s="56" t="s">
        <v>4609</v>
      </c>
      <c r="B140" s="12" t="s">
        <v>4611</v>
      </c>
      <c r="C140" s="56" t="s">
        <v>4612</v>
      </c>
      <c r="D140" s="16" t="s">
        <v>4613</v>
      </c>
      <c r="E140" s="12" t="str">
        <f t="shared" si="12"/>
        <v>item_code</v>
      </c>
      <c r="F140" s="58"/>
      <c r="G140" s="58"/>
      <c r="H140" s="58"/>
      <c r="I140" s="58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114"/>
      <c r="AB140" s="114"/>
      <c r="AC140" s="114"/>
    </row>
    <row r="141">
      <c r="A141" s="29" t="s">
        <v>4623</v>
      </c>
      <c r="B141" s="29" t="s">
        <v>4625</v>
      </c>
      <c r="C141" s="29" t="s">
        <v>4627</v>
      </c>
      <c r="D141" s="16" t="s">
        <v>4630</v>
      </c>
      <c r="E141" s="12" t="str">
        <f t="shared" si="12"/>
        <v>buyer</v>
      </c>
      <c r="F141" s="58"/>
      <c r="G141" s="58"/>
      <c r="H141" s="58"/>
      <c r="I141" s="58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114"/>
      <c r="AB141" s="114"/>
      <c r="AC141" s="114"/>
    </row>
    <row r="142">
      <c r="A142" s="56" t="s">
        <v>4640</v>
      </c>
      <c r="B142" s="12" t="s">
        <v>4642</v>
      </c>
      <c r="C142" s="56" t="s">
        <v>4644</v>
      </c>
      <c r="D142" s="16" t="s">
        <v>4646</v>
      </c>
      <c r="E142" s="12" t="str">
        <f t="shared" si="12"/>
        <v>quantity</v>
      </c>
      <c r="F142" s="58"/>
      <c r="G142" s="58"/>
      <c r="H142" s="58"/>
      <c r="I142" s="58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114"/>
      <c r="AB142" s="114"/>
      <c r="AC142" s="114"/>
    </row>
    <row r="143">
      <c r="A143" s="56" t="s">
        <v>4654</v>
      </c>
      <c r="B143" s="12" t="s">
        <v>4655</v>
      </c>
      <c r="C143" s="56" t="s">
        <v>4656</v>
      </c>
      <c r="D143" s="16" t="s">
        <v>4658</v>
      </c>
      <c r="E143" s="86"/>
      <c r="F143" s="58"/>
      <c r="G143" s="58"/>
      <c r="H143" s="58"/>
      <c r="I143" s="58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114"/>
      <c r="AB143" s="114"/>
      <c r="AC143" s="114"/>
    </row>
    <row r="144">
      <c r="A144" s="56" t="s">
        <v>4663</v>
      </c>
      <c r="B144" s="12" t="s">
        <v>4665</v>
      </c>
      <c r="C144" s="56" t="s">
        <v>4667</v>
      </c>
      <c r="D144" s="16" t="s">
        <v>4671</v>
      </c>
      <c r="E144" s="86"/>
      <c r="F144" s="58"/>
      <c r="G144" s="58"/>
      <c r="H144" s="58"/>
      <c r="I144" s="58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114"/>
      <c r="AB144" s="114"/>
      <c r="AC144" s="114"/>
    </row>
    <row r="145">
      <c r="A145" s="56" t="s">
        <v>4676</v>
      </c>
      <c r="B145" s="12" t="s">
        <v>4676</v>
      </c>
      <c r="C145" s="56" t="s">
        <v>4680</v>
      </c>
      <c r="D145" s="16" t="s">
        <v>4683</v>
      </c>
      <c r="E145" s="86"/>
      <c r="F145" s="58"/>
      <c r="G145" s="58"/>
      <c r="H145" s="58"/>
      <c r="I145" s="58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114"/>
      <c r="AB145" s="114"/>
      <c r="AC145" s="114"/>
    </row>
    <row r="146">
      <c r="A146" s="56" t="s">
        <v>4688</v>
      </c>
      <c r="B146" s="12" t="s">
        <v>4691</v>
      </c>
      <c r="C146" s="56" t="s">
        <v>4693</v>
      </c>
      <c r="D146" s="16" t="s">
        <v>4695</v>
      </c>
      <c r="E146" s="86"/>
      <c r="F146" s="58"/>
      <c r="G146" s="58"/>
      <c r="H146" s="58"/>
      <c r="I146" s="58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114"/>
      <c r="AB146" s="114"/>
      <c r="AC146" s="114"/>
    </row>
    <row r="147">
      <c r="A147" s="56" t="s">
        <v>4703</v>
      </c>
      <c r="B147" s="12" t="s">
        <v>4705</v>
      </c>
      <c r="C147" s="56" t="s">
        <v>4706</v>
      </c>
      <c r="D147" s="16" t="s">
        <v>4707</v>
      </c>
      <c r="E147" s="86"/>
      <c r="F147" s="58"/>
      <c r="G147" s="58"/>
      <c r="H147" s="58"/>
      <c r="I147" s="58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114"/>
      <c r="AB147" s="114"/>
      <c r="AC147" s="114"/>
    </row>
    <row r="148">
      <c r="A148" s="56" t="s">
        <v>4715</v>
      </c>
      <c r="B148" s="12" t="s">
        <v>4716</v>
      </c>
      <c r="C148" s="56" t="s">
        <v>4717</v>
      </c>
      <c r="D148" s="16" t="s">
        <v>4718</v>
      </c>
      <c r="E148" s="12" t="str">
        <f t="shared" ref="E148:E151" si="13">MID(B148,FIND(" {",B148) + 1 + 1,FIND("}",B148) - 1 - (FIND(" {",B148) + 1))</f>
        <v>supplier</v>
      </c>
      <c r="F148" s="58"/>
      <c r="G148" s="58"/>
      <c r="H148" s="58"/>
      <c r="I148" s="58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114"/>
      <c r="AB148" s="114"/>
      <c r="AC148" s="114"/>
    </row>
    <row r="149">
      <c r="A149" s="29" t="s">
        <v>4749</v>
      </c>
      <c r="B149" s="29" t="s">
        <v>4750</v>
      </c>
      <c r="C149" s="29" t="s">
        <v>4751</v>
      </c>
      <c r="D149" s="16" t="s">
        <v>4753</v>
      </c>
      <c r="E149" s="12" t="str">
        <f t="shared" si="13"/>
        <v>buyer</v>
      </c>
      <c r="F149" s="58"/>
      <c r="G149" s="58"/>
      <c r="H149" s="58"/>
      <c r="I149" s="58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114"/>
      <c r="AB149" s="114"/>
      <c r="AC149" s="114"/>
    </row>
    <row r="150">
      <c r="A150" s="56" t="s">
        <v>4764</v>
      </c>
      <c r="B150" s="12" t="s">
        <v>4766</v>
      </c>
      <c r="C150" s="56" t="s">
        <v>4767</v>
      </c>
      <c r="D150" s="16" t="s">
        <v>4769</v>
      </c>
      <c r="E150" s="12" t="str">
        <f t="shared" si="13"/>
        <v>item_code</v>
      </c>
      <c r="F150" s="58"/>
      <c r="G150" s="58"/>
      <c r="H150" s="58"/>
      <c r="I150" s="58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114"/>
      <c r="AB150" s="114"/>
      <c r="AC150" s="114"/>
    </row>
    <row r="151">
      <c r="A151" s="56" t="s">
        <v>3694</v>
      </c>
      <c r="B151" s="12" t="s">
        <v>3695</v>
      </c>
      <c r="C151" s="56" t="s">
        <v>3696</v>
      </c>
      <c r="D151" s="16" t="s">
        <v>4779</v>
      </c>
      <c r="E151" s="12" t="str">
        <f t="shared" si="13"/>
        <v>amount</v>
      </c>
      <c r="F151" s="58"/>
      <c r="G151" s="58"/>
      <c r="H151" s="58"/>
      <c r="I151" s="58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114"/>
      <c r="AB151" s="114"/>
      <c r="AC151" s="114"/>
    </row>
    <row r="152">
      <c r="A152" s="56" t="s">
        <v>4789</v>
      </c>
      <c r="B152" s="12" t="s">
        <v>4790</v>
      </c>
      <c r="C152" s="56" t="s">
        <v>4791</v>
      </c>
      <c r="D152" s="16" t="s">
        <v>4792</v>
      </c>
      <c r="E152" s="86"/>
      <c r="F152" s="58"/>
      <c r="G152" s="58"/>
      <c r="H152" s="58"/>
      <c r="I152" s="58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114"/>
      <c r="AB152" s="114"/>
      <c r="AC152" s="114"/>
    </row>
    <row r="153">
      <c r="A153" s="56" t="s">
        <v>4800</v>
      </c>
      <c r="B153" s="12" t="s">
        <v>4801</v>
      </c>
      <c r="C153" s="56" t="s">
        <v>4803</v>
      </c>
      <c r="D153" s="16" t="s">
        <v>4804</v>
      </c>
      <c r="E153" s="86"/>
      <c r="F153" s="58"/>
      <c r="G153" s="58"/>
      <c r="H153" s="58"/>
      <c r="I153" s="58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114"/>
      <c r="AB153" s="114"/>
      <c r="AC153" s="114"/>
    </row>
    <row r="154">
      <c r="A154" s="56" t="s">
        <v>4813</v>
      </c>
      <c r="B154" s="12" t="s">
        <v>4814</v>
      </c>
      <c r="C154" s="56" t="s">
        <v>4815</v>
      </c>
      <c r="D154" s="16" t="s">
        <v>4816</v>
      </c>
      <c r="E154" s="86"/>
      <c r="F154" s="58"/>
      <c r="G154" s="58"/>
      <c r="H154" s="58"/>
      <c r="I154" s="58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114"/>
      <c r="AB154" s="114"/>
      <c r="AC154" s="114"/>
    </row>
    <row r="155">
      <c r="A155" s="56" t="s">
        <v>4825</v>
      </c>
      <c r="B155" s="12" t="s">
        <v>4826</v>
      </c>
      <c r="C155" s="56" t="s">
        <v>4827</v>
      </c>
      <c r="D155" s="16" t="s">
        <v>4828</v>
      </c>
      <c r="E155" s="86"/>
      <c r="F155" s="58"/>
      <c r="G155" s="58"/>
      <c r="H155" s="58"/>
      <c r="I155" s="58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114"/>
      <c r="AB155" s="114"/>
      <c r="AC155" s="114"/>
    </row>
    <row r="156">
      <c r="A156" s="56" t="s">
        <v>4837</v>
      </c>
      <c r="B156" s="12" t="s">
        <v>4838</v>
      </c>
      <c r="C156" s="56" t="s">
        <v>4839</v>
      </c>
      <c r="D156" s="16" t="s">
        <v>4840</v>
      </c>
      <c r="E156" s="12" t="str">
        <f t="shared" ref="E156:E159" si="14">MID(B156,FIND(" {",B156) + 1 + 1,FIND("}",B156) - 1 - (FIND(" {",B156) + 1))</f>
        <v>supplier</v>
      </c>
      <c r="F156" s="58"/>
      <c r="G156" s="58"/>
      <c r="H156" s="58"/>
      <c r="I156" s="58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114"/>
      <c r="AB156" s="114"/>
      <c r="AC156" s="114"/>
    </row>
    <row r="157">
      <c r="A157" s="56" t="s">
        <v>4873</v>
      </c>
      <c r="B157" s="12" t="s">
        <v>4874</v>
      </c>
      <c r="C157" s="56" t="s">
        <v>4875</v>
      </c>
      <c r="D157" s="16" t="s">
        <v>4878</v>
      </c>
      <c r="E157" s="12" t="str">
        <f t="shared" si="14"/>
        <v>item_code</v>
      </c>
      <c r="F157" s="58"/>
      <c r="G157" s="58"/>
      <c r="H157" s="58"/>
      <c r="I157" s="58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114"/>
      <c r="AB157" s="114"/>
      <c r="AC157" s="114"/>
    </row>
    <row r="158">
      <c r="A158" s="56" t="s">
        <v>3701</v>
      </c>
      <c r="B158" s="12" t="s">
        <v>3702</v>
      </c>
      <c r="C158" s="56" t="s">
        <v>3703</v>
      </c>
      <c r="D158" s="16" t="s">
        <v>4891</v>
      </c>
      <c r="E158" s="12" t="str">
        <f t="shared" si="14"/>
        <v>days</v>
      </c>
      <c r="F158" s="58"/>
      <c r="G158" s="58"/>
      <c r="H158" s="58"/>
      <c r="I158" s="58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114"/>
      <c r="AB158" s="114"/>
      <c r="AC158" s="114"/>
    </row>
    <row r="159">
      <c r="A159" s="56" t="s">
        <v>4897</v>
      </c>
      <c r="B159" s="12" t="s">
        <v>4898</v>
      </c>
      <c r="C159" s="56" t="s">
        <v>4900</v>
      </c>
      <c r="D159" s="16" t="s">
        <v>4902</v>
      </c>
      <c r="E159" s="12" t="str">
        <f t="shared" si="14"/>
        <v>days</v>
      </c>
      <c r="F159" s="58"/>
      <c r="G159" s="58"/>
      <c r="H159" s="58"/>
      <c r="I159" s="58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114"/>
      <c r="AB159" s="114"/>
      <c r="AC159" s="114"/>
    </row>
    <row r="160">
      <c r="A160" s="56" t="s">
        <v>4910</v>
      </c>
      <c r="B160" s="12" t="s">
        <v>4911</v>
      </c>
      <c r="C160" s="56" t="s">
        <v>4912</v>
      </c>
      <c r="D160" s="16" t="s">
        <v>4913</v>
      </c>
      <c r="E160" s="86"/>
      <c r="F160" s="58"/>
      <c r="G160" s="58"/>
      <c r="H160" s="58"/>
      <c r="I160" s="58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114"/>
      <c r="AB160" s="114"/>
      <c r="AC160" s="114"/>
    </row>
    <row r="161">
      <c r="A161" s="56" t="s">
        <v>4919</v>
      </c>
      <c r="B161" s="12" t="s">
        <v>4919</v>
      </c>
      <c r="C161" s="56" t="s">
        <v>4920</v>
      </c>
      <c r="D161" s="16" t="s">
        <v>4921</v>
      </c>
      <c r="E161" s="86"/>
      <c r="F161" s="58"/>
      <c r="G161" s="58"/>
      <c r="H161" s="58"/>
      <c r="I161" s="58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114"/>
      <c r="AB161" s="114"/>
      <c r="AC161" s="114"/>
    </row>
    <row r="162">
      <c r="A162" s="56" t="s">
        <v>4934</v>
      </c>
      <c r="B162" s="12" t="s">
        <v>4934</v>
      </c>
      <c r="C162" s="56" t="s">
        <v>4935</v>
      </c>
      <c r="D162" s="16" t="s">
        <v>4936</v>
      </c>
      <c r="E162" s="86"/>
      <c r="F162" s="58"/>
      <c r="G162" s="58"/>
      <c r="H162" s="58"/>
      <c r="I162" s="58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114"/>
      <c r="AB162" s="114"/>
      <c r="AC162" s="114"/>
    </row>
    <row r="163">
      <c r="A163" s="56" t="s">
        <v>4944</v>
      </c>
      <c r="B163" s="12" t="s">
        <v>4946</v>
      </c>
      <c r="C163" s="56" t="s">
        <v>4948</v>
      </c>
      <c r="D163" s="16" t="s">
        <v>4952</v>
      </c>
      <c r="E163" s="86"/>
      <c r="F163" s="58"/>
      <c r="G163" s="58"/>
      <c r="H163" s="58"/>
      <c r="I163" s="58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114"/>
      <c r="AB163" s="114"/>
      <c r="AC163" s="114"/>
    </row>
    <row r="164">
      <c r="A164" s="56" t="s">
        <v>4959</v>
      </c>
      <c r="B164" s="12" t="s">
        <v>4960</v>
      </c>
      <c r="C164" s="56" t="s">
        <v>4961</v>
      </c>
      <c r="D164" s="16" t="s">
        <v>4962</v>
      </c>
      <c r="E164" s="86"/>
      <c r="F164" s="58"/>
      <c r="G164" s="58"/>
      <c r="H164" s="58"/>
      <c r="I164" s="58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114"/>
      <c r="AB164" s="114"/>
      <c r="AC164" s="114"/>
    </row>
    <row r="165">
      <c r="A165" s="56" t="s">
        <v>4971</v>
      </c>
      <c r="B165" s="12" t="s">
        <v>4972</v>
      </c>
      <c r="C165" s="56" t="s">
        <v>4973</v>
      </c>
      <c r="D165" s="16" t="s">
        <v>4975</v>
      </c>
      <c r="E165" s="86"/>
      <c r="F165" s="58"/>
      <c r="G165" s="58"/>
      <c r="H165" s="58"/>
      <c r="I165" s="58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114"/>
      <c r="AB165" s="114"/>
      <c r="AC165" s="114"/>
    </row>
    <row r="166">
      <c r="A166" s="56" t="s">
        <v>4979</v>
      </c>
      <c r="B166" s="12" t="s">
        <v>4980</v>
      </c>
      <c r="C166" s="56" t="s">
        <v>4981</v>
      </c>
      <c r="D166" s="16" t="s">
        <v>4985</v>
      </c>
      <c r="E166" s="86"/>
      <c r="F166" s="58"/>
      <c r="G166" s="58"/>
      <c r="H166" s="58"/>
      <c r="I166" s="58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114"/>
      <c r="AB166" s="114"/>
      <c r="AC166" s="114"/>
    </row>
    <row r="167">
      <c r="A167" s="56" t="s">
        <v>4992</v>
      </c>
      <c r="B167" s="12" t="s">
        <v>4994</v>
      </c>
      <c r="C167" s="56" t="s">
        <v>4996</v>
      </c>
      <c r="D167" s="16" t="s">
        <v>4998</v>
      </c>
      <c r="E167" s="86"/>
      <c r="F167" s="58"/>
      <c r="G167" s="58"/>
      <c r="H167" s="58"/>
      <c r="I167" s="58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114"/>
      <c r="AB167" s="114"/>
      <c r="AC167" s="114"/>
    </row>
    <row r="168">
      <c r="A168" s="56" t="s">
        <v>5004</v>
      </c>
      <c r="B168" s="12" t="s">
        <v>5006</v>
      </c>
      <c r="C168" s="56" t="s">
        <v>5007</v>
      </c>
      <c r="D168" s="16" t="s">
        <v>5008</v>
      </c>
      <c r="E168" s="86"/>
      <c r="F168" s="58"/>
      <c r="G168" s="58"/>
      <c r="H168" s="58"/>
      <c r="I168" s="58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114"/>
      <c r="AB168" s="114"/>
      <c r="AC168" s="114"/>
    </row>
    <row r="169">
      <c r="A169" s="56" t="s">
        <v>5016</v>
      </c>
      <c r="B169" s="12" t="s">
        <v>5017</v>
      </c>
      <c r="C169" s="56" t="s">
        <v>5018</v>
      </c>
      <c r="D169" s="16" t="s">
        <v>5019</v>
      </c>
      <c r="E169" s="86"/>
      <c r="F169" s="58"/>
      <c r="G169" s="58"/>
      <c r="H169" s="58"/>
      <c r="I169" s="58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114"/>
      <c r="AB169" s="114"/>
      <c r="AC169" s="114"/>
    </row>
    <row r="170">
      <c r="A170" s="56" t="s">
        <v>5028</v>
      </c>
      <c r="B170" s="12" t="s">
        <v>5029</v>
      </c>
      <c r="C170" s="56" t="s">
        <v>5030</v>
      </c>
      <c r="D170" s="16" t="s">
        <v>5031</v>
      </c>
      <c r="E170" s="12" t="str">
        <f>MID(B170,FIND(" {",B170) + 1 + 1,FIND("}",B170) - 1 - (FIND(" {",B170) + 1))</f>
        <v>approval_status</v>
      </c>
      <c r="F170" s="58"/>
      <c r="G170" s="58"/>
      <c r="H170" s="58"/>
      <c r="I170" s="58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114"/>
      <c r="AB170" s="114"/>
      <c r="AC170" s="114"/>
    </row>
    <row r="171">
      <c r="A171" s="56" t="s">
        <v>5062</v>
      </c>
      <c r="B171" s="12" t="s">
        <v>5063</v>
      </c>
      <c r="C171" s="56" t="s">
        <v>5065</v>
      </c>
      <c r="D171" s="16" t="s">
        <v>5068</v>
      </c>
      <c r="E171" s="86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  <c r="AA171" s="115"/>
      <c r="AB171" s="115"/>
      <c r="AC171" s="115"/>
    </row>
    <row r="172">
      <c r="A172" s="56" t="s">
        <v>5076</v>
      </c>
      <c r="B172" s="12" t="s">
        <v>5078</v>
      </c>
      <c r="C172" s="56" t="s">
        <v>5079</v>
      </c>
      <c r="D172" s="16" t="s">
        <v>5081</v>
      </c>
      <c r="E172" s="86"/>
      <c r="F172" s="58"/>
      <c r="G172" s="58"/>
      <c r="H172" s="58"/>
      <c r="I172" s="58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114"/>
      <c r="AB172" s="114"/>
      <c r="AC172" s="114"/>
    </row>
    <row r="173">
      <c r="A173" s="56" t="s">
        <v>5087</v>
      </c>
      <c r="B173" s="12" t="s">
        <v>5087</v>
      </c>
      <c r="C173" s="56" t="s">
        <v>5090</v>
      </c>
      <c r="D173" s="16" t="s">
        <v>5091</v>
      </c>
      <c r="E173" s="86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  <c r="AA173" s="115"/>
      <c r="AB173" s="115"/>
      <c r="AC173" s="115"/>
    </row>
    <row r="174">
      <c r="A174" s="56" t="s">
        <v>5099</v>
      </c>
      <c r="B174" s="12" t="s">
        <v>5101</v>
      </c>
      <c r="C174" s="56" t="s">
        <v>5102</v>
      </c>
      <c r="D174" s="16" t="s">
        <v>5103</v>
      </c>
      <c r="E174" s="86"/>
      <c r="F174" s="58"/>
      <c r="G174" s="58"/>
      <c r="H174" s="58"/>
      <c r="I174" s="58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114"/>
      <c r="AB174" s="114"/>
      <c r="AC174" s="114"/>
    </row>
    <row r="175">
      <c r="A175" s="56" t="s">
        <v>5112</v>
      </c>
      <c r="B175" s="12" t="s">
        <v>5113</v>
      </c>
      <c r="C175" s="56" t="s">
        <v>5114</v>
      </c>
      <c r="D175" s="16" t="s">
        <v>5115</v>
      </c>
      <c r="E175" s="86"/>
      <c r="F175" s="58"/>
      <c r="G175" s="58"/>
      <c r="H175" s="58"/>
      <c r="I175" s="58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114"/>
      <c r="AB175" s="114"/>
      <c r="AC175" s="114"/>
    </row>
    <row r="176">
      <c r="A176" s="56" t="s">
        <v>5123</v>
      </c>
      <c r="B176" s="12" t="s">
        <v>5125</v>
      </c>
      <c r="C176" s="56" t="s">
        <v>5127</v>
      </c>
      <c r="D176" s="16" t="s">
        <v>5130</v>
      </c>
      <c r="E176" s="86"/>
      <c r="F176" s="58"/>
      <c r="G176" s="58"/>
      <c r="H176" s="58"/>
      <c r="I176" s="58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114"/>
      <c r="AB176" s="114"/>
      <c r="AC176" s="114"/>
    </row>
    <row r="177">
      <c r="A177" s="56" t="s">
        <v>5136</v>
      </c>
      <c r="B177" s="12" t="s">
        <v>5138</v>
      </c>
      <c r="C177" s="56" t="s">
        <v>5140</v>
      </c>
      <c r="D177" s="16" t="s">
        <v>5142</v>
      </c>
      <c r="E177" s="86"/>
      <c r="F177" s="58"/>
      <c r="G177" s="58"/>
      <c r="H177" s="58"/>
      <c r="I177" s="58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114"/>
      <c r="AB177" s="114"/>
      <c r="AC177" s="114"/>
    </row>
    <row r="178">
      <c r="A178" s="48" t="s">
        <v>5149</v>
      </c>
      <c r="B178" s="11" t="s">
        <v>5151</v>
      </c>
      <c r="C178" s="48" t="s">
        <v>5152</v>
      </c>
      <c r="D178" s="31" t="s">
        <v>5153</v>
      </c>
      <c r="E178" s="59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14"/>
      <c r="AB178" s="114"/>
      <c r="AC178" s="114"/>
    </row>
    <row r="179">
      <c r="A179" s="56" t="s">
        <v>5162</v>
      </c>
      <c r="B179" s="12" t="s">
        <v>5162</v>
      </c>
      <c r="C179" s="56" t="s">
        <v>5163</v>
      </c>
      <c r="D179" s="16" t="s">
        <v>5164</v>
      </c>
      <c r="E179" s="86"/>
      <c r="F179" s="58"/>
      <c r="G179" s="58"/>
      <c r="H179" s="58"/>
      <c r="I179" s="58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114"/>
      <c r="AB179" s="114"/>
      <c r="AC179" s="114"/>
    </row>
    <row r="180">
      <c r="A180" s="56" t="s">
        <v>5171</v>
      </c>
      <c r="B180" s="12" t="s">
        <v>5171</v>
      </c>
      <c r="C180" s="56" t="s">
        <v>5172</v>
      </c>
      <c r="D180" s="16" t="s">
        <v>5173</v>
      </c>
      <c r="E180" s="86"/>
      <c r="F180" s="58"/>
      <c r="G180" s="58"/>
      <c r="H180" s="58"/>
      <c r="I180" s="58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114"/>
      <c r="AB180" s="114"/>
      <c r="AC180" s="114"/>
    </row>
    <row r="181">
      <c r="A181" s="56" t="s">
        <v>5181</v>
      </c>
      <c r="B181" s="12" t="s">
        <v>5183</v>
      </c>
      <c r="C181" s="56" t="s">
        <v>5184</v>
      </c>
      <c r="D181" s="16" t="s">
        <v>5187</v>
      </c>
      <c r="E181" s="86"/>
      <c r="F181" s="58"/>
      <c r="G181" s="58"/>
      <c r="H181" s="58"/>
      <c r="I181" s="58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114"/>
      <c r="AB181" s="114"/>
      <c r="AC181" s="114"/>
    </row>
    <row r="182">
      <c r="A182" s="56" t="s">
        <v>5192</v>
      </c>
      <c r="B182" s="12" t="s">
        <v>5193</v>
      </c>
      <c r="C182" s="56" t="s">
        <v>5197</v>
      </c>
      <c r="D182" s="16" t="s">
        <v>5202</v>
      </c>
      <c r="E182" s="12" t="str">
        <f t="shared" ref="E182:E185" si="15">MID(B182,FIND(" {",B182) + 1 + 1,FIND("}",B182) - 1 - (FIND(" {",B182) + 1))</f>
        <v>month</v>
      </c>
      <c r="F182" s="58"/>
      <c r="G182" s="58"/>
      <c r="H182" s="58"/>
      <c r="I182" s="58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114"/>
      <c r="AB182" s="114"/>
      <c r="AC182" s="114"/>
    </row>
    <row r="183">
      <c r="A183" s="56" t="s">
        <v>5229</v>
      </c>
      <c r="B183" s="12" t="s">
        <v>5230</v>
      </c>
      <c r="C183" s="56" t="s">
        <v>5231</v>
      </c>
      <c r="D183" s="16" t="s">
        <v>5234</v>
      </c>
      <c r="E183" s="12" t="str">
        <f t="shared" si="15"/>
        <v>year</v>
      </c>
      <c r="F183" s="58"/>
      <c r="G183" s="58"/>
      <c r="H183" s="58"/>
      <c r="I183" s="58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114"/>
      <c r="AB183" s="114"/>
      <c r="AC183" s="114"/>
    </row>
    <row r="184">
      <c r="A184" s="56" t="s">
        <v>5242</v>
      </c>
      <c r="B184" s="12" t="s">
        <v>5244</v>
      </c>
      <c r="C184" s="56" t="s">
        <v>5246</v>
      </c>
      <c r="D184" s="16" t="s">
        <v>5250</v>
      </c>
      <c r="E184" s="12" t="str">
        <f t="shared" si="15"/>
        <v>supplier</v>
      </c>
      <c r="F184" s="58"/>
      <c r="G184" s="58"/>
      <c r="H184" s="58"/>
      <c r="I184" s="58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114"/>
      <c r="AB184" s="114"/>
      <c r="AC184" s="114"/>
    </row>
    <row r="185">
      <c r="A185" s="56" t="s">
        <v>5256</v>
      </c>
      <c r="B185" s="12" t="s">
        <v>5257</v>
      </c>
      <c r="C185" s="56" t="s">
        <v>5259</v>
      </c>
      <c r="D185" s="16" t="s">
        <v>5262</v>
      </c>
      <c r="E185" s="12" t="str">
        <f t="shared" si="15"/>
        <v>item_code</v>
      </c>
      <c r="F185" s="58"/>
      <c r="G185" s="58"/>
      <c r="H185" s="58"/>
      <c r="I185" s="58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114"/>
      <c r="AB185" s="114"/>
      <c r="AC185" s="114"/>
    </row>
    <row r="186">
      <c r="A186" s="56" t="s">
        <v>5268</v>
      </c>
      <c r="B186" s="12" t="s">
        <v>5269</v>
      </c>
      <c r="C186" s="56" t="s">
        <v>5270</v>
      </c>
      <c r="D186" s="16" t="s">
        <v>5271</v>
      </c>
      <c r="E186" s="86"/>
      <c r="F186" s="58"/>
      <c r="G186" s="58"/>
      <c r="H186" s="58"/>
      <c r="I186" s="58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114"/>
      <c r="AB186" s="114"/>
      <c r="AC186" s="114"/>
    </row>
    <row r="187">
      <c r="A187" s="56" t="s">
        <v>5277</v>
      </c>
      <c r="B187" s="12" t="s">
        <v>5277</v>
      </c>
      <c r="C187" s="56" t="s">
        <v>5280</v>
      </c>
      <c r="D187" s="16" t="s">
        <v>5281</v>
      </c>
      <c r="E187" s="86"/>
      <c r="F187" s="58"/>
      <c r="G187" s="58"/>
      <c r="H187" s="58"/>
      <c r="I187" s="58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114"/>
      <c r="AB187" s="114"/>
      <c r="AC187" s="114"/>
    </row>
    <row r="188">
      <c r="A188" s="56" t="s">
        <v>5288</v>
      </c>
      <c r="B188" s="12" t="s">
        <v>5290</v>
      </c>
      <c r="C188" s="56" t="s">
        <v>5292</v>
      </c>
      <c r="D188" s="16" t="s">
        <v>5294</v>
      </c>
      <c r="E188" s="86"/>
      <c r="F188" s="58"/>
      <c r="G188" s="58"/>
      <c r="H188" s="58"/>
      <c r="I188" s="58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114"/>
      <c r="AB188" s="114"/>
      <c r="AC188" s="114"/>
    </row>
    <row r="189">
      <c r="A189" s="56" t="s">
        <v>5300</v>
      </c>
      <c r="B189" s="12" t="s">
        <v>5302</v>
      </c>
      <c r="C189" s="56" t="s">
        <v>5304</v>
      </c>
      <c r="D189" s="16" t="s">
        <v>5305</v>
      </c>
      <c r="E189" s="86"/>
      <c r="F189" s="58"/>
      <c r="G189" s="58"/>
      <c r="H189" s="58"/>
      <c r="I189" s="58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114"/>
      <c r="AB189" s="114"/>
      <c r="AC189" s="114"/>
    </row>
    <row r="190">
      <c r="A190" s="56" t="s">
        <v>5312</v>
      </c>
      <c r="B190" s="12" t="s">
        <v>5315</v>
      </c>
      <c r="C190" s="56" t="s">
        <v>5316</v>
      </c>
      <c r="D190" s="16" t="s">
        <v>5317</v>
      </c>
      <c r="E190" s="86"/>
      <c r="F190" s="58"/>
      <c r="G190" s="58"/>
      <c r="H190" s="58"/>
      <c r="I190" s="58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114"/>
      <c r="AB190" s="114"/>
      <c r="AC190" s="114"/>
    </row>
    <row r="191">
      <c r="A191" s="56" t="s">
        <v>5321</v>
      </c>
      <c r="B191" s="12" t="s">
        <v>5323</v>
      </c>
      <c r="C191" s="56" t="s">
        <v>5324</v>
      </c>
      <c r="D191" s="16" t="s">
        <v>5327</v>
      </c>
      <c r="E191" s="86"/>
      <c r="F191" s="58"/>
      <c r="G191" s="58"/>
      <c r="H191" s="58"/>
      <c r="I191" s="58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114"/>
      <c r="AB191" s="114"/>
      <c r="AC191" s="114"/>
    </row>
    <row r="192">
      <c r="A192" s="29" t="s">
        <v>5334</v>
      </c>
      <c r="B192" s="29" t="s">
        <v>5336</v>
      </c>
      <c r="C192" s="29" t="s">
        <v>5338</v>
      </c>
      <c r="D192" s="16" t="s">
        <v>5340</v>
      </c>
      <c r="E192" s="12" t="str">
        <f t="shared" ref="E192:E194" si="16">MID(B192,FIND(" {",B192) + 1 + 1,FIND("}",B192) - 1 - (FIND(" {",B192) + 1))</f>
        <v>customer</v>
      </c>
      <c r="F192" s="58"/>
      <c r="G192" s="58"/>
      <c r="H192" s="58"/>
      <c r="I192" s="58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114"/>
      <c r="AB192" s="114"/>
      <c r="AC192" s="114"/>
    </row>
    <row r="193">
      <c r="A193" s="29" t="s">
        <v>5369</v>
      </c>
      <c r="B193" s="29" t="s">
        <v>5370</v>
      </c>
      <c r="C193" s="29" t="s">
        <v>5371</v>
      </c>
      <c r="D193" s="16" t="s">
        <v>5372</v>
      </c>
      <c r="E193" s="12" t="str">
        <f t="shared" si="16"/>
        <v>customer</v>
      </c>
      <c r="F193" s="58"/>
      <c r="G193" s="58"/>
      <c r="H193" s="58"/>
      <c r="I193" s="58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114"/>
      <c r="AB193" s="114"/>
      <c r="AC193" s="114"/>
    </row>
    <row r="194">
      <c r="A194" s="29" t="s">
        <v>5380</v>
      </c>
      <c r="B194" s="29" t="s">
        <v>5381</v>
      </c>
      <c r="C194" s="29" t="s">
        <v>5383</v>
      </c>
      <c r="D194" s="16" t="s">
        <v>5387</v>
      </c>
      <c r="E194" s="12" t="str">
        <f t="shared" si="16"/>
        <v>customer</v>
      </c>
      <c r="F194" s="58"/>
      <c r="G194" s="58"/>
      <c r="H194" s="58"/>
      <c r="I194" s="58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114"/>
      <c r="AB194" s="114"/>
      <c r="AC194" s="114"/>
    </row>
    <row r="195">
      <c r="A195" s="56" t="s">
        <v>5393</v>
      </c>
      <c r="B195" s="12" t="s">
        <v>5394</v>
      </c>
      <c r="C195" s="56" t="s">
        <v>5395</v>
      </c>
      <c r="D195" s="16" t="s">
        <v>5398</v>
      </c>
      <c r="E195" s="86"/>
      <c r="F195" s="58"/>
      <c r="G195" s="58"/>
      <c r="H195" s="58"/>
      <c r="I195" s="58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114"/>
      <c r="AB195" s="114"/>
      <c r="AC195" s="114"/>
    </row>
    <row r="196">
      <c r="A196" s="56" t="s">
        <v>5405</v>
      </c>
      <c r="B196" s="12" t="s">
        <v>5405</v>
      </c>
      <c r="C196" s="56" t="s">
        <v>5406</v>
      </c>
      <c r="D196" s="16" t="s">
        <v>5407</v>
      </c>
      <c r="E196" s="86"/>
      <c r="F196" s="58"/>
      <c r="G196" s="58"/>
      <c r="H196" s="58"/>
      <c r="I196" s="58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114"/>
      <c r="AB196" s="114"/>
      <c r="AC196" s="114"/>
    </row>
    <row r="197">
      <c r="A197" s="56" t="s">
        <v>5415</v>
      </c>
      <c r="B197" s="12" t="s">
        <v>5415</v>
      </c>
      <c r="C197" s="56" t="s">
        <v>5416</v>
      </c>
      <c r="D197" s="16" t="s">
        <v>5417</v>
      </c>
      <c r="E197" s="86"/>
      <c r="F197" s="58"/>
      <c r="G197" s="58"/>
      <c r="H197" s="58"/>
      <c r="I197" s="58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114"/>
      <c r="AB197" s="114"/>
      <c r="AC197" s="114"/>
    </row>
    <row r="198">
      <c r="A198" s="56" t="s">
        <v>5422</v>
      </c>
      <c r="B198" s="12" t="s">
        <v>5423</v>
      </c>
      <c r="C198" s="56" t="s">
        <v>5424</v>
      </c>
      <c r="D198" s="16" t="s">
        <v>5425</v>
      </c>
      <c r="E198" s="86"/>
      <c r="F198" s="58"/>
      <c r="G198" s="58"/>
      <c r="H198" s="58"/>
      <c r="I198" s="58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114"/>
      <c r="AB198" s="114"/>
      <c r="AC198" s="114"/>
    </row>
    <row r="199">
      <c r="A199" s="56" t="s">
        <v>5431</v>
      </c>
      <c r="B199" s="12" t="s">
        <v>5433</v>
      </c>
      <c r="C199" s="56" t="s">
        <v>5434</v>
      </c>
      <c r="D199" s="16" t="s">
        <v>5436</v>
      </c>
      <c r="E199" s="86"/>
      <c r="F199" s="58"/>
      <c r="G199" s="58"/>
      <c r="H199" s="58"/>
      <c r="I199" s="58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114"/>
      <c r="AB199" s="114"/>
      <c r="AC199" s="114"/>
    </row>
    <row r="200">
      <c r="A200" s="56" t="s">
        <v>5440</v>
      </c>
      <c r="B200" s="12" t="s">
        <v>5441</v>
      </c>
      <c r="C200" s="56" t="s">
        <v>5443</v>
      </c>
      <c r="D200" s="16" t="s">
        <v>5446</v>
      </c>
      <c r="E200" s="86"/>
      <c r="F200" s="58"/>
      <c r="G200" s="58"/>
      <c r="H200" s="58"/>
      <c r="I200" s="58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114"/>
      <c r="AB200" s="114"/>
      <c r="AC200" s="114"/>
    </row>
    <row r="201">
      <c r="A201" s="29" t="s">
        <v>5452</v>
      </c>
      <c r="B201" s="29" t="s">
        <v>5453</v>
      </c>
      <c r="C201" s="29" t="s">
        <v>5454</v>
      </c>
      <c r="D201" s="16" t="s">
        <v>5456</v>
      </c>
      <c r="E201" s="12" t="str">
        <f>MID(B201,FIND(" {",B201) + 1 + 1,FIND("}",B201) - 1 - (FIND(" {",B201) + 1))</f>
        <v>full_kit</v>
      </c>
      <c r="F201" s="58"/>
      <c r="G201" s="58"/>
      <c r="H201" s="58"/>
      <c r="I201" s="58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114"/>
      <c r="AB201" s="114"/>
      <c r="AC201" s="114"/>
    </row>
    <row r="202">
      <c r="A202" s="56" t="s">
        <v>5488</v>
      </c>
      <c r="B202" s="12" t="s">
        <v>5489</v>
      </c>
      <c r="C202" s="56" t="s">
        <v>5492</v>
      </c>
      <c r="D202" s="16" t="s">
        <v>5497</v>
      </c>
      <c r="E202" s="86"/>
      <c r="F202" s="58"/>
      <c r="G202" s="58"/>
      <c r="H202" s="58"/>
      <c r="I202" s="58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114"/>
      <c r="AB202" s="114"/>
      <c r="AC202" s="114"/>
    </row>
    <row r="203">
      <c r="A203" s="56" t="s">
        <v>5503</v>
      </c>
      <c r="B203" s="12" t="s">
        <v>5505</v>
      </c>
      <c r="C203" s="56" t="s">
        <v>5507</v>
      </c>
      <c r="D203" s="16" t="s">
        <v>5508</v>
      </c>
      <c r="E203" s="86"/>
      <c r="F203" s="58"/>
      <c r="G203" s="58"/>
      <c r="H203" s="58"/>
      <c r="I203" s="58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114"/>
      <c r="AB203" s="114"/>
      <c r="AC203" s="114"/>
    </row>
    <row r="204">
      <c r="A204" s="56" t="s">
        <v>4112</v>
      </c>
      <c r="B204" s="12" t="s">
        <v>4113</v>
      </c>
      <c r="C204" s="56" t="s">
        <v>4114</v>
      </c>
      <c r="D204" s="16" t="s">
        <v>5511</v>
      </c>
      <c r="E204" s="86"/>
      <c r="F204" s="58"/>
      <c r="G204" s="58"/>
      <c r="H204" s="58"/>
      <c r="I204" s="58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114"/>
      <c r="AB204" s="114"/>
      <c r="AC204" s="114"/>
    </row>
    <row r="205">
      <c r="A205" s="56" t="s">
        <v>5520</v>
      </c>
      <c r="B205" s="12" t="s">
        <v>4124</v>
      </c>
      <c r="C205" s="56" t="s">
        <v>4125</v>
      </c>
      <c r="D205" s="16" t="s">
        <v>5522</v>
      </c>
      <c r="E205" s="86"/>
      <c r="F205" s="58"/>
      <c r="G205" s="58"/>
      <c r="H205" s="58"/>
      <c r="I205" s="58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114"/>
      <c r="AB205" s="114"/>
      <c r="AC205" s="114"/>
    </row>
    <row r="206">
      <c r="A206" s="56" t="s">
        <v>4320</v>
      </c>
      <c r="B206" s="12" t="s">
        <v>4321</v>
      </c>
      <c r="C206" s="56" t="s">
        <v>4323</v>
      </c>
      <c r="D206" s="16" t="s">
        <v>5533</v>
      </c>
      <c r="E206" s="86"/>
      <c r="F206" s="58"/>
      <c r="G206" s="58"/>
      <c r="H206" s="58"/>
      <c r="I206" s="58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114"/>
      <c r="AB206" s="114"/>
      <c r="AC206" s="114"/>
    </row>
    <row r="207">
      <c r="A207" s="56" t="s">
        <v>4335</v>
      </c>
      <c r="B207" s="12" t="s">
        <v>4336</v>
      </c>
      <c r="C207" s="56" t="s">
        <v>4337</v>
      </c>
      <c r="D207" s="16" t="s">
        <v>5543</v>
      </c>
      <c r="E207" s="86"/>
      <c r="F207" s="58"/>
      <c r="G207" s="58"/>
      <c r="H207" s="58"/>
      <c r="I207" s="58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114"/>
      <c r="AB207" s="114"/>
      <c r="AC207" s="114"/>
    </row>
    <row r="208">
      <c r="A208" s="56" t="s">
        <v>3694</v>
      </c>
      <c r="B208" s="12" t="s">
        <v>3695</v>
      </c>
      <c r="C208" s="56" t="s">
        <v>3696</v>
      </c>
      <c r="D208" s="16" t="s">
        <v>5552</v>
      </c>
      <c r="E208" s="12" t="str">
        <f t="shared" ref="E208:E217" si="17">MID(B208,FIND(" {",B208) + 1 + 1,FIND("}",B208) - 1 - (FIND(" {",B208) + 1))</f>
        <v>amount</v>
      </c>
      <c r="F208" s="58"/>
      <c r="G208" s="58"/>
      <c r="H208" s="58"/>
      <c r="I208" s="58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114"/>
      <c r="AB208" s="114"/>
      <c r="AC208" s="114"/>
    </row>
    <row r="209">
      <c r="A209" s="56" t="s">
        <v>3701</v>
      </c>
      <c r="B209" s="12" t="s">
        <v>3702</v>
      </c>
      <c r="C209" s="56" t="s">
        <v>3703</v>
      </c>
      <c r="D209" s="16" t="s">
        <v>5589</v>
      </c>
      <c r="E209" s="12" t="str">
        <f t="shared" si="17"/>
        <v>days</v>
      </c>
      <c r="F209" s="58"/>
      <c r="G209" s="58"/>
      <c r="H209" s="58"/>
      <c r="I209" s="58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114"/>
      <c r="AB209" s="114"/>
      <c r="AC209" s="114"/>
    </row>
    <row r="210">
      <c r="A210" s="56" t="s">
        <v>5598</v>
      </c>
      <c r="B210" s="12" t="s">
        <v>5600</v>
      </c>
      <c r="C210" s="56" t="s">
        <v>5601</v>
      </c>
      <c r="D210" s="16" t="s">
        <v>5602</v>
      </c>
      <c r="E210" s="12" t="str">
        <f t="shared" si="17"/>
        <v>quantity</v>
      </c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  <c r="AA210" s="114"/>
      <c r="AB210" s="114"/>
      <c r="AC210" s="114"/>
    </row>
    <row r="211">
      <c r="A211" s="56" t="s">
        <v>5611</v>
      </c>
      <c r="B211" s="12" t="s">
        <v>5612</v>
      </c>
      <c r="C211" s="56" t="s">
        <v>5613</v>
      </c>
      <c r="D211" s="16" t="s">
        <v>5614</v>
      </c>
      <c r="E211" s="12" t="str">
        <f t="shared" si="17"/>
        <v>amount</v>
      </c>
      <c r="F211" s="58"/>
      <c r="G211" s="58"/>
      <c r="H211" s="58"/>
      <c r="I211" s="58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114"/>
      <c r="AB211" s="114"/>
      <c r="AC211" s="114"/>
    </row>
    <row r="212">
      <c r="A212" s="56" t="s">
        <v>5622</v>
      </c>
      <c r="B212" s="12" t="s">
        <v>5624</v>
      </c>
      <c r="C212" s="56" t="s">
        <v>5626</v>
      </c>
      <c r="D212" s="16" t="s">
        <v>5628</v>
      </c>
      <c r="E212" s="12" t="str">
        <f t="shared" si="17"/>
        <v>quantity</v>
      </c>
      <c r="F212" s="58"/>
      <c r="G212" s="58"/>
      <c r="H212" s="58"/>
      <c r="I212" s="58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114"/>
      <c r="AB212" s="114"/>
      <c r="AC212" s="114"/>
    </row>
    <row r="213">
      <c r="A213" s="56" t="s">
        <v>5637</v>
      </c>
      <c r="B213" s="12" t="s">
        <v>5638</v>
      </c>
      <c r="C213" s="56" t="s">
        <v>5640</v>
      </c>
      <c r="D213" s="16" t="s">
        <v>5643</v>
      </c>
      <c r="E213" s="12" t="str">
        <f t="shared" si="17"/>
        <v>quantity</v>
      </c>
      <c r="F213" s="58"/>
      <c r="G213" s="58"/>
      <c r="H213" s="58"/>
      <c r="I213" s="58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114"/>
      <c r="AB213" s="114"/>
      <c r="AC213" s="114"/>
    </row>
    <row r="214">
      <c r="A214" s="56" t="s">
        <v>5653</v>
      </c>
      <c r="B214" s="12" t="s">
        <v>5654</v>
      </c>
      <c r="C214" s="56" t="s">
        <v>5655</v>
      </c>
      <c r="D214" s="16" t="s">
        <v>5656</v>
      </c>
      <c r="E214" s="12" t="str">
        <f t="shared" si="17"/>
        <v>quantity</v>
      </c>
      <c r="F214" s="58"/>
      <c r="G214" s="58"/>
      <c r="H214" s="58"/>
      <c r="I214" s="58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114"/>
      <c r="AB214" s="114"/>
      <c r="AC214" s="114"/>
    </row>
    <row r="215">
      <c r="A215" s="56" t="s">
        <v>5665</v>
      </c>
      <c r="B215" s="12" t="s">
        <v>5666</v>
      </c>
      <c r="C215" s="56" t="s">
        <v>5667</v>
      </c>
      <c r="D215" s="16" t="s">
        <v>5670</v>
      </c>
      <c r="E215" s="12" t="str">
        <f t="shared" si="17"/>
        <v>quantity</v>
      </c>
      <c r="F215" s="58"/>
      <c r="G215" s="58"/>
      <c r="H215" s="58"/>
      <c r="I215" s="58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114"/>
      <c r="AB215" s="114"/>
      <c r="AC215" s="114"/>
    </row>
    <row r="216">
      <c r="A216" s="56" t="s">
        <v>5678</v>
      </c>
      <c r="B216" s="12" t="s">
        <v>5681</v>
      </c>
      <c r="C216" s="56" t="s">
        <v>5682</v>
      </c>
      <c r="D216" s="16" t="s">
        <v>5684</v>
      </c>
      <c r="E216" s="12" t="str">
        <f t="shared" si="17"/>
        <v>quantity</v>
      </c>
      <c r="F216" s="58"/>
      <c r="G216" s="58"/>
      <c r="H216" s="58"/>
      <c r="I216" s="58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115"/>
      <c r="AB216" s="115"/>
      <c r="AC216" s="115"/>
    </row>
    <row r="217">
      <c r="A217" s="56" t="s">
        <v>5689</v>
      </c>
      <c r="B217" s="12" t="s">
        <v>5690</v>
      </c>
      <c r="C217" s="56" t="s">
        <v>5691</v>
      </c>
      <c r="D217" s="16" t="s">
        <v>5692</v>
      </c>
      <c r="E217" s="12" t="str">
        <f t="shared" si="17"/>
        <v>quantity</v>
      </c>
      <c r="F217" s="58"/>
      <c r="G217" s="58"/>
      <c r="H217" s="58"/>
      <c r="I217" s="58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114"/>
      <c r="AB217" s="114"/>
      <c r="AC217" s="114"/>
    </row>
    <row r="218">
      <c r="A218" s="29" t="s">
        <v>5701</v>
      </c>
      <c r="B218" s="29" t="s">
        <v>5702</v>
      </c>
      <c r="C218" s="29" t="s">
        <v>5703</v>
      </c>
      <c r="D218" s="16" t="s">
        <v>5706</v>
      </c>
      <c r="E218" s="29" t="s">
        <v>3006</v>
      </c>
      <c r="F218" s="58"/>
      <c r="G218" s="58"/>
      <c r="H218" s="58"/>
      <c r="I218" s="58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4"/>
      <c r="AB218" s="114"/>
      <c r="AC218" s="114"/>
    </row>
    <row r="219">
      <c r="A219" s="29" t="s">
        <v>5712</v>
      </c>
      <c r="B219" s="29" t="s">
        <v>5714</v>
      </c>
      <c r="C219" s="29" t="s">
        <v>5717</v>
      </c>
      <c r="D219" s="16" t="s">
        <v>5720</v>
      </c>
      <c r="E219" s="29" t="s">
        <v>3006</v>
      </c>
      <c r="F219" s="58"/>
      <c r="G219" s="58"/>
      <c r="H219" s="58"/>
      <c r="I219" s="58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4"/>
      <c r="AB219" s="114"/>
      <c r="AC219" s="114"/>
    </row>
    <row r="220">
      <c r="A220" s="29" t="s">
        <v>5724</v>
      </c>
      <c r="B220" s="29" t="s">
        <v>5727</v>
      </c>
      <c r="C220" s="29" t="s">
        <v>5730</v>
      </c>
      <c r="D220" s="16" t="s">
        <v>5733</v>
      </c>
      <c r="E220" s="29" t="s">
        <v>3006</v>
      </c>
      <c r="F220" s="58"/>
      <c r="G220" s="58"/>
      <c r="H220" s="58"/>
      <c r="I220" s="58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4"/>
      <c r="AB220" s="114"/>
      <c r="AC220" s="114"/>
    </row>
    <row r="221">
      <c r="A221" s="29" t="s">
        <v>5735</v>
      </c>
      <c r="B221" s="29" t="s">
        <v>5738</v>
      </c>
      <c r="C221" s="29" t="s">
        <v>5742</v>
      </c>
      <c r="D221" s="16" t="s">
        <v>5745</v>
      </c>
      <c r="E221" s="29" t="s">
        <v>3006</v>
      </c>
      <c r="F221" s="58"/>
      <c r="G221" s="58"/>
      <c r="H221" s="58"/>
      <c r="I221" s="58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4"/>
      <c r="AB221" s="114"/>
      <c r="AC221" s="114"/>
    </row>
    <row r="222">
      <c r="A222" s="29" t="s">
        <v>5749</v>
      </c>
      <c r="B222" s="29" t="s">
        <v>5752</v>
      </c>
      <c r="C222" s="29" t="s">
        <v>5755</v>
      </c>
      <c r="D222" s="16" t="s">
        <v>5757</v>
      </c>
      <c r="E222" s="29" t="s">
        <v>3006</v>
      </c>
      <c r="F222" s="58"/>
      <c r="G222" s="58"/>
      <c r="H222" s="58"/>
      <c r="I222" s="58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4"/>
      <c r="AB222" s="114"/>
      <c r="AC222" s="114"/>
    </row>
    <row r="223">
      <c r="A223" s="29" t="s">
        <v>5762</v>
      </c>
      <c r="B223" s="29" t="s">
        <v>5764</v>
      </c>
      <c r="C223" s="29" t="s">
        <v>5766</v>
      </c>
      <c r="D223" s="16" t="s">
        <v>5769</v>
      </c>
      <c r="E223" s="29" t="s">
        <v>3006</v>
      </c>
      <c r="F223" s="58"/>
      <c r="G223" s="58"/>
      <c r="H223" s="58"/>
      <c r="I223" s="58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4"/>
      <c r="AB223" s="114"/>
      <c r="AC223" s="114"/>
    </row>
    <row r="224">
      <c r="A224" s="29" t="s">
        <v>5774</v>
      </c>
      <c r="B224" s="29" t="s">
        <v>5775</v>
      </c>
      <c r="C224" s="29" t="s">
        <v>5777</v>
      </c>
      <c r="D224" s="16" t="s">
        <v>5779</v>
      </c>
      <c r="E224" s="29" t="s">
        <v>3006</v>
      </c>
      <c r="F224" s="58"/>
      <c r="G224" s="58"/>
      <c r="H224" s="58"/>
      <c r="I224" s="58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9"/>
      <c r="AB224" s="119"/>
      <c r="AC224" s="119"/>
    </row>
    <row r="225">
      <c r="A225" s="29" t="s">
        <v>5783</v>
      </c>
      <c r="B225" s="29" t="s">
        <v>5784</v>
      </c>
      <c r="C225" s="29" t="s">
        <v>5785</v>
      </c>
      <c r="D225" s="16" t="s">
        <v>5787</v>
      </c>
      <c r="E225" s="12" t="str">
        <f>MID(B225,FIND(" {",B225) + 1 + 1,FIND("}",B225) - 1 - (FIND(" {",B225) + 1))</f>
        <v>buyer</v>
      </c>
      <c r="F225" s="58"/>
      <c r="G225" s="58"/>
      <c r="H225" s="58"/>
      <c r="I225" s="58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9"/>
      <c r="AB225" s="119"/>
      <c r="AC225" s="119"/>
    </row>
    <row r="226">
      <c r="A226" s="56" t="s">
        <v>5821</v>
      </c>
      <c r="B226" s="12" t="s">
        <v>5823</v>
      </c>
      <c r="C226" s="56" t="s">
        <v>5825</v>
      </c>
      <c r="D226" s="16" t="s">
        <v>5827</v>
      </c>
      <c r="E226" s="12" t="s">
        <v>5828</v>
      </c>
      <c r="F226" s="58"/>
      <c r="G226" s="58"/>
      <c r="H226" s="58"/>
      <c r="I226" s="58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9"/>
      <c r="AB226" s="119"/>
      <c r="AC226" s="119"/>
    </row>
    <row r="227">
      <c r="A227" s="56" t="s">
        <v>5834</v>
      </c>
      <c r="B227" s="12" t="s">
        <v>5835</v>
      </c>
      <c r="C227" s="56" t="s">
        <v>5836</v>
      </c>
      <c r="D227" s="16" t="s">
        <v>5837</v>
      </c>
      <c r="E227" s="12" t="s">
        <v>5828</v>
      </c>
      <c r="F227" s="58"/>
      <c r="G227" s="58"/>
      <c r="H227" s="58"/>
      <c r="I227" s="58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9"/>
      <c r="AB227" s="119"/>
      <c r="AC227" s="119"/>
    </row>
    <row r="228">
      <c r="A228" s="56" t="s">
        <v>5843</v>
      </c>
      <c r="B228" s="12" t="s">
        <v>5844</v>
      </c>
      <c r="C228" s="56" t="s">
        <v>5846</v>
      </c>
      <c r="D228" s="16" t="s">
        <v>5849</v>
      </c>
      <c r="E228" s="12" t="s">
        <v>5828</v>
      </c>
      <c r="F228" s="58"/>
      <c r="G228" s="58"/>
      <c r="H228" s="58"/>
      <c r="I228" s="58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9"/>
      <c r="AB228" s="119"/>
      <c r="AC228" s="119"/>
    </row>
    <row r="229">
      <c r="A229" s="56" t="s">
        <v>5855</v>
      </c>
      <c r="B229" s="12" t="s">
        <v>5857</v>
      </c>
      <c r="C229" s="56" t="s">
        <v>5858</v>
      </c>
      <c r="D229" s="16" t="s">
        <v>5860</v>
      </c>
      <c r="E229" s="12" t="s">
        <v>5828</v>
      </c>
      <c r="F229" s="58"/>
      <c r="G229" s="58"/>
      <c r="H229" s="58"/>
      <c r="I229" s="58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9"/>
      <c r="AB229" s="119"/>
      <c r="AC229" s="119"/>
    </row>
    <row r="230">
      <c r="A230" s="56" t="s">
        <v>5862</v>
      </c>
      <c r="B230" s="12" t="s">
        <v>5864</v>
      </c>
      <c r="C230" s="56" t="s">
        <v>5866</v>
      </c>
      <c r="D230" s="16" t="s">
        <v>5868</v>
      </c>
      <c r="E230" s="12" t="s">
        <v>5828</v>
      </c>
      <c r="F230" s="58"/>
      <c r="G230" s="58"/>
      <c r="H230" s="58"/>
      <c r="I230" s="58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9"/>
      <c r="AB230" s="119"/>
      <c r="AC230" s="119"/>
    </row>
    <row r="231">
      <c r="A231" s="12" t="s">
        <v>5875</v>
      </c>
      <c r="B231" s="12" t="s">
        <v>5877</v>
      </c>
      <c r="C231" s="56" t="s">
        <v>5878</v>
      </c>
      <c r="D231" s="16" t="s">
        <v>5879</v>
      </c>
      <c r="E231" s="12" t="s">
        <v>5828</v>
      </c>
      <c r="F231" s="58"/>
      <c r="G231" s="58"/>
      <c r="H231" s="58"/>
      <c r="I231" s="58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9"/>
      <c r="AB231" s="119"/>
      <c r="AC231" s="119"/>
    </row>
    <row r="232">
      <c r="A232" s="56" t="s">
        <v>5888</v>
      </c>
      <c r="B232" s="12" t="s">
        <v>5889</v>
      </c>
      <c r="C232" s="56" t="s">
        <v>5890</v>
      </c>
      <c r="D232" s="16" t="s">
        <v>5891</v>
      </c>
      <c r="E232" s="12" t="s">
        <v>5828</v>
      </c>
      <c r="F232" s="58"/>
      <c r="G232" s="58"/>
      <c r="H232" s="58"/>
      <c r="I232" s="58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9"/>
      <c r="AB232" s="119"/>
      <c r="AC232" s="119"/>
    </row>
    <row r="233">
      <c r="A233" s="56" t="s">
        <v>3229</v>
      </c>
      <c r="B233" s="12" t="s">
        <v>3230</v>
      </c>
      <c r="C233" s="56" t="s">
        <v>3231</v>
      </c>
      <c r="D233" s="16" t="s">
        <v>5900</v>
      </c>
      <c r="E233" s="12" t="s">
        <v>151</v>
      </c>
      <c r="F233" s="58"/>
      <c r="G233" s="58"/>
      <c r="H233" s="58"/>
      <c r="I233" s="58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9"/>
      <c r="AB233" s="119"/>
      <c r="AC233" s="119"/>
    </row>
    <row r="234">
      <c r="A234" s="56" t="s">
        <v>5906</v>
      </c>
      <c r="B234" s="12" t="s">
        <v>3291</v>
      </c>
      <c r="C234" s="56" t="s">
        <v>3292</v>
      </c>
      <c r="D234" s="16" t="s">
        <v>5908</v>
      </c>
      <c r="E234" s="12" t="s">
        <v>151</v>
      </c>
      <c r="F234" s="58"/>
      <c r="G234" s="58"/>
      <c r="H234" s="58"/>
      <c r="I234" s="58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9"/>
      <c r="AB234" s="119"/>
      <c r="AC234" s="119"/>
    </row>
    <row r="235">
      <c r="A235" s="56" t="s">
        <v>5913</v>
      </c>
      <c r="B235" s="12" t="s">
        <v>4574</v>
      </c>
      <c r="C235" s="56" t="s">
        <v>4575</v>
      </c>
      <c r="D235" s="16" t="s">
        <v>5915</v>
      </c>
      <c r="E235" s="12" t="s">
        <v>151</v>
      </c>
      <c r="F235" s="58"/>
      <c r="G235" s="58"/>
      <c r="H235" s="58"/>
      <c r="I235" s="58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9"/>
      <c r="AB235" s="119"/>
      <c r="AC235" s="119"/>
    </row>
    <row r="236">
      <c r="A236" s="56" t="s">
        <v>5919</v>
      </c>
      <c r="B236" s="12" t="s">
        <v>5920</v>
      </c>
      <c r="C236" s="56" t="s">
        <v>5922</v>
      </c>
      <c r="D236" s="16" t="s">
        <v>5924</v>
      </c>
      <c r="E236" s="12" t="s">
        <v>151</v>
      </c>
      <c r="F236" s="58"/>
      <c r="G236" s="58"/>
      <c r="H236" s="58"/>
      <c r="I236" s="58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9"/>
      <c r="AB236" s="119"/>
      <c r="AC236" s="119"/>
    </row>
    <row r="237">
      <c r="A237" s="56" t="s">
        <v>5929</v>
      </c>
      <c r="B237" s="12" t="s">
        <v>5930</v>
      </c>
      <c r="C237" s="56" t="s">
        <v>5931</v>
      </c>
      <c r="D237" s="16" t="s">
        <v>5932</v>
      </c>
      <c r="E237" s="12" t="s">
        <v>151</v>
      </c>
      <c r="F237" s="58"/>
      <c r="G237" s="58"/>
      <c r="H237" s="58"/>
      <c r="I237" s="58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9"/>
      <c r="AB237" s="119"/>
      <c r="AC237" s="119"/>
    </row>
    <row r="238">
      <c r="A238" s="29" t="s">
        <v>5940</v>
      </c>
      <c r="B238" s="29" t="s">
        <v>5941</v>
      </c>
      <c r="C238" s="29" t="s">
        <v>5942</v>
      </c>
      <c r="D238" s="16" t="s">
        <v>3420</v>
      </c>
      <c r="E238" s="29" t="s">
        <v>41</v>
      </c>
      <c r="F238" s="58"/>
      <c r="G238" s="58"/>
      <c r="H238" s="58"/>
      <c r="I238" s="58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9"/>
      <c r="AB238" s="119"/>
      <c r="AC238" s="119"/>
    </row>
    <row r="239">
      <c r="A239" s="29" t="s">
        <v>5950</v>
      </c>
      <c r="B239" s="29" t="s">
        <v>3449</v>
      </c>
      <c r="C239" s="29" t="s">
        <v>3451</v>
      </c>
      <c r="D239" s="16" t="s">
        <v>5951</v>
      </c>
      <c r="E239" s="29" t="s">
        <v>41</v>
      </c>
      <c r="F239" s="58"/>
      <c r="G239" s="58"/>
      <c r="H239" s="58"/>
      <c r="I239" s="58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9"/>
      <c r="AB239" s="119"/>
      <c r="AC239" s="119"/>
    </row>
    <row r="240">
      <c r="A240" s="29" t="s">
        <v>5960</v>
      </c>
      <c r="B240" s="29" t="s">
        <v>5961</v>
      </c>
      <c r="C240" s="29" t="s">
        <v>5962</v>
      </c>
      <c r="D240" s="16" t="s">
        <v>5963</v>
      </c>
      <c r="E240" s="29" t="s">
        <v>41</v>
      </c>
      <c r="F240" s="58"/>
      <c r="G240" s="58"/>
      <c r="H240" s="58"/>
      <c r="I240" s="58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9"/>
      <c r="AB240" s="119"/>
      <c r="AC240" s="119"/>
    </row>
    <row r="241">
      <c r="A241" s="29" t="s">
        <v>5971</v>
      </c>
      <c r="B241" s="29" t="s">
        <v>5972</v>
      </c>
      <c r="C241" s="29" t="s">
        <v>5973</v>
      </c>
      <c r="D241" s="16" t="s">
        <v>5975</v>
      </c>
      <c r="E241" s="29" t="s">
        <v>41</v>
      </c>
      <c r="F241" s="58"/>
      <c r="G241" s="58"/>
      <c r="H241" s="58"/>
      <c r="I241" s="58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9"/>
      <c r="AB241" s="119"/>
      <c r="AC241" s="119"/>
    </row>
    <row r="242">
      <c r="A242" s="29" t="s">
        <v>5981</v>
      </c>
      <c r="B242" s="29" t="s">
        <v>5983</v>
      </c>
      <c r="C242" s="29" t="s">
        <v>5985</v>
      </c>
      <c r="D242" s="16" t="s">
        <v>5988</v>
      </c>
      <c r="E242" s="29" t="s">
        <v>5990</v>
      </c>
      <c r="F242" s="58"/>
      <c r="G242" s="58"/>
      <c r="H242" s="58"/>
      <c r="I242" s="58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9"/>
      <c r="AB242" s="119"/>
      <c r="AC242" s="119"/>
    </row>
    <row r="243">
      <c r="A243" s="29" t="s">
        <v>5994</v>
      </c>
      <c r="B243" s="29" t="s">
        <v>5996</v>
      </c>
      <c r="C243" s="29" t="s">
        <v>5999</v>
      </c>
      <c r="D243" s="16" t="s">
        <v>6002</v>
      </c>
      <c r="E243" s="29" t="s">
        <v>5990</v>
      </c>
      <c r="F243" s="58"/>
      <c r="G243" s="58"/>
      <c r="H243" s="58"/>
      <c r="I243" s="58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9"/>
      <c r="AB243" s="119"/>
      <c r="AC243" s="119"/>
    </row>
    <row r="244">
      <c r="A244" s="29" t="s">
        <v>6006</v>
      </c>
      <c r="B244" s="29" t="s">
        <v>6009</v>
      </c>
      <c r="C244" s="29" t="s">
        <v>6011</v>
      </c>
      <c r="D244" s="16" t="s">
        <v>6014</v>
      </c>
      <c r="E244" s="29" t="s">
        <v>5990</v>
      </c>
      <c r="F244" s="58"/>
      <c r="G244" s="58"/>
      <c r="H244" s="58"/>
      <c r="I244" s="58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9"/>
      <c r="AB244" s="119"/>
      <c r="AC244" s="119"/>
    </row>
    <row r="245">
      <c r="A245" s="29" t="s">
        <v>6019</v>
      </c>
      <c r="B245" s="29" t="s">
        <v>6023</v>
      </c>
      <c r="C245" s="29" t="s">
        <v>6024</v>
      </c>
      <c r="D245" s="16" t="s">
        <v>6026</v>
      </c>
      <c r="E245" s="29" t="s">
        <v>5990</v>
      </c>
      <c r="F245" s="58"/>
      <c r="G245" s="58"/>
      <c r="H245" s="58"/>
      <c r="I245" s="58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9"/>
      <c r="AB245" s="119"/>
      <c r="AC245" s="119"/>
    </row>
    <row r="246">
      <c r="A246" s="29" t="s">
        <v>6035</v>
      </c>
      <c r="B246" s="29" t="s">
        <v>6036</v>
      </c>
      <c r="C246" s="29" t="s">
        <v>6037</v>
      </c>
      <c r="D246" s="16" t="s">
        <v>6039</v>
      </c>
      <c r="E246" s="29" t="s">
        <v>5990</v>
      </c>
      <c r="F246" s="58"/>
      <c r="G246" s="58"/>
      <c r="H246" s="58"/>
      <c r="I246" s="58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9"/>
      <c r="AB246" s="119"/>
      <c r="AC246" s="119"/>
    </row>
    <row r="247">
      <c r="A247" s="29" t="s">
        <v>6042</v>
      </c>
      <c r="B247" s="29" t="s">
        <v>6043</v>
      </c>
      <c r="C247" s="29" t="s">
        <v>6045</v>
      </c>
      <c r="D247" s="16" t="s">
        <v>6048</v>
      </c>
      <c r="E247" s="29" t="s">
        <v>1090</v>
      </c>
      <c r="F247" s="58"/>
      <c r="G247" s="58"/>
      <c r="H247" s="58"/>
      <c r="I247" s="58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9"/>
      <c r="AB247" s="119"/>
      <c r="AC247" s="119"/>
    </row>
    <row r="248">
      <c r="A248" s="29" t="s">
        <v>6054</v>
      </c>
      <c r="B248" s="29" t="s">
        <v>6056</v>
      </c>
      <c r="C248" s="29" t="s">
        <v>6058</v>
      </c>
      <c r="D248" s="16" t="s">
        <v>6061</v>
      </c>
      <c r="E248" s="29" t="s">
        <v>1090</v>
      </c>
      <c r="F248" s="58"/>
      <c r="G248" s="58"/>
      <c r="H248" s="58"/>
      <c r="I248" s="58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9"/>
      <c r="AB248" s="119"/>
      <c r="AC248" s="119"/>
    </row>
    <row r="249">
      <c r="A249" s="29" t="s">
        <v>6065</v>
      </c>
      <c r="B249" s="29" t="s">
        <v>6067</v>
      </c>
      <c r="C249" s="29" t="s">
        <v>6069</v>
      </c>
      <c r="D249" s="16" t="s">
        <v>6071</v>
      </c>
      <c r="E249" s="29" t="s">
        <v>1090</v>
      </c>
      <c r="F249" s="58"/>
      <c r="G249" s="58"/>
      <c r="H249" s="58"/>
      <c r="I249" s="58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9"/>
      <c r="AB249" s="119"/>
      <c r="AC249" s="119"/>
    </row>
    <row r="250">
      <c r="A250" s="29" t="s">
        <v>6078</v>
      </c>
      <c r="B250" s="29" t="s">
        <v>6080</v>
      </c>
      <c r="C250" s="29" t="s">
        <v>6082</v>
      </c>
      <c r="D250" s="16" t="s">
        <v>6083</v>
      </c>
      <c r="E250" s="29" t="s">
        <v>1090</v>
      </c>
      <c r="F250" s="58"/>
      <c r="G250" s="58"/>
      <c r="H250" s="58"/>
      <c r="I250" s="58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9"/>
      <c r="AB250" s="119"/>
      <c r="AC250" s="119"/>
    </row>
    <row r="251">
      <c r="A251" s="29" t="s">
        <v>6090</v>
      </c>
      <c r="B251" s="29" t="s">
        <v>6092</v>
      </c>
      <c r="C251" s="29" t="s">
        <v>6094</v>
      </c>
      <c r="D251" s="16" t="s">
        <v>6095</v>
      </c>
      <c r="E251" s="29" t="s">
        <v>6096</v>
      </c>
      <c r="F251" s="58"/>
      <c r="G251" s="58"/>
      <c r="H251" s="58"/>
      <c r="I251" s="58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9"/>
      <c r="AB251" s="119"/>
      <c r="AC251" s="119"/>
    </row>
    <row r="252">
      <c r="A252" s="29" t="s">
        <v>6103</v>
      </c>
      <c r="B252" s="29" t="s">
        <v>6104</v>
      </c>
      <c r="C252" s="29" t="s">
        <v>6105</v>
      </c>
      <c r="D252" s="16" t="s">
        <v>6106</v>
      </c>
      <c r="E252" s="29" t="s">
        <v>6096</v>
      </c>
      <c r="F252" s="58"/>
      <c r="G252" s="58"/>
      <c r="H252" s="58"/>
      <c r="I252" s="58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9"/>
      <c r="AB252" s="119"/>
      <c r="AC252" s="119"/>
    </row>
    <row r="253">
      <c r="A253" s="29" t="s">
        <v>6115</v>
      </c>
      <c r="B253" s="29" t="s">
        <v>6116</v>
      </c>
      <c r="C253" s="29" t="s">
        <v>6117</v>
      </c>
      <c r="D253" s="16" t="s">
        <v>6118</v>
      </c>
      <c r="E253" s="29" t="s">
        <v>6096</v>
      </c>
      <c r="F253" s="58"/>
      <c r="G253" s="58"/>
      <c r="H253" s="58"/>
      <c r="I253" s="58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9"/>
      <c r="AB253" s="119"/>
      <c r="AC253" s="119"/>
    </row>
    <row r="254">
      <c r="A254" s="29" t="s">
        <v>6127</v>
      </c>
      <c r="B254" s="29" t="s">
        <v>6128</v>
      </c>
      <c r="C254" s="29" t="s">
        <v>6129</v>
      </c>
      <c r="D254" s="16" t="s">
        <v>6130</v>
      </c>
      <c r="E254" s="29" t="s">
        <v>6096</v>
      </c>
      <c r="F254" s="58"/>
      <c r="G254" s="58"/>
      <c r="H254" s="58"/>
      <c r="I254" s="58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9"/>
      <c r="AB254" s="119"/>
      <c r="AC254" s="119"/>
    </row>
    <row r="255">
      <c r="A255" s="56" t="s">
        <v>6135</v>
      </c>
      <c r="B255" s="12" t="s">
        <v>6136</v>
      </c>
      <c r="C255" s="56" t="s">
        <v>6137</v>
      </c>
      <c r="D255" s="16" t="s">
        <v>6138</v>
      </c>
      <c r="E255" s="12" t="s">
        <v>6139</v>
      </c>
      <c r="F255" s="58"/>
      <c r="G255" s="58"/>
      <c r="H255" s="58"/>
      <c r="I255" s="58"/>
      <c r="J255" s="117"/>
      <c r="K255" s="117"/>
      <c r="L255" s="117"/>
      <c r="M255" s="117"/>
      <c r="N255" s="117"/>
      <c r="O255" s="117"/>
      <c r="P255" s="117"/>
      <c r="Q255" s="117"/>
      <c r="R255" s="117"/>
      <c r="S255" s="117"/>
      <c r="T255" s="117"/>
      <c r="U255" s="117"/>
      <c r="V255" s="117"/>
      <c r="W255" s="117"/>
      <c r="X255" s="117"/>
      <c r="Y255" s="117"/>
      <c r="Z255" s="117"/>
      <c r="AA255" s="119"/>
      <c r="AB255" s="119"/>
      <c r="AC255" s="119"/>
    </row>
    <row r="256">
      <c r="A256" s="56" t="s">
        <v>6143</v>
      </c>
      <c r="B256" s="12" t="s">
        <v>6149</v>
      </c>
      <c r="C256" s="56" t="s">
        <v>6154</v>
      </c>
      <c r="D256" s="16" t="s">
        <v>6155</v>
      </c>
      <c r="E256" s="12" t="s">
        <v>6139</v>
      </c>
      <c r="F256" s="58"/>
      <c r="G256" s="58"/>
      <c r="H256" s="58"/>
      <c r="I256" s="58"/>
      <c r="J256" s="117"/>
      <c r="K256" s="117"/>
      <c r="L256" s="117"/>
      <c r="M256" s="117"/>
      <c r="N256" s="117"/>
      <c r="O256" s="117"/>
      <c r="P256" s="117"/>
      <c r="Q256" s="117"/>
      <c r="R256" s="117"/>
      <c r="S256" s="117"/>
      <c r="T256" s="117"/>
      <c r="U256" s="117"/>
      <c r="V256" s="117"/>
      <c r="W256" s="117"/>
      <c r="X256" s="117"/>
      <c r="Y256" s="117"/>
      <c r="Z256" s="117"/>
      <c r="AA256" s="119"/>
      <c r="AB256" s="119"/>
      <c r="AC256" s="119"/>
    </row>
    <row r="257">
      <c r="A257" s="56" t="s">
        <v>6163</v>
      </c>
      <c r="B257" s="12" t="s">
        <v>6164</v>
      </c>
      <c r="C257" s="56" t="s">
        <v>6166</v>
      </c>
      <c r="D257" s="16" t="s">
        <v>6167</v>
      </c>
      <c r="E257" s="12" t="s">
        <v>6139</v>
      </c>
      <c r="F257" s="58"/>
      <c r="G257" s="58"/>
      <c r="H257" s="58"/>
      <c r="I257" s="58"/>
      <c r="J257" s="117"/>
      <c r="K257" s="117"/>
      <c r="L257" s="117"/>
      <c r="M257" s="117"/>
      <c r="N257" s="117"/>
      <c r="O257" s="117"/>
      <c r="P257" s="117"/>
      <c r="Q257" s="117"/>
      <c r="R257" s="117"/>
      <c r="S257" s="117"/>
      <c r="T257" s="117"/>
      <c r="U257" s="117"/>
      <c r="V257" s="117"/>
      <c r="W257" s="117"/>
      <c r="X257" s="117"/>
      <c r="Y257" s="117"/>
      <c r="Z257" s="117"/>
      <c r="AA257" s="119"/>
      <c r="AB257" s="119"/>
      <c r="AC257" s="119"/>
    </row>
    <row r="258">
      <c r="A258" s="56" t="s">
        <v>6172</v>
      </c>
      <c r="B258" s="12" t="s">
        <v>6173</v>
      </c>
      <c r="C258" s="56" t="s">
        <v>6174</v>
      </c>
      <c r="D258" s="16" t="s">
        <v>6175</v>
      </c>
      <c r="E258" s="12" t="s">
        <v>6139</v>
      </c>
      <c r="F258" s="58"/>
      <c r="G258" s="58"/>
      <c r="H258" s="58"/>
      <c r="I258" s="58"/>
      <c r="J258" s="117"/>
      <c r="K258" s="117"/>
      <c r="L258" s="117"/>
      <c r="M258" s="117"/>
      <c r="N258" s="117"/>
      <c r="O258" s="117"/>
      <c r="P258" s="117"/>
      <c r="Q258" s="117"/>
      <c r="R258" s="117"/>
      <c r="S258" s="117"/>
      <c r="T258" s="117"/>
      <c r="U258" s="117"/>
      <c r="V258" s="117"/>
      <c r="W258" s="117"/>
      <c r="X258" s="117"/>
      <c r="Y258" s="117"/>
      <c r="Z258" s="117"/>
      <c r="AA258" s="119"/>
      <c r="AB258" s="119"/>
      <c r="AC258" s="119"/>
    </row>
    <row r="259">
      <c r="A259" s="56" t="s">
        <v>6180</v>
      </c>
      <c r="B259" s="12" t="s">
        <v>6183</v>
      </c>
      <c r="C259" s="56" t="s">
        <v>6185</v>
      </c>
      <c r="D259" s="16" t="s">
        <v>6187</v>
      </c>
      <c r="E259" s="12" t="s">
        <v>6188</v>
      </c>
      <c r="F259" s="58"/>
      <c r="G259" s="58"/>
      <c r="H259" s="58"/>
      <c r="I259" s="58"/>
      <c r="J259" s="117"/>
      <c r="K259" s="117"/>
      <c r="L259" s="117"/>
      <c r="M259" s="117"/>
      <c r="N259" s="117"/>
      <c r="O259" s="117"/>
      <c r="P259" s="117"/>
      <c r="Q259" s="117"/>
      <c r="R259" s="117"/>
      <c r="S259" s="117"/>
      <c r="T259" s="117"/>
      <c r="U259" s="117"/>
      <c r="V259" s="117"/>
      <c r="W259" s="117"/>
      <c r="X259" s="117"/>
      <c r="Y259" s="117"/>
      <c r="Z259" s="117"/>
      <c r="AA259" s="119"/>
      <c r="AB259" s="119"/>
      <c r="AC259" s="119"/>
    </row>
    <row r="260">
      <c r="A260" s="56" t="s">
        <v>6193</v>
      </c>
      <c r="B260" s="12" t="s">
        <v>6194</v>
      </c>
      <c r="C260" s="56" t="s">
        <v>6195</v>
      </c>
      <c r="D260" s="16" t="s">
        <v>6196</v>
      </c>
      <c r="E260" s="12" t="s">
        <v>6188</v>
      </c>
      <c r="F260" s="58"/>
      <c r="G260" s="58"/>
      <c r="H260" s="58"/>
      <c r="I260" s="58"/>
      <c r="J260" s="117"/>
      <c r="K260" s="117"/>
      <c r="L260" s="117"/>
      <c r="M260" s="117"/>
      <c r="N260" s="117"/>
      <c r="O260" s="117"/>
      <c r="P260" s="117"/>
      <c r="Q260" s="117"/>
      <c r="R260" s="117"/>
      <c r="S260" s="117"/>
      <c r="T260" s="117"/>
      <c r="U260" s="117"/>
      <c r="V260" s="117"/>
      <c r="W260" s="117"/>
      <c r="X260" s="117"/>
      <c r="Y260" s="117"/>
      <c r="Z260" s="117"/>
      <c r="AA260" s="119"/>
      <c r="AB260" s="119"/>
      <c r="AC260" s="119"/>
    </row>
    <row r="261">
      <c r="A261" s="56" t="s">
        <v>6198</v>
      </c>
      <c r="B261" s="12" t="s">
        <v>6200</v>
      </c>
      <c r="C261" s="56" t="s">
        <v>6203</v>
      </c>
      <c r="D261" s="16" t="s">
        <v>6205</v>
      </c>
      <c r="E261" s="12" t="s">
        <v>6188</v>
      </c>
      <c r="F261" s="58"/>
      <c r="G261" s="58"/>
      <c r="H261" s="58"/>
      <c r="I261" s="58"/>
      <c r="J261" s="117"/>
      <c r="K261" s="117"/>
      <c r="L261" s="117"/>
      <c r="M261" s="117"/>
      <c r="N261" s="117"/>
      <c r="O261" s="117"/>
      <c r="P261" s="117"/>
      <c r="Q261" s="117"/>
      <c r="R261" s="117"/>
      <c r="S261" s="117"/>
      <c r="T261" s="117"/>
      <c r="U261" s="117"/>
      <c r="V261" s="117"/>
      <c r="W261" s="117"/>
      <c r="X261" s="117"/>
      <c r="Y261" s="117"/>
      <c r="Z261" s="117"/>
      <c r="AA261" s="119"/>
      <c r="AB261" s="119"/>
      <c r="AC261" s="119"/>
    </row>
    <row r="262">
      <c r="A262" s="56" t="s">
        <v>6210</v>
      </c>
      <c r="B262" s="12" t="s">
        <v>6211</v>
      </c>
      <c r="C262" s="56" t="s">
        <v>6212</v>
      </c>
      <c r="D262" s="16" t="s">
        <v>6213</v>
      </c>
      <c r="E262" s="12" t="s">
        <v>6188</v>
      </c>
      <c r="F262" s="58"/>
      <c r="G262" s="58"/>
      <c r="H262" s="58"/>
      <c r="I262" s="58"/>
      <c r="J262" s="117"/>
      <c r="K262" s="117"/>
      <c r="L262" s="117"/>
      <c r="M262" s="117"/>
      <c r="N262" s="117"/>
      <c r="O262" s="117"/>
      <c r="P262" s="117"/>
      <c r="Q262" s="117"/>
      <c r="R262" s="117"/>
      <c r="S262" s="117"/>
      <c r="T262" s="117"/>
      <c r="U262" s="117"/>
      <c r="V262" s="117"/>
      <c r="W262" s="117"/>
      <c r="X262" s="117"/>
      <c r="Y262" s="117"/>
      <c r="Z262" s="117"/>
      <c r="AA262" s="119"/>
      <c r="AB262" s="119"/>
      <c r="AC262" s="119"/>
    </row>
    <row r="263">
      <c r="A263" s="56" t="s">
        <v>6215</v>
      </c>
      <c r="B263" s="12" t="s">
        <v>6216</v>
      </c>
      <c r="C263" s="56" t="s">
        <v>6217</v>
      </c>
      <c r="D263" s="16" t="s">
        <v>6219</v>
      </c>
      <c r="E263" s="12" t="s">
        <v>6221</v>
      </c>
      <c r="F263" s="58"/>
      <c r="G263" s="58"/>
      <c r="H263" s="58"/>
      <c r="I263" s="58"/>
      <c r="J263" s="117"/>
      <c r="K263" s="117"/>
      <c r="L263" s="117"/>
      <c r="M263" s="117"/>
      <c r="N263" s="117"/>
      <c r="O263" s="117"/>
      <c r="P263" s="117"/>
      <c r="Q263" s="117"/>
      <c r="R263" s="117"/>
      <c r="S263" s="117"/>
      <c r="T263" s="117"/>
      <c r="U263" s="117"/>
      <c r="V263" s="117"/>
      <c r="W263" s="117"/>
      <c r="X263" s="117"/>
      <c r="Y263" s="117"/>
      <c r="Z263" s="117"/>
      <c r="AA263" s="119"/>
      <c r="AB263" s="119"/>
      <c r="AC263" s="119"/>
    </row>
    <row r="264">
      <c r="A264" s="56" t="s">
        <v>6223</v>
      </c>
      <c r="B264" s="12" t="s">
        <v>6224</v>
      </c>
      <c r="C264" s="56" t="s">
        <v>6226</v>
      </c>
      <c r="D264" s="16" t="s">
        <v>6228</v>
      </c>
      <c r="E264" s="12" t="s">
        <v>6221</v>
      </c>
      <c r="F264" s="58"/>
      <c r="G264" s="58"/>
      <c r="H264" s="58"/>
      <c r="I264" s="58"/>
      <c r="J264" s="117"/>
      <c r="K264" s="117"/>
      <c r="L264" s="117"/>
      <c r="M264" s="117"/>
      <c r="N264" s="117"/>
      <c r="O264" s="117"/>
      <c r="P264" s="117"/>
      <c r="Q264" s="117"/>
      <c r="R264" s="117"/>
      <c r="S264" s="117"/>
      <c r="T264" s="117"/>
      <c r="U264" s="117"/>
      <c r="V264" s="117"/>
      <c r="W264" s="117"/>
      <c r="X264" s="117"/>
      <c r="Y264" s="117"/>
      <c r="Z264" s="117"/>
      <c r="AA264" s="119"/>
      <c r="AB264" s="119"/>
      <c r="AC264" s="119"/>
    </row>
    <row r="265">
      <c r="A265" s="56" t="s">
        <v>6231</v>
      </c>
      <c r="B265" s="12" t="s">
        <v>6232</v>
      </c>
      <c r="C265" s="56" t="s">
        <v>6234</v>
      </c>
      <c r="D265" s="16" t="s">
        <v>6235</v>
      </c>
      <c r="E265" s="12" t="s">
        <v>6221</v>
      </c>
      <c r="F265" s="58"/>
      <c r="G265" s="58"/>
      <c r="H265" s="58"/>
      <c r="I265" s="58"/>
      <c r="J265" s="117"/>
      <c r="K265" s="117"/>
      <c r="L265" s="117"/>
      <c r="M265" s="117"/>
      <c r="N265" s="117"/>
      <c r="O265" s="117"/>
      <c r="P265" s="117"/>
      <c r="Q265" s="117"/>
      <c r="R265" s="117"/>
      <c r="S265" s="117"/>
      <c r="T265" s="117"/>
      <c r="U265" s="117"/>
      <c r="V265" s="117"/>
      <c r="W265" s="117"/>
      <c r="X265" s="117"/>
      <c r="Y265" s="117"/>
      <c r="Z265" s="117"/>
      <c r="AA265" s="119"/>
      <c r="AB265" s="119"/>
      <c r="AC265" s="119"/>
    </row>
    <row r="266">
      <c r="A266" s="56" t="s">
        <v>6240</v>
      </c>
      <c r="B266" s="12" t="s">
        <v>6241</v>
      </c>
      <c r="C266" s="56" t="s">
        <v>6242</v>
      </c>
      <c r="D266" s="16" t="s">
        <v>6243</v>
      </c>
      <c r="E266" s="12" t="str">
        <f>MID(B266,FIND(" {",B266) + 1 + 1,FIND("}",B266) - 1 - (FIND(" {",B266) + 1))</f>
        <v>month</v>
      </c>
      <c r="F266" s="58"/>
      <c r="G266" s="58"/>
      <c r="H266" s="58"/>
      <c r="I266" s="58"/>
      <c r="J266" s="117"/>
      <c r="K266" s="117"/>
      <c r="L266" s="117"/>
      <c r="M266" s="117"/>
      <c r="N266" s="117"/>
      <c r="O266" s="117"/>
      <c r="P266" s="117"/>
      <c r="Q266" s="117"/>
      <c r="R266" s="117"/>
      <c r="S266" s="117"/>
      <c r="T266" s="117"/>
      <c r="U266" s="117"/>
      <c r="V266" s="117"/>
      <c r="W266" s="117"/>
      <c r="X266" s="117"/>
      <c r="Y266" s="117"/>
      <c r="Z266" s="117"/>
      <c r="AA266" s="119"/>
      <c r="AB266" s="119"/>
      <c r="AC266" s="119"/>
    </row>
    <row r="267">
      <c r="A267" s="56" t="s">
        <v>6285</v>
      </c>
      <c r="B267" s="12" t="s">
        <v>6287</v>
      </c>
      <c r="C267" s="56" t="s">
        <v>6288</v>
      </c>
      <c r="D267" s="16" t="s">
        <v>6289</v>
      </c>
      <c r="E267" s="29" t="s">
        <v>6290</v>
      </c>
      <c r="F267" s="58"/>
      <c r="G267" s="58"/>
      <c r="H267" s="58"/>
      <c r="I267" s="58"/>
      <c r="J267" s="117"/>
      <c r="K267" s="117"/>
      <c r="L267" s="117"/>
      <c r="M267" s="117"/>
      <c r="N267" s="117"/>
      <c r="O267" s="117"/>
      <c r="P267" s="117"/>
      <c r="Q267" s="117"/>
      <c r="R267" s="117"/>
      <c r="S267" s="117"/>
      <c r="T267" s="117"/>
      <c r="U267" s="117"/>
      <c r="V267" s="117"/>
      <c r="W267" s="117"/>
      <c r="X267" s="117"/>
      <c r="Y267" s="117"/>
      <c r="Z267" s="117"/>
      <c r="AA267" s="119"/>
      <c r="AB267" s="119"/>
      <c r="AC267" s="119"/>
    </row>
    <row r="268">
      <c r="A268" s="29" t="s">
        <v>6295</v>
      </c>
      <c r="B268" s="29" t="s">
        <v>6297</v>
      </c>
      <c r="C268" s="29" t="s">
        <v>6298</v>
      </c>
      <c r="D268" s="16" t="s">
        <v>6302</v>
      </c>
      <c r="E268" s="29" t="s">
        <v>6303</v>
      </c>
      <c r="F268" s="58"/>
      <c r="G268" s="58"/>
      <c r="H268" s="58"/>
      <c r="I268" s="58"/>
      <c r="J268" s="117"/>
      <c r="K268" s="117"/>
      <c r="L268" s="117"/>
      <c r="M268" s="117"/>
      <c r="N268" s="117"/>
      <c r="O268" s="117"/>
      <c r="P268" s="117"/>
      <c r="Q268" s="117"/>
      <c r="R268" s="117"/>
      <c r="S268" s="117"/>
      <c r="T268" s="117"/>
      <c r="U268" s="117"/>
      <c r="V268" s="117"/>
      <c r="W268" s="117"/>
      <c r="X268" s="117"/>
      <c r="Y268" s="117"/>
      <c r="Z268" s="117"/>
      <c r="AA268" s="119"/>
      <c r="AB268" s="119"/>
      <c r="AC268" s="119"/>
    </row>
    <row r="269">
      <c r="A269" s="56" t="s">
        <v>6307</v>
      </c>
      <c r="B269" s="12" t="s">
        <v>6308</v>
      </c>
      <c r="C269" s="56" t="s">
        <v>6309</v>
      </c>
      <c r="D269" s="16" t="s">
        <v>6311</v>
      </c>
      <c r="E269" s="12" t="str">
        <f>MID(B269,FIND(" {",B269) + 1 + 1,FIND("}",B269) - 1 - (FIND(" {",B269) + 1))</f>
        <v>supplier</v>
      </c>
      <c r="F269" s="58"/>
      <c r="G269" s="58"/>
      <c r="H269" s="58"/>
      <c r="I269" s="58"/>
      <c r="J269" s="117"/>
      <c r="K269" s="117"/>
      <c r="L269" s="117"/>
      <c r="M269" s="117"/>
      <c r="N269" s="117"/>
      <c r="O269" s="117"/>
      <c r="P269" s="117"/>
      <c r="Q269" s="117"/>
      <c r="R269" s="117"/>
      <c r="S269" s="117"/>
      <c r="T269" s="117"/>
      <c r="U269" s="117"/>
      <c r="V269" s="117"/>
      <c r="W269" s="117"/>
      <c r="X269" s="117"/>
      <c r="Y269" s="117"/>
      <c r="Z269" s="117"/>
      <c r="AA269" s="119"/>
      <c r="AB269" s="119"/>
      <c r="AC269" s="119"/>
    </row>
    <row r="270">
      <c r="A270" s="29" t="s">
        <v>6334</v>
      </c>
      <c r="B270" s="29" t="s">
        <v>6336</v>
      </c>
      <c r="C270" s="29" t="s">
        <v>6338</v>
      </c>
      <c r="D270" s="16" t="s">
        <v>6341</v>
      </c>
      <c r="E270" s="12" t="s">
        <v>6342</v>
      </c>
      <c r="F270" s="58"/>
      <c r="G270" s="58"/>
      <c r="H270" s="58"/>
      <c r="I270" s="58"/>
      <c r="J270" s="117"/>
      <c r="K270" s="117"/>
      <c r="L270" s="117"/>
      <c r="M270" s="117"/>
      <c r="N270" s="117"/>
      <c r="O270" s="117"/>
      <c r="P270" s="117"/>
      <c r="Q270" s="117"/>
      <c r="R270" s="117"/>
      <c r="S270" s="117"/>
      <c r="T270" s="117"/>
      <c r="U270" s="117"/>
      <c r="V270" s="117"/>
      <c r="W270" s="117"/>
      <c r="X270" s="117"/>
      <c r="Y270" s="117"/>
      <c r="Z270" s="117"/>
      <c r="AA270" s="119"/>
      <c r="AB270" s="119"/>
      <c r="AC270" s="119"/>
    </row>
    <row r="271">
      <c r="A271" s="29" t="s">
        <v>6346</v>
      </c>
      <c r="B271" s="29" t="s">
        <v>6347</v>
      </c>
      <c r="C271" s="29" t="s">
        <v>6348</v>
      </c>
      <c r="D271" s="16" t="s">
        <v>6349</v>
      </c>
      <c r="E271" s="12" t="s">
        <v>6342</v>
      </c>
      <c r="F271" s="58"/>
      <c r="G271" s="58"/>
      <c r="H271" s="58"/>
      <c r="I271" s="58"/>
      <c r="J271" s="117"/>
      <c r="K271" s="117"/>
      <c r="L271" s="117"/>
      <c r="M271" s="117"/>
      <c r="N271" s="117"/>
      <c r="O271" s="117"/>
      <c r="P271" s="117"/>
      <c r="Q271" s="117"/>
      <c r="R271" s="117"/>
      <c r="S271" s="117"/>
      <c r="T271" s="117"/>
      <c r="U271" s="117"/>
      <c r="V271" s="117"/>
      <c r="W271" s="117"/>
      <c r="X271" s="117"/>
      <c r="Y271" s="117"/>
      <c r="Z271" s="117"/>
      <c r="AA271" s="119"/>
      <c r="AB271" s="119"/>
      <c r="AC271" s="119"/>
    </row>
    <row r="272">
      <c r="A272" s="29" t="s">
        <v>6356</v>
      </c>
      <c r="B272" s="29" t="s">
        <v>6357</v>
      </c>
      <c r="C272" s="29" t="s">
        <v>6359</v>
      </c>
      <c r="D272" s="16" t="s">
        <v>6362</v>
      </c>
      <c r="E272" s="12" t="s">
        <v>6342</v>
      </c>
      <c r="F272" s="58"/>
      <c r="G272" s="58"/>
      <c r="H272" s="58"/>
      <c r="I272" s="58"/>
      <c r="J272" s="117"/>
      <c r="K272" s="117"/>
      <c r="L272" s="117"/>
      <c r="M272" s="117"/>
      <c r="N272" s="117"/>
      <c r="O272" s="117"/>
      <c r="P272" s="117"/>
      <c r="Q272" s="117"/>
      <c r="R272" s="117"/>
      <c r="S272" s="117"/>
      <c r="T272" s="117"/>
      <c r="U272" s="117"/>
      <c r="V272" s="117"/>
      <c r="W272" s="117"/>
      <c r="X272" s="117"/>
      <c r="Y272" s="117"/>
      <c r="Z272" s="117"/>
      <c r="AA272" s="119"/>
      <c r="AB272" s="119"/>
      <c r="AC272" s="119"/>
    </row>
    <row r="273">
      <c r="A273" s="29" t="s">
        <v>6371</v>
      </c>
      <c r="B273" s="29" t="s">
        <v>6373</v>
      </c>
      <c r="C273" s="29" t="s">
        <v>6374</v>
      </c>
      <c r="D273" s="16" t="s">
        <v>6375</v>
      </c>
      <c r="E273" s="29" t="s">
        <v>3006</v>
      </c>
      <c r="F273" s="58"/>
      <c r="G273" s="58"/>
      <c r="H273" s="58"/>
      <c r="I273" s="58"/>
      <c r="J273" s="117"/>
      <c r="K273" s="117"/>
      <c r="L273" s="117"/>
      <c r="M273" s="117"/>
      <c r="N273" s="117"/>
      <c r="O273" s="117"/>
      <c r="P273" s="117"/>
      <c r="Q273" s="117"/>
      <c r="R273" s="117"/>
      <c r="S273" s="117"/>
      <c r="T273" s="117"/>
      <c r="U273" s="117"/>
      <c r="V273" s="117"/>
      <c r="W273" s="117"/>
      <c r="X273" s="117"/>
      <c r="Y273" s="117"/>
      <c r="Z273" s="117"/>
      <c r="AA273" s="119"/>
      <c r="AB273" s="119"/>
      <c r="AC273" s="119"/>
    </row>
    <row r="274">
      <c r="A274" s="29" t="s">
        <v>6380</v>
      </c>
      <c r="B274" s="29" t="s">
        <v>3635</v>
      </c>
      <c r="C274" s="29" t="s">
        <v>6381</v>
      </c>
      <c r="D274" s="16" t="s">
        <v>6383</v>
      </c>
      <c r="E274" s="29" t="s">
        <v>3006</v>
      </c>
      <c r="F274" s="58"/>
      <c r="G274" s="58"/>
      <c r="H274" s="58"/>
      <c r="I274" s="58"/>
      <c r="J274" s="117"/>
      <c r="K274" s="117"/>
      <c r="L274" s="117"/>
      <c r="M274" s="117"/>
      <c r="N274" s="117"/>
      <c r="O274" s="117"/>
      <c r="P274" s="117"/>
      <c r="Q274" s="117"/>
      <c r="R274" s="117"/>
      <c r="S274" s="117"/>
      <c r="T274" s="117"/>
      <c r="U274" s="117"/>
      <c r="V274" s="117"/>
      <c r="W274" s="117"/>
      <c r="X274" s="117"/>
      <c r="Y274" s="117"/>
      <c r="Z274" s="117"/>
      <c r="AA274" s="119"/>
      <c r="AB274" s="119"/>
      <c r="AC274" s="119"/>
    </row>
    <row r="275">
      <c r="A275" s="56" t="s">
        <v>6387</v>
      </c>
      <c r="B275" s="12" t="s">
        <v>6388</v>
      </c>
      <c r="C275" s="56" t="s">
        <v>6389</v>
      </c>
      <c r="D275" s="16" t="s">
        <v>6390</v>
      </c>
      <c r="E275" s="12" t="s">
        <v>5828</v>
      </c>
      <c r="F275" s="58"/>
      <c r="G275" s="58"/>
      <c r="H275" s="58"/>
      <c r="I275" s="58"/>
      <c r="J275" s="117"/>
      <c r="K275" s="117"/>
      <c r="L275" s="117"/>
      <c r="M275" s="117"/>
      <c r="N275" s="117"/>
      <c r="O275" s="117"/>
      <c r="P275" s="117"/>
      <c r="Q275" s="117"/>
      <c r="R275" s="117"/>
      <c r="S275" s="117"/>
      <c r="T275" s="117"/>
      <c r="U275" s="117"/>
      <c r="V275" s="117"/>
      <c r="W275" s="117"/>
      <c r="X275" s="117"/>
      <c r="Y275" s="117"/>
      <c r="Z275" s="117"/>
      <c r="AA275" s="119"/>
      <c r="AB275" s="119"/>
      <c r="AC275" s="119"/>
    </row>
    <row r="276">
      <c r="A276" s="29" t="s">
        <v>6395</v>
      </c>
      <c r="B276" s="29" t="s">
        <v>6396</v>
      </c>
      <c r="C276" s="29" t="s">
        <v>6397</v>
      </c>
      <c r="D276" s="16" t="s">
        <v>6398</v>
      </c>
      <c r="E276" s="29" t="s">
        <v>6399</v>
      </c>
      <c r="F276" s="58"/>
      <c r="G276" s="58"/>
      <c r="H276" s="58"/>
      <c r="I276" s="58"/>
      <c r="J276" s="117"/>
      <c r="K276" s="117"/>
      <c r="L276" s="117"/>
      <c r="M276" s="117"/>
      <c r="N276" s="117"/>
      <c r="O276" s="117"/>
      <c r="P276" s="117"/>
      <c r="Q276" s="117"/>
      <c r="R276" s="117"/>
      <c r="S276" s="117"/>
      <c r="T276" s="117"/>
      <c r="U276" s="117"/>
      <c r="V276" s="117"/>
      <c r="W276" s="117"/>
      <c r="X276" s="117"/>
      <c r="Y276" s="117"/>
      <c r="Z276" s="117"/>
      <c r="AA276" s="119"/>
      <c r="AB276" s="119"/>
      <c r="AC276" s="119"/>
    </row>
    <row r="277">
      <c r="A277" s="29" t="s">
        <v>6404</v>
      </c>
      <c r="B277" s="29" t="s">
        <v>6405</v>
      </c>
      <c r="C277" s="29" t="s">
        <v>6406</v>
      </c>
      <c r="D277" s="16" t="s">
        <v>6407</v>
      </c>
      <c r="E277" s="29" t="s">
        <v>6408</v>
      </c>
      <c r="F277" s="58"/>
      <c r="G277" s="58"/>
      <c r="H277" s="58"/>
      <c r="I277" s="58"/>
      <c r="J277" s="117"/>
      <c r="K277" s="117"/>
      <c r="L277" s="117"/>
      <c r="M277" s="117"/>
      <c r="N277" s="117"/>
      <c r="O277" s="117"/>
      <c r="P277" s="117"/>
      <c r="Q277" s="117"/>
      <c r="R277" s="117"/>
      <c r="S277" s="117"/>
      <c r="T277" s="117"/>
      <c r="U277" s="117"/>
      <c r="V277" s="117"/>
      <c r="W277" s="117"/>
      <c r="X277" s="117"/>
      <c r="Y277" s="117"/>
      <c r="Z277" s="117"/>
      <c r="AA277" s="119"/>
      <c r="AB277" s="119"/>
      <c r="AC277" s="119"/>
    </row>
    <row r="278">
      <c r="A278" s="29" t="s">
        <v>6413</v>
      </c>
      <c r="B278" s="29" t="s">
        <v>6414</v>
      </c>
      <c r="C278" s="29" t="s">
        <v>6415</v>
      </c>
      <c r="D278" s="16" t="s">
        <v>6416</v>
      </c>
      <c r="E278" s="29" t="s">
        <v>6417</v>
      </c>
      <c r="F278" s="58"/>
      <c r="G278" s="58"/>
      <c r="H278" s="58"/>
      <c r="I278" s="58"/>
      <c r="J278" s="117"/>
      <c r="K278" s="117"/>
      <c r="L278" s="117"/>
      <c r="M278" s="117"/>
      <c r="N278" s="117"/>
      <c r="O278" s="117"/>
      <c r="P278" s="117"/>
      <c r="Q278" s="117"/>
      <c r="R278" s="117"/>
      <c r="S278" s="117"/>
      <c r="T278" s="117"/>
      <c r="U278" s="117"/>
      <c r="V278" s="117"/>
      <c r="W278" s="117"/>
      <c r="X278" s="117"/>
      <c r="Y278" s="117"/>
      <c r="Z278" s="117"/>
      <c r="AA278" s="119"/>
      <c r="AB278" s="119"/>
      <c r="AC278" s="119"/>
    </row>
    <row r="279">
      <c r="A279" s="29" t="s">
        <v>6422</v>
      </c>
      <c r="B279" s="29" t="s">
        <v>6423</v>
      </c>
      <c r="C279" s="29" t="s">
        <v>6424</v>
      </c>
      <c r="D279" s="16" t="s">
        <v>6425</v>
      </c>
      <c r="E279" s="29" t="s">
        <v>6426</v>
      </c>
      <c r="F279" s="58"/>
      <c r="G279" s="58"/>
      <c r="H279" s="58"/>
      <c r="I279" s="58"/>
      <c r="J279" s="117"/>
      <c r="K279" s="117"/>
      <c r="L279" s="117"/>
      <c r="M279" s="117"/>
      <c r="N279" s="117"/>
      <c r="O279" s="117"/>
      <c r="P279" s="117"/>
      <c r="Q279" s="117"/>
      <c r="R279" s="117"/>
      <c r="S279" s="117"/>
      <c r="T279" s="117"/>
      <c r="U279" s="117"/>
      <c r="V279" s="117"/>
      <c r="W279" s="117"/>
      <c r="X279" s="117"/>
      <c r="Y279" s="117"/>
      <c r="Z279" s="117"/>
      <c r="AA279" s="119"/>
      <c r="AB279" s="119"/>
      <c r="AC279" s="119"/>
    </row>
    <row r="280">
      <c r="A280" s="56" t="s">
        <v>6431</v>
      </c>
      <c r="B280" s="12" t="s">
        <v>6432</v>
      </c>
      <c r="C280" s="56" t="s">
        <v>6433</v>
      </c>
      <c r="D280" s="16" t="s">
        <v>6434</v>
      </c>
      <c r="E280" s="12" t="s">
        <v>6435</v>
      </c>
      <c r="F280" s="58"/>
      <c r="G280" s="58"/>
      <c r="H280" s="58"/>
      <c r="I280" s="58"/>
      <c r="J280" s="117"/>
      <c r="K280" s="117"/>
      <c r="L280" s="117"/>
      <c r="M280" s="117"/>
      <c r="N280" s="117"/>
      <c r="O280" s="117"/>
      <c r="P280" s="117"/>
      <c r="Q280" s="117"/>
      <c r="R280" s="117"/>
      <c r="S280" s="117"/>
      <c r="T280" s="117"/>
      <c r="U280" s="117"/>
      <c r="V280" s="117"/>
      <c r="W280" s="117"/>
      <c r="X280" s="117"/>
      <c r="Y280" s="117"/>
      <c r="Z280" s="117"/>
      <c r="AA280" s="119"/>
      <c r="AB280" s="119"/>
      <c r="AC280" s="119"/>
    </row>
    <row r="281">
      <c r="A281" s="56" t="s">
        <v>6440</v>
      </c>
      <c r="B281" s="12" t="s">
        <v>6441</v>
      </c>
      <c r="C281" s="56" t="s">
        <v>6442</v>
      </c>
      <c r="D281" s="16" t="s">
        <v>6443</v>
      </c>
      <c r="E281" s="12" t="s">
        <v>6444</v>
      </c>
      <c r="F281" s="58"/>
      <c r="G281" s="58"/>
      <c r="H281" s="58"/>
      <c r="I281" s="58"/>
      <c r="J281" s="117"/>
      <c r="K281" s="117"/>
      <c r="L281" s="117"/>
      <c r="M281" s="117"/>
      <c r="N281" s="117"/>
      <c r="O281" s="117"/>
      <c r="P281" s="117"/>
      <c r="Q281" s="117"/>
      <c r="R281" s="117"/>
      <c r="S281" s="117"/>
      <c r="T281" s="117"/>
      <c r="U281" s="117"/>
      <c r="V281" s="117"/>
      <c r="W281" s="117"/>
      <c r="X281" s="117"/>
      <c r="Y281" s="117"/>
      <c r="Z281" s="117"/>
      <c r="AA281" s="119"/>
      <c r="AB281" s="119"/>
      <c r="AC281" s="119"/>
    </row>
    <row r="282">
      <c r="A282" s="29" t="s">
        <v>6449</v>
      </c>
      <c r="B282" s="29" t="s">
        <v>6450</v>
      </c>
      <c r="C282" s="29" t="s">
        <v>6451</v>
      </c>
      <c r="D282" s="16" t="s">
        <v>6452</v>
      </c>
      <c r="E282" s="29" t="s">
        <v>3006</v>
      </c>
      <c r="F282" s="58"/>
      <c r="G282" s="58"/>
      <c r="H282" s="58"/>
      <c r="I282" s="58"/>
      <c r="J282" s="117"/>
      <c r="K282" s="117"/>
      <c r="L282" s="117"/>
      <c r="M282" s="117"/>
      <c r="N282" s="117"/>
      <c r="O282" s="117"/>
      <c r="P282" s="117"/>
      <c r="Q282" s="117"/>
      <c r="R282" s="117"/>
      <c r="S282" s="117"/>
      <c r="T282" s="117"/>
      <c r="U282" s="117"/>
      <c r="V282" s="117"/>
      <c r="W282" s="117"/>
      <c r="X282" s="117"/>
      <c r="Y282" s="117"/>
      <c r="Z282" s="117"/>
      <c r="AA282" s="119"/>
      <c r="AB282" s="119"/>
      <c r="AC282" s="119"/>
    </row>
    <row r="283">
      <c r="A283" s="56" t="s">
        <v>6457</v>
      </c>
      <c r="B283" s="12" t="s">
        <v>6458</v>
      </c>
      <c r="C283" s="56" t="s">
        <v>6459</v>
      </c>
      <c r="D283" s="16" t="s">
        <v>6461</v>
      </c>
      <c r="E283" s="12" t="s">
        <v>6462</v>
      </c>
      <c r="F283" s="58"/>
      <c r="G283" s="58"/>
      <c r="H283" s="58"/>
      <c r="I283" s="58"/>
      <c r="J283" s="117"/>
      <c r="K283" s="117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117"/>
      <c r="Y283" s="117"/>
      <c r="Z283" s="117"/>
      <c r="AA283" s="119"/>
      <c r="AB283" s="119"/>
      <c r="AC283" s="119"/>
    </row>
    <row r="284">
      <c r="A284" s="29" t="s">
        <v>6465</v>
      </c>
      <c r="B284" s="29" t="s">
        <v>6466</v>
      </c>
      <c r="C284" s="29" t="s">
        <v>6467</v>
      </c>
      <c r="D284" s="16" t="s">
        <v>6470</v>
      </c>
      <c r="E284" s="29" t="s">
        <v>6399</v>
      </c>
      <c r="F284" s="58"/>
      <c r="G284" s="58"/>
      <c r="H284" s="58"/>
      <c r="I284" s="58"/>
      <c r="J284" s="117"/>
      <c r="K284" s="117"/>
      <c r="L284" s="117"/>
      <c r="M284" s="117"/>
      <c r="N284" s="117"/>
      <c r="O284" s="117"/>
      <c r="P284" s="117"/>
      <c r="Q284" s="117"/>
      <c r="R284" s="117"/>
      <c r="S284" s="117"/>
      <c r="T284" s="117"/>
      <c r="U284" s="117"/>
      <c r="V284" s="117"/>
      <c r="W284" s="117"/>
      <c r="X284" s="117"/>
      <c r="Y284" s="117"/>
      <c r="Z284" s="117"/>
      <c r="AA284" s="119"/>
      <c r="AB284" s="119"/>
      <c r="AC284" s="119"/>
    </row>
    <row r="285">
      <c r="A285" s="56" t="s">
        <v>6473</v>
      </c>
      <c r="B285" s="12" t="s">
        <v>6474</v>
      </c>
      <c r="C285" s="56" t="s">
        <v>6475</v>
      </c>
      <c r="D285" s="16" t="s">
        <v>6478</v>
      </c>
      <c r="E285" s="12" t="s">
        <v>5828</v>
      </c>
      <c r="F285" s="58"/>
      <c r="G285" s="58"/>
      <c r="H285" s="58"/>
      <c r="I285" s="58"/>
      <c r="J285" s="117"/>
      <c r="K285" s="117"/>
      <c r="L285" s="117"/>
      <c r="M285" s="117"/>
      <c r="N285" s="117"/>
      <c r="O285" s="117"/>
      <c r="P285" s="117"/>
      <c r="Q285" s="117"/>
      <c r="R285" s="117"/>
      <c r="S285" s="117"/>
      <c r="T285" s="117"/>
      <c r="U285" s="117"/>
      <c r="V285" s="117"/>
      <c r="W285" s="117"/>
      <c r="X285" s="117"/>
      <c r="Y285" s="117"/>
      <c r="Z285" s="117"/>
      <c r="AA285" s="119"/>
      <c r="AB285" s="119"/>
      <c r="AC285" s="119"/>
    </row>
    <row r="286">
      <c r="A286" s="29" t="s">
        <v>6481</v>
      </c>
      <c r="B286" s="29" t="s">
        <v>6483</v>
      </c>
      <c r="C286" s="29" t="s">
        <v>6484</v>
      </c>
      <c r="D286" s="16" t="s">
        <v>6488</v>
      </c>
      <c r="E286" s="29" t="s">
        <v>6490</v>
      </c>
      <c r="F286" s="58"/>
      <c r="G286" s="58"/>
      <c r="H286" s="58"/>
      <c r="I286" s="58"/>
      <c r="J286" s="117"/>
      <c r="K286" s="117"/>
      <c r="L286" s="117"/>
      <c r="M286" s="117"/>
      <c r="N286" s="117"/>
      <c r="O286" s="117"/>
      <c r="P286" s="117"/>
      <c r="Q286" s="117"/>
      <c r="R286" s="117"/>
      <c r="S286" s="117"/>
      <c r="T286" s="117"/>
      <c r="U286" s="117"/>
      <c r="V286" s="117"/>
      <c r="W286" s="117"/>
      <c r="X286" s="117"/>
      <c r="Y286" s="117"/>
      <c r="Z286" s="117"/>
      <c r="AA286" s="119"/>
      <c r="AB286" s="119"/>
      <c r="AC286" s="119"/>
    </row>
    <row r="287">
      <c r="A287" s="29" t="s">
        <v>6495</v>
      </c>
      <c r="B287" s="29" t="s">
        <v>6496</v>
      </c>
      <c r="C287" s="29" t="s">
        <v>6497</v>
      </c>
      <c r="D287" s="16" t="s">
        <v>6499</v>
      </c>
      <c r="E287" s="29" t="s">
        <v>6501</v>
      </c>
      <c r="F287" s="58"/>
      <c r="G287" s="58"/>
      <c r="H287" s="58"/>
      <c r="I287" s="58"/>
      <c r="J287" s="117"/>
      <c r="K287" s="117"/>
      <c r="L287" s="117"/>
      <c r="M287" s="117"/>
      <c r="N287" s="117"/>
      <c r="O287" s="117"/>
      <c r="P287" s="117"/>
      <c r="Q287" s="117"/>
      <c r="R287" s="117"/>
      <c r="S287" s="117"/>
      <c r="T287" s="117"/>
      <c r="U287" s="117"/>
      <c r="V287" s="117"/>
      <c r="W287" s="117"/>
      <c r="X287" s="117"/>
      <c r="Y287" s="117"/>
      <c r="Z287" s="117"/>
      <c r="AA287" s="119"/>
      <c r="AB287" s="119"/>
      <c r="AC287" s="119"/>
    </row>
    <row r="288">
      <c r="A288" s="100"/>
      <c r="B288" s="30"/>
      <c r="C288" s="100"/>
      <c r="D288" s="5"/>
      <c r="E288" s="30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119"/>
      <c r="AB288" s="119"/>
      <c r="AC288" s="119"/>
    </row>
    <row r="289">
      <c r="A289" s="100"/>
      <c r="B289" s="30"/>
      <c r="C289" s="100"/>
      <c r="D289" s="5"/>
      <c r="E289" s="30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119"/>
      <c r="AB289" s="119"/>
      <c r="AC289" s="119"/>
    </row>
    <row r="290">
      <c r="A290" s="100"/>
      <c r="B290" s="30"/>
      <c r="C290" s="100"/>
      <c r="D290" s="5"/>
      <c r="E290" s="30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119"/>
      <c r="AB290" s="119"/>
      <c r="AC290" s="119"/>
    </row>
    <row r="291">
      <c r="A291" s="100"/>
      <c r="B291" s="30"/>
      <c r="C291" s="100"/>
      <c r="D291" s="5"/>
      <c r="E291" s="30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119"/>
      <c r="AB291" s="119"/>
      <c r="AC291" s="119"/>
    </row>
    <row r="292">
      <c r="A292" s="100"/>
      <c r="B292" s="30"/>
      <c r="C292" s="100"/>
      <c r="D292" s="5"/>
      <c r="E292" s="30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119"/>
      <c r="AB292" s="119"/>
      <c r="AC292" s="119"/>
    </row>
    <row r="293">
      <c r="A293" s="100"/>
      <c r="B293" s="30"/>
      <c r="C293" s="100"/>
      <c r="D293" s="5"/>
      <c r="E293" s="30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119"/>
      <c r="AB293" s="119"/>
      <c r="AC293" s="119"/>
    </row>
    <row r="294">
      <c r="A294" s="100"/>
      <c r="B294" s="30"/>
      <c r="C294" s="100"/>
      <c r="D294" s="5"/>
      <c r="E294" s="30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119"/>
      <c r="AB294" s="119"/>
      <c r="AC294" s="119"/>
    </row>
    <row r="295">
      <c r="A295" s="30"/>
      <c r="B295" s="30"/>
      <c r="C295" s="30"/>
      <c r="D295" s="5"/>
      <c r="E295" s="30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114"/>
      <c r="AB295" s="114"/>
      <c r="AC295" s="114"/>
    </row>
    <row r="296">
      <c r="A296" s="30"/>
      <c r="B296" s="30"/>
      <c r="C296" s="30"/>
      <c r="D296" s="5"/>
      <c r="E296" s="30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114"/>
      <c r="AB296" s="114"/>
      <c r="AC296" s="114"/>
    </row>
    <row r="297">
      <c r="A297" s="30"/>
      <c r="B297" s="30"/>
      <c r="C297" s="30"/>
      <c r="D297" s="5"/>
      <c r="E297" s="30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114"/>
      <c r="AB297" s="114"/>
      <c r="AC297" s="114"/>
    </row>
    <row r="298">
      <c r="A298" s="30"/>
      <c r="B298" s="30"/>
      <c r="C298" s="30"/>
      <c r="D298" s="5"/>
      <c r="E298" s="30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114"/>
      <c r="AB298" s="114"/>
      <c r="AC298" s="114"/>
    </row>
    <row r="299">
      <c r="A299" s="30"/>
      <c r="B299" s="30"/>
      <c r="C299" s="30"/>
      <c r="D299" s="5"/>
      <c r="E299" s="30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114"/>
      <c r="AB299" s="114"/>
      <c r="AC299" s="114"/>
    </row>
    <row r="300">
      <c r="A300" s="30"/>
      <c r="B300" s="30"/>
      <c r="C300" s="30"/>
      <c r="D300" s="5"/>
      <c r="E300" s="30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114"/>
      <c r="AB300" s="114"/>
      <c r="AC300" s="114"/>
    </row>
    <row r="301">
      <c r="A301" s="30"/>
      <c r="B301" s="30"/>
      <c r="C301" s="30"/>
      <c r="D301" s="5"/>
      <c r="E301" s="30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114"/>
      <c r="AB301" s="114"/>
      <c r="AC301" s="114"/>
    </row>
    <row r="302">
      <c r="A302" s="30"/>
      <c r="B302" s="30"/>
      <c r="C302" s="30"/>
      <c r="D302" s="5"/>
      <c r="E302" s="30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114"/>
      <c r="AB302" s="114"/>
      <c r="AC302" s="114"/>
    </row>
    <row r="303">
      <c r="A303" s="30"/>
      <c r="B303" s="30"/>
      <c r="C303" s="30"/>
      <c r="D303" s="5"/>
      <c r="E303" s="30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114"/>
      <c r="AB303" s="114"/>
      <c r="AC303" s="114"/>
    </row>
    <row r="304">
      <c r="A304" s="30"/>
      <c r="B304" s="30"/>
      <c r="C304" s="30"/>
      <c r="D304" s="5"/>
      <c r="E304" s="30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114"/>
      <c r="AB304" s="114"/>
      <c r="AC304" s="114"/>
    </row>
    <row r="305">
      <c r="A305" s="30"/>
      <c r="B305" s="30"/>
      <c r="C305" s="30"/>
      <c r="D305" s="5"/>
      <c r="E305" s="30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114"/>
      <c r="AB305" s="114"/>
      <c r="AC305" s="114"/>
    </row>
    <row r="306">
      <c r="A306" s="30"/>
      <c r="B306" s="30"/>
      <c r="C306" s="30"/>
      <c r="D306" s="5"/>
      <c r="E306" s="30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114"/>
      <c r="AB306" s="114"/>
      <c r="AC306" s="114"/>
    </row>
    <row r="307">
      <c r="A307" s="30"/>
      <c r="B307" s="30"/>
      <c r="C307" s="30"/>
      <c r="D307" s="5"/>
      <c r="E307" s="30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114"/>
      <c r="AB307" s="114"/>
      <c r="AC307" s="114"/>
    </row>
    <row r="308">
      <c r="A308" s="30"/>
      <c r="B308" s="30"/>
      <c r="C308" s="30"/>
      <c r="D308" s="5"/>
      <c r="E308" s="30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114"/>
      <c r="AB308" s="114"/>
      <c r="AC308" s="114"/>
    </row>
    <row r="309">
      <c r="A309" s="30"/>
      <c r="B309" s="30"/>
      <c r="C309" s="30"/>
      <c r="D309" s="5"/>
      <c r="E309" s="30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114"/>
      <c r="AB309" s="114"/>
      <c r="AC309" s="114"/>
    </row>
    <row r="310">
      <c r="A310" s="30"/>
      <c r="B310" s="30"/>
      <c r="C310" s="30"/>
      <c r="D310" s="5"/>
      <c r="E310" s="30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114"/>
      <c r="AB310" s="114"/>
      <c r="AC310" s="114"/>
    </row>
    <row r="311">
      <c r="A311" s="30"/>
      <c r="B311" s="30"/>
      <c r="C311" s="30"/>
      <c r="D311" s="5"/>
      <c r="E311" s="30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114"/>
      <c r="AB311" s="114"/>
      <c r="AC311" s="114"/>
    </row>
    <row r="312">
      <c r="A312" s="30"/>
      <c r="B312" s="30"/>
      <c r="C312" s="30"/>
      <c r="D312" s="5"/>
      <c r="E312" s="30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114"/>
      <c r="AB312" s="114"/>
      <c r="AC312" s="114"/>
    </row>
    <row r="313">
      <c r="A313" s="30"/>
      <c r="B313" s="30"/>
      <c r="C313" s="30"/>
      <c r="D313" s="5"/>
      <c r="E313" s="30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114"/>
      <c r="AB313" s="114"/>
      <c r="AC313" s="114"/>
    </row>
    <row r="314">
      <c r="A314" s="30"/>
      <c r="B314" s="30"/>
      <c r="C314" s="30"/>
      <c r="D314" s="5"/>
      <c r="E314" s="30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114"/>
      <c r="AB314" s="114"/>
      <c r="AC314" s="114"/>
    </row>
    <row r="315">
      <c r="A315" s="30"/>
      <c r="B315" s="30"/>
      <c r="C315" s="30"/>
      <c r="D315" s="5"/>
      <c r="E315" s="30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114"/>
      <c r="AB315" s="114"/>
      <c r="AC315" s="114"/>
    </row>
    <row r="316">
      <c r="A316" s="30"/>
      <c r="B316" s="30"/>
      <c r="C316" s="30"/>
      <c r="D316" s="5"/>
      <c r="E316" s="30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114"/>
      <c r="AB316" s="114"/>
      <c r="AC316" s="114"/>
    </row>
    <row r="317">
      <c r="A317" s="30"/>
      <c r="B317" s="30"/>
      <c r="C317" s="30"/>
      <c r="D317" s="5"/>
      <c r="E317" s="30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114"/>
      <c r="AB317" s="114"/>
      <c r="AC317" s="114"/>
    </row>
    <row r="318">
      <c r="A318" s="30"/>
      <c r="B318" s="30"/>
      <c r="C318" s="30"/>
      <c r="D318" s="5"/>
      <c r="E318" s="30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114"/>
      <c r="AB318" s="114"/>
      <c r="AC318" s="114"/>
    </row>
    <row r="319">
      <c r="A319" s="30"/>
      <c r="B319" s="30"/>
      <c r="C319" s="30"/>
      <c r="D319" s="5"/>
      <c r="E319" s="30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114"/>
      <c r="AB319" s="114"/>
      <c r="AC319" s="114"/>
    </row>
    <row r="320">
      <c r="A320" s="30"/>
      <c r="B320" s="30"/>
      <c r="C320" s="30"/>
      <c r="D320" s="5"/>
      <c r="E320" s="30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114"/>
      <c r="AB320" s="114"/>
      <c r="AC320" s="114"/>
    </row>
    <row r="321">
      <c r="A321" s="30"/>
      <c r="B321" s="30"/>
      <c r="C321" s="30"/>
      <c r="D321" s="5"/>
      <c r="E321" s="30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114"/>
      <c r="AB321" s="114"/>
      <c r="AC321" s="114"/>
    </row>
    <row r="322">
      <c r="A322" s="30"/>
      <c r="B322" s="30"/>
      <c r="C322" s="30"/>
      <c r="D322" s="5"/>
      <c r="E322" s="30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114"/>
      <c r="AB322" s="114"/>
      <c r="AC322" s="114"/>
    </row>
    <row r="323">
      <c r="A323" s="30"/>
      <c r="B323" s="30"/>
      <c r="C323" s="30"/>
      <c r="D323" s="5"/>
      <c r="E323" s="30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114"/>
      <c r="AB323" s="114"/>
      <c r="AC323" s="114"/>
    </row>
    <row r="324">
      <c r="A324" s="30"/>
      <c r="B324" s="30"/>
      <c r="C324" s="30"/>
      <c r="D324" s="5"/>
      <c r="E324" s="30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114"/>
      <c r="AB324" s="114"/>
      <c r="AC324" s="114"/>
    </row>
    <row r="325">
      <c r="A325" s="30"/>
      <c r="B325" s="30"/>
      <c r="C325" s="30"/>
      <c r="D325" s="5"/>
      <c r="E325" s="30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114"/>
      <c r="AB325" s="114"/>
      <c r="AC325" s="114"/>
    </row>
    <row r="326">
      <c r="A326" s="30"/>
      <c r="B326" s="30"/>
      <c r="C326" s="30"/>
      <c r="D326" s="5"/>
      <c r="E326" s="30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114"/>
      <c r="AB326" s="114"/>
      <c r="AC326" s="114"/>
    </row>
    <row r="327">
      <c r="A327" s="30"/>
      <c r="B327" s="30"/>
      <c r="C327" s="30"/>
      <c r="D327" s="5"/>
      <c r="E327" s="30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114"/>
      <c r="AB327" s="114"/>
      <c r="AC327" s="114"/>
    </row>
    <row r="328">
      <c r="A328" s="30"/>
      <c r="B328" s="30"/>
      <c r="C328" s="30"/>
      <c r="D328" s="5"/>
      <c r="E328" s="30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114"/>
      <c r="AB328" s="114"/>
      <c r="AC328" s="114"/>
    </row>
    <row r="329">
      <c r="A329" s="30"/>
      <c r="B329" s="30"/>
      <c r="C329" s="30"/>
      <c r="D329" s="5"/>
      <c r="E329" s="30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114"/>
      <c r="AB329" s="114"/>
      <c r="AC329" s="114"/>
    </row>
    <row r="330">
      <c r="A330" s="30"/>
      <c r="B330" s="30"/>
      <c r="C330" s="30"/>
      <c r="D330" s="5"/>
      <c r="E330" s="30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114"/>
      <c r="AB330" s="114"/>
      <c r="AC330" s="114"/>
    </row>
    <row r="331">
      <c r="A331" s="30"/>
      <c r="B331" s="30"/>
      <c r="C331" s="30"/>
      <c r="D331" s="5"/>
      <c r="E331" s="30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114"/>
      <c r="AB331" s="114"/>
      <c r="AC331" s="114"/>
    </row>
    <row r="332">
      <c r="A332" s="30"/>
      <c r="B332" s="30"/>
      <c r="C332" s="30"/>
      <c r="D332" s="5"/>
      <c r="E332" s="30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114"/>
      <c r="AB332" s="114"/>
      <c r="AC332" s="114"/>
    </row>
    <row r="333">
      <c r="A333" s="30"/>
      <c r="B333" s="30"/>
      <c r="C333" s="30"/>
      <c r="D333" s="5"/>
      <c r="E333" s="30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114"/>
      <c r="AB333" s="114"/>
      <c r="AC333" s="114"/>
    </row>
    <row r="334">
      <c r="A334" s="30"/>
      <c r="B334" s="30"/>
      <c r="C334" s="30"/>
      <c r="D334" s="5"/>
      <c r="E334" s="30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114"/>
      <c r="AB334" s="114"/>
      <c r="AC334" s="114"/>
    </row>
    <row r="335">
      <c r="A335" s="30"/>
      <c r="B335" s="30"/>
      <c r="C335" s="30"/>
      <c r="D335" s="5"/>
      <c r="E335" s="30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114"/>
      <c r="AB335" s="114"/>
      <c r="AC335" s="114"/>
    </row>
    <row r="336">
      <c r="A336" s="30"/>
      <c r="B336" s="30"/>
      <c r="C336" s="30"/>
      <c r="D336" s="5"/>
      <c r="E336" s="30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114"/>
      <c r="AB336" s="114"/>
      <c r="AC336" s="114"/>
    </row>
    <row r="337">
      <c r="A337" s="30"/>
      <c r="B337" s="30"/>
      <c r="C337" s="30"/>
      <c r="D337" s="5"/>
      <c r="E337" s="30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114"/>
      <c r="AB337" s="114"/>
      <c r="AC337" s="114"/>
    </row>
    <row r="338">
      <c r="A338" s="30"/>
      <c r="B338" s="30"/>
      <c r="C338" s="30"/>
      <c r="D338" s="5"/>
      <c r="E338" s="30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114"/>
      <c r="AB338" s="114"/>
      <c r="AC338" s="114"/>
    </row>
    <row r="339">
      <c r="A339" s="30"/>
      <c r="B339" s="30"/>
      <c r="C339" s="30"/>
      <c r="D339" s="5"/>
      <c r="E339" s="30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114"/>
      <c r="AB339" s="114"/>
      <c r="AC339" s="114"/>
    </row>
    <row r="340">
      <c r="A340" s="30"/>
      <c r="B340" s="30"/>
      <c r="C340" s="30"/>
      <c r="D340" s="5"/>
      <c r="E340" s="30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114"/>
      <c r="AB340" s="114"/>
      <c r="AC340" s="114"/>
    </row>
    <row r="341">
      <c r="A341" s="30"/>
      <c r="B341" s="30"/>
      <c r="C341" s="30"/>
      <c r="D341" s="5"/>
      <c r="E341" s="30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114"/>
      <c r="AB341" s="114"/>
      <c r="AC341" s="114"/>
    </row>
    <row r="342">
      <c r="A342" s="30"/>
      <c r="B342" s="30"/>
      <c r="C342" s="30"/>
      <c r="D342" s="5"/>
      <c r="E342" s="30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114"/>
      <c r="AB342" s="114"/>
      <c r="AC342" s="114"/>
    </row>
    <row r="343">
      <c r="A343" s="30"/>
      <c r="B343" s="30"/>
      <c r="C343" s="30"/>
      <c r="D343" s="5"/>
      <c r="E343" s="30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114"/>
      <c r="AB343" s="114"/>
      <c r="AC343" s="114"/>
    </row>
    <row r="344">
      <c r="A344" s="30"/>
      <c r="B344" s="30"/>
      <c r="C344" s="30"/>
      <c r="D344" s="5"/>
      <c r="E344" s="30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114"/>
      <c r="AB344" s="114"/>
      <c r="AC344" s="114"/>
    </row>
    <row r="345">
      <c r="A345" s="30"/>
      <c r="B345" s="30"/>
      <c r="C345" s="30"/>
      <c r="D345" s="5"/>
      <c r="E345" s="30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114"/>
      <c r="AB345" s="114"/>
      <c r="AC345" s="114"/>
    </row>
    <row r="346">
      <c r="A346" s="30"/>
      <c r="B346" s="30"/>
      <c r="C346" s="30"/>
      <c r="D346" s="5"/>
      <c r="E346" s="30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114"/>
      <c r="AB346" s="114"/>
      <c r="AC346" s="114"/>
    </row>
    <row r="347">
      <c r="A347" s="30"/>
      <c r="B347" s="30"/>
      <c r="C347" s="30"/>
      <c r="D347" s="5"/>
      <c r="E347" s="30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114"/>
      <c r="AB347" s="114"/>
      <c r="AC347" s="114"/>
    </row>
    <row r="348">
      <c r="A348" s="30"/>
      <c r="B348" s="30"/>
      <c r="C348" s="30"/>
      <c r="D348" s="5"/>
      <c r="E348" s="30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114"/>
      <c r="AB348" s="114"/>
      <c r="AC348" s="114"/>
    </row>
    <row r="349">
      <c r="A349" s="30"/>
      <c r="B349" s="30"/>
      <c r="C349" s="30"/>
      <c r="D349" s="5"/>
      <c r="E349" s="30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114"/>
      <c r="AB349" s="114"/>
      <c r="AC349" s="114"/>
    </row>
    <row r="350">
      <c r="A350" s="30"/>
      <c r="B350" s="30"/>
      <c r="C350" s="30"/>
      <c r="D350" s="5"/>
      <c r="E350" s="30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114"/>
      <c r="AB350" s="114"/>
      <c r="AC350" s="114"/>
    </row>
    <row r="351">
      <c r="A351" s="30"/>
      <c r="B351" s="30"/>
      <c r="C351" s="30"/>
      <c r="D351" s="5"/>
      <c r="E351" s="30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114"/>
      <c r="AB351" s="114"/>
      <c r="AC351" s="114"/>
    </row>
    <row r="352">
      <c r="A352" s="30"/>
      <c r="B352" s="30"/>
      <c r="C352" s="30"/>
      <c r="D352" s="5"/>
      <c r="E352" s="30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114"/>
      <c r="AB352" s="114"/>
      <c r="AC352" s="114"/>
    </row>
    <row r="353">
      <c r="A353" s="30"/>
      <c r="B353" s="30"/>
      <c r="C353" s="30"/>
      <c r="D353" s="5"/>
      <c r="E353" s="30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114"/>
      <c r="AB353" s="114"/>
      <c r="AC353" s="114"/>
    </row>
    <row r="354">
      <c r="A354" s="30"/>
      <c r="B354" s="30"/>
      <c r="C354" s="30"/>
      <c r="D354" s="5"/>
      <c r="E354" s="30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114"/>
      <c r="AB354" s="114"/>
      <c r="AC354" s="114"/>
    </row>
    <row r="355">
      <c r="A355" s="30"/>
      <c r="B355" s="30"/>
      <c r="C355" s="30"/>
      <c r="D355" s="5"/>
      <c r="E355" s="30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114"/>
      <c r="AB355" s="114"/>
      <c r="AC355" s="114"/>
    </row>
    <row r="356">
      <c r="A356" s="30"/>
      <c r="B356" s="30"/>
      <c r="C356" s="30"/>
      <c r="D356" s="5"/>
      <c r="E356" s="30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114"/>
      <c r="AB356" s="114"/>
      <c r="AC356" s="114"/>
    </row>
    <row r="357">
      <c r="A357" s="30"/>
      <c r="B357" s="30"/>
      <c r="C357" s="30"/>
      <c r="D357" s="5"/>
      <c r="E357" s="30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114"/>
      <c r="AB357" s="114"/>
      <c r="AC357" s="114"/>
    </row>
    <row r="358">
      <c r="A358" s="30"/>
      <c r="B358" s="30"/>
      <c r="C358" s="30"/>
      <c r="D358" s="5"/>
      <c r="E358" s="30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114"/>
      <c r="AB358" s="114"/>
      <c r="AC358" s="114"/>
    </row>
    <row r="359">
      <c r="A359" s="30"/>
      <c r="B359" s="30"/>
      <c r="C359" s="30"/>
      <c r="D359" s="5"/>
      <c r="E359" s="30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114"/>
      <c r="AB359" s="114"/>
      <c r="AC359" s="114"/>
    </row>
    <row r="360">
      <c r="A360" s="30"/>
      <c r="B360" s="30"/>
      <c r="C360" s="30"/>
      <c r="D360" s="5"/>
      <c r="E360" s="30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114"/>
      <c r="AB360" s="114"/>
      <c r="AC360" s="114"/>
    </row>
    <row r="361">
      <c r="A361" s="30"/>
      <c r="B361" s="30"/>
      <c r="C361" s="30"/>
      <c r="D361" s="5"/>
      <c r="E361" s="30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114"/>
      <c r="AB361" s="114"/>
      <c r="AC361" s="114"/>
    </row>
    <row r="362">
      <c r="A362" s="30"/>
      <c r="B362" s="30"/>
      <c r="C362" s="30"/>
      <c r="D362" s="5"/>
      <c r="E362" s="30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114"/>
      <c r="AB362" s="114"/>
      <c r="AC362" s="114"/>
    </row>
    <row r="363">
      <c r="A363" s="30"/>
      <c r="B363" s="30"/>
      <c r="C363" s="30"/>
      <c r="D363" s="5"/>
      <c r="E363" s="30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114"/>
      <c r="AB363" s="114"/>
      <c r="AC363" s="114"/>
    </row>
    <row r="364">
      <c r="A364" s="30"/>
      <c r="B364" s="30"/>
      <c r="C364" s="30"/>
      <c r="D364" s="5"/>
      <c r="E364" s="30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114"/>
      <c r="AB364" s="114"/>
      <c r="AC364" s="114"/>
    </row>
    <row r="365">
      <c r="A365" s="30"/>
      <c r="B365" s="30"/>
      <c r="C365" s="30"/>
      <c r="D365" s="5"/>
      <c r="E365" s="30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114"/>
      <c r="AB365" s="114"/>
      <c r="AC365" s="114"/>
    </row>
    <row r="366">
      <c r="A366" s="30"/>
      <c r="B366" s="30"/>
      <c r="C366" s="30"/>
      <c r="D366" s="5"/>
      <c r="E366" s="30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114"/>
      <c r="AB366" s="114"/>
      <c r="AC366" s="114"/>
    </row>
    <row r="367">
      <c r="A367" s="30"/>
      <c r="B367" s="30"/>
      <c r="C367" s="30"/>
      <c r="D367" s="5"/>
      <c r="E367" s="30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114"/>
      <c r="AB367" s="114"/>
      <c r="AC367" s="114"/>
    </row>
    <row r="368">
      <c r="A368" s="30"/>
      <c r="B368" s="30"/>
      <c r="C368" s="30"/>
      <c r="D368" s="5"/>
      <c r="E368" s="30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114"/>
      <c r="AB368" s="114"/>
      <c r="AC368" s="114"/>
    </row>
    <row r="369">
      <c r="A369" s="30"/>
      <c r="B369" s="30"/>
      <c r="C369" s="30"/>
      <c r="D369" s="5"/>
      <c r="E369" s="30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114"/>
      <c r="AB369" s="114"/>
      <c r="AC369" s="114"/>
    </row>
    <row r="370">
      <c r="A370" s="30"/>
      <c r="B370" s="30"/>
      <c r="C370" s="30"/>
      <c r="D370" s="5"/>
      <c r="E370" s="30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114"/>
      <c r="AB370" s="114"/>
      <c r="AC370" s="114"/>
    </row>
    <row r="371">
      <c r="A371" s="30"/>
      <c r="B371" s="30"/>
      <c r="C371" s="30"/>
      <c r="D371" s="5"/>
      <c r="E371" s="30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114"/>
      <c r="AB371" s="114"/>
      <c r="AC371" s="114"/>
    </row>
    <row r="372">
      <c r="A372" s="30"/>
      <c r="B372" s="30"/>
      <c r="C372" s="30"/>
      <c r="D372" s="5"/>
      <c r="E372" s="30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114"/>
      <c r="AB372" s="114"/>
      <c r="AC372" s="114"/>
    </row>
    <row r="373">
      <c r="A373" s="30"/>
      <c r="B373" s="30"/>
      <c r="C373" s="30"/>
      <c r="D373" s="5"/>
      <c r="E373" s="30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114"/>
      <c r="AB373" s="114"/>
      <c r="AC373" s="114"/>
    </row>
    <row r="374">
      <c r="A374" s="30"/>
      <c r="B374" s="30"/>
      <c r="C374" s="30"/>
      <c r="D374" s="5"/>
      <c r="E374" s="30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114"/>
      <c r="AB374" s="114"/>
      <c r="AC374" s="114"/>
    </row>
    <row r="375">
      <c r="A375" s="30"/>
      <c r="B375" s="30"/>
      <c r="C375" s="30"/>
      <c r="D375" s="5"/>
      <c r="E375" s="30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114"/>
      <c r="AB375" s="114"/>
      <c r="AC375" s="114"/>
    </row>
    <row r="376">
      <c r="A376" s="30"/>
      <c r="B376" s="30"/>
      <c r="C376" s="30"/>
      <c r="D376" s="5"/>
      <c r="E376" s="30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114"/>
      <c r="AB376" s="114"/>
      <c r="AC376" s="114"/>
    </row>
    <row r="377">
      <c r="A377" s="30"/>
      <c r="B377" s="30"/>
      <c r="C377" s="30"/>
      <c r="D377" s="5"/>
      <c r="E377" s="30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114"/>
      <c r="AB377" s="114"/>
      <c r="AC377" s="114"/>
    </row>
    <row r="378">
      <c r="A378" s="30"/>
      <c r="B378" s="30"/>
      <c r="C378" s="30"/>
      <c r="D378" s="5"/>
      <c r="E378" s="30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114"/>
      <c r="AB378" s="114"/>
      <c r="AC378" s="114"/>
    </row>
    <row r="379">
      <c r="A379" s="30"/>
      <c r="B379" s="30"/>
      <c r="C379" s="30"/>
      <c r="D379" s="5"/>
      <c r="E379" s="30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114"/>
      <c r="AB379" s="114"/>
      <c r="AC379" s="114"/>
    </row>
    <row r="380">
      <c r="A380" s="30"/>
      <c r="B380" s="30"/>
      <c r="C380" s="30"/>
      <c r="D380" s="5"/>
      <c r="E380" s="30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114"/>
      <c r="AB380" s="114"/>
      <c r="AC380" s="114"/>
    </row>
    <row r="381">
      <c r="A381" s="30"/>
      <c r="B381" s="30"/>
      <c r="C381" s="30"/>
      <c r="D381" s="5"/>
      <c r="E381" s="30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114"/>
      <c r="AB381" s="114"/>
      <c r="AC381" s="114"/>
    </row>
    <row r="382">
      <c r="A382" s="30"/>
      <c r="B382" s="30"/>
      <c r="C382" s="30"/>
      <c r="D382" s="5"/>
      <c r="E382" s="30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114"/>
      <c r="AB382" s="114"/>
      <c r="AC382" s="114"/>
    </row>
    <row r="383">
      <c r="A383" s="30"/>
      <c r="B383" s="30"/>
      <c r="C383" s="30"/>
      <c r="D383" s="5"/>
      <c r="E383" s="30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114"/>
      <c r="AB383" s="114"/>
      <c r="AC383" s="114"/>
    </row>
    <row r="384">
      <c r="A384" s="30"/>
      <c r="B384" s="30"/>
      <c r="C384" s="30"/>
      <c r="D384" s="5"/>
      <c r="E384" s="30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114"/>
      <c r="AB384" s="114"/>
      <c r="AC384" s="114"/>
    </row>
    <row r="385">
      <c r="A385" s="30"/>
      <c r="B385" s="30"/>
      <c r="C385" s="30"/>
      <c r="D385" s="5"/>
      <c r="E385" s="30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114"/>
      <c r="AB385" s="114"/>
      <c r="AC385" s="114"/>
    </row>
    <row r="386">
      <c r="A386" s="30"/>
      <c r="B386" s="30"/>
      <c r="C386" s="30"/>
      <c r="D386" s="5"/>
      <c r="E386" s="30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114"/>
      <c r="AB386" s="114"/>
      <c r="AC386" s="114"/>
    </row>
    <row r="387">
      <c r="A387" s="30"/>
      <c r="B387" s="30"/>
      <c r="C387" s="30"/>
      <c r="D387" s="5"/>
      <c r="E387" s="30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114"/>
      <c r="AB387" s="114"/>
      <c r="AC387" s="114"/>
    </row>
    <row r="388">
      <c r="A388" s="30"/>
      <c r="B388" s="30"/>
      <c r="C388" s="30"/>
      <c r="D388" s="5"/>
      <c r="E388" s="30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114"/>
      <c r="AB388" s="114"/>
      <c r="AC388" s="114"/>
    </row>
    <row r="389">
      <c r="A389" s="30"/>
      <c r="B389" s="30"/>
      <c r="C389" s="30"/>
      <c r="D389" s="5"/>
      <c r="E389" s="30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114"/>
      <c r="AB389" s="114"/>
      <c r="AC389" s="114"/>
    </row>
    <row r="390">
      <c r="A390" s="30"/>
      <c r="B390" s="30"/>
      <c r="C390" s="30"/>
      <c r="D390" s="5"/>
      <c r="E390" s="30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114"/>
      <c r="AB390" s="114"/>
      <c r="AC390" s="114"/>
    </row>
    <row r="391">
      <c r="A391" s="30"/>
      <c r="B391" s="30"/>
      <c r="C391" s="30"/>
      <c r="D391" s="5"/>
      <c r="E391" s="30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114"/>
      <c r="AB391" s="114"/>
      <c r="AC391" s="114"/>
    </row>
    <row r="392">
      <c r="A392" s="30"/>
      <c r="B392" s="30"/>
      <c r="C392" s="30"/>
      <c r="D392" s="5"/>
      <c r="E392" s="30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114"/>
      <c r="AB392" s="114"/>
      <c r="AC392" s="114"/>
    </row>
    <row r="393">
      <c r="A393" s="30"/>
      <c r="B393" s="30"/>
      <c r="C393" s="30"/>
      <c r="D393" s="5"/>
      <c r="E393" s="30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114"/>
      <c r="AB393" s="114"/>
      <c r="AC393" s="114"/>
    </row>
    <row r="394">
      <c r="A394" s="30"/>
      <c r="B394" s="30"/>
      <c r="C394" s="30"/>
      <c r="D394" s="5"/>
      <c r="E394" s="30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114"/>
      <c r="AB394" s="114"/>
      <c r="AC394" s="114"/>
    </row>
    <row r="395">
      <c r="A395" s="30"/>
      <c r="B395" s="30"/>
      <c r="C395" s="30"/>
      <c r="D395" s="5"/>
      <c r="E395" s="30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114"/>
      <c r="AB395" s="114"/>
      <c r="AC395" s="114"/>
    </row>
    <row r="396">
      <c r="A396" s="30"/>
      <c r="B396" s="30"/>
      <c r="C396" s="30"/>
      <c r="D396" s="5"/>
      <c r="E396" s="30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114"/>
      <c r="AB396" s="114"/>
      <c r="AC396" s="114"/>
    </row>
    <row r="397">
      <c r="A397" s="30"/>
      <c r="B397" s="30"/>
      <c r="C397" s="30"/>
      <c r="D397" s="5"/>
      <c r="E397" s="30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114"/>
      <c r="AB397" s="114"/>
      <c r="AC397" s="114"/>
    </row>
    <row r="398">
      <c r="A398" s="30"/>
      <c r="B398" s="30"/>
      <c r="C398" s="30"/>
      <c r="D398" s="5"/>
      <c r="E398" s="30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114"/>
      <c r="AB398" s="114"/>
      <c r="AC398" s="114"/>
    </row>
    <row r="399">
      <c r="A399" s="30"/>
      <c r="B399" s="30"/>
      <c r="C399" s="30"/>
      <c r="D399" s="5"/>
      <c r="E399" s="30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114"/>
      <c r="AB399" s="114"/>
      <c r="AC399" s="114"/>
    </row>
    <row r="400">
      <c r="A400" s="30"/>
      <c r="B400" s="30"/>
      <c r="C400" s="30"/>
      <c r="D400" s="5"/>
      <c r="E400" s="30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114"/>
      <c r="AB400" s="114"/>
      <c r="AC400" s="114"/>
    </row>
    <row r="401">
      <c r="A401" s="30"/>
      <c r="B401" s="30"/>
      <c r="C401" s="30"/>
      <c r="D401" s="5"/>
      <c r="E401" s="30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114"/>
      <c r="AB401" s="114"/>
      <c r="AC401" s="114"/>
    </row>
    <row r="402">
      <c r="A402" s="30"/>
      <c r="B402" s="30"/>
      <c r="C402" s="30"/>
      <c r="D402" s="5"/>
      <c r="E402" s="30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114"/>
      <c r="AB402" s="114"/>
      <c r="AC402" s="114"/>
    </row>
    <row r="403">
      <c r="A403" s="30"/>
      <c r="B403" s="30"/>
      <c r="C403" s="30"/>
      <c r="D403" s="5"/>
      <c r="E403" s="30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114"/>
      <c r="AB403" s="114"/>
      <c r="AC403" s="114"/>
    </row>
    <row r="404">
      <c r="A404" s="30"/>
      <c r="B404" s="30"/>
      <c r="C404" s="30"/>
      <c r="D404" s="5"/>
      <c r="E404" s="30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114"/>
      <c r="AB404" s="114"/>
      <c r="AC404" s="114"/>
    </row>
    <row r="405">
      <c r="A405" s="30"/>
      <c r="B405" s="30"/>
      <c r="C405" s="30"/>
      <c r="D405" s="5"/>
      <c r="E405" s="30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114"/>
      <c r="AB405" s="114"/>
      <c r="AC405" s="114"/>
    </row>
    <row r="406">
      <c r="A406" s="30"/>
      <c r="B406" s="30"/>
      <c r="C406" s="30"/>
      <c r="D406" s="5"/>
      <c r="E406" s="30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114"/>
      <c r="AB406" s="114"/>
      <c r="AC406" s="114"/>
    </row>
    <row r="407">
      <c r="A407" s="30"/>
      <c r="B407" s="30"/>
      <c r="C407" s="30"/>
      <c r="D407" s="5"/>
      <c r="E407" s="30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114"/>
      <c r="AB407" s="114"/>
      <c r="AC407" s="114"/>
    </row>
    <row r="408">
      <c r="A408" s="30"/>
      <c r="B408" s="30"/>
      <c r="C408" s="30"/>
      <c r="D408" s="5"/>
      <c r="E408" s="30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114"/>
      <c r="AB408" s="114"/>
      <c r="AC408" s="114"/>
    </row>
    <row r="409">
      <c r="A409" s="30"/>
      <c r="B409" s="30"/>
      <c r="C409" s="30"/>
      <c r="D409" s="5"/>
      <c r="E409" s="30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114"/>
      <c r="AB409" s="114"/>
      <c r="AC409" s="114"/>
    </row>
    <row r="410">
      <c r="A410" s="30"/>
      <c r="B410" s="30"/>
      <c r="C410" s="30"/>
      <c r="D410" s="5"/>
      <c r="E410" s="30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114"/>
      <c r="AB410" s="114"/>
      <c r="AC410" s="114"/>
    </row>
    <row r="411">
      <c r="A411" s="30"/>
      <c r="B411" s="30"/>
      <c r="C411" s="30"/>
      <c r="D411" s="5"/>
      <c r="E411" s="30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114"/>
      <c r="AB411" s="114"/>
      <c r="AC411" s="114"/>
    </row>
    <row r="412">
      <c r="A412" s="30"/>
      <c r="B412" s="30"/>
      <c r="C412" s="30"/>
      <c r="D412" s="5"/>
      <c r="E412" s="30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114"/>
      <c r="AB412" s="114"/>
      <c r="AC412" s="114"/>
    </row>
    <row r="413">
      <c r="A413" s="30"/>
      <c r="B413" s="30"/>
      <c r="C413" s="30"/>
      <c r="D413" s="5"/>
      <c r="E413" s="30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114"/>
      <c r="AB413" s="114"/>
      <c r="AC413" s="114"/>
    </row>
    <row r="414">
      <c r="A414" s="30"/>
      <c r="B414" s="30"/>
      <c r="C414" s="30"/>
      <c r="D414" s="5"/>
      <c r="E414" s="30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114"/>
      <c r="AB414" s="114"/>
      <c r="AC414" s="114"/>
    </row>
    <row r="415">
      <c r="A415" s="30"/>
      <c r="B415" s="30"/>
      <c r="C415" s="30"/>
      <c r="D415" s="5"/>
      <c r="E415" s="30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114"/>
      <c r="AB415" s="114"/>
      <c r="AC415" s="114"/>
    </row>
    <row r="416">
      <c r="A416" s="30"/>
      <c r="B416" s="30"/>
      <c r="C416" s="30"/>
      <c r="D416" s="5"/>
      <c r="E416" s="30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114"/>
      <c r="AB416" s="114"/>
      <c r="AC416" s="114"/>
    </row>
    <row r="417">
      <c r="A417" s="30"/>
      <c r="B417" s="30"/>
      <c r="C417" s="30"/>
      <c r="D417" s="5"/>
      <c r="E417" s="30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114"/>
      <c r="AB417" s="114"/>
      <c r="AC417" s="114"/>
    </row>
    <row r="418">
      <c r="A418" s="30"/>
      <c r="B418" s="30"/>
      <c r="C418" s="30"/>
      <c r="D418" s="5"/>
      <c r="E418" s="30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114"/>
      <c r="AB418" s="114"/>
      <c r="AC418" s="114"/>
    </row>
    <row r="419">
      <c r="A419" s="30"/>
      <c r="B419" s="30"/>
      <c r="C419" s="30"/>
      <c r="D419" s="5"/>
      <c r="E419" s="30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114"/>
      <c r="AB419" s="114"/>
      <c r="AC419" s="114"/>
    </row>
    <row r="420">
      <c r="A420" s="30"/>
      <c r="B420" s="30"/>
      <c r="C420" s="30"/>
      <c r="D420" s="5"/>
      <c r="E420" s="30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114"/>
      <c r="AB420" s="114"/>
      <c r="AC420" s="114"/>
    </row>
    <row r="421">
      <c r="A421" s="30"/>
      <c r="B421" s="30"/>
      <c r="C421" s="30"/>
      <c r="D421" s="5"/>
      <c r="E421" s="30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114"/>
      <c r="AB421" s="114"/>
      <c r="AC421" s="114"/>
    </row>
    <row r="422">
      <c r="A422" s="30"/>
      <c r="B422" s="30"/>
      <c r="C422" s="30"/>
      <c r="D422" s="5"/>
      <c r="E422" s="30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114"/>
      <c r="AB422" s="114"/>
      <c r="AC422" s="114"/>
    </row>
    <row r="423">
      <c r="A423" s="30"/>
      <c r="B423" s="30"/>
      <c r="C423" s="30"/>
      <c r="D423" s="5"/>
      <c r="E423" s="30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114"/>
      <c r="AB423" s="114"/>
      <c r="AC423" s="114"/>
    </row>
    <row r="424">
      <c r="A424" s="30"/>
      <c r="B424" s="30"/>
      <c r="C424" s="30"/>
      <c r="D424" s="5"/>
      <c r="E424" s="30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114"/>
      <c r="AB424" s="114"/>
      <c r="AC424" s="114"/>
    </row>
    <row r="425">
      <c r="A425" s="30"/>
      <c r="B425" s="30"/>
      <c r="C425" s="30"/>
      <c r="D425" s="5"/>
      <c r="E425" s="30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114"/>
      <c r="AB425" s="114"/>
      <c r="AC425" s="114"/>
    </row>
    <row r="426">
      <c r="A426" s="30"/>
      <c r="B426" s="30"/>
      <c r="C426" s="30"/>
      <c r="D426" s="5"/>
      <c r="E426" s="30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114"/>
      <c r="AB426" s="114"/>
      <c r="AC426" s="114"/>
    </row>
    <row r="427">
      <c r="A427" s="30"/>
      <c r="B427" s="30"/>
      <c r="C427" s="30"/>
      <c r="D427" s="5"/>
      <c r="E427" s="30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114"/>
      <c r="AB427" s="114"/>
      <c r="AC427" s="114"/>
    </row>
    <row r="428">
      <c r="A428" s="30"/>
      <c r="B428" s="30"/>
      <c r="C428" s="30"/>
      <c r="D428" s="5"/>
      <c r="E428" s="30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114"/>
      <c r="AB428" s="114"/>
      <c r="AC428" s="114"/>
    </row>
    <row r="429">
      <c r="A429" s="30"/>
      <c r="B429" s="30"/>
      <c r="C429" s="30"/>
      <c r="D429" s="5"/>
      <c r="E429" s="30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114"/>
      <c r="AB429" s="114"/>
      <c r="AC429" s="114"/>
    </row>
    <row r="430">
      <c r="A430" s="30"/>
      <c r="B430" s="30"/>
      <c r="C430" s="30"/>
      <c r="D430" s="5"/>
      <c r="E430" s="30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114"/>
      <c r="AB430" s="114"/>
      <c r="AC430" s="114"/>
    </row>
    <row r="431">
      <c r="A431" s="30"/>
      <c r="B431" s="30"/>
      <c r="C431" s="30"/>
      <c r="D431" s="5"/>
      <c r="E431" s="30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114"/>
      <c r="AB431" s="114"/>
      <c r="AC431" s="114"/>
    </row>
    <row r="432">
      <c r="A432" s="30"/>
      <c r="B432" s="30"/>
      <c r="C432" s="30"/>
      <c r="D432" s="5"/>
      <c r="E432" s="30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114"/>
      <c r="AB432" s="114"/>
      <c r="AC432" s="114"/>
    </row>
    <row r="433">
      <c r="A433" s="30"/>
      <c r="B433" s="30"/>
      <c r="C433" s="30"/>
      <c r="D433" s="5"/>
      <c r="E433" s="30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114"/>
      <c r="AB433" s="114"/>
      <c r="AC433" s="114"/>
    </row>
    <row r="434">
      <c r="A434" s="30"/>
      <c r="B434" s="30"/>
      <c r="C434" s="30"/>
      <c r="D434" s="5"/>
      <c r="E434" s="30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114"/>
      <c r="AB434" s="114"/>
      <c r="AC434" s="114"/>
    </row>
    <row r="435">
      <c r="A435" s="30"/>
      <c r="B435" s="30"/>
      <c r="C435" s="30"/>
      <c r="D435" s="5"/>
      <c r="E435" s="30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114"/>
      <c r="AB435" s="114"/>
      <c r="AC435" s="114"/>
    </row>
    <row r="436">
      <c r="A436" s="30"/>
      <c r="B436" s="30"/>
      <c r="C436" s="30"/>
      <c r="D436" s="5"/>
      <c r="E436" s="30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114"/>
      <c r="AB436" s="114"/>
      <c r="AC436" s="114"/>
    </row>
    <row r="437">
      <c r="A437" s="30"/>
      <c r="B437" s="30"/>
      <c r="C437" s="30"/>
      <c r="D437" s="5"/>
      <c r="E437" s="30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114"/>
      <c r="AB437" s="114"/>
      <c r="AC437" s="114"/>
    </row>
    <row r="438">
      <c r="A438" s="30"/>
      <c r="B438" s="30"/>
      <c r="C438" s="30"/>
      <c r="D438" s="5"/>
      <c r="E438" s="30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114"/>
      <c r="AB438" s="114"/>
      <c r="AC438" s="114"/>
    </row>
    <row r="439">
      <c r="A439" s="30"/>
      <c r="B439" s="30"/>
      <c r="C439" s="30"/>
      <c r="D439" s="5"/>
      <c r="E439" s="30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114"/>
      <c r="AB439" s="114"/>
      <c r="AC439" s="114"/>
    </row>
    <row r="440">
      <c r="A440" s="30"/>
      <c r="B440" s="30"/>
      <c r="C440" s="30"/>
      <c r="D440" s="5"/>
      <c r="E440" s="30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114"/>
      <c r="AB440" s="114"/>
      <c r="AC440" s="114"/>
    </row>
    <row r="441">
      <c r="A441" s="30"/>
      <c r="B441" s="30"/>
      <c r="C441" s="30"/>
      <c r="D441" s="5"/>
      <c r="E441" s="30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114"/>
      <c r="AB441" s="114"/>
      <c r="AC441" s="114"/>
    </row>
    <row r="442">
      <c r="A442" s="30"/>
      <c r="B442" s="30"/>
      <c r="C442" s="30"/>
      <c r="D442" s="5"/>
      <c r="E442" s="30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114"/>
      <c r="AB442" s="114"/>
      <c r="AC442" s="114"/>
    </row>
    <row r="443">
      <c r="A443" s="30"/>
      <c r="B443" s="30"/>
      <c r="C443" s="30"/>
      <c r="D443" s="5"/>
      <c r="E443" s="30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114"/>
      <c r="AB443" s="114"/>
      <c r="AC443" s="114"/>
    </row>
    <row r="444">
      <c r="A444" s="30"/>
      <c r="B444" s="30"/>
      <c r="C444" s="30"/>
      <c r="D444" s="5"/>
      <c r="E444" s="30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114"/>
      <c r="AB444" s="114"/>
      <c r="AC444" s="114"/>
    </row>
    <row r="445">
      <c r="A445" s="30"/>
      <c r="B445" s="30"/>
      <c r="C445" s="30"/>
      <c r="D445" s="5"/>
      <c r="E445" s="30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114"/>
      <c r="AB445" s="114"/>
      <c r="AC445" s="114"/>
    </row>
    <row r="446">
      <c r="A446" s="30"/>
      <c r="B446" s="30"/>
      <c r="C446" s="30"/>
      <c r="D446" s="5"/>
      <c r="E446" s="30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114"/>
      <c r="AB446" s="114"/>
      <c r="AC446" s="114"/>
    </row>
    <row r="447">
      <c r="A447" s="30"/>
      <c r="B447" s="30"/>
      <c r="C447" s="30"/>
      <c r="D447" s="5"/>
      <c r="E447" s="30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114"/>
      <c r="AB447" s="114"/>
      <c r="AC447" s="114"/>
    </row>
    <row r="448">
      <c r="A448" s="30"/>
      <c r="B448" s="30"/>
      <c r="C448" s="30"/>
      <c r="D448" s="5"/>
      <c r="E448" s="30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114"/>
      <c r="AB448" s="114"/>
      <c r="AC448" s="114"/>
    </row>
    <row r="449">
      <c r="A449" s="30"/>
      <c r="B449" s="30"/>
      <c r="C449" s="30"/>
      <c r="D449" s="5"/>
      <c r="E449" s="30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114"/>
      <c r="AB449" s="114"/>
      <c r="AC449" s="114"/>
    </row>
    <row r="450">
      <c r="A450" s="30"/>
      <c r="B450" s="30"/>
      <c r="C450" s="30"/>
      <c r="D450" s="5"/>
      <c r="E450" s="30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114"/>
      <c r="AB450" s="114"/>
      <c r="AC450" s="114"/>
    </row>
    <row r="451">
      <c r="A451" s="30"/>
      <c r="B451" s="30"/>
      <c r="C451" s="30"/>
      <c r="D451" s="5"/>
      <c r="E451" s="30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114"/>
      <c r="AB451" s="114"/>
      <c r="AC451" s="114"/>
    </row>
    <row r="452">
      <c r="A452" s="30"/>
      <c r="B452" s="30"/>
      <c r="C452" s="30"/>
      <c r="D452" s="5"/>
      <c r="E452" s="30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114"/>
      <c r="AB452" s="114"/>
      <c r="AC452" s="114"/>
    </row>
    <row r="453">
      <c r="A453" s="30"/>
      <c r="B453" s="30"/>
      <c r="C453" s="30"/>
      <c r="D453" s="5"/>
      <c r="E453" s="30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114"/>
      <c r="AB453" s="114"/>
      <c r="AC453" s="114"/>
    </row>
    <row r="454">
      <c r="A454" s="30"/>
      <c r="B454" s="30"/>
      <c r="C454" s="30"/>
      <c r="D454" s="5"/>
      <c r="E454" s="30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114"/>
      <c r="AB454" s="114"/>
      <c r="AC454" s="114"/>
    </row>
    <row r="455">
      <c r="A455" s="30"/>
      <c r="B455" s="30"/>
      <c r="C455" s="30"/>
      <c r="D455" s="5"/>
      <c r="E455" s="30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114"/>
      <c r="AB455" s="114"/>
      <c r="AC455" s="114"/>
    </row>
    <row r="456">
      <c r="A456" s="30"/>
      <c r="B456" s="30"/>
      <c r="C456" s="30"/>
      <c r="D456" s="5"/>
      <c r="E456" s="30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114"/>
      <c r="AB456" s="114"/>
      <c r="AC456" s="114"/>
    </row>
    <row r="457">
      <c r="A457" s="30"/>
      <c r="B457" s="30"/>
      <c r="C457" s="30"/>
      <c r="D457" s="5"/>
      <c r="E457" s="30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114"/>
      <c r="AB457" s="114"/>
      <c r="AC457" s="114"/>
    </row>
    <row r="458">
      <c r="A458" s="30"/>
      <c r="B458" s="30"/>
      <c r="C458" s="30"/>
      <c r="D458" s="5"/>
      <c r="E458" s="30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114"/>
      <c r="AB458" s="114"/>
      <c r="AC458" s="114"/>
    </row>
    <row r="459">
      <c r="A459" s="30"/>
      <c r="B459" s="30"/>
      <c r="C459" s="30"/>
      <c r="D459" s="5"/>
      <c r="E459" s="30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114"/>
      <c r="AB459" s="114"/>
      <c r="AC459" s="114"/>
    </row>
    <row r="460">
      <c r="A460" s="30"/>
      <c r="B460" s="30"/>
      <c r="C460" s="30"/>
      <c r="D460" s="5"/>
      <c r="E460" s="30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114"/>
      <c r="AB460" s="114"/>
      <c r="AC460" s="114"/>
    </row>
    <row r="461">
      <c r="A461" s="30"/>
      <c r="B461" s="30"/>
      <c r="C461" s="30"/>
      <c r="D461" s="5"/>
      <c r="E461" s="30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114"/>
      <c r="AB461" s="114"/>
      <c r="AC461" s="114"/>
    </row>
    <row r="462">
      <c r="A462" s="30"/>
      <c r="B462" s="30"/>
      <c r="C462" s="30"/>
      <c r="D462" s="5"/>
      <c r="E462" s="30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114"/>
      <c r="AB462" s="114"/>
      <c r="AC462" s="114"/>
    </row>
    <row r="463">
      <c r="A463" s="30"/>
      <c r="B463" s="30"/>
      <c r="C463" s="30"/>
      <c r="D463" s="5"/>
      <c r="E463" s="30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114"/>
      <c r="AB463" s="114"/>
      <c r="AC463" s="114"/>
    </row>
    <row r="464">
      <c r="A464" s="30"/>
      <c r="B464" s="30"/>
      <c r="C464" s="30"/>
      <c r="D464" s="5"/>
      <c r="E464" s="30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114"/>
      <c r="AB464" s="114"/>
      <c r="AC464" s="114"/>
    </row>
    <row r="465">
      <c r="A465" s="30"/>
      <c r="B465" s="30"/>
      <c r="C465" s="30"/>
      <c r="D465" s="5"/>
      <c r="E465" s="30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114"/>
      <c r="AB465" s="114"/>
      <c r="AC465" s="114"/>
    </row>
    <row r="466">
      <c r="A466" s="30"/>
      <c r="B466" s="30"/>
      <c r="C466" s="30"/>
      <c r="D466" s="5"/>
      <c r="E466" s="30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114"/>
      <c r="AB466" s="114"/>
      <c r="AC466" s="114"/>
    </row>
    <row r="467">
      <c r="A467" s="30"/>
      <c r="B467" s="30"/>
      <c r="C467" s="30"/>
      <c r="D467" s="5"/>
      <c r="E467" s="30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114"/>
      <c r="AB467" s="114"/>
      <c r="AC467" s="114"/>
    </row>
    <row r="468">
      <c r="A468" s="30"/>
      <c r="B468" s="30"/>
      <c r="C468" s="30"/>
      <c r="D468" s="5"/>
      <c r="E468" s="30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114"/>
      <c r="AB468" s="114"/>
      <c r="AC468" s="114"/>
    </row>
    <row r="469">
      <c r="A469" s="30"/>
      <c r="B469" s="30"/>
      <c r="C469" s="30"/>
      <c r="D469" s="5"/>
      <c r="E469" s="30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114"/>
      <c r="AB469" s="114"/>
      <c r="AC469" s="114"/>
    </row>
    <row r="470">
      <c r="A470" s="30"/>
      <c r="B470" s="30"/>
      <c r="C470" s="30"/>
      <c r="D470" s="5"/>
      <c r="E470" s="30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114"/>
      <c r="AB470" s="114"/>
      <c r="AC470" s="114"/>
    </row>
    <row r="471">
      <c r="A471" s="30"/>
      <c r="B471" s="30"/>
      <c r="C471" s="30"/>
      <c r="D471" s="5"/>
      <c r="E471" s="30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114"/>
      <c r="AB471" s="114"/>
      <c r="AC471" s="114"/>
    </row>
    <row r="472">
      <c r="A472" s="30"/>
      <c r="B472" s="30"/>
      <c r="C472" s="30"/>
      <c r="D472" s="5"/>
      <c r="E472" s="30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114"/>
      <c r="AB472" s="114"/>
      <c r="AC472" s="114"/>
    </row>
    <row r="473">
      <c r="A473" s="30"/>
      <c r="B473" s="30"/>
      <c r="C473" s="30"/>
      <c r="D473" s="5"/>
      <c r="E473" s="30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114"/>
      <c r="AB473" s="114"/>
      <c r="AC473" s="114"/>
    </row>
    <row r="474">
      <c r="A474" s="30"/>
      <c r="B474" s="30"/>
      <c r="C474" s="30"/>
      <c r="D474" s="5"/>
      <c r="E474" s="30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114"/>
      <c r="AB474" s="114"/>
      <c r="AC474" s="114"/>
    </row>
    <row r="475">
      <c r="A475" s="30"/>
      <c r="B475" s="30"/>
      <c r="C475" s="30"/>
      <c r="D475" s="5"/>
      <c r="E475" s="30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114"/>
      <c r="AB475" s="114"/>
      <c r="AC475" s="114"/>
    </row>
    <row r="476">
      <c r="A476" s="30"/>
      <c r="B476" s="30"/>
      <c r="C476" s="30"/>
      <c r="D476" s="5"/>
      <c r="E476" s="30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114"/>
      <c r="AB476" s="114"/>
      <c r="AC476" s="114"/>
    </row>
    <row r="477">
      <c r="A477" s="30"/>
      <c r="B477" s="30"/>
      <c r="C477" s="30"/>
      <c r="D477" s="5"/>
      <c r="E477" s="30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114"/>
      <c r="AB477" s="114"/>
      <c r="AC477" s="114"/>
    </row>
    <row r="478">
      <c r="A478" s="30"/>
      <c r="B478" s="30"/>
      <c r="C478" s="30"/>
      <c r="D478" s="5"/>
      <c r="E478" s="30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114"/>
      <c r="AB478" s="114"/>
      <c r="AC478" s="114"/>
    </row>
    <row r="479">
      <c r="A479" s="30"/>
      <c r="B479" s="30"/>
      <c r="C479" s="30"/>
      <c r="D479" s="5"/>
      <c r="E479" s="30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114"/>
      <c r="AB479" s="114"/>
      <c r="AC479" s="114"/>
    </row>
    <row r="480">
      <c r="A480" s="30"/>
      <c r="B480" s="30"/>
      <c r="C480" s="30"/>
      <c r="D480" s="5"/>
      <c r="E480" s="30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114"/>
      <c r="AB480" s="114"/>
      <c r="AC480" s="114"/>
    </row>
    <row r="481">
      <c r="A481" s="30"/>
      <c r="B481" s="30"/>
      <c r="C481" s="30"/>
      <c r="D481" s="5"/>
      <c r="E481" s="30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114"/>
      <c r="AB481" s="114"/>
      <c r="AC481" s="114"/>
    </row>
    <row r="482">
      <c r="A482" s="30"/>
      <c r="B482" s="30"/>
      <c r="C482" s="30"/>
      <c r="D482" s="5"/>
      <c r="E482" s="30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114"/>
      <c r="AB482" s="114"/>
      <c r="AC482" s="114"/>
    </row>
    <row r="483">
      <c r="A483" s="30"/>
      <c r="B483" s="30"/>
      <c r="C483" s="30"/>
      <c r="D483" s="5"/>
      <c r="E483" s="30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114"/>
      <c r="AB483" s="114"/>
      <c r="AC483" s="114"/>
    </row>
    <row r="484">
      <c r="A484" s="30"/>
      <c r="B484" s="30"/>
      <c r="C484" s="30"/>
      <c r="D484" s="5"/>
      <c r="E484" s="30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114"/>
      <c r="AB484" s="114"/>
      <c r="AC484" s="114"/>
    </row>
    <row r="485">
      <c r="A485" s="30"/>
      <c r="B485" s="30"/>
      <c r="C485" s="30"/>
      <c r="D485" s="5"/>
      <c r="E485" s="30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114"/>
      <c r="AB485" s="114"/>
      <c r="AC485" s="114"/>
    </row>
    <row r="486">
      <c r="A486" s="30"/>
      <c r="B486" s="30"/>
      <c r="C486" s="30"/>
      <c r="D486" s="5"/>
      <c r="E486" s="30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114"/>
      <c r="AB486" s="114"/>
      <c r="AC486" s="114"/>
    </row>
    <row r="487">
      <c r="A487" s="30"/>
      <c r="B487" s="30"/>
      <c r="C487" s="30"/>
      <c r="D487" s="5"/>
      <c r="E487" s="30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114"/>
      <c r="AB487" s="114"/>
      <c r="AC487" s="114"/>
    </row>
    <row r="488">
      <c r="A488" s="5"/>
      <c r="B488" s="5"/>
      <c r="C488" s="5"/>
      <c r="D488" s="5"/>
      <c r="E488" s="30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114"/>
      <c r="AB488" s="114"/>
      <c r="AC488" s="114"/>
    </row>
    <row r="489">
      <c r="A489" s="5"/>
      <c r="B489" s="5"/>
      <c r="C489" s="5"/>
      <c r="D489" s="5"/>
      <c r="E489" s="30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114"/>
      <c r="AB489" s="114"/>
      <c r="AC489" s="114"/>
    </row>
    <row r="490">
      <c r="A490" s="5"/>
      <c r="B490" s="5"/>
      <c r="C490" s="5"/>
      <c r="D490" s="5"/>
      <c r="E490" s="30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114"/>
      <c r="AB490" s="114"/>
      <c r="AC490" s="114"/>
    </row>
    <row r="491">
      <c r="A491" s="5"/>
      <c r="B491" s="5"/>
      <c r="C491" s="5"/>
      <c r="D491" s="5"/>
      <c r="E491" s="30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114"/>
      <c r="AB491" s="114"/>
      <c r="AC491" s="114"/>
    </row>
    <row r="492">
      <c r="A492" s="5"/>
      <c r="B492" s="5"/>
      <c r="C492" s="5"/>
      <c r="D492" s="5"/>
      <c r="E492" s="30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114"/>
      <c r="AB492" s="114"/>
      <c r="AC492" s="114"/>
    </row>
    <row r="493">
      <c r="A493" s="5"/>
      <c r="B493" s="5"/>
      <c r="C493" s="5"/>
      <c r="D493" s="5"/>
      <c r="E493" s="30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114"/>
      <c r="AB493" s="114"/>
      <c r="AC493" s="114"/>
    </row>
    <row r="494">
      <c r="A494" s="5"/>
      <c r="B494" s="5"/>
      <c r="C494" s="5"/>
      <c r="D494" s="5"/>
      <c r="E494" s="30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114"/>
      <c r="AB494" s="114"/>
      <c r="AC494" s="114"/>
    </row>
    <row r="495">
      <c r="A495" s="5"/>
      <c r="B495" s="5"/>
      <c r="C495" s="5"/>
      <c r="D495" s="5"/>
      <c r="E495" s="30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114"/>
      <c r="AB495" s="114"/>
      <c r="AC495" s="114"/>
    </row>
    <row r="496">
      <c r="A496" s="5"/>
      <c r="B496" s="5"/>
      <c r="C496" s="5"/>
      <c r="D496" s="5"/>
      <c r="E496" s="30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114"/>
      <c r="AB496" s="114"/>
      <c r="AC496" s="114"/>
    </row>
    <row r="497">
      <c r="A497" s="5"/>
      <c r="B497" s="5"/>
      <c r="C497" s="5"/>
      <c r="D497" s="5"/>
      <c r="E497" s="30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114"/>
      <c r="AB497" s="114"/>
      <c r="AC497" s="114"/>
    </row>
    <row r="498">
      <c r="A498" s="5"/>
      <c r="B498" s="5"/>
      <c r="C498" s="5"/>
      <c r="D498" s="5"/>
      <c r="E498" s="30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114"/>
      <c r="AB498" s="114"/>
      <c r="AC498" s="114"/>
    </row>
    <row r="499">
      <c r="A499" s="5"/>
      <c r="B499" s="5"/>
      <c r="C499" s="5"/>
      <c r="D499" s="5"/>
      <c r="E499" s="30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114"/>
      <c r="AB499" s="114"/>
      <c r="AC499" s="114"/>
    </row>
    <row r="500">
      <c r="A500" s="5"/>
      <c r="B500" s="5"/>
      <c r="C500" s="5"/>
      <c r="D500" s="5"/>
      <c r="E500" s="30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114"/>
      <c r="AB500" s="114"/>
      <c r="AC500" s="114"/>
    </row>
    <row r="501">
      <c r="A501" s="5"/>
      <c r="B501" s="5"/>
      <c r="C501" s="5"/>
      <c r="D501" s="5"/>
      <c r="E501" s="30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114"/>
      <c r="AB501" s="114"/>
      <c r="AC501" s="114"/>
    </row>
    <row r="502">
      <c r="A502" s="5"/>
      <c r="B502" s="5"/>
      <c r="C502" s="5"/>
      <c r="D502" s="5"/>
      <c r="E502" s="30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114"/>
      <c r="AB502" s="114"/>
      <c r="AC502" s="114"/>
    </row>
    <row r="503">
      <c r="A503" s="5"/>
      <c r="B503" s="5"/>
      <c r="C503" s="5"/>
      <c r="D503" s="5"/>
      <c r="E503" s="30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114"/>
      <c r="AB503" s="114"/>
      <c r="AC503" s="114"/>
    </row>
    <row r="504">
      <c r="A504" s="5"/>
      <c r="B504" s="5"/>
      <c r="C504" s="5"/>
      <c r="D504" s="5"/>
      <c r="E504" s="30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114"/>
      <c r="AB504" s="114"/>
      <c r="AC504" s="114"/>
    </row>
    <row r="505">
      <c r="A505" s="5"/>
      <c r="B505" s="5"/>
      <c r="C505" s="5"/>
      <c r="D505" s="5"/>
      <c r="E505" s="30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114"/>
      <c r="AB505" s="114"/>
      <c r="AC505" s="114"/>
    </row>
    <row r="506">
      <c r="A506" s="5"/>
      <c r="B506" s="5"/>
      <c r="C506" s="5"/>
      <c r="D506" s="5"/>
      <c r="E506" s="30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114"/>
      <c r="AB506" s="114"/>
      <c r="AC506" s="114"/>
    </row>
    <row r="507">
      <c r="A507" s="5"/>
      <c r="B507" s="5"/>
      <c r="C507" s="5"/>
      <c r="D507" s="5"/>
      <c r="E507" s="30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114"/>
      <c r="AB507" s="114"/>
      <c r="AC507" s="114"/>
    </row>
    <row r="508">
      <c r="A508" s="5"/>
      <c r="B508" s="5"/>
      <c r="C508" s="5"/>
      <c r="D508" s="5"/>
      <c r="E508" s="30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114"/>
      <c r="AB508" s="114"/>
      <c r="AC508" s="114"/>
    </row>
    <row r="509">
      <c r="A509" s="5"/>
      <c r="B509" s="5"/>
      <c r="C509" s="5"/>
      <c r="D509" s="5"/>
      <c r="E509" s="30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114"/>
      <c r="AB509" s="114"/>
      <c r="AC509" s="114"/>
    </row>
    <row r="510">
      <c r="A510" s="5"/>
      <c r="B510" s="5"/>
      <c r="C510" s="5"/>
      <c r="D510" s="5"/>
      <c r="E510" s="30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114"/>
      <c r="AB510" s="114"/>
      <c r="AC510" s="114"/>
    </row>
    <row r="511">
      <c r="A511" s="5"/>
      <c r="B511" s="5"/>
      <c r="C511" s="5"/>
      <c r="D511" s="5"/>
      <c r="E511" s="30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114"/>
      <c r="AB511" s="114"/>
      <c r="AC511" s="114"/>
    </row>
    <row r="512">
      <c r="A512" s="5"/>
      <c r="B512" s="5"/>
      <c r="C512" s="5"/>
      <c r="D512" s="5"/>
      <c r="E512" s="30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114"/>
      <c r="AB512" s="114"/>
      <c r="AC512" s="114"/>
    </row>
    <row r="513">
      <c r="A513" s="5"/>
      <c r="B513" s="5"/>
      <c r="C513" s="5"/>
      <c r="D513" s="5"/>
      <c r="E513" s="30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114"/>
      <c r="AB513" s="114"/>
      <c r="AC513" s="114"/>
    </row>
    <row r="514">
      <c r="A514" s="5"/>
      <c r="B514" s="5"/>
      <c r="C514" s="5"/>
      <c r="D514" s="5"/>
      <c r="E514" s="30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114"/>
      <c r="AB514" s="114"/>
      <c r="AC514" s="114"/>
    </row>
    <row r="515">
      <c r="A515" s="5"/>
      <c r="B515" s="5"/>
      <c r="C515" s="5"/>
      <c r="D515" s="5"/>
      <c r="E515" s="30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114"/>
      <c r="AB515" s="114"/>
      <c r="AC515" s="114"/>
    </row>
    <row r="516">
      <c r="A516" s="5"/>
      <c r="B516" s="5"/>
      <c r="C516" s="5"/>
      <c r="D516" s="5"/>
      <c r="E516" s="30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114"/>
      <c r="AB516" s="114"/>
      <c r="AC516" s="114"/>
    </row>
    <row r="517">
      <c r="A517" s="5"/>
      <c r="B517" s="5"/>
      <c r="C517" s="5"/>
      <c r="D517" s="5"/>
      <c r="E517" s="30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114"/>
      <c r="AB517" s="114"/>
      <c r="AC517" s="114"/>
    </row>
    <row r="518">
      <c r="A518" s="5"/>
      <c r="B518" s="5"/>
      <c r="C518" s="5"/>
      <c r="D518" s="5"/>
      <c r="E518" s="30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114"/>
      <c r="AB518" s="114"/>
      <c r="AC518" s="114"/>
    </row>
    <row r="519">
      <c r="A519" s="5"/>
      <c r="B519" s="5"/>
      <c r="C519" s="5"/>
      <c r="D519" s="5"/>
      <c r="E519" s="30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114"/>
      <c r="AB519" s="114"/>
      <c r="AC519" s="114"/>
    </row>
    <row r="520">
      <c r="A520" s="5"/>
      <c r="B520" s="5"/>
      <c r="C520" s="5"/>
      <c r="D520" s="5"/>
      <c r="E520" s="30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114"/>
      <c r="AB520" s="114"/>
      <c r="AC520" s="114"/>
    </row>
    <row r="521">
      <c r="A521" s="5"/>
      <c r="B521" s="5"/>
      <c r="C521" s="5"/>
      <c r="D521" s="5"/>
      <c r="E521" s="30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114"/>
      <c r="AB521" s="114"/>
      <c r="AC521" s="114"/>
    </row>
    <row r="522">
      <c r="A522" s="5"/>
      <c r="B522" s="5"/>
      <c r="C522" s="5"/>
      <c r="D522" s="5"/>
      <c r="E522" s="30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114"/>
      <c r="AB522" s="114"/>
      <c r="AC522" s="114"/>
    </row>
    <row r="523">
      <c r="A523" s="5"/>
      <c r="B523" s="5"/>
      <c r="C523" s="5"/>
      <c r="D523" s="5"/>
      <c r="E523" s="30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114"/>
      <c r="AB523" s="114"/>
      <c r="AC523" s="114"/>
    </row>
    <row r="524">
      <c r="A524" s="5"/>
      <c r="B524" s="5"/>
      <c r="C524" s="5"/>
      <c r="D524" s="5"/>
      <c r="E524" s="30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114"/>
      <c r="AB524" s="114"/>
      <c r="AC524" s="114"/>
    </row>
    <row r="525">
      <c r="A525" s="5"/>
      <c r="B525" s="5"/>
      <c r="C525" s="5"/>
      <c r="D525" s="5"/>
      <c r="E525" s="30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114"/>
      <c r="AB525" s="114"/>
      <c r="AC525" s="114"/>
    </row>
    <row r="526">
      <c r="A526" s="5"/>
      <c r="B526" s="5"/>
      <c r="C526" s="5"/>
      <c r="D526" s="5"/>
      <c r="E526" s="30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114"/>
      <c r="AB526" s="114"/>
      <c r="AC526" s="114"/>
    </row>
    <row r="527">
      <c r="A527" s="5"/>
      <c r="B527" s="5"/>
      <c r="C527" s="5"/>
      <c r="D527" s="5"/>
      <c r="E527" s="30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114"/>
      <c r="AB527" s="114"/>
      <c r="AC527" s="114"/>
    </row>
    <row r="528">
      <c r="A528" s="5"/>
      <c r="B528" s="5"/>
      <c r="C528" s="5"/>
      <c r="D528" s="5"/>
      <c r="E528" s="30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114"/>
      <c r="AB528" s="114"/>
      <c r="AC528" s="114"/>
    </row>
    <row r="529">
      <c r="A529" s="5"/>
      <c r="B529" s="5"/>
      <c r="C529" s="5"/>
      <c r="D529" s="5"/>
      <c r="E529" s="30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114"/>
      <c r="AB529" s="114"/>
      <c r="AC529" s="114"/>
    </row>
    <row r="530">
      <c r="A530" s="5"/>
      <c r="B530" s="5"/>
      <c r="C530" s="5"/>
      <c r="D530" s="5"/>
      <c r="E530" s="30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114"/>
      <c r="AB530" s="114"/>
      <c r="AC530" s="114"/>
    </row>
    <row r="531">
      <c r="A531" s="5"/>
      <c r="B531" s="5"/>
      <c r="C531" s="5"/>
      <c r="D531" s="5"/>
      <c r="E531" s="30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114"/>
      <c r="AB531" s="114"/>
      <c r="AC531" s="114"/>
    </row>
    <row r="532">
      <c r="A532" s="5"/>
      <c r="B532" s="5"/>
      <c r="C532" s="5"/>
      <c r="D532" s="5"/>
      <c r="E532" s="30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114"/>
      <c r="AB532" s="114"/>
      <c r="AC532" s="114"/>
    </row>
    <row r="533">
      <c r="A533" s="5"/>
      <c r="B533" s="5"/>
      <c r="C533" s="5"/>
      <c r="D533" s="5"/>
      <c r="E533" s="30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114"/>
      <c r="AB533" s="114"/>
      <c r="AC533" s="114"/>
    </row>
    <row r="534">
      <c r="A534" s="5"/>
      <c r="B534" s="5"/>
      <c r="C534" s="5"/>
      <c r="D534" s="5"/>
      <c r="E534" s="30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114"/>
      <c r="AB534" s="114"/>
      <c r="AC534" s="114"/>
    </row>
    <row r="535">
      <c r="A535" s="5"/>
      <c r="B535" s="5"/>
      <c r="C535" s="5"/>
      <c r="D535" s="5"/>
      <c r="E535" s="30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114"/>
      <c r="AB535" s="114"/>
      <c r="AC535" s="114"/>
    </row>
    <row r="536">
      <c r="A536" s="5"/>
      <c r="B536" s="5"/>
      <c r="C536" s="5"/>
      <c r="D536" s="5"/>
      <c r="E536" s="30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114"/>
      <c r="AB536" s="114"/>
      <c r="AC536" s="114"/>
    </row>
    <row r="537">
      <c r="A537" s="5"/>
      <c r="B537" s="5"/>
      <c r="C537" s="5"/>
      <c r="D537" s="5"/>
      <c r="E537" s="30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114"/>
      <c r="AB537" s="114"/>
      <c r="AC537" s="114"/>
    </row>
    <row r="538">
      <c r="A538" s="5"/>
      <c r="B538" s="5"/>
      <c r="C538" s="5"/>
      <c r="D538" s="5"/>
      <c r="E538" s="30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114"/>
      <c r="AB538" s="114"/>
      <c r="AC538" s="114"/>
    </row>
    <row r="539">
      <c r="A539" s="5"/>
      <c r="B539" s="5"/>
      <c r="C539" s="5"/>
      <c r="D539" s="5"/>
      <c r="E539" s="30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114"/>
      <c r="AB539" s="114"/>
      <c r="AC539" s="114"/>
    </row>
    <row r="540">
      <c r="A540" s="5"/>
      <c r="B540" s="5"/>
      <c r="C540" s="5"/>
      <c r="D540" s="5"/>
      <c r="E540" s="30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114"/>
      <c r="AB540" s="114"/>
      <c r="AC540" s="114"/>
    </row>
    <row r="541">
      <c r="A541" s="5"/>
      <c r="B541" s="5"/>
      <c r="C541" s="5"/>
      <c r="D541" s="5"/>
      <c r="E541" s="30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114"/>
      <c r="AB541" s="114"/>
      <c r="AC541" s="114"/>
    </row>
    <row r="542">
      <c r="A542" s="5"/>
      <c r="B542" s="5"/>
      <c r="C542" s="5"/>
      <c r="D542" s="5"/>
      <c r="E542" s="30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114"/>
      <c r="AB542" s="114"/>
      <c r="AC542" s="114"/>
    </row>
    <row r="543">
      <c r="A543" s="5"/>
      <c r="B543" s="5"/>
      <c r="C543" s="5"/>
      <c r="D543" s="5"/>
      <c r="E543" s="30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114"/>
      <c r="AB543" s="114"/>
      <c r="AC543" s="114"/>
    </row>
    <row r="544">
      <c r="A544" s="5"/>
      <c r="B544" s="5"/>
      <c r="C544" s="5"/>
      <c r="D544" s="5"/>
      <c r="E544" s="30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114"/>
      <c r="AB544" s="114"/>
      <c r="AC544" s="114"/>
    </row>
    <row r="545">
      <c r="A545" s="5"/>
      <c r="B545" s="5"/>
      <c r="C545" s="5"/>
      <c r="D545" s="5"/>
      <c r="E545" s="30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114"/>
      <c r="AB545" s="114"/>
      <c r="AC545" s="114"/>
    </row>
    <row r="546">
      <c r="A546" s="5"/>
      <c r="B546" s="5"/>
      <c r="C546" s="5"/>
      <c r="D546" s="5"/>
      <c r="E546" s="30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114"/>
      <c r="AB546" s="114"/>
      <c r="AC546" s="114"/>
    </row>
    <row r="547">
      <c r="A547" s="5"/>
      <c r="B547" s="5"/>
      <c r="C547" s="5"/>
      <c r="D547" s="5"/>
      <c r="E547" s="30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114"/>
      <c r="AB547" s="114"/>
      <c r="AC547" s="114"/>
    </row>
    <row r="548">
      <c r="A548" s="5"/>
      <c r="B548" s="5"/>
      <c r="C548" s="5"/>
      <c r="D548" s="5"/>
      <c r="E548" s="30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114"/>
      <c r="AB548" s="114"/>
      <c r="AC548" s="114"/>
    </row>
    <row r="549">
      <c r="A549" s="5"/>
      <c r="B549" s="5"/>
      <c r="C549" s="5"/>
      <c r="D549" s="5"/>
      <c r="E549" s="30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114"/>
      <c r="AB549" s="114"/>
      <c r="AC549" s="114"/>
    </row>
    <row r="550">
      <c r="A550" s="5"/>
      <c r="B550" s="5"/>
      <c r="C550" s="5"/>
      <c r="D550" s="5"/>
      <c r="E550" s="30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114"/>
      <c r="AB550" s="114"/>
      <c r="AC550" s="114"/>
    </row>
    <row r="551">
      <c r="A551" s="5"/>
      <c r="B551" s="5"/>
      <c r="C551" s="5"/>
      <c r="D551" s="5"/>
      <c r="E551" s="30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114"/>
      <c r="AB551" s="114"/>
      <c r="AC551" s="114"/>
    </row>
    <row r="552">
      <c r="A552" s="5"/>
      <c r="B552" s="5"/>
      <c r="C552" s="5"/>
      <c r="D552" s="5"/>
      <c r="E552" s="30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114"/>
      <c r="AB552" s="114"/>
      <c r="AC552" s="114"/>
    </row>
    <row r="553">
      <c r="A553" s="5"/>
      <c r="B553" s="5"/>
      <c r="C553" s="5"/>
      <c r="D553" s="5"/>
      <c r="E553" s="30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114"/>
      <c r="AB553" s="114"/>
      <c r="AC553" s="114"/>
    </row>
    <row r="554">
      <c r="A554" s="5"/>
      <c r="B554" s="5"/>
      <c r="C554" s="5"/>
      <c r="D554" s="5"/>
      <c r="E554" s="30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114"/>
      <c r="AB554" s="114"/>
      <c r="AC554" s="114"/>
    </row>
    <row r="555">
      <c r="A555" s="5"/>
      <c r="B555" s="5"/>
      <c r="C555" s="5"/>
      <c r="D555" s="5"/>
      <c r="E555" s="30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114"/>
      <c r="AB555" s="114"/>
      <c r="AC555" s="114"/>
    </row>
    <row r="556">
      <c r="A556" s="5"/>
      <c r="B556" s="5"/>
      <c r="C556" s="5"/>
      <c r="D556" s="5"/>
      <c r="E556" s="30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114"/>
      <c r="AB556" s="114"/>
      <c r="AC556" s="114"/>
    </row>
    <row r="557">
      <c r="A557" s="5"/>
      <c r="B557" s="5"/>
      <c r="C557" s="5"/>
      <c r="D557" s="5"/>
      <c r="E557" s="30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114"/>
      <c r="AB557" s="114"/>
      <c r="AC557" s="114"/>
    </row>
    <row r="558">
      <c r="A558" s="5"/>
      <c r="B558" s="5"/>
      <c r="C558" s="5"/>
      <c r="D558" s="5"/>
      <c r="E558" s="30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114"/>
      <c r="AB558" s="114"/>
      <c r="AC558" s="114"/>
    </row>
    <row r="559">
      <c r="A559" s="5"/>
      <c r="B559" s="5"/>
      <c r="C559" s="5"/>
      <c r="D559" s="5"/>
      <c r="E559" s="30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114"/>
      <c r="AB559" s="114"/>
      <c r="AC559" s="114"/>
    </row>
    <row r="560">
      <c r="A560" s="5"/>
      <c r="B560" s="5"/>
      <c r="C560" s="5"/>
      <c r="D560" s="5"/>
      <c r="E560" s="30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114"/>
      <c r="AB560" s="114"/>
      <c r="AC560" s="114"/>
    </row>
    <row r="561">
      <c r="A561" s="5"/>
      <c r="B561" s="5"/>
      <c r="C561" s="5"/>
      <c r="D561" s="5"/>
      <c r="E561" s="30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114"/>
      <c r="AB561" s="114"/>
      <c r="AC561" s="114"/>
    </row>
    <row r="562">
      <c r="A562" s="5"/>
      <c r="B562" s="5"/>
      <c r="C562" s="5"/>
      <c r="D562" s="5"/>
      <c r="E562" s="30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114"/>
      <c r="AB562" s="114"/>
      <c r="AC562" s="114"/>
    </row>
    <row r="563">
      <c r="A563" s="5"/>
      <c r="B563" s="5"/>
      <c r="C563" s="5"/>
      <c r="D563" s="5"/>
      <c r="E563" s="30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114"/>
      <c r="AB563" s="114"/>
      <c r="AC563" s="114"/>
    </row>
    <row r="564">
      <c r="A564" s="5"/>
      <c r="B564" s="5"/>
      <c r="C564" s="5"/>
      <c r="D564" s="5"/>
      <c r="E564" s="30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114"/>
      <c r="AB564" s="114"/>
      <c r="AC564" s="114"/>
    </row>
    <row r="565">
      <c r="A565" s="5"/>
      <c r="B565" s="5"/>
      <c r="C565" s="5"/>
      <c r="D565" s="5"/>
      <c r="E565" s="30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114"/>
      <c r="AB565" s="114"/>
      <c r="AC565" s="114"/>
    </row>
    <row r="566">
      <c r="A566" s="5"/>
      <c r="B566" s="5"/>
      <c r="C566" s="5"/>
      <c r="D566" s="5"/>
      <c r="E566" s="30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114"/>
      <c r="AB566" s="114"/>
      <c r="AC566" s="114"/>
    </row>
    <row r="567">
      <c r="A567" s="5"/>
      <c r="B567" s="5"/>
      <c r="C567" s="5"/>
      <c r="D567" s="5"/>
      <c r="E567" s="30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114"/>
      <c r="AB567" s="114"/>
      <c r="AC567" s="114"/>
    </row>
    <row r="568">
      <c r="A568" s="5"/>
      <c r="B568" s="5"/>
      <c r="C568" s="5"/>
      <c r="D568" s="5"/>
      <c r="E568" s="30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114"/>
      <c r="AB568" s="114"/>
      <c r="AC568" s="114"/>
    </row>
    <row r="569">
      <c r="A569" s="5"/>
      <c r="B569" s="5"/>
      <c r="C569" s="5"/>
      <c r="D569" s="5"/>
      <c r="E569" s="30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114"/>
      <c r="AB569" s="114"/>
      <c r="AC569" s="114"/>
    </row>
    <row r="570">
      <c r="A570" s="5"/>
      <c r="B570" s="5"/>
      <c r="C570" s="5"/>
      <c r="D570" s="5"/>
      <c r="E570" s="30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114"/>
      <c r="AB570" s="114"/>
      <c r="AC570" s="114"/>
    </row>
    <row r="571">
      <c r="A571" s="5"/>
      <c r="B571" s="5"/>
      <c r="C571" s="5"/>
      <c r="D571" s="5"/>
      <c r="E571" s="30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114"/>
      <c r="AB571" s="114"/>
      <c r="AC571" s="114"/>
    </row>
    <row r="572">
      <c r="A572" s="5"/>
      <c r="B572" s="5"/>
      <c r="C572" s="5"/>
      <c r="D572" s="5"/>
      <c r="E572" s="30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114"/>
      <c r="AB572" s="114"/>
      <c r="AC572" s="114"/>
    </row>
    <row r="573">
      <c r="A573" s="5"/>
      <c r="B573" s="5"/>
      <c r="C573" s="5"/>
      <c r="D573" s="5"/>
      <c r="E573" s="30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114"/>
      <c r="AB573" s="114"/>
      <c r="AC573" s="114"/>
    </row>
    <row r="574">
      <c r="A574" s="5"/>
      <c r="B574" s="5"/>
      <c r="C574" s="5"/>
      <c r="D574" s="5"/>
      <c r="E574" s="30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114"/>
      <c r="AB574" s="114"/>
      <c r="AC574" s="114"/>
    </row>
    <row r="575">
      <c r="A575" s="5"/>
      <c r="B575" s="5"/>
      <c r="C575" s="5"/>
      <c r="D575" s="5"/>
      <c r="E575" s="30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114"/>
      <c r="AB575" s="114"/>
      <c r="AC575" s="114"/>
    </row>
    <row r="576">
      <c r="A576" s="5"/>
      <c r="B576" s="5"/>
      <c r="C576" s="5"/>
      <c r="D576" s="5"/>
      <c r="E576" s="30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114"/>
      <c r="AB576" s="114"/>
      <c r="AC576" s="114"/>
    </row>
    <row r="577">
      <c r="A577" s="5"/>
      <c r="B577" s="5"/>
      <c r="C577" s="5"/>
      <c r="D577" s="5"/>
      <c r="E577" s="30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114"/>
      <c r="AB577" s="114"/>
      <c r="AC577" s="114"/>
    </row>
    <row r="578">
      <c r="A578" s="5"/>
      <c r="B578" s="5"/>
      <c r="C578" s="5"/>
      <c r="D578" s="5"/>
      <c r="E578" s="30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114"/>
      <c r="AB578" s="114"/>
      <c r="AC578" s="114"/>
    </row>
    <row r="579">
      <c r="A579" s="5"/>
      <c r="B579" s="5"/>
      <c r="C579" s="5"/>
      <c r="D579" s="5"/>
      <c r="E579" s="30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114"/>
      <c r="AB579" s="114"/>
      <c r="AC579" s="114"/>
    </row>
    <row r="580">
      <c r="A580" s="5"/>
      <c r="B580" s="5"/>
      <c r="C580" s="5"/>
      <c r="D580" s="5"/>
      <c r="E580" s="30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114"/>
      <c r="AB580" s="114"/>
      <c r="AC580" s="114"/>
    </row>
    <row r="581">
      <c r="A581" s="5"/>
      <c r="B581" s="5"/>
      <c r="C581" s="5"/>
      <c r="D581" s="5"/>
      <c r="E581" s="30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114"/>
      <c r="AB581" s="114"/>
      <c r="AC581" s="114"/>
    </row>
    <row r="582">
      <c r="A582" s="5"/>
      <c r="B582" s="5"/>
      <c r="C582" s="5"/>
      <c r="D582" s="5"/>
      <c r="E582" s="30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114"/>
      <c r="AB582" s="114"/>
      <c r="AC582" s="114"/>
    </row>
    <row r="583">
      <c r="A583" s="5"/>
      <c r="B583" s="5"/>
      <c r="C583" s="5"/>
      <c r="D583" s="5"/>
      <c r="E583" s="30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114"/>
      <c r="AB583" s="114"/>
      <c r="AC583" s="114"/>
    </row>
    <row r="584">
      <c r="A584" s="5"/>
      <c r="B584" s="5"/>
      <c r="C584" s="5"/>
      <c r="D584" s="5"/>
      <c r="E584" s="30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114"/>
      <c r="AB584" s="114"/>
      <c r="AC584" s="114"/>
    </row>
    <row r="585">
      <c r="A585" s="5"/>
      <c r="B585" s="5"/>
      <c r="C585" s="5"/>
      <c r="D585" s="5"/>
      <c r="E585" s="30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114"/>
      <c r="AB585" s="114"/>
      <c r="AC585" s="114"/>
    </row>
    <row r="586">
      <c r="A586" s="5"/>
      <c r="B586" s="5"/>
      <c r="C586" s="5"/>
      <c r="D586" s="5"/>
      <c r="E586" s="30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114"/>
      <c r="AB586" s="114"/>
      <c r="AC586" s="114"/>
    </row>
    <row r="587">
      <c r="A587" s="5"/>
      <c r="B587" s="5"/>
      <c r="C587" s="5"/>
      <c r="D587" s="5"/>
      <c r="E587" s="30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114"/>
      <c r="AB587" s="114"/>
      <c r="AC587" s="114"/>
    </row>
    <row r="588">
      <c r="A588" s="5"/>
      <c r="B588" s="5"/>
      <c r="C588" s="5"/>
      <c r="D588" s="5"/>
      <c r="E588" s="30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114"/>
      <c r="AB588" s="114"/>
      <c r="AC588" s="114"/>
    </row>
    <row r="589">
      <c r="A589" s="5"/>
      <c r="B589" s="5"/>
      <c r="C589" s="5"/>
      <c r="D589" s="5"/>
      <c r="E589" s="30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114"/>
      <c r="AB589" s="114"/>
      <c r="AC589" s="114"/>
    </row>
    <row r="590">
      <c r="A590" s="5"/>
      <c r="B590" s="5"/>
      <c r="C590" s="5"/>
      <c r="D590" s="5"/>
      <c r="E590" s="30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114"/>
      <c r="AB590" s="114"/>
      <c r="AC590" s="114"/>
    </row>
    <row r="591">
      <c r="A591" s="5"/>
      <c r="B591" s="5"/>
      <c r="C591" s="5"/>
      <c r="D591" s="5"/>
      <c r="E591" s="30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114"/>
      <c r="AB591" s="114"/>
      <c r="AC591" s="114"/>
    </row>
    <row r="592">
      <c r="A592" s="5"/>
      <c r="B592" s="5"/>
      <c r="C592" s="5"/>
      <c r="D592" s="5"/>
      <c r="E592" s="30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114"/>
      <c r="AB592" s="114"/>
      <c r="AC592" s="114"/>
    </row>
    <row r="593">
      <c r="A593" s="5"/>
      <c r="B593" s="5"/>
      <c r="C593" s="5"/>
      <c r="D593" s="5"/>
      <c r="E593" s="30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114"/>
      <c r="AB593" s="114"/>
      <c r="AC593" s="114"/>
    </row>
    <row r="594">
      <c r="A594" s="5"/>
      <c r="B594" s="5"/>
      <c r="C594" s="5"/>
      <c r="D594" s="5"/>
      <c r="E594" s="30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114"/>
      <c r="AB594" s="114"/>
      <c r="AC594" s="114"/>
    </row>
    <row r="595">
      <c r="A595" s="5"/>
      <c r="B595" s="5"/>
      <c r="C595" s="5"/>
      <c r="D595" s="5"/>
      <c r="E595" s="30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114"/>
      <c r="AB595" s="114"/>
      <c r="AC595" s="114"/>
    </row>
    <row r="596">
      <c r="A596" s="5"/>
      <c r="B596" s="5"/>
      <c r="C596" s="5"/>
      <c r="D596" s="5"/>
      <c r="E596" s="30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114"/>
      <c r="AB596" s="114"/>
      <c r="AC596" s="114"/>
    </row>
    <row r="597">
      <c r="A597" s="5"/>
      <c r="B597" s="5"/>
      <c r="C597" s="5"/>
      <c r="D597" s="5"/>
      <c r="E597" s="30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114"/>
      <c r="AB597" s="114"/>
      <c r="AC597" s="114"/>
    </row>
    <row r="598">
      <c r="A598" s="5"/>
      <c r="B598" s="5"/>
      <c r="C598" s="5"/>
      <c r="D598" s="5"/>
      <c r="E598" s="30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114"/>
      <c r="AB598" s="114"/>
      <c r="AC598" s="114"/>
    </row>
    <row r="599">
      <c r="A599" s="5"/>
      <c r="B599" s="5"/>
      <c r="C599" s="5"/>
      <c r="D599" s="5"/>
      <c r="E599" s="30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114"/>
      <c r="AB599" s="114"/>
      <c r="AC599" s="114"/>
    </row>
    <row r="600">
      <c r="A600" s="5"/>
      <c r="B600" s="5"/>
      <c r="C600" s="5"/>
      <c r="D600" s="5"/>
      <c r="E600" s="30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114"/>
      <c r="AB600" s="114"/>
      <c r="AC600" s="114"/>
    </row>
    <row r="601">
      <c r="A601" s="5"/>
      <c r="B601" s="5"/>
      <c r="C601" s="5"/>
      <c r="D601" s="5"/>
      <c r="E601" s="30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114"/>
      <c r="AB601" s="114"/>
      <c r="AC601" s="114"/>
    </row>
    <row r="602">
      <c r="A602" s="5"/>
      <c r="B602" s="5"/>
      <c r="C602" s="5"/>
      <c r="D602" s="5"/>
      <c r="E602" s="30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114"/>
      <c r="AB602" s="114"/>
      <c r="AC602" s="114"/>
    </row>
    <row r="603">
      <c r="A603" s="5"/>
      <c r="B603" s="5"/>
      <c r="C603" s="5"/>
      <c r="D603" s="5"/>
      <c r="E603" s="30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114"/>
      <c r="AB603" s="114"/>
      <c r="AC603" s="114"/>
    </row>
    <row r="604">
      <c r="A604" s="5"/>
      <c r="B604" s="5"/>
      <c r="C604" s="5"/>
      <c r="D604" s="5"/>
      <c r="E604" s="30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114"/>
      <c r="AB604" s="114"/>
      <c r="AC604" s="114"/>
    </row>
    <row r="605">
      <c r="A605" s="5"/>
      <c r="B605" s="5"/>
      <c r="C605" s="5"/>
      <c r="D605" s="5"/>
      <c r="E605" s="30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114"/>
      <c r="AB605" s="114"/>
      <c r="AC605" s="114"/>
    </row>
    <row r="606">
      <c r="A606" s="5"/>
      <c r="B606" s="5"/>
      <c r="C606" s="5"/>
      <c r="D606" s="5"/>
      <c r="E606" s="30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114"/>
      <c r="AB606" s="114"/>
      <c r="AC606" s="114"/>
    </row>
    <row r="607">
      <c r="A607" s="5"/>
      <c r="B607" s="5"/>
      <c r="C607" s="5"/>
      <c r="D607" s="5"/>
      <c r="E607" s="30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114"/>
      <c r="AB607" s="114"/>
      <c r="AC607" s="114"/>
    </row>
    <row r="608">
      <c r="A608" s="5"/>
      <c r="B608" s="5"/>
      <c r="C608" s="5"/>
      <c r="D608" s="5"/>
      <c r="E608" s="30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114"/>
      <c r="AB608" s="114"/>
      <c r="AC608" s="114"/>
    </row>
    <row r="609">
      <c r="A609" s="5"/>
      <c r="B609" s="5"/>
      <c r="C609" s="5"/>
      <c r="D609" s="5"/>
      <c r="E609" s="30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114"/>
      <c r="AB609" s="114"/>
      <c r="AC609" s="114"/>
    </row>
    <row r="610">
      <c r="A610" s="5"/>
      <c r="B610" s="5"/>
      <c r="C610" s="5"/>
      <c r="D610" s="5"/>
      <c r="E610" s="30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114"/>
      <c r="AB610" s="114"/>
      <c r="AC610" s="114"/>
    </row>
    <row r="611">
      <c r="A611" s="5"/>
      <c r="B611" s="5"/>
      <c r="C611" s="5"/>
      <c r="D611" s="5"/>
      <c r="E611" s="30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114"/>
      <c r="AB611" s="114"/>
      <c r="AC611" s="114"/>
    </row>
    <row r="612">
      <c r="A612" s="5"/>
      <c r="B612" s="5"/>
      <c r="C612" s="5"/>
      <c r="D612" s="5"/>
      <c r="E612" s="30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114"/>
      <c r="AB612" s="114"/>
      <c r="AC612" s="114"/>
    </row>
    <row r="613">
      <c r="A613" s="5"/>
      <c r="B613" s="5"/>
      <c r="C613" s="5"/>
      <c r="D613" s="5"/>
      <c r="E613" s="30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114"/>
      <c r="AB613" s="114"/>
      <c r="AC613" s="114"/>
    </row>
    <row r="614">
      <c r="A614" s="5"/>
      <c r="B614" s="5"/>
      <c r="C614" s="5"/>
      <c r="D614" s="5"/>
      <c r="E614" s="30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114"/>
      <c r="AB614" s="114"/>
      <c r="AC614" s="114"/>
    </row>
    <row r="615">
      <c r="A615" s="5"/>
      <c r="B615" s="5"/>
      <c r="C615" s="5"/>
      <c r="D615" s="5"/>
      <c r="E615" s="30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114"/>
      <c r="AB615" s="114"/>
      <c r="AC615" s="114"/>
    </row>
    <row r="616">
      <c r="A616" s="5"/>
      <c r="B616" s="5"/>
      <c r="C616" s="5"/>
      <c r="D616" s="5"/>
      <c r="E616" s="30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114"/>
      <c r="AB616" s="114"/>
      <c r="AC616" s="114"/>
    </row>
    <row r="617">
      <c r="A617" s="5"/>
      <c r="B617" s="5"/>
      <c r="C617" s="5"/>
      <c r="D617" s="5"/>
      <c r="E617" s="30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114"/>
      <c r="AB617" s="114"/>
      <c r="AC617" s="114"/>
    </row>
    <row r="618">
      <c r="A618" s="5"/>
      <c r="B618" s="5"/>
      <c r="C618" s="5"/>
      <c r="D618" s="5"/>
      <c r="E618" s="30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114"/>
      <c r="AB618" s="114"/>
      <c r="AC618" s="114"/>
    </row>
    <row r="619">
      <c r="A619" s="5"/>
      <c r="B619" s="5"/>
      <c r="C619" s="5"/>
      <c r="D619" s="5"/>
      <c r="E619" s="30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114"/>
      <c r="AB619" s="114"/>
      <c r="AC619" s="114"/>
    </row>
    <row r="620">
      <c r="A620" s="5"/>
      <c r="B620" s="5"/>
      <c r="C620" s="5"/>
      <c r="D620" s="5"/>
      <c r="E620" s="30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114"/>
      <c r="AB620" s="114"/>
      <c r="AC620" s="114"/>
    </row>
    <row r="621">
      <c r="A621" s="5"/>
      <c r="B621" s="5"/>
      <c r="C621" s="5"/>
      <c r="D621" s="5"/>
      <c r="E621" s="30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114"/>
      <c r="AB621" s="114"/>
      <c r="AC621" s="114"/>
    </row>
    <row r="622">
      <c r="A622" s="5"/>
      <c r="B622" s="5"/>
      <c r="C622" s="5"/>
      <c r="D622" s="5"/>
      <c r="E622" s="30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114"/>
      <c r="AB622" s="114"/>
      <c r="AC622" s="114"/>
    </row>
    <row r="623">
      <c r="A623" s="5"/>
      <c r="B623" s="5"/>
      <c r="C623" s="5"/>
      <c r="D623" s="5"/>
      <c r="E623" s="30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114"/>
      <c r="AB623" s="114"/>
      <c r="AC623" s="114"/>
    </row>
    <row r="624">
      <c r="A624" s="5"/>
      <c r="B624" s="5"/>
      <c r="C624" s="5"/>
      <c r="D624" s="5"/>
      <c r="E624" s="30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114"/>
      <c r="AB624" s="114"/>
      <c r="AC624" s="114"/>
    </row>
    <row r="625">
      <c r="A625" s="5"/>
      <c r="B625" s="5"/>
      <c r="C625" s="5"/>
      <c r="D625" s="5"/>
      <c r="E625" s="30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114"/>
      <c r="AB625" s="114"/>
      <c r="AC625" s="114"/>
    </row>
    <row r="626">
      <c r="A626" s="5"/>
      <c r="B626" s="5"/>
      <c r="C626" s="5"/>
      <c r="D626" s="5"/>
      <c r="E626" s="30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114"/>
      <c r="AB626" s="114"/>
      <c r="AC626" s="114"/>
    </row>
    <row r="627">
      <c r="A627" s="5"/>
      <c r="B627" s="5"/>
      <c r="C627" s="5"/>
      <c r="D627" s="5"/>
      <c r="E627" s="30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114"/>
      <c r="AB627" s="114"/>
      <c r="AC627" s="114"/>
    </row>
    <row r="628">
      <c r="A628" s="5"/>
      <c r="B628" s="5"/>
      <c r="C628" s="5"/>
      <c r="D628" s="5"/>
      <c r="E628" s="30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114"/>
      <c r="AB628" s="114"/>
      <c r="AC628" s="114"/>
    </row>
    <row r="629">
      <c r="A629" s="5"/>
      <c r="B629" s="5"/>
      <c r="C629" s="5"/>
      <c r="D629" s="5"/>
      <c r="E629" s="30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114"/>
      <c r="AB629" s="114"/>
      <c r="AC629" s="114"/>
    </row>
    <row r="630">
      <c r="A630" s="5"/>
      <c r="B630" s="5"/>
      <c r="C630" s="5"/>
      <c r="D630" s="5"/>
      <c r="E630" s="30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114"/>
      <c r="AB630" s="114"/>
      <c r="AC630" s="114"/>
    </row>
    <row r="631">
      <c r="A631" s="5"/>
      <c r="B631" s="5"/>
      <c r="C631" s="5"/>
      <c r="D631" s="5"/>
      <c r="E631" s="30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114"/>
      <c r="AB631" s="114"/>
      <c r="AC631" s="114"/>
    </row>
    <row r="632">
      <c r="A632" s="5"/>
      <c r="B632" s="5"/>
      <c r="C632" s="5"/>
      <c r="D632" s="5"/>
      <c r="E632" s="30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114"/>
      <c r="AB632" s="114"/>
      <c r="AC632" s="114"/>
    </row>
    <row r="633">
      <c r="A633" s="5"/>
      <c r="B633" s="5"/>
      <c r="C633" s="5"/>
      <c r="D633" s="5"/>
      <c r="E633" s="30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114"/>
      <c r="AB633" s="114"/>
      <c r="AC633" s="114"/>
    </row>
    <row r="634">
      <c r="A634" s="5"/>
      <c r="B634" s="5"/>
      <c r="C634" s="5"/>
      <c r="D634" s="5"/>
      <c r="E634" s="30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114"/>
      <c r="AB634" s="114"/>
      <c r="AC634" s="114"/>
    </row>
    <row r="635">
      <c r="A635" s="5"/>
      <c r="B635" s="5"/>
      <c r="C635" s="5"/>
      <c r="D635" s="5"/>
      <c r="E635" s="30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114"/>
      <c r="AB635" s="114"/>
      <c r="AC635" s="114"/>
    </row>
    <row r="636">
      <c r="A636" s="5"/>
      <c r="B636" s="5"/>
      <c r="C636" s="5"/>
      <c r="D636" s="5"/>
      <c r="E636" s="30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114"/>
      <c r="AB636" s="114"/>
      <c r="AC636" s="114"/>
    </row>
    <row r="637">
      <c r="A637" s="5"/>
      <c r="B637" s="5"/>
      <c r="C637" s="5"/>
      <c r="D637" s="5"/>
      <c r="E637" s="30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114"/>
      <c r="AB637" s="114"/>
      <c r="AC637" s="114"/>
    </row>
    <row r="638">
      <c r="A638" s="5"/>
      <c r="B638" s="5"/>
      <c r="C638" s="5"/>
      <c r="D638" s="5"/>
      <c r="E638" s="30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114"/>
      <c r="AB638" s="114"/>
      <c r="AC638" s="114"/>
    </row>
    <row r="639">
      <c r="A639" s="5"/>
      <c r="B639" s="5"/>
      <c r="C639" s="5"/>
      <c r="D639" s="5"/>
      <c r="E639" s="30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114"/>
      <c r="AB639" s="114"/>
      <c r="AC639" s="114"/>
    </row>
    <row r="640">
      <c r="A640" s="5"/>
      <c r="B640" s="5"/>
      <c r="C640" s="5"/>
      <c r="D640" s="5"/>
      <c r="E640" s="30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114"/>
      <c r="AB640" s="114"/>
      <c r="AC640" s="114"/>
    </row>
    <row r="641">
      <c r="A641" s="5"/>
      <c r="B641" s="5"/>
      <c r="C641" s="5"/>
      <c r="D641" s="5"/>
      <c r="E641" s="30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114"/>
      <c r="AB641" s="114"/>
      <c r="AC641" s="114"/>
    </row>
    <row r="642">
      <c r="A642" s="5"/>
      <c r="B642" s="5"/>
      <c r="C642" s="5"/>
      <c r="D642" s="5"/>
      <c r="E642" s="30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114"/>
      <c r="AB642" s="114"/>
      <c r="AC642" s="114"/>
    </row>
    <row r="643">
      <c r="A643" s="5"/>
      <c r="B643" s="5"/>
      <c r="C643" s="5"/>
      <c r="D643" s="5"/>
      <c r="E643" s="30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114"/>
      <c r="AB643" s="114"/>
      <c r="AC643" s="114"/>
    </row>
    <row r="644">
      <c r="A644" s="5"/>
      <c r="B644" s="5"/>
      <c r="C644" s="5"/>
      <c r="D644" s="5"/>
      <c r="E644" s="30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114"/>
      <c r="AB644" s="114"/>
      <c r="AC644" s="114"/>
    </row>
    <row r="645">
      <c r="A645" s="5"/>
      <c r="B645" s="5"/>
      <c r="C645" s="5"/>
      <c r="D645" s="5"/>
      <c r="E645" s="30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114"/>
      <c r="AB645" s="114"/>
      <c r="AC645" s="114"/>
    </row>
    <row r="646">
      <c r="A646" s="5"/>
      <c r="B646" s="5"/>
      <c r="C646" s="5"/>
      <c r="D646" s="5"/>
      <c r="E646" s="30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114"/>
      <c r="AB646" s="114"/>
      <c r="AC646" s="114"/>
    </row>
    <row r="647">
      <c r="A647" s="5"/>
      <c r="B647" s="5"/>
      <c r="C647" s="5"/>
      <c r="D647" s="5"/>
      <c r="E647" s="30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114"/>
      <c r="AB647" s="114"/>
      <c r="AC647" s="114"/>
    </row>
    <row r="648">
      <c r="A648" s="5"/>
      <c r="B648" s="5"/>
      <c r="C648" s="5"/>
      <c r="D648" s="5"/>
      <c r="E648" s="30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114"/>
      <c r="AB648" s="114"/>
      <c r="AC648" s="114"/>
    </row>
    <row r="649">
      <c r="A649" s="5"/>
      <c r="B649" s="5"/>
      <c r="C649" s="5"/>
      <c r="D649" s="5"/>
      <c r="E649" s="30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114"/>
      <c r="AB649" s="114"/>
      <c r="AC649" s="114"/>
    </row>
    <row r="650">
      <c r="A650" s="5"/>
      <c r="B650" s="5"/>
      <c r="C650" s="5"/>
      <c r="D650" s="5"/>
      <c r="E650" s="30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114"/>
      <c r="AB650" s="114"/>
      <c r="AC650" s="114"/>
    </row>
    <row r="651">
      <c r="A651" s="5"/>
      <c r="B651" s="5"/>
      <c r="C651" s="5"/>
      <c r="D651" s="5"/>
      <c r="E651" s="30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114"/>
      <c r="AB651" s="114"/>
      <c r="AC651" s="114"/>
    </row>
    <row r="652">
      <c r="A652" s="5"/>
      <c r="B652" s="5"/>
      <c r="C652" s="5"/>
      <c r="D652" s="5"/>
      <c r="E652" s="30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114"/>
      <c r="AB652" s="114"/>
      <c r="AC652" s="114"/>
    </row>
    <row r="653">
      <c r="A653" s="5"/>
      <c r="B653" s="5"/>
      <c r="C653" s="5"/>
      <c r="D653" s="5"/>
      <c r="E653" s="30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30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30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30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30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30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30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30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30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30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30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30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30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30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30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30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30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30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30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30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30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30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30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30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30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30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30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30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30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30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30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30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30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30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30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30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30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30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30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30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30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30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30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30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30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30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30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30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30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30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30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30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30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30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30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30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30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30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30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30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30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30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30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30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30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30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30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30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30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30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30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30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30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30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30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30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30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30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30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30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30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30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30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30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30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30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30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30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30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30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30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30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30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30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30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30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30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30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30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30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30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30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30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30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30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30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30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30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30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30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30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30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30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30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30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30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30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30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30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30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30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30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30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30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30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30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30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30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30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30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30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30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30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30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30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30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30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30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30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30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30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30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30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30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30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30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30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30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30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30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30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30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30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30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30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30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30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30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30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30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30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30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30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30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30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30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30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30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30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30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30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30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30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30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30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30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30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30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30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30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30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30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30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30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30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30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30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30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30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30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30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30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30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30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30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30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30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30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30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30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30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30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30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30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30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30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30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30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30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30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30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30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30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30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30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30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30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30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30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30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30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30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30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30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30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30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30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30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30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30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30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30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30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30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30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30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30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30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30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30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30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30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30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30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30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30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30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30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30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30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30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30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30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30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30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30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30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30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30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30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30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30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30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30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30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30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30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30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30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30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30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30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30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30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30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30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30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30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30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30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30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30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30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30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30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30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30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30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30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30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30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30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30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30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30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30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30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30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30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30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30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30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30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30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30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30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30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30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30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30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30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30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30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30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30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30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30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30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30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30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30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30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30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30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30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30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30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30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30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30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30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30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30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30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30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134"/>
      <c r="B988" s="134"/>
      <c r="C988" s="134"/>
    </row>
    <row r="989">
      <c r="A989" s="134"/>
      <c r="B989" s="134"/>
      <c r="C989" s="134"/>
    </row>
    <row r="990">
      <c r="A990" s="134"/>
      <c r="B990" s="134"/>
      <c r="C990" s="134"/>
    </row>
    <row r="991">
      <c r="A991" s="134"/>
      <c r="B991" s="134"/>
      <c r="C991" s="134"/>
    </row>
    <row r="992">
      <c r="A992" s="134"/>
      <c r="B992" s="134"/>
      <c r="C992" s="134"/>
    </row>
    <row r="993">
      <c r="A993" s="134"/>
      <c r="B993" s="134"/>
      <c r="C993" s="134"/>
    </row>
    <row r="994">
      <c r="A994" s="134"/>
      <c r="B994" s="134"/>
      <c r="C994" s="134"/>
    </row>
  </sheetData>
  <autoFilter ref="$E$1:$E$994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5.29"/>
    <col customWidth="1" min="2" max="2" width="33.14"/>
    <col customWidth="1" min="3" max="3" width="41.43"/>
    <col customWidth="1" min="4" max="4" width="76.43"/>
    <col customWidth="1" min="5" max="5" width="28.86"/>
    <col customWidth="1" min="6" max="26" width="8.71"/>
  </cols>
  <sheetData>
    <row r="1">
      <c r="A1" s="116" t="s">
        <v>0</v>
      </c>
      <c r="B1" s="116" t="s">
        <v>1</v>
      </c>
      <c r="C1" s="116" t="s">
        <v>2</v>
      </c>
      <c r="D1" s="116" t="s">
        <v>3</v>
      </c>
      <c r="E1" s="116" t="s">
        <v>4</v>
      </c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</row>
    <row r="2">
      <c r="A2" s="11" t="s">
        <v>3318</v>
      </c>
      <c r="B2" s="11" t="s">
        <v>3319</v>
      </c>
      <c r="C2" s="11" t="s">
        <v>3320</v>
      </c>
      <c r="D2" s="48" t="s">
        <v>3321</v>
      </c>
      <c r="E2" s="11" t="s">
        <v>3322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2" t="s">
        <v>3327</v>
      </c>
      <c r="B3" s="12" t="s">
        <v>3329</v>
      </c>
      <c r="C3" s="12" t="s">
        <v>3330</v>
      </c>
      <c r="D3" s="29" t="s">
        <v>3333</v>
      </c>
      <c r="E3" s="86"/>
      <c r="F3" s="58"/>
      <c r="G3" s="58"/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>
      <c r="A4" s="12" t="s">
        <v>3337</v>
      </c>
      <c r="B4" s="12" t="s">
        <v>3339</v>
      </c>
      <c r="C4" s="12" t="s">
        <v>3340</v>
      </c>
      <c r="D4" s="29" t="s">
        <v>3341</v>
      </c>
      <c r="E4" s="12" t="s">
        <v>3342</v>
      </c>
      <c r="F4" s="58"/>
      <c r="G4" s="58"/>
      <c r="H4" s="58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  <c r="Y4" s="58"/>
      <c r="Z4" s="58"/>
    </row>
    <row r="5">
      <c r="A5" s="12" t="s">
        <v>3347</v>
      </c>
      <c r="B5" s="12" t="s">
        <v>3348</v>
      </c>
      <c r="C5" s="12" t="s">
        <v>3349</v>
      </c>
      <c r="D5" s="29" t="s">
        <v>3350</v>
      </c>
      <c r="E5" s="86"/>
      <c r="F5" s="58"/>
      <c r="G5" s="58"/>
      <c r="H5" s="58"/>
      <c r="I5" s="58"/>
      <c r="J5" s="58"/>
      <c r="K5" s="58"/>
      <c r="L5" s="58"/>
      <c r="M5" s="58"/>
      <c r="N5" s="58"/>
      <c r="O5" s="58"/>
      <c r="P5" s="58"/>
      <c r="Q5" s="58"/>
      <c r="R5" s="58"/>
      <c r="S5" s="58"/>
      <c r="T5" s="58"/>
      <c r="U5" s="58"/>
      <c r="V5" s="58"/>
      <c r="W5" s="58"/>
      <c r="X5" s="58"/>
      <c r="Y5" s="58"/>
      <c r="Z5" s="58"/>
    </row>
    <row r="6">
      <c r="A6" s="12" t="s">
        <v>3351</v>
      </c>
      <c r="B6" s="12" t="s">
        <v>3352</v>
      </c>
      <c r="C6" s="12" t="s">
        <v>3353</v>
      </c>
      <c r="D6" s="29" t="s">
        <v>3354</v>
      </c>
      <c r="E6" s="86"/>
      <c r="F6" s="58"/>
      <c r="G6" s="58"/>
      <c r="H6" s="58"/>
      <c r="I6" s="58"/>
      <c r="J6" s="58"/>
      <c r="K6" s="58"/>
      <c r="L6" s="58"/>
      <c r="M6" s="58"/>
      <c r="N6" s="58"/>
      <c r="O6" s="58"/>
      <c r="P6" s="58"/>
      <c r="Q6" s="58"/>
      <c r="R6" s="58"/>
      <c r="S6" s="58"/>
      <c r="T6" s="58"/>
      <c r="U6" s="58"/>
      <c r="V6" s="58"/>
      <c r="W6" s="58"/>
      <c r="X6" s="58"/>
      <c r="Y6" s="58"/>
      <c r="Z6" s="58"/>
    </row>
    <row r="7">
      <c r="A7" s="12" t="s">
        <v>3355</v>
      </c>
      <c r="B7" s="12" t="s">
        <v>3356</v>
      </c>
      <c r="C7" s="12" t="s">
        <v>3357</v>
      </c>
      <c r="D7" s="29" t="s">
        <v>3358</v>
      </c>
      <c r="E7" s="86"/>
      <c r="F7" s="58"/>
      <c r="G7" s="58"/>
      <c r="H7" s="58"/>
      <c r="I7" s="58"/>
      <c r="J7" s="58"/>
      <c r="K7" s="58"/>
      <c r="L7" s="58"/>
      <c r="M7" s="58"/>
      <c r="N7" s="58"/>
      <c r="O7" s="58"/>
      <c r="P7" s="58"/>
      <c r="Q7" s="58"/>
      <c r="R7" s="58"/>
      <c r="S7" s="58"/>
      <c r="T7" s="58"/>
      <c r="U7" s="58"/>
      <c r="V7" s="58"/>
      <c r="W7" s="58"/>
      <c r="X7" s="58"/>
      <c r="Y7" s="58"/>
      <c r="Z7" s="58"/>
    </row>
    <row r="8">
      <c r="A8" s="12" t="s">
        <v>3359</v>
      </c>
      <c r="B8" s="12" t="s">
        <v>3359</v>
      </c>
      <c r="C8" s="12" t="s">
        <v>3360</v>
      </c>
      <c r="D8" s="29" t="s">
        <v>3361</v>
      </c>
      <c r="E8" s="86"/>
      <c r="F8" s="58"/>
      <c r="G8" s="58"/>
      <c r="H8" s="58"/>
      <c r="I8" s="58"/>
      <c r="J8" s="58"/>
      <c r="K8" s="58"/>
      <c r="L8" s="58"/>
      <c r="M8" s="58"/>
      <c r="N8" s="58"/>
      <c r="O8" s="58"/>
      <c r="P8" s="58"/>
      <c r="Q8" s="58"/>
      <c r="R8" s="58"/>
      <c r="S8" s="58"/>
      <c r="T8" s="58"/>
      <c r="U8" s="58"/>
      <c r="V8" s="58"/>
      <c r="W8" s="58"/>
      <c r="X8" s="58"/>
      <c r="Y8" s="58"/>
      <c r="Z8" s="58"/>
    </row>
    <row r="9">
      <c r="A9" s="12" t="s">
        <v>3362</v>
      </c>
      <c r="B9" s="12" t="s">
        <v>3363</v>
      </c>
      <c r="C9" s="12" t="s">
        <v>3364</v>
      </c>
      <c r="D9" s="29" t="s">
        <v>3365</v>
      </c>
      <c r="E9" s="86"/>
      <c r="F9" s="58"/>
      <c r="G9" s="58"/>
      <c r="H9" s="58"/>
      <c r="I9" s="58"/>
      <c r="J9" s="58"/>
      <c r="K9" s="58"/>
      <c r="L9" s="58"/>
      <c r="M9" s="58"/>
      <c r="N9" s="58"/>
      <c r="O9" s="58"/>
      <c r="P9" s="58"/>
      <c r="Q9" s="58"/>
      <c r="R9" s="58"/>
      <c r="S9" s="58"/>
      <c r="T9" s="58"/>
      <c r="U9" s="58"/>
      <c r="V9" s="58"/>
      <c r="W9" s="58"/>
      <c r="X9" s="58"/>
      <c r="Y9" s="58"/>
      <c r="Z9" s="58"/>
    </row>
    <row r="10">
      <c r="A10" s="12" t="s">
        <v>3367</v>
      </c>
      <c r="B10" s="12" t="s">
        <v>3369</v>
      </c>
      <c r="C10" s="12" t="s">
        <v>3372</v>
      </c>
      <c r="D10" s="29" t="s">
        <v>3373</v>
      </c>
      <c r="E10" s="86"/>
      <c r="F10" s="58"/>
      <c r="G10" s="58"/>
      <c r="H10" s="58"/>
      <c r="I10" s="58"/>
      <c r="J10" s="58"/>
      <c r="K10" s="58"/>
      <c r="L10" s="58"/>
      <c r="M10" s="58"/>
      <c r="N10" s="58"/>
      <c r="O10" s="58"/>
      <c r="P10" s="58"/>
      <c r="Q10" s="58"/>
      <c r="R10" s="58"/>
      <c r="S10" s="58"/>
      <c r="T10" s="58"/>
      <c r="U10" s="58"/>
      <c r="V10" s="58"/>
      <c r="W10" s="58"/>
      <c r="X10" s="58"/>
      <c r="Y10" s="58"/>
      <c r="Z10" s="58"/>
    </row>
    <row r="11">
      <c r="A11" s="12" t="s">
        <v>3374</v>
      </c>
      <c r="B11" s="12" t="s">
        <v>3375</v>
      </c>
      <c r="C11" s="12" t="s">
        <v>3377</v>
      </c>
      <c r="D11" s="29" t="s">
        <v>3379</v>
      </c>
      <c r="E11" s="86"/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S11" s="58"/>
      <c r="T11" s="58"/>
      <c r="U11" s="58"/>
      <c r="V11" s="58"/>
      <c r="W11" s="58"/>
      <c r="X11" s="58"/>
      <c r="Y11" s="58"/>
      <c r="Z11" s="58"/>
    </row>
    <row r="12">
      <c r="A12" s="12" t="s">
        <v>3382</v>
      </c>
      <c r="B12" s="12" t="s">
        <v>3383</v>
      </c>
      <c r="C12" s="12" t="s">
        <v>3384</v>
      </c>
      <c r="D12" s="29" t="s">
        <v>3385</v>
      </c>
      <c r="E12" s="86"/>
      <c r="F12" s="58"/>
      <c r="G12" s="58"/>
      <c r="H12" s="58"/>
      <c r="I12" s="58"/>
      <c r="J12" s="58"/>
      <c r="K12" s="58"/>
      <c r="L12" s="58"/>
      <c r="M12" s="58"/>
      <c r="N12" s="58"/>
      <c r="O12" s="58"/>
      <c r="P12" s="58"/>
      <c r="Q12" s="58"/>
      <c r="R12" s="58"/>
      <c r="S12" s="58"/>
      <c r="T12" s="58"/>
      <c r="U12" s="58"/>
      <c r="V12" s="58"/>
      <c r="W12" s="58"/>
      <c r="X12" s="58"/>
      <c r="Y12" s="58"/>
      <c r="Z12" s="58"/>
    </row>
    <row r="13">
      <c r="A13" s="12" t="s">
        <v>3387</v>
      </c>
      <c r="B13" s="12" t="s">
        <v>3387</v>
      </c>
      <c r="C13" s="12" t="s">
        <v>3391</v>
      </c>
      <c r="D13" s="29" t="s">
        <v>3392</v>
      </c>
      <c r="E13" s="86"/>
      <c r="F13" s="58"/>
      <c r="G13" s="58"/>
      <c r="H13" s="58"/>
      <c r="I13" s="58"/>
      <c r="J13" s="58"/>
      <c r="K13" s="58"/>
      <c r="L13" s="58"/>
      <c r="M13" s="58"/>
      <c r="N13" s="58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>
      <c r="A14" s="12" t="s">
        <v>3393</v>
      </c>
      <c r="B14" s="12" t="s">
        <v>3394</v>
      </c>
      <c r="C14" s="12" t="s">
        <v>3395</v>
      </c>
      <c r="D14" s="29" t="s">
        <v>3396</v>
      </c>
      <c r="E14" s="86"/>
      <c r="F14" s="58"/>
      <c r="G14" s="58"/>
      <c r="H14" s="58"/>
      <c r="I14" s="58"/>
      <c r="J14" s="58"/>
      <c r="K14" s="58"/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8"/>
      <c r="W14" s="58"/>
      <c r="X14" s="58"/>
      <c r="Y14" s="58"/>
      <c r="Z14" s="58"/>
    </row>
    <row r="15">
      <c r="A15" s="12" t="s">
        <v>3401</v>
      </c>
      <c r="B15" s="12" t="s">
        <v>3402</v>
      </c>
      <c r="C15" s="12" t="s">
        <v>3403</v>
      </c>
      <c r="D15" s="29" t="s">
        <v>3404</v>
      </c>
      <c r="E15" s="86"/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58"/>
      <c r="W15" s="58"/>
      <c r="X15" s="58"/>
      <c r="Y15" s="58"/>
      <c r="Z15" s="58"/>
    </row>
    <row r="16">
      <c r="A16" s="12" t="s">
        <v>3405</v>
      </c>
      <c r="B16" s="12" t="s">
        <v>3406</v>
      </c>
      <c r="C16" s="12" t="s">
        <v>3407</v>
      </c>
      <c r="D16" s="29" t="s">
        <v>3410</v>
      </c>
      <c r="E16" s="86"/>
      <c r="F16" s="58"/>
      <c r="G16" s="58"/>
      <c r="H16" s="58"/>
      <c r="I16" s="58"/>
      <c r="J16" s="58"/>
      <c r="K16" s="58"/>
      <c r="L16" s="58"/>
      <c r="M16" s="58"/>
      <c r="N16" s="58"/>
      <c r="O16" s="58"/>
      <c r="P16" s="58"/>
      <c r="Q16" s="58"/>
      <c r="R16" s="58"/>
      <c r="S16" s="58"/>
      <c r="T16" s="58"/>
      <c r="U16" s="58"/>
      <c r="V16" s="58"/>
      <c r="W16" s="58"/>
      <c r="X16" s="58"/>
      <c r="Y16" s="58"/>
      <c r="Z16" s="58"/>
    </row>
    <row r="17">
      <c r="A17" s="12" t="s">
        <v>3413</v>
      </c>
      <c r="B17" s="12" t="s">
        <v>3414</v>
      </c>
      <c r="C17" s="12" t="s">
        <v>3415</v>
      </c>
      <c r="D17" s="29" t="s">
        <v>3416</v>
      </c>
      <c r="E17" s="86"/>
      <c r="F17" s="58"/>
      <c r="G17" s="58"/>
      <c r="H17" s="58"/>
      <c r="I17" s="58"/>
      <c r="J17" s="58"/>
      <c r="K17" s="58"/>
      <c r="L17" s="58"/>
      <c r="M17" s="58"/>
      <c r="N17" s="58"/>
      <c r="O17" s="58"/>
      <c r="P17" s="58"/>
      <c r="Q17" s="58"/>
      <c r="R17" s="58"/>
      <c r="S17" s="58"/>
      <c r="T17" s="58"/>
      <c r="U17" s="58"/>
      <c r="V17" s="58"/>
      <c r="W17" s="58"/>
      <c r="X17" s="58"/>
      <c r="Y17" s="58"/>
      <c r="Z17" s="58"/>
    </row>
    <row r="18">
      <c r="A18" s="12" t="s">
        <v>3421</v>
      </c>
      <c r="B18" s="12" t="s">
        <v>3422</v>
      </c>
      <c r="C18" s="12" t="s">
        <v>3423</v>
      </c>
      <c r="D18" s="29" t="s">
        <v>3424</v>
      </c>
      <c r="E18" s="86"/>
      <c r="F18" s="58"/>
      <c r="G18" s="58"/>
      <c r="H18" s="58"/>
      <c r="I18" s="58"/>
      <c r="J18" s="58"/>
      <c r="K18" s="58"/>
      <c r="L18" s="58"/>
      <c r="M18" s="58"/>
      <c r="N18" s="58"/>
      <c r="O18" s="58"/>
      <c r="P18" s="58"/>
      <c r="Q18" s="58"/>
      <c r="R18" s="58"/>
      <c r="S18" s="58"/>
      <c r="T18" s="58"/>
      <c r="U18" s="58"/>
      <c r="V18" s="58"/>
      <c r="W18" s="58"/>
      <c r="X18" s="58"/>
      <c r="Y18" s="58"/>
      <c r="Z18" s="58"/>
    </row>
    <row r="19">
      <c r="A19" s="12" t="s">
        <v>3425</v>
      </c>
      <c r="B19" s="12" t="s">
        <v>3426</v>
      </c>
      <c r="C19" s="12" t="s">
        <v>3427</v>
      </c>
      <c r="D19" s="29" t="s">
        <v>3428</v>
      </c>
      <c r="E19" s="86"/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</row>
    <row r="20">
      <c r="A20" s="12" t="s">
        <v>3429</v>
      </c>
      <c r="B20" s="12" t="s">
        <v>3430</v>
      </c>
      <c r="C20" s="12" t="s">
        <v>3431</v>
      </c>
      <c r="D20" s="29" t="s">
        <v>3432</v>
      </c>
      <c r="E20" s="12" t="s">
        <v>3433</v>
      </c>
      <c r="F20" s="58"/>
      <c r="G20" s="58"/>
      <c r="H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</row>
    <row r="21" ht="15.75" customHeight="1">
      <c r="A21" s="48" t="s">
        <v>3434</v>
      </c>
      <c r="B21" s="48" t="s">
        <v>3435</v>
      </c>
      <c r="C21" s="11" t="s">
        <v>3436</v>
      </c>
      <c r="D21" s="27" t="s">
        <v>3437</v>
      </c>
      <c r="E21" s="11" t="s">
        <v>3433</v>
      </c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t="15.75" customHeight="1">
      <c r="A22" s="12" t="s">
        <v>3438</v>
      </c>
      <c r="B22" s="12" t="s">
        <v>3439</v>
      </c>
      <c r="C22" s="12" t="s">
        <v>3440</v>
      </c>
      <c r="D22" s="29" t="s">
        <v>3441</v>
      </c>
      <c r="E22" s="86"/>
      <c r="F22" s="58"/>
      <c r="G22" s="58"/>
      <c r="H22" s="58"/>
      <c r="I22" s="58"/>
      <c r="J22" s="58"/>
      <c r="K22" s="58"/>
      <c r="L22" s="58"/>
      <c r="M22" s="58"/>
      <c r="N22" s="58"/>
      <c r="O22" s="58"/>
      <c r="P22" s="58"/>
      <c r="Q22" s="58"/>
      <c r="R22" s="58"/>
      <c r="S22" s="58"/>
      <c r="T22" s="58"/>
      <c r="U22" s="58"/>
      <c r="V22" s="58"/>
      <c r="W22" s="58"/>
      <c r="X22" s="58"/>
      <c r="Y22" s="58"/>
      <c r="Z22" s="58"/>
    </row>
    <row r="23" ht="15.75" customHeight="1">
      <c r="A23" s="12" t="s">
        <v>3442</v>
      </c>
      <c r="B23" s="12" t="s">
        <v>3443</v>
      </c>
      <c r="C23" s="12" t="s">
        <v>3444</v>
      </c>
      <c r="D23" s="29" t="s">
        <v>3445</v>
      </c>
      <c r="E23" s="86"/>
      <c r="F23" s="58"/>
      <c r="G23" s="58"/>
      <c r="H23" s="58"/>
      <c r="I23" s="58"/>
      <c r="J23" s="58"/>
      <c r="K23" s="58"/>
      <c r="L23" s="58"/>
      <c r="M23" s="58"/>
      <c r="N23" s="58"/>
      <c r="O23" s="58"/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</row>
    <row r="24" ht="15.75" customHeight="1">
      <c r="A24" s="12" t="s">
        <v>3446</v>
      </c>
      <c r="B24" s="12" t="s">
        <v>3446</v>
      </c>
      <c r="C24" s="12" t="s">
        <v>3448</v>
      </c>
      <c r="D24" s="29" t="s">
        <v>3450</v>
      </c>
      <c r="E24" s="86"/>
      <c r="F24" s="58"/>
      <c r="G24" s="58"/>
      <c r="H24" s="58"/>
      <c r="I24" s="58"/>
      <c r="J24" s="58"/>
      <c r="K24" s="58"/>
      <c r="L24" s="58"/>
      <c r="M24" s="58"/>
      <c r="N24" s="58"/>
      <c r="O24" s="58"/>
      <c r="P24" s="58"/>
      <c r="Q24" s="58"/>
      <c r="R24" s="58"/>
      <c r="S24" s="58"/>
      <c r="T24" s="58"/>
      <c r="U24" s="58"/>
      <c r="V24" s="58"/>
      <c r="W24" s="58"/>
      <c r="X24" s="58"/>
      <c r="Y24" s="58"/>
      <c r="Z24" s="58"/>
    </row>
    <row r="25" ht="15.75" customHeight="1">
      <c r="A25" s="12" t="s">
        <v>3453</v>
      </c>
      <c r="B25" s="12" t="s">
        <v>3454</v>
      </c>
      <c r="C25" s="12" t="s">
        <v>3455</v>
      </c>
      <c r="D25" s="29" t="s">
        <v>3456</v>
      </c>
      <c r="E25" s="86"/>
      <c r="F25" s="58"/>
      <c r="G25" s="58"/>
      <c r="H25" s="58"/>
      <c r="I25" s="58"/>
      <c r="J25" s="58"/>
      <c r="K25" s="58"/>
      <c r="L25" s="58"/>
      <c r="M25" s="58"/>
      <c r="N25" s="58"/>
      <c r="O25" s="58"/>
      <c r="P25" s="58"/>
      <c r="Q25" s="58"/>
      <c r="R25" s="58"/>
      <c r="S25" s="58"/>
      <c r="T25" s="58"/>
      <c r="U25" s="58"/>
      <c r="V25" s="58"/>
      <c r="W25" s="58"/>
      <c r="X25" s="58"/>
      <c r="Y25" s="58"/>
      <c r="Z25" s="58"/>
    </row>
    <row r="26" ht="15.75" customHeight="1">
      <c r="A26" s="12" t="s">
        <v>3459</v>
      </c>
      <c r="B26" s="12" t="s">
        <v>3459</v>
      </c>
      <c r="C26" s="12" t="s">
        <v>3461</v>
      </c>
      <c r="D26" s="29" t="s">
        <v>3462</v>
      </c>
      <c r="E26" s="86"/>
      <c r="F26" s="58"/>
      <c r="G26" s="58"/>
      <c r="H26" s="58"/>
      <c r="I26" s="58"/>
      <c r="J26" s="58"/>
      <c r="K26" s="58"/>
      <c r="L26" s="58"/>
      <c r="M26" s="58"/>
      <c r="N26" s="58"/>
      <c r="O26" s="58"/>
      <c r="P26" s="58"/>
      <c r="Q26" s="58"/>
      <c r="R26" s="58"/>
      <c r="S26" s="58"/>
      <c r="T26" s="58"/>
      <c r="U26" s="58"/>
      <c r="V26" s="58"/>
      <c r="W26" s="58"/>
      <c r="X26" s="58"/>
      <c r="Y26" s="58"/>
      <c r="Z26" s="58"/>
    </row>
    <row r="27" ht="15.75" customHeight="1">
      <c r="A27" s="12" t="s">
        <v>3464</v>
      </c>
      <c r="B27" s="12" t="s">
        <v>3464</v>
      </c>
      <c r="C27" s="12" t="s">
        <v>3465</v>
      </c>
      <c r="D27" s="29" t="s">
        <v>3466</v>
      </c>
      <c r="E27" s="86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S27" s="58"/>
      <c r="T27" s="58"/>
      <c r="U27" s="58"/>
      <c r="V27" s="58"/>
      <c r="W27" s="58"/>
      <c r="X27" s="58"/>
      <c r="Y27" s="58"/>
      <c r="Z27" s="58"/>
    </row>
    <row r="28" ht="15.75" customHeight="1">
      <c r="A28" s="12" t="s">
        <v>3471</v>
      </c>
      <c r="B28" s="12" t="s">
        <v>3472</v>
      </c>
      <c r="C28" s="12" t="s">
        <v>3473</v>
      </c>
      <c r="D28" s="29" t="s">
        <v>3474</v>
      </c>
      <c r="E28" s="12" t="s">
        <v>3475</v>
      </c>
      <c r="F28" s="58"/>
      <c r="G28" s="58"/>
      <c r="H28" s="58"/>
      <c r="I28" s="58"/>
      <c r="J28" s="58"/>
      <c r="K28" s="58"/>
      <c r="L28" s="58"/>
      <c r="M28" s="58"/>
      <c r="N28" s="58"/>
      <c r="O28" s="58"/>
      <c r="P28" s="58"/>
      <c r="Q28" s="58"/>
      <c r="R28" s="58"/>
      <c r="S28" s="58"/>
      <c r="T28" s="58"/>
      <c r="U28" s="58"/>
      <c r="V28" s="58"/>
      <c r="W28" s="58"/>
      <c r="X28" s="58"/>
      <c r="Y28" s="58"/>
      <c r="Z28" s="58"/>
    </row>
    <row r="29" ht="15.75" customHeight="1">
      <c r="A29" s="12" t="s">
        <v>3478</v>
      </c>
      <c r="B29" s="12" t="s">
        <v>3480</v>
      </c>
      <c r="C29" s="12" t="s">
        <v>3481</v>
      </c>
      <c r="D29" s="29" t="s">
        <v>3483</v>
      </c>
      <c r="E29" s="86"/>
      <c r="F29" s="58"/>
      <c r="G29" s="58"/>
      <c r="H29" s="58"/>
      <c r="I29" s="58"/>
      <c r="J29" s="58"/>
      <c r="K29" s="58"/>
      <c r="L29" s="58"/>
      <c r="M29" s="58"/>
      <c r="N29" s="58"/>
      <c r="O29" s="58"/>
      <c r="P29" s="58"/>
      <c r="Q29" s="58"/>
      <c r="R29" s="58"/>
      <c r="S29" s="58"/>
      <c r="T29" s="58"/>
      <c r="U29" s="58"/>
      <c r="V29" s="58"/>
      <c r="W29" s="58"/>
      <c r="X29" s="58"/>
      <c r="Y29" s="58"/>
      <c r="Z29" s="58"/>
    </row>
    <row r="30" ht="15.75" customHeight="1">
      <c r="A30" s="56" t="s">
        <v>3484</v>
      </c>
      <c r="B30" s="56" t="s">
        <v>3485</v>
      </c>
      <c r="C30" s="12" t="s">
        <v>3486</v>
      </c>
      <c r="D30" s="29" t="s">
        <v>3487</v>
      </c>
      <c r="E30" s="56" t="s">
        <v>3489</v>
      </c>
      <c r="F30" s="58"/>
      <c r="G30" s="58"/>
      <c r="H30" s="58"/>
      <c r="I30" s="58"/>
      <c r="J30" s="58"/>
      <c r="K30" s="58"/>
      <c r="L30" s="58"/>
      <c r="M30" s="58"/>
      <c r="N30" s="58"/>
      <c r="O30" s="58"/>
      <c r="P30" s="58"/>
      <c r="Q30" s="58"/>
      <c r="R30" s="58"/>
      <c r="S30" s="58"/>
      <c r="T30" s="58"/>
      <c r="U30" s="58"/>
      <c r="V30" s="58"/>
      <c r="W30" s="58"/>
      <c r="X30" s="58"/>
      <c r="Y30" s="58"/>
      <c r="Z30" s="58"/>
    </row>
    <row r="31" ht="15.75" customHeight="1">
      <c r="A31" s="56" t="s">
        <v>3492</v>
      </c>
      <c r="B31" s="56" t="s">
        <v>3493</v>
      </c>
      <c r="C31" s="12" t="s">
        <v>3494</v>
      </c>
      <c r="D31" s="29" t="s">
        <v>3495</v>
      </c>
      <c r="E31" s="56" t="s">
        <v>3496</v>
      </c>
      <c r="F31" s="58"/>
      <c r="G31" s="58"/>
      <c r="H31" s="58"/>
      <c r="I31" s="58"/>
      <c r="J31" s="58"/>
      <c r="K31" s="58"/>
      <c r="L31" s="58"/>
      <c r="M31" s="58"/>
      <c r="N31" s="58"/>
      <c r="O31" s="58"/>
      <c r="P31" s="58"/>
      <c r="Q31" s="58"/>
      <c r="R31" s="58"/>
      <c r="S31" s="58"/>
      <c r="T31" s="58"/>
      <c r="U31" s="58"/>
      <c r="V31" s="58"/>
      <c r="W31" s="58"/>
      <c r="X31" s="58"/>
      <c r="Y31" s="58"/>
      <c r="Z31" s="58"/>
    </row>
    <row r="32" ht="15.75" customHeight="1">
      <c r="A32" s="56" t="s">
        <v>3498</v>
      </c>
      <c r="B32" s="56" t="s">
        <v>3500</v>
      </c>
      <c r="C32" s="12" t="s">
        <v>3501</v>
      </c>
      <c r="D32" s="29" t="s">
        <v>3503</v>
      </c>
      <c r="E32" s="56" t="s">
        <v>3504</v>
      </c>
      <c r="F32" s="58"/>
      <c r="G32" s="58"/>
      <c r="H32" s="58"/>
      <c r="I32" s="58"/>
      <c r="J32" s="58"/>
      <c r="K32" s="58"/>
      <c r="L32" s="58"/>
      <c r="M32" s="58"/>
      <c r="N32" s="58"/>
      <c r="O32" s="58"/>
      <c r="P32" s="58"/>
      <c r="Q32" s="58"/>
      <c r="R32" s="58"/>
      <c r="S32" s="58"/>
      <c r="T32" s="58"/>
      <c r="U32" s="58"/>
      <c r="V32" s="58"/>
      <c r="W32" s="58"/>
      <c r="X32" s="58"/>
      <c r="Y32" s="58"/>
      <c r="Z32" s="58"/>
    </row>
    <row r="33" ht="15.75" customHeight="1">
      <c r="A33" s="12" t="s">
        <v>3506</v>
      </c>
      <c r="B33" s="12" t="s">
        <v>3507</v>
      </c>
      <c r="C33" s="12" t="s">
        <v>3473</v>
      </c>
      <c r="D33" s="29" t="s">
        <v>3474</v>
      </c>
      <c r="E33" s="12" t="s">
        <v>3475</v>
      </c>
      <c r="F33" s="58"/>
      <c r="G33" s="58"/>
      <c r="H33" s="58"/>
      <c r="I33" s="58"/>
      <c r="J33" s="58"/>
      <c r="K33" s="58"/>
      <c r="L33" s="58"/>
      <c r="M33" s="58"/>
      <c r="N33" s="58"/>
      <c r="O33" s="58"/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 ht="15.75" customHeight="1">
      <c r="A34" s="12" t="s">
        <v>3511</v>
      </c>
      <c r="B34" s="12" t="s">
        <v>3513</v>
      </c>
      <c r="C34" s="12" t="s">
        <v>3514</v>
      </c>
      <c r="D34" s="29" t="s">
        <v>3515</v>
      </c>
      <c r="E34" s="12" t="s">
        <v>3516</v>
      </c>
      <c r="F34" s="58"/>
      <c r="G34" s="58"/>
      <c r="H34" s="58"/>
      <c r="I34" s="58"/>
      <c r="J34" s="58"/>
      <c r="K34" s="58"/>
      <c r="L34" s="58"/>
      <c r="M34" s="58"/>
      <c r="N34" s="58"/>
      <c r="O34" s="58"/>
      <c r="P34" s="58"/>
      <c r="Q34" s="58"/>
      <c r="R34" s="58"/>
      <c r="S34" s="58"/>
      <c r="T34" s="58"/>
      <c r="U34" s="58"/>
      <c r="V34" s="58"/>
      <c r="W34" s="58"/>
      <c r="X34" s="58"/>
      <c r="Y34" s="58"/>
      <c r="Z34" s="58"/>
    </row>
    <row r="35" ht="15.75" customHeight="1">
      <c r="A35" s="12" t="s">
        <v>3517</v>
      </c>
      <c r="B35" s="12" t="s">
        <v>3518</v>
      </c>
      <c r="C35" s="12" t="s">
        <v>3519</v>
      </c>
      <c r="D35" s="29" t="s">
        <v>3520</v>
      </c>
      <c r="E35" s="12" t="s">
        <v>3521</v>
      </c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S35" s="58"/>
      <c r="T35" s="58"/>
      <c r="U35" s="58"/>
      <c r="V35" s="58"/>
      <c r="W35" s="58"/>
      <c r="X35" s="58"/>
      <c r="Y35" s="58"/>
      <c r="Z35" s="58"/>
    </row>
    <row r="36" ht="15.75" customHeight="1">
      <c r="A36" s="12" t="s">
        <v>3525</v>
      </c>
      <c r="B36" s="12" t="s">
        <v>3526</v>
      </c>
      <c r="C36" s="12" t="s">
        <v>3527</v>
      </c>
      <c r="D36" s="29" t="s">
        <v>3528</v>
      </c>
      <c r="E36" s="12" t="s">
        <v>3516</v>
      </c>
      <c r="F36" s="58"/>
      <c r="G36" s="58"/>
      <c r="H36" s="58"/>
      <c r="I36" s="58"/>
      <c r="J36" s="58"/>
      <c r="K36" s="58"/>
      <c r="L36" s="58"/>
      <c r="M36" s="58"/>
      <c r="N36" s="58"/>
      <c r="O36" s="58"/>
      <c r="P36" s="58"/>
      <c r="Q36" s="58"/>
      <c r="R36" s="58"/>
      <c r="S36" s="58"/>
      <c r="T36" s="58"/>
      <c r="U36" s="58"/>
      <c r="V36" s="58"/>
      <c r="W36" s="58"/>
      <c r="X36" s="58"/>
      <c r="Y36" s="58"/>
      <c r="Z36" s="58"/>
    </row>
    <row r="37" ht="15.75" customHeight="1">
      <c r="A37" s="12" t="s">
        <v>3532</v>
      </c>
      <c r="B37" s="12" t="s">
        <v>3533</v>
      </c>
      <c r="C37" s="12" t="s">
        <v>3535</v>
      </c>
      <c r="D37" s="29" t="s">
        <v>3536</v>
      </c>
      <c r="E37" s="12" t="s">
        <v>3516</v>
      </c>
      <c r="F37" s="58"/>
      <c r="G37" s="58"/>
      <c r="H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</row>
    <row r="38" ht="15.75" customHeight="1">
      <c r="A38" s="56" t="s">
        <v>3537</v>
      </c>
      <c r="B38" s="56" t="s">
        <v>3538</v>
      </c>
      <c r="C38" s="12" t="s">
        <v>3539</v>
      </c>
      <c r="D38" s="29" t="s">
        <v>3541</v>
      </c>
      <c r="E38" s="56" t="s">
        <v>3543</v>
      </c>
      <c r="F38" s="58"/>
      <c r="G38" s="58"/>
      <c r="H38" s="58"/>
      <c r="I38" s="58"/>
      <c r="J38" s="58"/>
      <c r="K38" s="58"/>
      <c r="L38" s="58"/>
      <c r="M38" s="58"/>
      <c r="N38" s="58"/>
      <c r="O38" s="58"/>
      <c r="P38" s="58"/>
      <c r="Q38" s="58"/>
      <c r="R38" s="58"/>
      <c r="S38" s="58"/>
      <c r="T38" s="58"/>
      <c r="U38" s="58"/>
      <c r="V38" s="58"/>
      <c r="W38" s="58"/>
      <c r="X38" s="58"/>
      <c r="Y38" s="58"/>
      <c r="Z38" s="58"/>
    </row>
    <row r="39" ht="15.75" customHeight="1">
      <c r="A39" s="56" t="s">
        <v>3546</v>
      </c>
      <c r="B39" s="56" t="s">
        <v>3547</v>
      </c>
      <c r="C39" s="12" t="s">
        <v>3548</v>
      </c>
      <c r="D39" s="29" t="s">
        <v>3549</v>
      </c>
      <c r="E39" s="56" t="s">
        <v>3551</v>
      </c>
      <c r="F39" s="58"/>
      <c r="G39" s="58"/>
      <c r="H39" s="58"/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</row>
    <row r="40" ht="15.75" customHeight="1">
      <c r="A40" s="56" t="s">
        <v>3555</v>
      </c>
      <c r="B40" s="56" t="s">
        <v>3556</v>
      </c>
      <c r="C40" s="12" t="s">
        <v>3557</v>
      </c>
      <c r="D40" s="29" t="s">
        <v>3558</v>
      </c>
      <c r="E40" s="56" t="s">
        <v>3560</v>
      </c>
      <c r="F40" s="58"/>
      <c r="G40" s="58"/>
      <c r="H40" s="58"/>
      <c r="I40" s="58"/>
      <c r="J40" s="58"/>
      <c r="K40" s="58"/>
      <c r="L40" s="58"/>
      <c r="M40" s="58"/>
      <c r="N40" s="58"/>
      <c r="O40" s="58"/>
      <c r="P40" s="58"/>
      <c r="Q40" s="58"/>
      <c r="R40" s="58"/>
      <c r="S40" s="58"/>
      <c r="T40" s="58"/>
      <c r="U40" s="58"/>
      <c r="V40" s="58"/>
      <c r="W40" s="58"/>
      <c r="X40" s="58"/>
      <c r="Y40" s="58"/>
      <c r="Z40" s="58"/>
    </row>
    <row r="41" ht="15.75" customHeight="1">
      <c r="A41" s="12" t="s">
        <v>3564</v>
      </c>
      <c r="B41" s="12" t="s">
        <v>3565</v>
      </c>
      <c r="C41" s="12" t="s">
        <v>3566</v>
      </c>
      <c r="D41" s="29" t="s">
        <v>3569</v>
      </c>
      <c r="E41" s="12" t="s">
        <v>3433</v>
      </c>
      <c r="F41" s="58"/>
      <c r="G41" s="58"/>
      <c r="H41" s="58"/>
      <c r="I41" s="58"/>
      <c r="J41" s="58"/>
      <c r="K41" s="58"/>
      <c r="L41" s="58"/>
      <c r="M41" s="58"/>
      <c r="N41" s="58"/>
      <c r="O41" s="58"/>
      <c r="P41" s="58"/>
      <c r="Q41" s="58"/>
      <c r="R41" s="58"/>
      <c r="S41" s="58"/>
      <c r="T41" s="58"/>
      <c r="U41" s="58"/>
      <c r="V41" s="58"/>
      <c r="W41" s="58"/>
      <c r="X41" s="58"/>
      <c r="Y41" s="58"/>
      <c r="Z41" s="58"/>
    </row>
    <row r="42" ht="15.75" customHeight="1">
      <c r="A42" s="29" t="s">
        <v>3572</v>
      </c>
      <c r="B42" s="29" t="s">
        <v>3573</v>
      </c>
      <c r="C42" s="29" t="s">
        <v>3575</v>
      </c>
      <c r="D42" s="29" t="s">
        <v>3577</v>
      </c>
      <c r="E42" s="29" t="s">
        <v>3579</v>
      </c>
      <c r="F42" s="58"/>
      <c r="G42" s="58"/>
      <c r="H42" s="58"/>
      <c r="I42" s="58"/>
      <c r="J42" s="58"/>
      <c r="K42" s="58"/>
      <c r="L42" s="58"/>
      <c r="M42" s="58"/>
      <c r="N42" s="58"/>
      <c r="O42" s="58"/>
      <c r="P42" s="58"/>
      <c r="Q42" s="58"/>
      <c r="R42" s="58"/>
      <c r="S42" s="58"/>
      <c r="T42" s="58"/>
      <c r="U42" s="58"/>
      <c r="V42" s="58"/>
      <c r="W42" s="58"/>
      <c r="X42" s="58"/>
      <c r="Y42" s="58"/>
      <c r="Z42" s="58"/>
    </row>
    <row r="43" ht="15.75" customHeight="1">
      <c r="A43" s="12" t="s">
        <v>3580</v>
      </c>
      <c r="B43" s="12" t="s">
        <v>3582</v>
      </c>
      <c r="C43" s="12" t="s">
        <v>3584</v>
      </c>
      <c r="D43" s="29" t="s">
        <v>3586</v>
      </c>
      <c r="E43" s="12" t="s">
        <v>3433</v>
      </c>
      <c r="F43" s="58"/>
      <c r="G43" s="58"/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 ht="15.75" customHeight="1">
      <c r="A44" s="56" t="s">
        <v>3588</v>
      </c>
      <c r="B44" s="56" t="s">
        <v>3590</v>
      </c>
      <c r="C44" s="12" t="s">
        <v>3592</v>
      </c>
      <c r="D44" s="29" t="s">
        <v>3595</v>
      </c>
      <c r="E44" s="56" t="s">
        <v>3596</v>
      </c>
      <c r="F44" s="58"/>
      <c r="G44" s="58"/>
      <c r="H44" s="58"/>
      <c r="I44" s="58"/>
      <c r="J44" s="58"/>
      <c r="K44" s="58"/>
      <c r="L44" s="58"/>
      <c r="M44" s="58"/>
      <c r="N44" s="58"/>
      <c r="O44" s="58"/>
      <c r="P44" s="58"/>
      <c r="Q44" s="58"/>
      <c r="R44" s="58"/>
      <c r="S44" s="58"/>
      <c r="T44" s="58"/>
      <c r="U44" s="58"/>
      <c r="V44" s="58"/>
      <c r="W44" s="58"/>
      <c r="X44" s="58"/>
      <c r="Y44" s="58"/>
      <c r="Z44" s="58"/>
    </row>
    <row r="45" ht="15.75" customHeight="1">
      <c r="A45" s="56" t="s">
        <v>3598</v>
      </c>
      <c r="B45" s="56" t="s">
        <v>3600</v>
      </c>
      <c r="C45" s="12" t="s">
        <v>3602</v>
      </c>
      <c r="D45" s="29" t="s">
        <v>3603</v>
      </c>
      <c r="E45" s="56" t="s">
        <v>3604</v>
      </c>
      <c r="F45" s="58"/>
      <c r="G45" s="58"/>
      <c r="H45" s="58"/>
      <c r="I45" s="58"/>
      <c r="J45" s="58"/>
      <c r="K45" s="58"/>
      <c r="L45" s="58"/>
      <c r="M45" s="58"/>
      <c r="N45" s="58"/>
      <c r="O45" s="58"/>
      <c r="P45" s="58"/>
      <c r="Q45" s="58"/>
      <c r="R45" s="58"/>
      <c r="S45" s="58"/>
      <c r="T45" s="58"/>
      <c r="U45" s="58"/>
      <c r="V45" s="58"/>
      <c r="W45" s="58"/>
      <c r="X45" s="58"/>
      <c r="Y45" s="58"/>
      <c r="Z45" s="58"/>
    </row>
    <row r="46" ht="15.75" customHeight="1">
      <c r="A46" s="56" t="s">
        <v>3606</v>
      </c>
      <c r="B46" s="56" t="s">
        <v>3607</v>
      </c>
      <c r="C46" s="12" t="s">
        <v>3608</v>
      </c>
      <c r="D46" s="29" t="s">
        <v>3609</v>
      </c>
      <c r="E46" s="56" t="s">
        <v>3610</v>
      </c>
      <c r="F46" s="58"/>
      <c r="G46" s="58"/>
      <c r="H46" s="58"/>
      <c r="I46" s="58"/>
      <c r="J46" s="58"/>
      <c r="K46" s="58"/>
      <c r="L46" s="58"/>
      <c r="M46" s="58"/>
      <c r="N46" s="58"/>
      <c r="O46" s="58"/>
      <c r="P46" s="58"/>
      <c r="Q46" s="58"/>
      <c r="R46" s="58"/>
      <c r="S46" s="58"/>
      <c r="T46" s="58"/>
      <c r="U46" s="58"/>
      <c r="V46" s="58"/>
      <c r="W46" s="58"/>
      <c r="X46" s="58"/>
      <c r="Y46" s="58"/>
      <c r="Z46" s="58"/>
    </row>
    <row r="47" ht="15.75" customHeight="1">
      <c r="A47" s="11" t="s">
        <v>3611</v>
      </c>
      <c r="B47" s="11" t="s">
        <v>3612</v>
      </c>
      <c r="C47" s="11" t="s">
        <v>3613</v>
      </c>
      <c r="D47" s="27" t="s">
        <v>3614</v>
      </c>
      <c r="E47" s="11" t="s">
        <v>3615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5.75" customHeight="1">
      <c r="A48" s="12" t="s">
        <v>3616</v>
      </c>
      <c r="B48" s="12" t="s">
        <v>3617</v>
      </c>
      <c r="C48" s="12" t="s">
        <v>3618</v>
      </c>
      <c r="D48" s="29" t="s">
        <v>3619</v>
      </c>
      <c r="E48" s="12" t="s">
        <v>3433</v>
      </c>
      <c r="F48" s="58"/>
      <c r="G48" s="58"/>
      <c r="H48" s="58"/>
      <c r="I48" s="58"/>
      <c r="J48" s="58"/>
      <c r="K48" s="58"/>
      <c r="L48" s="58"/>
      <c r="M48" s="58"/>
      <c r="N48" s="58"/>
      <c r="O48" s="58"/>
      <c r="P48" s="58"/>
      <c r="Q48" s="58"/>
      <c r="R48" s="58"/>
      <c r="S48" s="58"/>
      <c r="T48" s="58"/>
      <c r="U48" s="58"/>
      <c r="V48" s="58"/>
      <c r="W48" s="58"/>
      <c r="X48" s="58"/>
      <c r="Y48" s="58"/>
      <c r="Z48" s="58"/>
    </row>
    <row r="49" ht="15.75" customHeight="1">
      <c r="A49" s="12" t="s">
        <v>3620</v>
      </c>
      <c r="B49" s="12" t="s">
        <v>3620</v>
      </c>
      <c r="C49" s="12" t="s">
        <v>3621</v>
      </c>
      <c r="D49" s="29" t="s">
        <v>3622</v>
      </c>
      <c r="E49" s="86"/>
      <c r="F49" s="58"/>
      <c r="G49" s="58"/>
      <c r="H49" s="58"/>
      <c r="I49" s="58"/>
      <c r="J49" s="58"/>
      <c r="K49" s="58"/>
      <c r="L49" s="58"/>
      <c r="M49" s="58"/>
      <c r="N49" s="58"/>
      <c r="O49" s="58"/>
      <c r="P49" s="58"/>
      <c r="Q49" s="58"/>
      <c r="R49" s="58"/>
      <c r="S49" s="58"/>
      <c r="T49" s="58"/>
      <c r="U49" s="58"/>
      <c r="V49" s="58"/>
      <c r="W49" s="58"/>
      <c r="X49" s="58"/>
      <c r="Y49" s="58"/>
      <c r="Z49" s="58"/>
    </row>
    <row r="50" ht="15.75" customHeight="1">
      <c r="A50" s="12" t="s">
        <v>3623</v>
      </c>
      <c r="B50" s="12" t="s">
        <v>3623</v>
      </c>
      <c r="C50" s="12" t="s">
        <v>3624</v>
      </c>
      <c r="D50" s="29" t="s">
        <v>3625</v>
      </c>
      <c r="E50" s="86"/>
      <c r="F50" s="58"/>
      <c r="G50" s="58"/>
      <c r="H50" s="58"/>
      <c r="I50" s="58"/>
      <c r="J50" s="58"/>
      <c r="K50" s="58"/>
      <c r="L50" s="58"/>
      <c r="M50" s="58"/>
      <c r="N50" s="58"/>
      <c r="O50" s="58"/>
      <c r="P50" s="58"/>
      <c r="Q50" s="58"/>
      <c r="R50" s="58"/>
      <c r="S50" s="58"/>
      <c r="T50" s="58"/>
      <c r="U50" s="58"/>
      <c r="V50" s="58"/>
      <c r="W50" s="58"/>
      <c r="X50" s="58"/>
      <c r="Y50" s="58"/>
      <c r="Z50" s="58"/>
    </row>
    <row r="51" ht="15.75" customHeight="1">
      <c r="A51" s="12" t="s">
        <v>3626</v>
      </c>
      <c r="B51" s="12" t="s">
        <v>3627</v>
      </c>
      <c r="C51" s="12" t="s">
        <v>3628</v>
      </c>
      <c r="D51" s="29" t="s">
        <v>3450</v>
      </c>
      <c r="E51" s="86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S51" s="58"/>
      <c r="T51" s="58"/>
      <c r="U51" s="58"/>
      <c r="V51" s="58"/>
      <c r="W51" s="58"/>
      <c r="X51" s="58"/>
      <c r="Y51" s="58"/>
      <c r="Z51" s="58"/>
    </row>
    <row r="52" ht="15.75" customHeight="1">
      <c r="A52" s="12" t="s">
        <v>3629</v>
      </c>
      <c r="B52" s="12" t="s">
        <v>3630</v>
      </c>
      <c r="C52" s="12" t="s">
        <v>3631</v>
      </c>
      <c r="D52" s="29" t="s">
        <v>3456</v>
      </c>
      <c r="E52" s="86"/>
      <c r="F52" s="58"/>
      <c r="G52" s="58"/>
      <c r="H52" s="58"/>
      <c r="I52" s="58"/>
      <c r="J52" s="58"/>
      <c r="K52" s="58"/>
      <c r="L52" s="58"/>
      <c r="M52" s="58"/>
      <c r="N52" s="58"/>
      <c r="O52" s="58"/>
      <c r="P52" s="58"/>
      <c r="Q52" s="58"/>
      <c r="R52" s="58"/>
      <c r="S52" s="58"/>
      <c r="T52" s="58"/>
      <c r="U52" s="58"/>
      <c r="V52" s="58"/>
      <c r="W52" s="58"/>
      <c r="X52" s="58"/>
      <c r="Y52" s="58"/>
      <c r="Z52" s="58"/>
    </row>
    <row r="53" ht="15.75" customHeight="1">
      <c r="A53" s="12" t="s">
        <v>3633</v>
      </c>
      <c r="B53" s="12" t="s">
        <v>3634</v>
      </c>
      <c r="C53" s="12" t="s">
        <v>3636</v>
      </c>
      <c r="D53" s="29" t="s">
        <v>3638</v>
      </c>
      <c r="E53" s="12" t="s">
        <v>3639</v>
      </c>
      <c r="F53" s="58"/>
      <c r="G53" s="58"/>
      <c r="H53" s="58"/>
      <c r="I53" s="58"/>
      <c r="J53" s="58"/>
      <c r="K53" s="58"/>
      <c r="L53" s="58"/>
      <c r="M53" s="58"/>
      <c r="N53" s="58"/>
      <c r="O53" s="58"/>
      <c r="P53" s="58"/>
      <c r="Q53" s="58"/>
      <c r="R53" s="58"/>
      <c r="S53" s="58"/>
      <c r="T53" s="58"/>
      <c r="U53" s="58"/>
      <c r="V53" s="58"/>
      <c r="W53" s="58"/>
      <c r="X53" s="58"/>
      <c r="Y53" s="58"/>
      <c r="Z53" s="58"/>
    </row>
    <row r="54" ht="15.75" customHeight="1">
      <c r="A54" s="12" t="s">
        <v>3641</v>
      </c>
      <c r="B54" s="12" t="s">
        <v>3642</v>
      </c>
      <c r="C54" s="12" t="s">
        <v>3643</v>
      </c>
      <c r="D54" s="29" t="s">
        <v>3644</v>
      </c>
      <c r="E54" s="12" t="s">
        <v>3639</v>
      </c>
      <c r="F54" s="58"/>
      <c r="G54" s="58"/>
      <c r="H54" s="58"/>
      <c r="I54" s="58"/>
      <c r="J54" s="58"/>
      <c r="K54" s="58"/>
      <c r="L54" s="58"/>
      <c r="M54" s="58"/>
      <c r="N54" s="58"/>
      <c r="O54" s="58"/>
      <c r="P54" s="58"/>
      <c r="Q54" s="58"/>
      <c r="R54" s="58"/>
      <c r="S54" s="58"/>
      <c r="T54" s="58"/>
      <c r="U54" s="58"/>
      <c r="V54" s="58"/>
      <c r="W54" s="58"/>
      <c r="X54" s="58"/>
      <c r="Y54" s="58"/>
      <c r="Z54" s="58"/>
    </row>
    <row r="55" ht="15.75" customHeight="1">
      <c r="A55" s="12" t="s">
        <v>3645</v>
      </c>
      <c r="B55" s="12" t="s">
        <v>3647</v>
      </c>
      <c r="C55" s="12" t="s">
        <v>3648</v>
      </c>
      <c r="D55" s="29" t="s">
        <v>3651</v>
      </c>
      <c r="E55" s="12" t="s">
        <v>3639</v>
      </c>
      <c r="F55" s="58"/>
      <c r="G55" s="58"/>
      <c r="H55" s="58"/>
      <c r="I55" s="58"/>
      <c r="J55" s="58"/>
      <c r="K55" s="58"/>
      <c r="L55" s="58"/>
      <c r="M55" s="58"/>
      <c r="N55" s="58"/>
      <c r="O55" s="58"/>
      <c r="P55" s="58"/>
      <c r="Q55" s="58"/>
      <c r="R55" s="58"/>
      <c r="S55" s="58"/>
      <c r="T55" s="58"/>
      <c r="U55" s="58"/>
      <c r="V55" s="58"/>
      <c r="W55" s="58"/>
      <c r="X55" s="58"/>
      <c r="Y55" s="58"/>
      <c r="Z55" s="58"/>
    </row>
    <row r="56" ht="15.75" customHeight="1">
      <c r="A56" s="12" t="s">
        <v>3653</v>
      </c>
      <c r="B56" s="12" t="s">
        <v>3653</v>
      </c>
      <c r="C56" s="12" t="s">
        <v>3654</v>
      </c>
      <c r="D56" s="29" t="s">
        <v>3466</v>
      </c>
      <c r="E56" s="86"/>
      <c r="F56" s="58"/>
      <c r="G56" s="58"/>
      <c r="H56" s="58"/>
      <c r="I56" s="58"/>
      <c r="J56" s="58"/>
      <c r="K56" s="58"/>
      <c r="L56" s="58"/>
      <c r="M56" s="58"/>
      <c r="N56" s="58"/>
      <c r="O56" s="58"/>
      <c r="P56" s="58"/>
      <c r="Q56" s="58"/>
      <c r="R56" s="58"/>
      <c r="S56" s="58"/>
      <c r="T56" s="58"/>
      <c r="U56" s="58"/>
      <c r="V56" s="58"/>
      <c r="W56" s="58"/>
      <c r="X56" s="58"/>
      <c r="Y56" s="58"/>
      <c r="Z56" s="58"/>
    </row>
    <row r="57" ht="15.75" customHeight="1">
      <c r="A57" s="11" t="s">
        <v>3655</v>
      </c>
      <c r="B57" s="11" t="s">
        <v>3656</v>
      </c>
      <c r="C57" s="11" t="s">
        <v>3657</v>
      </c>
      <c r="D57" s="27" t="s">
        <v>3658</v>
      </c>
      <c r="E57" s="11" t="s">
        <v>3433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5.75" customHeight="1">
      <c r="A58" s="12" t="s">
        <v>3659</v>
      </c>
      <c r="B58" s="12" t="s">
        <v>3660</v>
      </c>
      <c r="C58" s="12" t="s">
        <v>3661</v>
      </c>
      <c r="D58" s="29" t="s">
        <v>3662</v>
      </c>
      <c r="E58" s="12" t="s">
        <v>3516</v>
      </c>
      <c r="F58" s="58"/>
      <c r="G58" s="58"/>
      <c r="H58" s="58"/>
      <c r="I58" s="58"/>
      <c r="J58" s="58"/>
      <c r="K58" s="58"/>
      <c r="L58" s="58"/>
      <c r="M58" s="58"/>
      <c r="N58" s="58"/>
      <c r="O58" s="58"/>
      <c r="P58" s="58"/>
      <c r="Q58" s="58"/>
      <c r="R58" s="58"/>
      <c r="S58" s="58"/>
      <c r="T58" s="58"/>
      <c r="U58" s="58"/>
      <c r="V58" s="58"/>
      <c r="W58" s="58"/>
      <c r="X58" s="58"/>
      <c r="Y58" s="58"/>
      <c r="Z58" s="58"/>
    </row>
    <row r="59" ht="15.75" customHeight="1">
      <c r="A59" s="56" t="s">
        <v>3663</v>
      </c>
      <c r="B59" s="56" t="s">
        <v>3664</v>
      </c>
      <c r="C59" s="12" t="s">
        <v>3665</v>
      </c>
      <c r="D59" s="29" t="s">
        <v>3666</v>
      </c>
      <c r="E59" s="56" t="s">
        <v>3489</v>
      </c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S59" s="58"/>
      <c r="T59" s="58"/>
      <c r="U59" s="58"/>
      <c r="V59" s="58"/>
      <c r="W59" s="58"/>
      <c r="X59" s="58"/>
      <c r="Y59" s="58"/>
      <c r="Z59" s="58"/>
    </row>
    <row r="60" ht="15.75" customHeight="1">
      <c r="A60" s="56" t="s">
        <v>3667</v>
      </c>
      <c r="B60" s="56" t="s">
        <v>3667</v>
      </c>
      <c r="C60" s="56" t="s">
        <v>3668</v>
      </c>
      <c r="D60" s="29" t="s">
        <v>3669</v>
      </c>
      <c r="E60" s="56" t="s">
        <v>3496</v>
      </c>
      <c r="F60" s="58"/>
      <c r="G60" s="58"/>
      <c r="H60" s="58"/>
      <c r="I60" s="58"/>
      <c r="J60" s="58"/>
      <c r="K60" s="58"/>
      <c r="L60" s="58"/>
      <c r="M60" s="58"/>
      <c r="N60" s="58"/>
      <c r="O60" s="58"/>
      <c r="P60" s="58"/>
      <c r="Q60" s="58"/>
      <c r="R60" s="58"/>
      <c r="S60" s="58"/>
      <c r="T60" s="58"/>
      <c r="U60" s="58"/>
      <c r="V60" s="58"/>
      <c r="W60" s="58"/>
      <c r="X60" s="58"/>
      <c r="Y60" s="58"/>
      <c r="Z60" s="58"/>
    </row>
    <row r="61" ht="15.75" customHeight="1">
      <c r="A61" s="56" t="s">
        <v>3671</v>
      </c>
      <c r="B61" s="56" t="s">
        <v>3673</v>
      </c>
      <c r="C61" s="56" t="s">
        <v>3675</v>
      </c>
      <c r="D61" s="29" t="s">
        <v>3677</v>
      </c>
      <c r="E61" s="56" t="s">
        <v>3504</v>
      </c>
      <c r="F61" s="58"/>
      <c r="G61" s="58"/>
      <c r="H61" s="58"/>
      <c r="I61" s="58"/>
      <c r="J61" s="58"/>
      <c r="K61" s="58"/>
      <c r="L61" s="58"/>
      <c r="M61" s="58"/>
      <c r="N61" s="58"/>
      <c r="O61" s="58"/>
      <c r="P61" s="58"/>
      <c r="Q61" s="58"/>
      <c r="R61" s="58"/>
      <c r="S61" s="58"/>
      <c r="T61" s="58"/>
      <c r="U61" s="58"/>
      <c r="V61" s="58"/>
      <c r="W61" s="58"/>
      <c r="X61" s="58"/>
      <c r="Y61" s="58"/>
      <c r="Z61" s="58"/>
    </row>
    <row r="62" ht="15.75" customHeight="1">
      <c r="A62" s="12" t="s">
        <v>3678</v>
      </c>
      <c r="B62" s="12" t="s">
        <v>3679</v>
      </c>
      <c r="C62" s="12" t="s">
        <v>3680</v>
      </c>
      <c r="D62" s="29" t="s">
        <v>3681</v>
      </c>
      <c r="E62" s="86"/>
      <c r="F62" s="58"/>
      <c r="G62" s="58"/>
      <c r="H62" s="58"/>
      <c r="I62" s="58"/>
      <c r="J62" s="58"/>
      <c r="K62" s="58"/>
      <c r="L62" s="58"/>
      <c r="M62" s="58"/>
      <c r="N62" s="58"/>
      <c r="O62" s="58"/>
      <c r="P62" s="58"/>
      <c r="Q62" s="58"/>
      <c r="R62" s="58"/>
      <c r="S62" s="58"/>
      <c r="T62" s="58"/>
      <c r="U62" s="58"/>
      <c r="V62" s="58"/>
      <c r="W62" s="58"/>
      <c r="X62" s="58"/>
      <c r="Y62" s="58"/>
      <c r="Z62" s="58"/>
    </row>
    <row r="63" ht="15.75" customHeight="1">
      <c r="A63" s="12" t="s">
        <v>3686</v>
      </c>
      <c r="B63" s="12" t="s">
        <v>3687</v>
      </c>
      <c r="C63" s="12" t="s">
        <v>3688</v>
      </c>
      <c r="D63" s="29" t="s">
        <v>3689</v>
      </c>
      <c r="E63" s="86"/>
      <c r="F63" s="58"/>
      <c r="G63" s="58"/>
      <c r="H63" s="58"/>
      <c r="I63" s="58"/>
      <c r="J63" s="58"/>
      <c r="K63" s="58"/>
      <c r="L63" s="58"/>
      <c r="M63" s="58"/>
      <c r="N63" s="58"/>
      <c r="O63" s="58"/>
      <c r="P63" s="58"/>
      <c r="Q63" s="58"/>
      <c r="R63" s="58"/>
      <c r="S63" s="58"/>
      <c r="T63" s="58"/>
      <c r="U63" s="58"/>
      <c r="V63" s="58"/>
      <c r="W63" s="58"/>
      <c r="X63" s="58"/>
      <c r="Y63" s="58"/>
      <c r="Z63" s="58"/>
    </row>
    <row r="64" ht="15.75" customHeight="1">
      <c r="A64" s="12" t="s">
        <v>3690</v>
      </c>
      <c r="B64" s="12" t="s">
        <v>3691</v>
      </c>
      <c r="C64" s="12" t="s">
        <v>3692</v>
      </c>
      <c r="D64" s="29" t="s">
        <v>3693</v>
      </c>
      <c r="E64" s="86"/>
      <c r="F64" s="58"/>
      <c r="G64" s="58"/>
      <c r="H64" s="58"/>
      <c r="I64" s="58"/>
      <c r="J64" s="58"/>
      <c r="K64" s="58"/>
      <c r="L64" s="58"/>
      <c r="M64" s="58"/>
      <c r="N64" s="58"/>
      <c r="O64" s="58"/>
      <c r="P64" s="58"/>
      <c r="Q64" s="58"/>
      <c r="R64" s="58"/>
      <c r="S64" s="58"/>
      <c r="T64" s="58"/>
      <c r="U64" s="58"/>
      <c r="V64" s="58"/>
      <c r="W64" s="58"/>
      <c r="X64" s="58"/>
      <c r="Y64" s="58"/>
      <c r="Z64" s="58"/>
    </row>
    <row r="65" ht="15.75" customHeight="1">
      <c r="A65" s="12" t="s">
        <v>3698</v>
      </c>
      <c r="B65" s="12" t="s">
        <v>3698</v>
      </c>
      <c r="C65" s="12" t="s">
        <v>3699</v>
      </c>
      <c r="D65" s="29" t="s">
        <v>3700</v>
      </c>
      <c r="E65" s="86"/>
      <c r="F65" s="58"/>
      <c r="G65" s="58"/>
      <c r="H65" s="58"/>
      <c r="I65" s="58"/>
      <c r="J65" s="58"/>
      <c r="K65" s="58"/>
      <c r="L65" s="58"/>
      <c r="M65" s="58"/>
      <c r="N65" s="58"/>
      <c r="O65" s="58"/>
      <c r="P65" s="58"/>
      <c r="Q65" s="58"/>
      <c r="R65" s="58"/>
      <c r="S65" s="58"/>
      <c r="T65" s="58"/>
      <c r="U65" s="58"/>
      <c r="V65" s="58"/>
      <c r="W65" s="58"/>
      <c r="X65" s="58"/>
      <c r="Y65" s="58"/>
      <c r="Z65" s="58"/>
    </row>
    <row r="66" ht="15.75" customHeight="1">
      <c r="A66" s="12" t="s">
        <v>3705</v>
      </c>
      <c r="B66" s="12" t="s">
        <v>3706</v>
      </c>
      <c r="C66" s="12" t="s">
        <v>3707</v>
      </c>
      <c r="D66" s="29" t="s">
        <v>3708</v>
      </c>
      <c r="E66" s="86"/>
      <c r="F66" s="58"/>
      <c r="G66" s="58"/>
      <c r="H66" s="58"/>
      <c r="I66" s="58"/>
      <c r="J66" s="58"/>
      <c r="K66" s="58"/>
      <c r="L66" s="58"/>
      <c r="M66" s="58"/>
      <c r="N66" s="58"/>
      <c r="O66" s="58"/>
      <c r="P66" s="58"/>
      <c r="Q66" s="58"/>
      <c r="R66" s="58"/>
      <c r="S66" s="58"/>
      <c r="T66" s="58"/>
      <c r="U66" s="58"/>
      <c r="V66" s="58"/>
      <c r="W66" s="58"/>
      <c r="X66" s="58"/>
      <c r="Y66" s="58"/>
      <c r="Z66" s="58"/>
    </row>
    <row r="67" ht="15.75" customHeight="1">
      <c r="A67" s="12" t="s">
        <v>3709</v>
      </c>
      <c r="B67" s="12" t="s">
        <v>3710</v>
      </c>
      <c r="C67" s="12" t="s">
        <v>3711</v>
      </c>
      <c r="D67" s="29" t="s">
        <v>3712</v>
      </c>
      <c r="E67" s="86"/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S67" s="58"/>
      <c r="T67" s="58"/>
      <c r="U67" s="58"/>
      <c r="V67" s="58"/>
      <c r="W67" s="58"/>
      <c r="X67" s="58"/>
      <c r="Y67" s="58"/>
      <c r="Z67" s="58"/>
    </row>
    <row r="68" ht="15.75" customHeight="1">
      <c r="A68" s="12" t="s">
        <v>3717</v>
      </c>
      <c r="B68" s="12" t="s">
        <v>3718</v>
      </c>
      <c r="C68" s="12" t="s">
        <v>3719</v>
      </c>
      <c r="D68" s="29" t="s">
        <v>3720</v>
      </c>
      <c r="E68" s="12" t="s">
        <v>3433</v>
      </c>
      <c r="F68" s="58"/>
      <c r="G68" s="58"/>
      <c r="H68" s="58"/>
      <c r="I68" s="58"/>
      <c r="J68" s="58"/>
      <c r="K68" s="58"/>
      <c r="L68" s="58"/>
      <c r="M68" s="58"/>
      <c r="N68" s="58"/>
      <c r="O68" s="58"/>
      <c r="P68" s="58"/>
      <c r="Q68" s="58"/>
      <c r="R68" s="58"/>
      <c r="S68" s="58"/>
      <c r="T68" s="58"/>
      <c r="U68" s="58"/>
      <c r="V68" s="58"/>
      <c r="W68" s="58"/>
      <c r="X68" s="58"/>
      <c r="Y68" s="58"/>
      <c r="Z68" s="58"/>
    </row>
    <row r="69" ht="15.75" customHeight="1">
      <c r="A69" s="12" t="s">
        <v>3724</v>
      </c>
      <c r="B69" s="12" t="s">
        <v>3726</v>
      </c>
      <c r="C69" s="12" t="s">
        <v>3727</v>
      </c>
      <c r="D69" s="29" t="s">
        <v>3728</v>
      </c>
      <c r="E69" s="12" t="s">
        <v>3516</v>
      </c>
      <c r="F69" s="58"/>
      <c r="G69" s="58"/>
      <c r="H69" s="58"/>
      <c r="I69" s="58"/>
      <c r="J69" s="58"/>
      <c r="K69" s="58"/>
      <c r="L69" s="58"/>
      <c r="M69" s="58"/>
      <c r="N69" s="58"/>
      <c r="O69" s="58"/>
      <c r="P69" s="58"/>
      <c r="Q69" s="58"/>
      <c r="R69" s="58"/>
      <c r="S69" s="58"/>
      <c r="T69" s="58"/>
      <c r="U69" s="58"/>
      <c r="V69" s="58"/>
      <c r="W69" s="58"/>
      <c r="X69" s="58"/>
      <c r="Y69" s="58"/>
      <c r="Z69" s="58"/>
    </row>
    <row r="70" ht="15.75" customHeight="1">
      <c r="A70" s="56" t="s">
        <v>3729</v>
      </c>
      <c r="B70" s="56" t="s">
        <v>3730</v>
      </c>
      <c r="C70" s="56" t="s">
        <v>3731</v>
      </c>
      <c r="D70" s="29" t="s">
        <v>3732</v>
      </c>
      <c r="E70" s="56" t="s">
        <v>3496</v>
      </c>
      <c r="F70" s="58"/>
      <c r="G70" s="58"/>
      <c r="H70" s="58"/>
      <c r="I70" s="58"/>
      <c r="J70" s="58"/>
      <c r="K70" s="58"/>
      <c r="L70" s="58"/>
      <c r="M70" s="58"/>
      <c r="N70" s="58"/>
      <c r="O70" s="58"/>
      <c r="P70" s="58"/>
      <c r="Q70" s="58"/>
      <c r="R70" s="58"/>
      <c r="S70" s="58"/>
      <c r="T70" s="58"/>
      <c r="U70" s="58"/>
      <c r="V70" s="58"/>
      <c r="W70" s="58"/>
      <c r="X70" s="58"/>
      <c r="Y70" s="58"/>
      <c r="Z70" s="58"/>
    </row>
    <row r="71" ht="15.75" customHeight="1">
      <c r="A71" s="56" t="s">
        <v>3737</v>
      </c>
      <c r="B71" s="56" t="s">
        <v>3738</v>
      </c>
      <c r="C71" s="56" t="s">
        <v>3739</v>
      </c>
      <c r="D71" s="29" t="s">
        <v>3740</v>
      </c>
      <c r="E71" s="56" t="s">
        <v>3489</v>
      </c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S71" s="58"/>
      <c r="T71" s="58"/>
      <c r="U71" s="58"/>
      <c r="V71" s="58"/>
      <c r="W71" s="58"/>
      <c r="X71" s="58"/>
      <c r="Y71" s="58"/>
      <c r="Z71" s="58"/>
    </row>
    <row r="72" ht="15.75" customHeight="1">
      <c r="A72" s="56" t="s">
        <v>3744</v>
      </c>
      <c r="B72" s="56" t="s">
        <v>3745</v>
      </c>
      <c r="C72" s="56" t="s">
        <v>3746</v>
      </c>
      <c r="D72" s="29" t="s">
        <v>3747</v>
      </c>
      <c r="E72" s="56" t="s">
        <v>3504</v>
      </c>
      <c r="F72" s="58"/>
      <c r="G72" s="58"/>
      <c r="H72" s="58"/>
      <c r="I72" s="58"/>
      <c r="J72" s="58"/>
      <c r="K72" s="58"/>
      <c r="L72" s="58"/>
      <c r="M72" s="58"/>
      <c r="N72" s="58"/>
      <c r="O72" s="58"/>
      <c r="P72" s="58"/>
      <c r="Q72" s="58"/>
      <c r="R72" s="58"/>
      <c r="S72" s="58"/>
      <c r="T72" s="58"/>
      <c r="U72" s="58"/>
      <c r="V72" s="58"/>
      <c r="W72" s="58"/>
      <c r="X72" s="58"/>
      <c r="Y72" s="58"/>
      <c r="Z72" s="58"/>
    </row>
    <row r="73" ht="15.75" customHeight="1">
      <c r="A73" s="12" t="s">
        <v>3749</v>
      </c>
      <c r="B73" s="12" t="s">
        <v>3751</v>
      </c>
      <c r="C73" s="12" t="s">
        <v>3753</v>
      </c>
      <c r="D73" s="29" t="s">
        <v>3755</v>
      </c>
      <c r="E73" s="12" t="s">
        <v>3342</v>
      </c>
      <c r="F73" s="58"/>
      <c r="G73" s="58"/>
      <c r="H73" s="58"/>
      <c r="I73" s="58"/>
      <c r="J73" s="58"/>
      <c r="K73" s="58"/>
      <c r="L73" s="58"/>
      <c r="M73" s="58"/>
      <c r="N73" s="58"/>
      <c r="O73" s="58"/>
      <c r="P73" s="58"/>
      <c r="Q73" s="58"/>
      <c r="R73" s="58"/>
      <c r="S73" s="58"/>
      <c r="T73" s="58"/>
      <c r="U73" s="58"/>
      <c r="V73" s="58"/>
      <c r="W73" s="58"/>
      <c r="X73" s="58"/>
      <c r="Y73" s="58"/>
      <c r="Z73" s="58"/>
    </row>
    <row r="74" ht="15.75" customHeight="1">
      <c r="A74" s="11" t="s">
        <v>3756</v>
      </c>
      <c r="B74" s="11" t="s">
        <v>3758</v>
      </c>
      <c r="C74" s="11" t="s">
        <v>3759</v>
      </c>
      <c r="D74" s="27" t="s">
        <v>3761</v>
      </c>
      <c r="E74" s="11" t="s">
        <v>3342</v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5.75" customHeight="1">
      <c r="A75" s="11" t="s">
        <v>3764</v>
      </c>
      <c r="B75" s="11" t="s">
        <v>3765</v>
      </c>
      <c r="C75" s="11" t="s">
        <v>3767</v>
      </c>
      <c r="D75" s="27" t="s">
        <v>3770</v>
      </c>
      <c r="E75" s="11" t="s">
        <v>3342</v>
      </c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5.75" customHeight="1">
      <c r="A76" s="12" t="s">
        <v>3772</v>
      </c>
      <c r="B76" s="12" t="s">
        <v>3773</v>
      </c>
      <c r="C76" s="12" t="s">
        <v>3775</v>
      </c>
      <c r="D76" s="29" t="s">
        <v>3777</v>
      </c>
      <c r="E76" s="86"/>
      <c r="F76" s="58"/>
      <c r="G76" s="58"/>
      <c r="H76" s="58"/>
      <c r="I76" s="58"/>
      <c r="J76" s="58"/>
      <c r="K76" s="58"/>
      <c r="L76" s="58"/>
      <c r="M76" s="58"/>
      <c r="N76" s="58"/>
      <c r="O76" s="58"/>
      <c r="P76" s="58"/>
      <c r="Q76" s="58"/>
      <c r="R76" s="58"/>
      <c r="S76" s="58"/>
      <c r="T76" s="58"/>
      <c r="U76" s="58"/>
      <c r="V76" s="58"/>
      <c r="W76" s="58"/>
      <c r="X76" s="58"/>
      <c r="Y76" s="58"/>
      <c r="Z76" s="58"/>
    </row>
    <row r="77" ht="15.75" customHeight="1">
      <c r="A77" s="12" t="s">
        <v>3780</v>
      </c>
      <c r="B77" s="12" t="s">
        <v>3781</v>
      </c>
      <c r="C77" s="12" t="s">
        <v>3782</v>
      </c>
      <c r="D77" s="29" t="s">
        <v>3784</v>
      </c>
      <c r="E77" s="86"/>
      <c r="F77" s="58"/>
      <c r="G77" s="58"/>
      <c r="H77" s="58"/>
      <c r="I77" s="58"/>
      <c r="J77" s="58"/>
      <c r="K77" s="58"/>
      <c r="L77" s="58"/>
      <c r="M77" s="58"/>
      <c r="N77" s="58"/>
      <c r="O77" s="58"/>
      <c r="P77" s="58"/>
      <c r="Q77" s="58"/>
      <c r="R77" s="58"/>
      <c r="S77" s="58"/>
      <c r="T77" s="58"/>
      <c r="U77" s="58"/>
      <c r="V77" s="58"/>
      <c r="W77" s="58"/>
      <c r="X77" s="58"/>
      <c r="Y77" s="58"/>
      <c r="Z77" s="58"/>
    </row>
    <row r="78" ht="15.75" customHeight="1">
      <c r="A78" s="12" t="s">
        <v>3788</v>
      </c>
      <c r="B78" s="12" t="s">
        <v>3788</v>
      </c>
      <c r="C78" s="12" t="s">
        <v>3789</v>
      </c>
      <c r="D78" s="29" t="s">
        <v>3790</v>
      </c>
      <c r="E78" s="86"/>
      <c r="F78" s="58"/>
      <c r="G78" s="58"/>
      <c r="H78" s="58"/>
      <c r="I78" s="58"/>
      <c r="J78" s="58"/>
      <c r="K78" s="58"/>
      <c r="L78" s="58"/>
      <c r="M78" s="58"/>
      <c r="N78" s="58"/>
      <c r="O78" s="58"/>
      <c r="P78" s="58"/>
      <c r="Q78" s="58"/>
      <c r="R78" s="58"/>
      <c r="S78" s="58"/>
      <c r="T78" s="58"/>
      <c r="U78" s="58"/>
      <c r="V78" s="58"/>
      <c r="W78" s="58"/>
      <c r="X78" s="58"/>
      <c r="Y78" s="58"/>
      <c r="Z78" s="58"/>
    </row>
    <row r="79" ht="15.75" customHeight="1">
      <c r="A79" s="12" t="s">
        <v>3795</v>
      </c>
      <c r="B79" s="12" t="s">
        <v>3795</v>
      </c>
      <c r="C79" s="12" t="s">
        <v>3796</v>
      </c>
      <c r="D79" s="29" t="s">
        <v>3797</v>
      </c>
      <c r="E79" s="86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S79" s="58"/>
      <c r="T79" s="58"/>
      <c r="U79" s="58"/>
      <c r="V79" s="58"/>
      <c r="W79" s="58"/>
      <c r="X79" s="58"/>
      <c r="Y79" s="58"/>
      <c r="Z79" s="58"/>
    </row>
    <row r="80" ht="15.75" customHeight="1">
      <c r="A80" s="12" t="s">
        <v>3801</v>
      </c>
      <c r="B80" s="12" t="s">
        <v>3803</v>
      </c>
      <c r="C80" s="12" t="s">
        <v>3804</v>
      </c>
      <c r="D80" s="29" t="s">
        <v>3805</v>
      </c>
      <c r="E80" s="86"/>
      <c r="F80" s="58"/>
      <c r="G80" s="58"/>
      <c r="H80" s="58"/>
      <c r="I80" s="58"/>
      <c r="J80" s="58"/>
      <c r="K80" s="58"/>
      <c r="L80" s="58"/>
      <c r="M80" s="58"/>
      <c r="N80" s="58"/>
      <c r="O80" s="58"/>
      <c r="P80" s="58"/>
      <c r="Q80" s="58"/>
      <c r="R80" s="58"/>
      <c r="S80" s="58"/>
      <c r="T80" s="58"/>
      <c r="U80" s="58"/>
      <c r="V80" s="58"/>
      <c r="W80" s="58"/>
      <c r="X80" s="58"/>
      <c r="Y80" s="58"/>
      <c r="Z80" s="58"/>
    </row>
    <row r="81" ht="15.75" customHeight="1">
      <c r="A81" s="12" t="s">
        <v>3807</v>
      </c>
      <c r="B81" s="12" t="s">
        <v>3807</v>
      </c>
      <c r="C81" s="12" t="s">
        <v>3810</v>
      </c>
      <c r="D81" s="29" t="s">
        <v>3811</v>
      </c>
      <c r="E81" s="86"/>
      <c r="F81" s="58"/>
      <c r="G81" s="58"/>
      <c r="H81" s="58"/>
      <c r="I81" s="58"/>
      <c r="J81" s="58"/>
      <c r="K81" s="58"/>
      <c r="L81" s="58"/>
      <c r="M81" s="58"/>
      <c r="N81" s="58"/>
      <c r="O81" s="58"/>
      <c r="P81" s="58"/>
      <c r="Q81" s="58"/>
      <c r="R81" s="58"/>
      <c r="S81" s="58"/>
      <c r="T81" s="58"/>
      <c r="U81" s="58"/>
      <c r="V81" s="58"/>
      <c r="W81" s="58"/>
      <c r="X81" s="58"/>
      <c r="Y81" s="58"/>
      <c r="Z81" s="58"/>
    </row>
    <row r="82" ht="15.75" customHeight="1">
      <c r="A82" s="12" t="s">
        <v>3815</v>
      </c>
      <c r="B82" s="12" t="s">
        <v>3817</v>
      </c>
      <c r="C82" s="12" t="s">
        <v>3818</v>
      </c>
      <c r="D82" s="29" t="s">
        <v>3819</v>
      </c>
      <c r="E82" s="86"/>
      <c r="F82" s="58"/>
      <c r="G82" s="58"/>
      <c r="H82" s="58"/>
      <c r="I82" s="58"/>
      <c r="J82" s="58"/>
      <c r="K82" s="58"/>
      <c r="L82" s="58"/>
      <c r="M82" s="58"/>
      <c r="N82" s="58"/>
      <c r="O82" s="58"/>
      <c r="P82" s="58"/>
      <c r="Q82" s="58"/>
      <c r="R82" s="58"/>
      <c r="S82" s="58"/>
      <c r="T82" s="58"/>
      <c r="U82" s="58"/>
      <c r="V82" s="58"/>
      <c r="W82" s="58"/>
      <c r="X82" s="58"/>
      <c r="Y82" s="58"/>
      <c r="Z82" s="58"/>
    </row>
    <row r="83" ht="15.75" customHeight="1">
      <c r="A83" s="12" t="s">
        <v>3820</v>
      </c>
      <c r="B83" s="12" t="s">
        <v>3821</v>
      </c>
      <c r="C83" s="12" t="s">
        <v>3823</v>
      </c>
      <c r="D83" s="29" t="s">
        <v>3825</v>
      </c>
      <c r="E83" s="86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S83" s="58"/>
      <c r="T83" s="58"/>
      <c r="U83" s="58"/>
      <c r="V83" s="58"/>
      <c r="W83" s="58"/>
      <c r="X83" s="58"/>
      <c r="Y83" s="58"/>
      <c r="Z83" s="58"/>
    </row>
    <row r="84" ht="15.75" customHeight="1">
      <c r="A84" s="12" t="s">
        <v>3828</v>
      </c>
      <c r="B84" s="12" t="s">
        <v>3829</v>
      </c>
      <c r="C84" s="12" t="s">
        <v>3830</v>
      </c>
      <c r="D84" s="29" t="s">
        <v>3831</v>
      </c>
      <c r="E84" s="12" t="s">
        <v>3433</v>
      </c>
      <c r="F84" s="58"/>
      <c r="G84" s="58"/>
      <c r="H84" s="58"/>
      <c r="I84" s="58"/>
      <c r="J84" s="58"/>
      <c r="K84" s="58"/>
      <c r="L84" s="58"/>
      <c r="M84" s="58"/>
      <c r="N84" s="58"/>
      <c r="O84" s="58"/>
      <c r="P84" s="58"/>
      <c r="Q84" s="58"/>
      <c r="R84" s="58"/>
      <c r="S84" s="58"/>
      <c r="T84" s="58"/>
      <c r="U84" s="58"/>
      <c r="V84" s="58"/>
      <c r="W84" s="58"/>
      <c r="X84" s="58"/>
      <c r="Y84" s="58"/>
      <c r="Z84" s="58"/>
    </row>
    <row r="85" ht="15.75" customHeight="1">
      <c r="A85" s="29" t="s">
        <v>3832</v>
      </c>
      <c r="B85" s="29" t="s">
        <v>3833</v>
      </c>
      <c r="C85" s="29" t="s">
        <v>3834</v>
      </c>
      <c r="D85" s="29" t="s">
        <v>3835</v>
      </c>
      <c r="E85" s="29" t="s">
        <v>3579</v>
      </c>
      <c r="F85" s="58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</row>
    <row r="86" ht="15.75" customHeight="1">
      <c r="A86" s="12" t="s">
        <v>3836</v>
      </c>
      <c r="B86" s="12" t="s">
        <v>3837</v>
      </c>
      <c r="C86" s="12" t="s">
        <v>3838</v>
      </c>
      <c r="D86" s="29" t="s">
        <v>3839</v>
      </c>
      <c r="E86" s="12" t="s">
        <v>3516</v>
      </c>
      <c r="F86" s="58"/>
      <c r="G86" s="58"/>
      <c r="H86" s="58"/>
      <c r="I86" s="58"/>
      <c r="J86" s="58"/>
      <c r="K86" s="58"/>
      <c r="L86" s="58"/>
      <c r="M86" s="58"/>
      <c r="N86" s="58"/>
      <c r="O86" s="58"/>
      <c r="P86" s="58"/>
      <c r="Q86" s="58"/>
      <c r="R86" s="58"/>
      <c r="S86" s="58"/>
      <c r="T86" s="58"/>
      <c r="U86" s="58"/>
      <c r="V86" s="58"/>
      <c r="W86" s="58"/>
      <c r="X86" s="58"/>
      <c r="Y86" s="58"/>
      <c r="Z86" s="58"/>
    </row>
    <row r="87" ht="15.75" customHeight="1">
      <c r="A87" s="56" t="s">
        <v>3737</v>
      </c>
      <c r="B87" s="56" t="s">
        <v>3738</v>
      </c>
      <c r="C87" s="56" t="s">
        <v>3840</v>
      </c>
      <c r="D87" s="29" t="s">
        <v>3841</v>
      </c>
      <c r="E87" s="56" t="s">
        <v>3489</v>
      </c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S87" s="58"/>
      <c r="T87" s="58"/>
      <c r="U87" s="58"/>
      <c r="V87" s="58"/>
      <c r="W87" s="58"/>
      <c r="X87" s="58"/>
      <c r="Y87" s="58"/>
      <c r="Z87" s="58"/>
    </row>
    <row r="88" ht="15.75" customHeight="1">
      <c r="A88" s="48" t="s">
        <v>3842</v>
      </c>
      <c r="B88" s="48" t="s">
        <v>3843</v>
      </c>
      <c r="C88" s="48" t="s">
        <v>3844</v>
      </c>
      <c r="D88" s="27" t="s">
        <v>3845</v>
      </c>
      <c r="E88" s="48" t="s">
        <v>3496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5.75" customHeight="1">
      <c r="A89" s="56" t="s">
        <v>3846</v>
      </c>
      <c r="B89" s="56" t="s">
        <v>3847</v>
      </c>
      <c r="C89" s="56" t="s">
        <v>3848</v>
      </c>
      <c r="D89" s="29" t="s">
        <v>3849</v>
      </c>
      <c r="E89" s="56" t="s">
        <v>3504</v>
      </c>
      <c r="F89" s="58"/>
      <c r="G89" s="58"/>
      <c r="H89" s="58"/>
      <c r="I89" s="58"/>
      <c r="J89" s="58"/>
      <c r="K89" s="58"/>
      <c r="L89" s="58"/>
      <c r="M89" s="58"/>
      <c r="N89" s="58"/>
      <c r="O89" s="58"/>
      <c r="P89" s="58"/>
      <c r="Q89" s="58"/>
      <c r="R89" s="58"/>
      <c r="S89" s="58"/>
      <c r="T89" s="58"/>
      <c r="U89" s="58"/>
      <c r="V89" s="58"/>
      <c r="W89" s="58"/>
      <c r="X89" s="58"/>
      <c r="Y89" s="58"/>
      <c r="Z89" s="58"/>
    </row>
    <row r="90" ht="15.75" customHeight="1">
      <c r="A90" s="56" t="s">
        <v>3850</v>
      </c>
      <c r="B90" s="56" t="s">
        <v>3851</v>
      </c>
      <c r="C90" s="56" t="s">
        <v>3853</v>
      </c>
      <c r="D90" s="29" t="s">
        <v>3856</v>
      </c>
      <c r="E90" s="56" t="s">
        <v>3489</v>
      </c>
      <c r="F90" s="58"/>
      <c r="G90" s="58"/>
      <c r="H90" s="58"/>
      <c r="I90" s="58"/>
      <c r="J90" s="58"/>
      <c r="K90" s="58"/>
      <c r="L90" s="58"/>
      <c r="M90" s="58"/>
      <c r="N90" s="58"/>
      <c r="O90" s="58"/>
      <c r="P90" s="58"/>
      <c r="Q90" s="58"/>
      <c r="R90" s="58"/>
      <c r="S90" s="58"/>
      <c r="T90" s="58"/>
      <c r="U90" s="58"/>
      <c r="V90" s="58"/>
      <c r="W90" s="58"/>
      <c r="X90" s="58"/>
      <c r="Y90" s="58"/>
      <c r="Z90" s="58"/>
    </row>
    <row r="91" ht="15.75" customHeight="1">
      <c r="A91" s="56" t="s">
        <v>3858</v>
      </c>
      <c r="B91" s="56" t="s">
        <v>3859</v>
      </c>
      <c r="C91" s="56" t="s">
        <v>3860</v>
      </c>
      <c r="D91" s="29" t="s">
        <v>3861</v>
      </c>
      <c r="E91" s="56" t="s">
        <v>3496</v>
      </c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S91" s="58"/>
      <c r="T91" s="58"/>
      <c r="U91" s="58"/>
      <c r="V91" s="58"/>
      <c r="W91" s="58"/>
      <c r="X91" s="58"/>
      <c r="Y91" s="58"/>
      <c r="Z91" s="58"/>
    </row>
    <row r="92" ht="15.75" customHeight="1">
      <c r="A92" s="56" t="s">
        <v>3866</v>
      </c>
      <c r="B92" s="56" t="s">
        <v>3867</v>
      </c>
      <c r="C92" s="56" t="s">
        <v>3868</v>
      </c>
      <c r="D92" s="29" t="s">
        <v>3869</v>
      </c>
      <c r="E92" s="56" t="s">
        <v>3504</v>
      </c>
      <c r="F92" s="58"/>
      <c r="G92" s="58"/>
      <c r="H92" s="58"/>
      <c r="I92" s="58"/>
      <c r="J92" s="58"/>
      <c r="K92" s="58"/>
      <c r="L92" s="58"/>
      <c r="M92" s="58"/>
      <c r="N92" s="58"/>
      <c r="O92" s="58"/>
      <c r="P92" s="58"/>
      <c r="Q92" s="58"/>
      <c r="R92" s="58"/>
      <c r="S92" s="58"/>
      <c r="T92" s="58"/>
      <c r="U92" s="58"/>
      <c r="V92" s="58"/>
      <c r="W92" s="58"/>
      <c r="X92" s="58"/>
      <c r="Y92" s="58"/>
      <c r="Z92" s="58"/>
    </row>
    <row r="93" ht="15.75" customHeight="1">
      <c r="A93" s="12" t="s">
        <v>3871</v>
      </c>
      <c r="B93" s="12" t="s">
        <v>3872</v>
      </c>
      <c r="C93" s="12" t="s">
        <v>3874</v>
      </c>
      <c r="D93" s="29" t="s">
        <v>3876</v>
      </c>
      <c r="E93" s="12" t="s">
        <v>3433</v>
      </c>
      <c r="F93" s="58"/>
      <c r="G93" s="58"/>
      <c r="H93" s="58"/>
      <c r="I93" s="58"/>
      <c r="J93" s="58"/>
      <c r="K93" s="58"/>
      <c r="L93" s="58"/>
      <c r="M93" s="58"/>
      <c r="N93" s="58"/>
      <c r="O93" s="58"/>
      <c r="P93" s="58"/>
      <c r="Q93" s="58"/>
      <c r="R93" s="58"/>
      <c r="S93" s="58"/>
      <c r="T93" s="58"/>
      <c r="U93" s="58"/>
      <c r="V93" s="58"/>
      <c r="W93" s="58"/>
      <c r="X93" s="58"/>
      <c r="Y93" s="58"/>
      <c r="Z93" s="58"/>
    </row>
    <row r="94" ht="15.75" customHeight="1">
      <c r="A94" s="12" t="s">
        <v>3879</v>
      </c>
      <c r="B94" s="12" t="s">
        <v>3880</v>
      </c>
      <c r="C94" s="12" t="s">
        <v>3881</v>
      </c>
      <c r="D94" s="29" t="s">
        <v>3883</v>
      </c>
      <c r="E94" s="12" t="s">
        <v>554</v>
      </c>
      <c r="F94" s="58"/>
      <c r="G94" s="58"/>
      <c r="H94" s="58"/>
      <c r="I94" s="58"/>
      <c r="J94" s="58"/>
      <c r="K94" s="58"/>
      <c r="L94" s="58"/>
      <c r="M94" s="58"/>
      <c r="N94" s="58"/>
      <c r="O94" s="58"/>
      <c r="P94" s="58"/>
      <c r="Q94" s="58"/>
      <c r="R94" s="58"/>
      <c r="S94" s="58"/>
      <c r="T94" s="58"/>
      <c r="U94" s="58"/>
      <c r="V94" s="58"/>
      <c r="W94" s="58"/>
      <c r="X94" s="58"/>
      <c r="Y94" s="58"/>
      <c r="Z94" s="58"/>
    </row>
    <row r="95" ht="15.75" customHeight="1">
      <c r="A95" s="12" t="s">
        <v>3891</v>
      </c>
      <c r="B95" s="12" t="s">
        <v>3892</v>
      </c>
      <c r="C95" s="12" t="s">
        <v>3893</v>
      </c>
      <c r="D95" s="29" t="s">
        <v>3894</v>
      </c>
      <c r="E95" s="12" t="s">
        <v>554</v>
      </c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S95" s="58"/>
      <c r="T95" s="58"/>
      <c r="U95" s="58"/>
      <c r="V95" s="58"/>
      <c r="W95" s="58"/>
      <c r="X95" s="58"/>
      <c r="Y95" s="58"/>
      <c r="Z95" s="58"/>
    </row>
    <row r="96" ht="15.75" customHeight="1">
      <c r="A96" s="12" t="s">
        <v>3897</v>
      </c>
      <c r="B96" s="12" t="s">
        <v>3899</v>
      </c>
      <c r="C96" s="12" t="s">
        <v>3902</v>
      </c>
      <c r="D96" s="29" t="s">
        <v>3904</v>
      </c>
      <c r="E96" s="86"/>
      <c r="F96" s="58"/>
      <c r="G96" s="58"/>
      <c r="H96" s="58"/>
      <c r="I96" s="58"/>
      <c r="J96" s="58"/>
      <c r="K96" s="58"/>
      <c r="L96" s="58"/>
      <c r="M96" s="58"/>
      <c r="N96" s="58"/>
      <c r="O96" s="58"/>
      <c r="P96" s="58"/>
      <c r="Q96" s="58"/>
      <c r="R96" s="58"/>
      <c r="S96" s="58"/>
      <c r="T96" s="58"/>
      <c r="U96" s="58"/>
      <c r="V96" s="58"/>
      <c r="W96" s="58"/>
      <c r="X96" s="58"/>
      <c r="Y96" s="58"/>
      <c r="Z96" s="58"/>
    </row>
    <row r="97" ht="15.75" customHeight="1">
      <c r="A97" s="12" t="s">
        <v>3908</v>
      </c>
      <c r="B97" s="12" t="s">
        <v>3908</v>
      </c>
      <c r="C97" s="12" t="s">
        <v>3909</v>
      </c>
      <c r="D97" s="29" t="s">
        <v>3912</v>
      </c>
      <c r="E97" s="86"/>
      <c r="F97" s="58"/>
      <c r="G97" s="58"/>
      <c r="H97" s="58"/>
      <c r="I97" s="58"/>
      <c r="J97" s="58"/>
      <c r="K97" s="58"/>
      <c r="L97" s="58"/>
      <c r="M97" s="58"/>
      <c r="N97" s="58"/>
      <c r="O97" s="58"/>
      <c r="P97" s="58"/>
      <c r="Q97" s="58"/>
      <c r="R97" s="58"/>
      <c r="S97" s="58"/>
      <c r="T97" s="58"/>
      <c r="U97" s="58"/>
      <c r="V97" s="58"/>
      <c r="W97" s="58"/>
      <c r="X97" s="58"/>
      <c r="Y97" s="58"/>
      <c r="Z97" s="58"/>
    </row>
    <row r="98" ht="15.75" customHeight="1">
      <c r="A98" s="12" t="s">
        <v>3920</v>
      </c>
      <c r="B98" s="12" t="s">
        <v>3921</v>
      </c>
      <c r="C98" s="12" t="s">
        <v>3922</v>
      </c>
      <c r="D98" s="29" t="s">
        <v>3923</v>
      </c>
      <c r="E98" s="86"/>
      <c r="F98" s="58"/>
      <c r="G98" s="58"/>
      <c r="H98" s="58"/>
      <c r="I98" s="58"/>
      <c r="J98" s="58"/>
      <c r="K98" s="58"/>
      <c r="L98" s="58"/>
      <c r="M98" s="58"/>
      <c r="N98" s="58"/>
      <c r="O98" s="58"/>
      <c r="P98" s="58"/>
      <c r="Q98" s="58"/>
      <c r="R98" s="58"/>
      <c r="S98" s="58"/>
      <c r="T98" s="58"/>
      <c r="U98" s="58"/>
      <c r="V98" s="58"/>
      <c r="W98" s="58"/>
      <c r="X98" s="58"/>
      <c r="Y98" s="58"/>
      <c r="Z98" s="58"/>
    </row>
    <row r="99" ht="15.75" customHeight="1">
      <c r="A99" s="12" t="s">
        <v>3929</v>
      </c>
      <c r="B99" s="12" t="s">
        <v>3930</v>
      </c>
      <c r="C99" s="12" t="s">
        <v>3931</v>
      </c>
      <c r="D99" s="29" t="s">
        <v>3932</v>
      </c>
      <c r="E99" s="86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S99" s="58"/>
      <c r="T99" s="58"/>
      <c r="U99" s="58"/>
      <c r="V99" s="58"/>
      <c r="W99" s="58"/>
      <c r="X99" s="58"/>
      <c r="Y99" s="58"/>
      <c r="Z99" s="58"/>
    </row>
    <row r="100" ht="15.75" customHeight="1">
      <c r="A100" s="12" t="s">
        <v>3939</v>
      </c>
      <c r="B100" s="12" t="s">
        <v>3940</v>
      </c>
      <c r="C100" s="12" t="s">
        <v>3941</v>
      </c>
      <c r="D100" s="29" t="s">
        <v>3942</v>
      </c>
      <c r="E100" s="86"/>
      <c r="F100" s="58"/>
      <c r="G100" s="58"/>
      <c r="H100" s="58"/>
      <c r="I100" s="58"/>
      <c r="J100" s="58"/>
      <c r="K100" s="58"/>
      <c r="L100" s="58"/>
      <c r="M100" s="58"/>
      <c r="N100" s="58"/>
      <c r="O100" s="58"/>
      <c r="P100" s="58"/>
      <c r="Q100" s="58"/>
      <c r="R100" s="58"/>
      <c r="S100" s="58"/>
      <c r="T100" s="58"/>
      <c r="U100" s="58"/>
      <c r="V100" s="58"/>
      <c r="W100" s="58"/>
      <c r="X100" s="58"/>
      <c r="Y100" s="58"/>
      <c r="Z100" s="58"/>
    </row>
    <row r="101" ht="15.75" customHeight="1">
      <c r="A101" s="12" t="s">
        <v>3947</v>
      </c>
      <c r="B101" s="12" t="s">
        <v>3948</v>
      </c>
      <c r="C101" s="12" t="s">
        <v>3949</v>
      </c>
      <c r="D101" s="29" t="s">
        <v>3950</v>
      </c>
      <c r="E101" s="86"/>
      <c r="F101" s="58"/>
      <c r="G101" s="58"/>
      <c r="H101" s="58"/>
      <c r="I101" s="58"/>
      <c r="J101" s="58"/>
      <c r="K101" s="58"/>
      <c r="L101" s="58"/>
      <c r="M101" s="58"/>
      <c r="N101" s="58"/>
      <c r="O101" s="58"/>
      <c r="P101" s="58"/>
      <c r="Q101" s="58"/>
      <c r="R101" s="58"/>
      <c r="S101" s="58"/>
      <c r="T101" s="58"/>
      <c r="U101" s="58"/>
      <c r="V101" s="58"/>
      <c r="W101" s="58"/>
      <c r="X101" s="58"/>
      <c r="Y101" s="58"/>
      <c r="Z101" s="58"/>
    </row>
    <row r="102" ht="15.75" customHeight="1">
      <c r="A102" s="12" t="s">
        <v>3956</v>
      </c>
      <c r="B102" s="12" t="s">
        <v>3956</v>
      </c>
      <c r="C102" s="12" t="s">
        <v>3957</v>
      </c>
      <c r="D102" s="29" t="s">
        <v>3959</v>
      </c>
      <c r="E102" s="86"/>
      <c r="F102" s="58"/>
      <c r="G102" s="58"/>
      <c r="H102" s="58"/>
      <c r="I102" s="58"/>
      <c r="J102" s="58"/>
      <c r="K102" s="58"/>
      <c r="L102" s="58"/>
      <c r="M102" s="58"/>
      <c r="N102" s="58"/>
      <c r="O102" s="58"/>
      <c r="P102" s="58"/>
      <c r="Q102" s="58"/>
      <c r="R102" s="58"/>
      <c r="S102" s="58"/>
      <c r="T102" s="58"/>
      <c r="U102" s="58"/>
      <c r="V102" s="58"/>
      <c r="W102" s="58"/>
      <c r="X102" s="58"/>
      <c r="Y102" s="58"/>
      <c r="Z102" s="58"/>
    </row>
    <row r="103" ht="15.75" customHeight="1">
      <c r="A103" s="12" t="s">
        <v>3964</v>
      </c>
      <c r="B103" s="12" t="s">
        <v>3964</v>
      </c>
      <c r="C103" s="12" t="s">
        <v>3966</v>
      </c>
      <c r="D103" s="29" t="s">
        <v>3967</v>
      </c>
      <c r="E103" s="86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S103" s="58"/>
      <c r="T103" s="58"/>
      <c r="U103" s="58"/>
      <c r="V103" s="58"/>
      <c r="W103" s="58"/>
      <c r="X103" s="58"/>
      <c r="Y103" s="58"/>
      <c r="Z103" s="58"/>
    </row>
    <row r="104" ht="15.75" customHeight="1">
      <c r="A104" s="12" t="s">
        <v>3973</v>
      </c>
      <c r="B104" s="12" t="s">
        <v>3973</v>
      </c>
      <c r="C104" s="12" t="s">
        <v>3974</v>
      </c>
      <c r="D104" s="29" t="s">
        <v>3976</v>
      </c>
      <c r="E104" s="86"/>
      <c r="F104" s="58"/>
      <c r="G104" s="58"/>
      <c r="H104" s="58"/>
      <c r="I104" s="58"/>
      <c r="J104" s="58"/>
      <c r="K104" s="58"/>
      <c r="L104" s="58"/>
      <c r="M104" s="58"/>
      <c r="N104" s="58"/>
      <c r="O104" s="58"/>
      <c r="P104" s="58"/>
      <c r="Q104" s="58"/>
      <c r="R104" s="58"/>
      <c r="S104" s="58"/>
      <c r="T104" s="58"/>
      <c r="U104" s="58"/>
      <c r="V104" s="58"/>
      <c r="W104" s="58"/>
      <c r="X104" s="58"/>
      <c r="Y104" s="58"/>
      <c r="Z104" s="58"/>
    </row>
    <row r="105" ht="15.75" customHeight="1">
      <c r="A105" s="12" t="s">
        <v>3981</v>
      </c>
      <c r="B105" s="12" t="s">
        <v>3981</v>
      </c>
      <c r="C105" s="12" t="s">
        <v>3983</v>
      </c>
      <c r="D105" s="29" t="s">
        <v>3984</v>
      </c>
      <c r="E105" s="86"/>
      <c r="F105" s="58"/>
      <c r="G105" s="58"/>
      <c r="H105" s="58"/>
      <c r="I105" s="58"/>
      <c r="J105" s="58"/>
      <c r="K105" s="58"/>
      <c r="L105" s="58"/>
      <c r="M105" s="58"/>
      <c r="N105" s="58"/>
      <c r="O105" s="58"/>
      <c r="P105" s="58"/>
      <c r="Q105" s="58"/>
      <c r="R105" s="58"/>
      <c r="S105" s="58"/>
      <c r="T105" s="58"/>
      <c r="U105" s="58"/>
      <c r="V105" s="58"/>
      <c r="W105" s="58"/>
      <c r="X105" s="58"/>
      <c r="Y105" s="58"/>
      <c r="Z105" s="58"/>
    </row>
    <row r="106" ht="15.75" customHeight="1">
      <c r="A106" s="12" t="s">
        <v>3989</v>
      </c>
      <c r="B106" s="12" t="s">
        <v>3992</v>
      </c>
      <c r="C106" s="12" t="s">
        <v>3993</v>
      </c>
      <c r="D106" s="29" t="s">
        <v>3994</v>
      </c>
      <c r="E106" s="86"/>
      <c r="F106" s="58"/>
      <c r="G106" s="58"/>
      <c r="H106" s="58"/>
      <c r="I106" s="58"/>
      <c r="J106" s="58"/>
      <c r="K106" s="58"/>
      <c r="L106" s="58"/>
      <c r="M106" s="58"/>
      <c r="N106" s="58"/>
      <c r="O106" s="58"/>
      <c r="P106" s="58"/>
      <c r="Q106" s="58"/>
      <c r="R106" s="58"/>
      <c r="S106" s="58"/>
      <c r="T106" s="58"/>
      <c r="U106" s="58"/>
      <c r="V106" s="58"/>
      <c r="W106" s="58"/>
      <c r="X106" s="58"/>
      <c r="Y106" s="58"/>
      <c r="Z106" s="58"/>
    </row>
    <row r="107" ht="15.75" customHeight="1">
      <c r="A107" s="12" t="s">
        <v>4000</v>
      </c>
      <c r="B107" s="12" t="s">
        <v>4001</v>
      </c>
      <c r="C107" s="12" t="s">
        <v>4003</v>
      </c>
      <c r="D107" s="29" t="s">
        <v>4004</v>
      </c>
      <c r="E107" s="12" t="s">
        <v>3433</v>
      </c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S107" s="58"/>
      <c r="T107" s="58"/>
      <c r="U107" s="58"/>
      <c r="V107" s="58"/>
      <c r="W107" s="58"/>
      <c r="X107" s="58"/>
      <c r="Y107" s="58"/>
      <c r="Z107" s="58"/>
    </row>
    <row r="108" ht="15.75" customHeight="1">
      <c r="A108" s="56" t="s">
        <v>4012</v>
      </c>
      <c r="B108" s="56" t="s">
        <v>4013</v>
      </c>
      <c r="C108" s="56" t="s">
        <v>4014</v>
      </c>
      <c r="D108" s="29" t="s">
        <v>4015</v>
      </c>
      <c r="E108" s="56" t="s">
        <v>3489</v>
      </c>
      <c r="F108" s="58"/>
      <c r="G108" s="58"/>
      <c r="H108" s="58"/>
      <c r="I108" s="58"/>
      <c r="J108" s="58"/>
      <c r="K108" s="58"/>
      <c r="L108" s="58"/>
      <c r="M108" s="58"/>
      <c r="N108" s="58"/>
      <c r="O108" s="58"/>
      <c r="P108" s="58"/>
      <c r="Q108" s="58"/>
      <c r="R108" s="58"/>
      <c r="S108" s="58"/>
      <c r="T108" s="58"/>
      <c r="U108" s="58"/>
      <c r="V108" s="58"/>
      <c r="W108" s="58"/>
      <c r="X108" s="58"/>
      <c r="Y108" s="58"/>
      <c r="Z108" s="58"/>
    </row>
    <row r="109">
      <c r="A109" s="56" t="s">
        <v>4023</v>
      </c>
      <c r="B109" s="56" t="s">
        <v>4024</v>
      </c>
      <c r="C109" s="56" t="s">
        <v>4025</v>
      </c>
      <c r="D109" s="29" t="s">
        <v>4027</v>
      </c>
      <c r="E109" s="56" t="s">
        <v>3496</v>
      </c>
      <c r="F109" s="58"/>
      <c r="G109" s="58"/>
      <c r="H109" s="58"/>
      <c r="I109" s="58"/>
      <c r="J109" s="58"/>
      <c r="K109" s="58"/>
      <c r="L109" s="58"/>
      <c r="M109" s="58"/>
      <c r="N109" s="58"/>
      <c r="O109" s="58"/>
      <c r="P109" s="58"/>
      <c r="Q109" s="58"/>
      <c r="R109" s="58"/>
      <c r="S109" s="58"/>
      <c r="T109" s="58"/>
      <c r="U109" s="58"/>
      <c r="V109" s="58"/>
      <c r="W109" s="58"/>
      <c r="X109" s="58"/>
      <c r="Y109" s="58"/>
      <c r="Z109" s="58"/>
    </row>
    <row r="110" ht="15.75" customHeight="1">
      <c r="A110" s="56" t="s">
        <v>4035</v>
      </c>
      <c r="B110" s="56" t="s">
        <v>4036</v>
      </c>
      <c r="C110" s="56" t="s">
        <v>4038</v>
      </c>
      <c r="D110" s="29" t="s">
        <v>4039</v>
      </c>
      <c r="E110" s="56" t="s">
        <v>3504</v>
      </c>
      <c r="F110" s="58"/>
      <c r="G110" s="58"/>
      <c r="H110" s="58"/>
      <c r="I110" s="58"/>
      <c r="J110" s="58"/>
      <c r="K110" s="58"/>
      <c r="L110" s="58"/>
      <c r="M110" s="58"/>
      <c r="N110" s="58"/>
      <c r="O110" s="58"/>
      <c r="P110" s="58"/>
      <c r="Q110" s="58"/>
      <c r="R110" s="58"/>
      <c r="S110" s="58"/>
      <c r="T110" s="58"/>
      <c r="U110" s="58"/>
      <c r="V110" s="58"/>
      <c r="W110" s="58"/>
      <c r="X110" s="58"/>
      <c r="Y110" s="58"/>
      <c r="Z110" s="58"/>
    </row>
    <row r="111" ht="15.75" customHeight="1">
      <c r="A111" s="11" t="s">
        <v>4040</v>
      </c>
      <c r="B111" s="11" t="s">
        <v>4041</v>
      </c>
      <c r="C111" s="11" t="s">
        <v>4043</v>
      </c>
      <c r="D111" s="27" t="s">
        <v>4045</v>
      </c>
      <c r="E111" s="11" t="s">
        <v>3639</v>
      </c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5.75" customHeight="1">
      <c r="A112" s="11" t="s">
        <v>4049</v>
      </c>
      <c r="B112" s="11" t="s">
        <v>4051</v>
      </c>
      <c r="C112" s="11" t="s">
        <v>4052</v>
      </c>
      <c r="D112" s="27" t="s">
        <v>4053</v>
      </c>
      <c r="E112" s="11" t="s">
        <v>3639</v>
      </c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5.75" customHeight="1">
      <c r="A113" s="12" t="s">
        <v>4054</v>
      </c>
      <c r="B113" s="12" t="s">
        <v>4055</v>
      </c>
      <c r="C113" s="12" t="s">
        <v>4056</v>
      </c>
      <c r="D113" s="29" t="s">
        <v>4057</v>
      </c>
      <c r="E113" s="86"/>
      <c r="F113" s="58"/>
      <c r="G113" s="58"/>
      <c r="H113" s="58"/>
      <c r="I113" s="58"/>
      <c r="J113" s="58"/>
      <c r="K113" s="58"/>
      <c r="L113" s="58"/>
      <c r="M113" s="58"/>
      <c r="N113" s="58"/>
      <c r="O113" s="58"/>
      <c r="P113" s="58"/>
      <c r="Q113" s="58"/>
      <c r="R113" s="58"/>
      <c r="S113" s="58"/>
      <c r="T113" s="58"/>
      <c r="U113" s="58"/>
      <c r="V113" s="58"/>
      <c r="W113" s="58"/>
      <c r="X113" s="58"/>
      <c r="Y113" s="58"/>
      <c r="Z113" s="58"/>
    </row>
    <row r="114" ht="15.75" customHeight="1">
      <c r="A114" s="12" t="s">
        <v>4062</v>
      </c>
      <c r="B114" s="12" t="s">
        <v>4063</v>
      </c>
      <c r="C114" s="12" t="s">
        <v>4064</v>
      </c>
      <c r="D114" s="29" t="s">
        <v>4057</v>
      </c>
      <c r="E114" s="86"/>
      <c r="F114" s="58"/>
      <c r="G114" s="58"/>
      <c r="H114" s="58"/>
      <c r="I114" s="58"/>
      <c r="J114" s="58"/>
      <c r="K114" s="58"/>
      <c r="L114" s="58"/>
      <c r="M114" s="58"/>
      <c r="N114" s="58"/>
      <c r="O114" s="58"/>
      <c r="P114" s="58"/>
      <c r="Q114" s="58"/>
      <c r="R114" s="58"/>
      <c r="S114" s="58"/>
      <c r="T114" s="58"/>
      <c r="U114" s="58"/>
      <c r="V114" s="58"/>
      <c r="W114" s="58"/>
      <c r="X114" s="58"/>
      <c r="Y114" s="58"/>
      <c r="Z114" s="58"/>
    </row>
    <row r="115" ht="15.75" customHeight="1">
      <c r="A115" s="12" t="s">
        <v>4075</v>
      </c>
      <c r="B115" s="12" t="s">
        <v>4075</v>
      </c>
      <c r="C115" s="12" t="s">
        <v>4077</v>
      </c>
      <c r="D115" s="29" t="s">
        <v>4079</v>
      </c>
      <c r="E115" s="86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S115" s="58"/>
      <c r="T115" s="58"/>
      <c r="U115" s="58"/>
      <c r="V115" s="58"/>
      <c r="W115" s="58"/>
      <c r="X115" s="58"/>
      <c r="Y115" s="58"/>
      <c r="Z115" s="58"/>
    </row>
    <row r="116" ht="15.75" customHeight="1">
      <c r="A116" s="12" t="s">
        <v>4083</v>
      </c>
      <c r="B116" s="12" t="s">
        <v>4085</v>
      </c>
      <c r="C116" s="12" t="s">
        <v>4087</v>
      </c>
      <c r="D116" s="29" t="s">
        <v>4090</v>
      </c>
      <c r="E116" s="86"/>
      <c r="F116" s="58"/>
      <c r="G116" s="58"/>
      <c r="H116" s="58"/>
      <c r="I116" s="58"/>
      <c r="J116" s="58"/>
      <c r="K116" s="58"/>
      <c r="L116" s="58"/>
      <c r="M116" s="58"/>
      <c r="N116" s="58"/>
      <c r="O116" s="58"/>
      <c r="P116" s="58"/>
      <c r="Q116" s="58"/>
      <c r="R116" s="58"/>
      <c r="S116" s="58"/>
      <c r="T116" s="58"/>
      <c r="U116" s="58"/>
      <c r="V116" s="58"/>
      <c r="W116" s="58"/>
      <c r="X116" s="58"/>
      <c r="Y116" s="58"/>
      <c r="Z116" s="58"/>
    </row>
    <row r="117" ht="15.75" customHeight="1">
      <c r="A117" s="11" t="s">
        <v>4094</v>
      </c>
      <c r="B117" s="11" t="s">
        <v>4096</v>
      </c>
      <c r="C117" s="11" t="s">
        <v>4099</v>
      </c>
      <c r="D117" s="27" t="s">
        <v>4102</v>
      </c>
      <c r="E117" s="11" t="s">
        <v>3433</v>
      </c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5.75" customHeight="1">
      <c r="A118" s="48" t="s">
        <v>4108</v>
      </c>
      <c r="B118" s="48" t="s">
        <v>4109</v>
      </c>
      <c r="C118" s="48" t="s">
        <v>4110</v>
      </c>
      <c r="D118" s="27" t="s">
        <v>4111</v>
      </c>
      <c r="E118" s="48" t="s">
        <v>3489</v>
      </c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5.75" customHeight="1">
      <c r="A119" s="48" t="s">
        <v>4120</v>
      </c>
      <c r="B119" s="48" t="s">
        <v>4121</v>
      </c>
      <c r="C119" s="48" t="s">
        <v>4122</v>
      </c>
      <c r="D119" s="27" t="s">
        <v>4123</v>
      </c>
      <c r="E119" s="48" t="s">
        <v>3496</v>
      </c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5.75" customHeight="1">
      <c r="A120" s="48" t="s">
        <v>4131</v>
      </c>
      <c r="B120" s="48" t="s">
        <v>4132</v>
      </c>
      <c r="C120" s="48" t="s">
        <v>4133</v>
      </c>
      <c r="D120" s="27" t="s">
        <v>4134</v>
      </c>
      <c r="E120" s="48" t="s">
        <v>3504</v>
      </c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5.75" customHeight="1">
      <c r="A121" s="12" t="s">
        <v>4143</v>
      </c>
      <c r="B121" s="12" t="s">
        <v>4144</v>
      </c>
      <c r="C121" s="12" t="s">
        <v>4145</v>
      </c>
      <c r="D121" s="29" t="s">
        <v>4146</v>
      </c>
      <c r="E121" s="12" t="s">
        <v>3433</v>
      </c>
      <c r="F121" s="58"/>
      <c r="G121" s="58"/>
      <c r="H121" s="58"/>
      <c r="I121" s="58"/>
      <c r="J121" s="58"/>
      <c r="K121" s="58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  <c r="Y121" s="58"/>
      <c r="Z121" s="58"/>
    </row>
    <row r="122" ht="15.75" customHeight="1">
      <c r="A122" s="12" t="s">
        <v>4155</v>
      </c>
      <c r="B122" s="12" t="s">
        <v>4156</v>
      </c>
      <c r="C122" s="12" t="s">
        <v>4157</v>
      </c>
      <c r="D122" s="29" t="s">
        <v>4159</v>
      </c>
      <c r="E122" s="12" t="s">
        <v>3639</v>
      </c>
      <c r="F122" s="58"/>
      <c r="G122" s="58"/>
      <c r="H122" s="58"/>
      <c r="I122" s="58"/>
      <c r="J122" s="58"/>
      <c r="K122" s="58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  <c r="Y122" s="58"/>
      <c r="Z122" s="58"/>
    </row>
    <row r="123" ht="15.75" customHeight="1">
      <c r="A123" s="12" t="s">
        <v>4167</v>
      </c>
      <c r="B123" s="12" t="s">
        <v>4168</v>
      </c>
      <c r="C123" s="12" t="s">
        <v>4170</v>
      </c>
      <c r="D123" s="29" t="s">
        <v>4173</v>
      </c>
      <c r="E123" s="86"/>
      <c r="F123" s="58"/>
      <c r="G123" s="58"/>
      <c r="H123" s="58"/>
      <c r="I123" s="58"/>
      <c r="J123" s="58"/>
      <c r="K123" s="58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  <c r="Y123" s="58"/>
      <c r="Z123" s="58"/>
    </row>
    <row r="124" ht="15.75" customHeight="1">
      <c r="A124" s="12" t="s">
        <v>4178</v>
      </c>
      <c r="B124" s="12" t="s">
        <v>4181</v>
      </c>
      <c r="C124" s="12" t="s">
        <v>4183</v>
      </c>
      <c r="D124" s="29" t="s">
        <v>4185</v>
      </c>
      <c r="E124" s="86"/>
      <c r="F124" s="58"/>
      <c r="G124" s="58"/>
      <c r="H124" s="58"/>
      <c r="I124" s="58"/>
      <c r="J124" s="58"/>
      <c r="K124" s="58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  <c r="Y124" s="58"/>
      <c r="Z124" s="58"/>
    </row>
    <row r="125" ht="15.75" customHeight="1">
      <c r="A125" s="12" t="s">
        <v>4189</v>
      </c>
      <c r="B125" s="12" t="s">
        <v>4191</v>
      </c>
      <c r="C125" s="12" t="s">
        <v>4193</v>
      </c>
      <c r="D125" s="29" t="s">
        <v>4195</v>
      </c>
      <c r="E125" s="86"/>
      <c r="F125" s="58"/>
      <c r="G125" s="58"/>
      <c r="H125" s="58"/>
      <c r="I125" s="58"/>
      <c r="J125" s="58"/>
      <c r="K125" s="58"/>
      <c r="L125" s="58"/>
      <c r="M125" s="58"/>
      <c r="N125" s="58"/>
      <c r="O125" s="58"/>
      <c r="P125" s="58"/>
      <c r="Q125" s="58"/>
      <c r="R125" s="58"/>
      <c r="S125" s="58"/>
      <c r="T125" s="58"/>
      <c r="U125" s="58"/>
      <c r="V125" s="58"/>
      <c r="W125" s="58"/>
      <c r="X125" s="58"/>
      <c r="Y125" s="58"/>
      <c r="Z125" s="58"/>
    </row>
    <row r="126" ht="15.75" customHeight="1">
      <c r="A126" s="12" t="s">
        <v>4202</v>
      </c>
      <c r="B126" s="12" t="s">
        <v>4203</v>
      </c>
      <c r="C126" s="12" t="s">
        <v>4204</v>
      </c>
      <c r="D126" s="29" t="s">
        <v>4205</v>
      </c>
      <c r="E126" s="86"/>
      <c r="F126" s="58"/>
      <c r="G126" s="58"/>
      <c r="H126" s="58"/>
      <c r="I126" s="58"/>
      <c r="J126" s="58"/>
      <c r="K126" s="58"/>
      <c r="L126" s="58"/>
      <c r="M126" s="58"/>
      <c r="N126" s="58"/>
      <c r="O126" s="58"/>
      <c r="P126" s="58"/>
      <c r="Q126" s="58"/>
      <c r="R126" s="58"/>
      <c r="S126" s="58"/>
      <c r="T126" s="58"/>
      <c r="U126" s="58"/>
      <c r="V126" s="58"/>
      <c r="W126" s="58"/>
      <c r="X126" s="58"/>
      <c r="Y126" s="58"/>
      <c r="Z126" s="58"/>
    </row>
    <row r="127" ht="15.75" customHeight="1">
      <c r="A127" s="12" t="s">
        <v>4213</v>
      </c>
      <c r="B127" s="12" t="s">
        <v>4214</v>
      </c>
      <c r="C127" s="12" t="s">
        <v>4215</v>
      </c>
      <c r="D127" s="29" t="s">
        <v>4216</v>
      </c>
      <c r="E127" s="86"/>
      <c r="F127" s="58"/>
      <c r="G127" s="58"/>
      <c r="H127" s="58"/>
      <c r="I127" s="58"/>
      <c r="J127" s="58"/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  <c r="Y127" s="58"/>
      <c r="Z127" s="58"/>
    </row>
    <row r="128" ht="15.75" customHeight="1">
      <c r="A128" s="12" t="s">
        <v>4224</v>
      </c>
      <c r="B128" s="12" t="s">
        <v>4225</v>
      </c>
      <c r="C128" s="12" t="s">
        <v>4227</v>
      </c>
      <c r="D128" s="29" t="s">
        <v>4230</v>
      </c>
      <c r="E128" s="12" t="s">
        <v>3433</v>
      </c>
      <c r="F128" s="58"/>
      <c r="G128" s="58"/>
      <c r="H128" s="58"/>
      <c r="I128" s="58"/>
      <c r="J128" s="58"/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  <c r="Y128" s="58"/>
      <c r="Z128" s="58"/>
    </row>
    <row r="129" ht="15.75" customHeight="1">
      <c r="A129" s="12" t="s">
        <v>4237</v>
      </c>
      <c r="B129" s="12" t="s">
        <v>4239</v>
      </c>
      <c r="C129" s="12" t="s">
        <v>4241</v>
      </c>
      <c r="D129" s="29" t="s">
        <v>4243</v>
      </c>
      <c r="E129" s="12" t="s">
        <v>3516</v>
      </c>
      <c r="F129" s="58"/>
      <c r="G129" s="58"/>
      <c r="H129" s="58"/>
      <c r="I129" s="58"/>
      <c r="J129" s="58"/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  <c r="Y129" s="58"/>
      <c r="Z129" s="58"/>
    </row>
    <row r="130" ht="15.75" customHeight="1">
      <c r="A130" s="56" t="s">
        <v>4248</v>
      </c>
      <c r="B130" s="56" t="s">
        <v>4249</v>
      </c>
      <c r="C130" s="56" t="s">
        <v>4250</v>
      </c>
      <c r="D130" s="29" t="s">
        <v>4251</v>
      </c>
      <c r="E130" s="56" t="s">
        <v>3489</v>
      </c>
      <c r="F130" s="58"/>
      <c r="G130" s="58"/>
      <c r="H130" s="58"/>
      <c r="I130" s="58"/>
      <c r="J130" s="58"/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  <c r="Y130" s="58"/>
      <c r="Z130" s="58"/>
    </row>
    <row r="131" ht="15.75" customHeight="1">
      <c r="A131" s="56" t="s">
        <v>4256</v>
      </c>
      <c r="B131" s="56" t="s">
        <v>4257</v>
      </c>
      <c r="C131" s="56" t="s">
        <v>4258</v>
      </c>
      <c r="D131" s="29" t="s">
        <v>4259</v>
      </c>
      <c r="E131" s="56" t="s">
        <v>3496</v>
      </c>
      <c r="F131" s="58"/>
      <c r="G131" s="58"/>
      <c r="H131" s="58"/>
      <c r="I131" s="58"/>
      <c r="J131" s="58"/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  <c r="Y131" s="58"/>
      <c r="Z131" s="58"/>
    </row>
    <row r="132" ht="15.75" customHeight="1">
      <c r="A132" s="56" t="s">
        <v>4260</v>
      </c>
      <c r="B132" s="56" t="s">
        <v>4261</v>
      </c>
      <c r="C132" s="56" t="s">
        <v>4262</v>
      </c>
      <c r="D132" s="29" t="s">
        <v>4266</v>
      </c>
      <c r="E132" s="56" t="s">
        <v>3504</v>
      </c>
      <c r="F132" s="58"/>
      <c r="G132" s="58"/>
      <c r="H132" s="58"/>
      <c r="I132" s="58"/>
      <c r="J132" s="58"/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  <c r="Y132" s="58"/>
      <c r="Z132" s="58"/>
    </row>
    <row r="133" ht="15.75" customHeight="1">
      <c r="A133" s="11" t="s">
        <v>4271</v>
      </c>
      <c r="B133" s="11" t="s">
        <v>4273</v>
      </c>
      <c r="C133" s="11" t="s">
        <v>4274</v>
      </c>
      <c r="D133" s="27" t="s">
        <v>4275</v>
      </c>
      <c r="E133" s="11" t="s">
        <v>4276</v>
      </c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5.75" customHeight="1">
      <c r="A134" s="11" t="s">
        <v>4281</v>
      </c>
      <c r="B134" s="11" t="s">
        <v>4282</v>
      </c>
      <c r="C134" s="11" t="s">
        <v>4283</v>
      </c>
      <c r="D134" s="27" t="s">
        <v>4284</v>
      </c>
      <c r="E134" s="11" t="s">
        <v>4276</v>
      </c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5.75" customHeight="1">
      <c r="A135" s="12" t="s">
        <v>4293</v>
      </c>
      <c r="B135" s="12" t="s">
        <v>4294</v>
      </c>
      <c r="C135" s="12" t="s">
        <v>4295</v>
      </c>
      <c r="D135" s="29" t="s">
        <v>4296</v>
      </c>
      <c r="E135" s="12" t="s">
        <v>3433</v>
      </c>
      <c r="F135" s="58"/>
      <c r="G135" s="58"/>
      <c r="H135" s="58"/>
      <c r="I135" s="58"/>
      <c r="J135" s="58"/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  <c r="Y135" s="58"/>
      <c r="Z135" s="58"/>
    </row>
    <row r="136" ht="15.75" customHeight="1">
      <c r="A136" s="12" t="s">
        <v>4301</v>
      </c>
      <c r="B136" s="12" t="s">
        <v>4302</v>
      </c>
      <c r="C136" s="12" t="s">
        <v>4303</v>
      </c>
      <c r="D136" s="29" t="s">
        <v>4305</v>
      </c>
      <c r="E136" s="86"/>
      <c r="F136" s="58"/>
      <c r="G136" s="58"/>
      <c r="H136" s="58"/>
      <c r="I136" s="58"/>
      <c r="J136" s="58"/>
      <c r="K136" s="58"/>
      <c r="L136" s="58"/>
      <c r="M136" s="58"/>
      <c r="N136" s="58"/>
      <c r="O136" s="58"/>
      <c r="P136" s="58"/>
      <c r="Q136" s="58"/>
      <c r="R136" s="58"/>
      <c r="S136" s="58"/>
      <c r="T136" s="58"/>
      <c r="U136" s="58"/>
      <c r="V136" s="58"/>
      <c r="W136" s="58"/>
      <c r="X136" s="58"/>
      <c r="Y136" s="58"/>
      <c r="Z136" s="58"/>
    </row>
    <row r="137" ht="15.75" customHeight="1">
      <c r="A137" s="12" t="s">
        <v>4314</v>
      </c>
      <c r="B137" s="12" t="s">
        <v>4316</v>
      </c>
      <c r="C137" s="12" t="s">
        <v>4318</v>
      </c>
      <c r="D137" s="29" t="s">
        <v>4305</v>
      </c>
      <c r="E137" s="86"/>
      <c r="F137" s="58"/>
      <c r="G137" s="58"/>
      <c r="H137" s="58"/>
      <c r="I137" s="58"/>
      <c r="J137" s="58"/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  <c r="Y137" s="58"/>
      <c r="Z137" s="58"/>
    </row>
    <row r="138" ht="15.75" customHeight="1">
      <c r="A138" s="12" t="s">
        <v>4322</v>
      </c>
      <c r="B138" s="12" t="s">
        <v>4322</v>
      </c>
      <c r="C138" s="12" t="s">
        <v>4325</v>
      </c>
      <c r="D138" s="29" t="s">
        <v>4326</v>
      </c>
      <c r="E138" s="86"/>
      <c r="F138" s="58"/>
      <c r="G138" s="58"/>
      <c r="H138" s="58"/>
      <c r="I138" s="58"/>
      <c r="J138" s="58"/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  <c r="Y138" s="58"/>
      <c r="Z138" s="58"/>
    </row>
    <row r="139" ht="15.75" customHeight="1">
      <c r="A139" s="12" t="s">
        <v>4330</v>
      </c>
      <c r="B139" s="12" t="s">
        <v>4331</v>
      </c>
      <c r="C139" s="12" t="s">
        <v>4332</v>
      </c>
      <c r="D139" s="29" t="s">
        <v>4334</v>
      </c>
      <c r="E139" s="86"/>
      <c r="F139" s="58"/>
      <c r="G139" s="58"/>
      <c r="H139" s="58"/>
      <c r="I139" s="58"/>
      <c r="J139" s="58"/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  <c r="Y139" s="58"/>
      <c r="Z139" s="58"/>
    </row>
    <row r="140" ht="15.75" customHeight="1">
      <c r="A140" s="12" t="s">
        <v>4339</v>
      </c>
      <c r="B140" s="12" t="s">
        <v>4340</v>
      </c>
      <c r="C140" s="12" t="s">
        <v>4341</v>
      </c>
      <c r="D140" s="29" t="s">
        <v>4342</v>
      </c>
      <c r="E140" s="86"/>
      <c r="F140" s="58"/>
      <c r="G140" s="58"/>
      <c r="H140" s="58"/>
      <c r="I140" s="58"/>
      <c r="J140" s="58"/>
      <c r="K140" s="58"/>
      <c r="L140" s="58"/>
      <c r="M140" s="58"/>
      <c r="N140" s="58"/>
      <c r="O140" s="58"/>
      <c r="P140" s="58"/>
      <c r="Q140" s="58"/>
      <c r="R140" s="58"/>
      <c r="S140" s="58"/>
      <c r="T140" s="58"/>
      <c r="U140" s="58"/>
      <c r="V140" s="58"/>
      <c r="W140" s="58"/>
      <c r="X140" s="58"/>
      <c r="Y140" s="58"/>
      <c r="Z140" s="58"/>
    </row>
    <row r="141" ht="15.75" customHeight="1">
      <c r="A141" s="12" t="s">
        <v>4347</v>
      </c>
      <c r="B141" s="12" t="s">
        <v>4348</v>
      </c>
      <c r="C141" s="12" t="s">
        <v>4350</v>
      </c>
      <c r="D141" s="29" t="s">
        <v>4352</v>
      </c>
      <c r="E141" s="12" t="s">
        <v>3433</v>
      </c>
      <c r="F141" s="58"/>
      <c r="G141" s="58"/>
      <c r="H141" s="58"/>
      <c r="I141" s="58"/>
      <c r="J141" s="58"/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  <c r="Y141" s="58"/>
      <c r="Z141" s="58"/>
    </row>
    <row r="142" ht="15.75" customHeight="1">
      <c r="A142" s="56" t="s">
        <v>4357</v>
      </c>
      <c r="B142" s="56" t="s">
        <v>4358</v>
      </c>
      <c r="C142" s="56" t="s">
        <v>4359</v>
      </c>
      <c r="D142" s="29" t="s">
        <v>4363</v>
      </c>
      <c r="E142" s="56" t="s">
        <v>3489</v>
      </c>
      <c r="F142" s="58"/>
      <c r="G142" s="58"/>
      <c r="H142" s="58"/>
      <c r="I142" s="58"/>
      <c r="J142" s="58"/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  <c r="Y142" s="58"/>
      <c r="Z142" s="58"/>
    </row>
    <row r="143" ht="15.75" customHeight="1">
      <c r="A143" s="56" t="s">
        <v>4369</v>
      </c>
      <c r="B143" s="56" t="s">
        <v>4371</v>
      </c>
      <c r="C143" s="56" t="s">
        <v>4373</v>
      </c>
      <c r="D143" s="29" t="s">
        <v>4375</v>
      </c>
      <c r="E143" s="56" t="s">
        <v>3496</v>
      </c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</row>
    <row r="144" ht="15.75" customHeight="1">
      <c r="A144" s="56" t="s">
        <v>4380</v>
      </c>
      <c r="B144" s="56" t="s">
        <v>4382</v>
      </c>
      <c r="C144" s="56" t="s">
        <v>4384</v>
      </c>
      <c r="D144" s="29" t="s">
        <v>4386</v>
      </c>
      <c r="E144" s="56" t="s">
        <v>3504</v>
      </c>
      <c r="F144" s="58"/>
      <c r="G144" s="58"/>
      <c r="H144" s="58"/>
      <c r="I144" s="58"/>
      <c r="J144" s="58"/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  <c r="Y144" s="58"/>
      <c r="Z144" s="58"/>
    </row>
    <row r="145" ht="15.75" customHeight="1">
      <c r="A145" s="12" t="s">
        <v>4391</v>
      </c>
      <c r="B145" s="12" t="s">
        <v>4392</v>
      </c>
      <c r="C145" s="12" t="s">
        <v>4393</v>
      </c>
      <c r="D145" s="29" t="s">
        <v>4394</v>
      </c>
      <c r="E145" s="12" t="s">
        <v>4276</v>
      </c>
      <c r="F145" s="58"/>
      <c r="G145" s="58"/>
      <c r="H145" s="58"/>
      <c r="I145" s="58"/>
      <c r="J145" s="58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  <c r="Y145" s="58"/>
      <c r="Z145" s="58"/>
    </row>
    <row r="146" ht="15.75" customHeight="1">
      <c r="A146" s="12" t="s">
        <v>4403</v>
      </c>
      <c r="B146" s="12" t="s">
        <v>4404</v>
      </c>
      <c r="C146" s="12" t="s">
        <v>4405</v>
      </c>
      <c r="D146" s="29" t="s">
        <v>4406</v>
      </c>
      <c r="E146" s="12" t="s">
        <v>4276</v>
      </c>
      <c r="F146" s="58"/>
      <c r="G146" s="58"/>
      <c r="H146" s="58"/>
      <c r="I146" s="58"/>
      <c r="J146" s="58"/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  <c r="Y146" s="58"/>
      <c r="Z146" s="58"/>
    </row>
    <row r="147" ht="15.75" customHeight="1">
      <c r="A147" s="12" t="s">
        <v>4411</v>
      </c>
      <c r="B147" s="12" t="s">
        <v>4413</v>
      </c>
      <c r="C147" s="12" t="s">
        <v>4414</v>
      </c>
      <c r="D147" s="29" t="s">
        <v>4416</v>
      </c>
      <c r="E147" s="12" t="s">
        <v>4418</v>
      </c>
      <c r="F147" s="58"/>
      <c r="G147" s="58"/>
      <c r="H147" s="58"/>
      <c r="I147" s="58"/>
      <c r="J147" s="58"/>
      <c r="K147" s="58"/>
      <c r="L147" s="58"/>
      <c r="M147" s="58"/>
      <c r="N147" s="58"/>
      <c r="O147" s="58"/>
      <c r="P147" s="58"/>
      <c r="Q147" s="58"/>
      <c r="R147" s="58"/>
      <c r="S147" s="58"/>
      <c r="T147" s="58"/>
      <c r="U147" s="58"/>
      <c r="V147" s="58"/>
      <c r="W147" s="58"/>
      <c r="X147" s="58"/>
      <c r="Y147" s="58"/>
      <c r="Z147" s="58"/>
    </row>
    <row r="148" ht="15.75" customHeight="1">
      <c r="A148" s="12" t="s">
        <v>4423</v>
      </c>
      <c r="B148" s="12" t="s">
        <v>4423</v>
      </c>
      <c r="C148" s="12" t="s">
        <v>4424</v>
      </c>
      <c r="D148" s="29" t="s">
        <v>4425</v>
      </c>
      <c r="E148" s="86"/>
      <c r="F148" s="58"/>
      <c r="G148" s="58"/>
      <c r="H148" s="58"/>
      <c r="I148" s="58"/>
      <c r="J148" s="58"/>
      <c r="K148" s="58"/>
      <c r="L148" s="58"/>
      <c r="M148" s="58"/>
      <c r="N148" s="58"/>
      <c r="O148" s="58"/>
      <c r="P148" s="58"/>
      <c r="Q148" s="58"/>
      <c r="R148" s="58"/>
      <c r="S148" s="58"/>
      <c r="T148" s="58"/>
      <c r="U148" s="58"/>
      <c r="V148" s="58"/>
      <c r="W148" s="58"/>
      <c r="X148" s="58"/>
      <c r="Y148" s="58"/>
      <c r="Z148" s="58"/>
    </row>
    <row r="149" ht="15.75" customHeight="1">
      <c r="A149" s="12" t="s">
        <v>4434</v>
      </c>
      <c r="B149" s="12" t="s">
        <v>4435</v>
      </c>
      <c r="C149" s="12" t="s">
        <v>4437</v>
      </c>
      <c r="D149" s="29" t="s">
        <v>4441</v>
      </c>
      <c r="E149" s="86"/>
      <c r="F149" s="58"/>
      <c r="G149" s="58"/>
      <c r="H149" s="58"/>
      <c r="I149" s="58"/>
      <c r="J149" s="58"/>
      <c r="K149" s="58"/>
      <c r="L149" s="58"/>
      <c r="M149" s="58"/>
      <c r="N149" s="58"/>
      <c r="O149" s="58"/>
      <c r="P149" s="58"/>
      <c r="Q149" s="58"/>
      <c r="R149" s="58"/>
      <c r="S149" s="58"/>
      <c r="T149" s="58"/>
      <c r="U149" s="58"/>
      <c r="V149" s="58"/>
      <c r="W149" s="58"/>
      <c r="X149" s="58"/>
      <c r="Y149" s="58"/>
      <c r="Z149" s="58"/>
    </row>
    <row r="150" ht="15.75" customHeight="1">
      <c r="A150" s="12" t="s">
        <v>4446</v>
      </c>
      <c r="B150" s="12" t="s">
        <v>4447</v>
      </c>
      <c r="C150" s="12" t="s">
        <v>4448</v>
      </c>
      <c r="D150" s="29" t="s">
        <v>4449</v>
      </c>
      <c r="E150" s="86"/>
      <c r="F150" s="58"/>
      <c r="G150" s="58"/>
      <c r="H150" s="58"/>
      <c r="I150" s="58"/>
      <c r="J150" s="58"/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ht="15.75" customHeight="1">
      <c r="A151" s="12" t="s">
        <v>4453</v>
      </c>
      <c r="B151" s="12" t="s">
        <v>4453</v>
      </c>
      <c r="C151" s="12" t="s">
        <v>4454</v>
      </c>
      <c r="D151" s="29" t="s">
        <v>4455</v>
      </c>
      <c r="E151" s="86"/>
      <c r="F151" s="58"/>
      <c r="G151" s="58"/>
      <c r="H151" s="58"/>
      <c r="I151" s="58"/>
      <c r="J151" s="58"/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ht="15.75" customHeight="1">
      <c r="A152" s="12" t="s">
        <v>4462</v>
      </c>
      <c r="B152" s="12" t="s">
        <v>4464</v>
      </c>
      <c r="C152" s="12" t="s">
        <v>4466</v>
      </c>
      <c r="D152" s="29" t="s">
        <v>4469</v>
      </c>
      <c r="E152" s="86"/>
      <c r="F152" s="58"/>
      <c r="G152" s="58"/>
      <c r="H152" s="58"/>
      <c r="I152" s="58"/>
      <c r="J152" s="58"/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ht="15.75" customHeight="1">
      <c r="A153" s="12" t="s">
        <v>4473</v>
      </c>
      <c r="B153" s="12" t="s">
        <v>4473</v>
      </c>
      <c r="C153" s="12" t="s">
        <v>4475</v>
      </c>
      <c r="D153" s="29" t="s">
        <v>4476</v>
      </c>
      <c r="E153" s="86"/>
      <c r="F153" s="58"/>
      <c r="G153" s="58"/>
      <c r="H153" s="58"/>
      <c r="I153" s="58"/>
      <c r="J153" s="58"/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ht="15.75" customHeight="1">
      <c r="A154" s="12" t="s">
        <v>4486</v>
      </c>
      <c r="B154" s="12" t="s">
        <v>4486</v>
      </c>
      <c r="C154" s="12" t="s">
        <v>4487</v>
      </c>
      <c r="D154" s="29" t="s">
        <v>4488</v>
      </c>
      <c r="E154" s="86"/>
      <c r="F154" s="58"/>
      <c r="G154" s="58"/>
      <c r="H154" s="58"/>
      <c r="I154" s="58"/>
      <c r="J154" s="58"/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ht="15.75" customHeight="1">
      <c r="A155" s="12" t="s">
        <v>4493</v>
      </c>
      <c r="B155" s="12" t="s">
        <v>4494</v>
      </c>
      <c r="C155" s="12" t="s">
        <v>4496</v>
      </c>
      <c r="D155" s="29" t="s">
        <v>4488</v>
      </c>
      <c r="E155" s="86"/>
      <c r="F155" s="58"/>
      <c r="G155" s="58"/>
      <c r="H155" s="58"/>
      <c r="I155" s="58"/>
      <c r="J155" s="58"/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ht="15.75" customHeight="1">
      <c r="A156" s="12" t="s">
        <v>4503</v>
      </c>
      <c r="B156" s="12" t="s">
        <v>4503</v>
      </c>
      <c r="C156" s="12" t="s">
        <v>4504</v>
      </c>
      <c r="D156" s="29" t="s">
        <v>4505</v>
      </c>
      <c r="E156" s="86"/>
      <c r="F156" s="58"/>
      <c r="G156" s="58"/>
      <c r="H156" s="58"/>
      <c r="I156" s="58"/>
      <c r="J156" s="58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ht="15.75" customHeight="1">
      <c r="A157" s="12" t="s">
        <v>4512</v>
      </c>
      <c r="B157" s="12" t="s">
        <v>4512</v>
      </c>
      <c r="C157" s="12" t="s">
        <v>4513</v>
      </c>
      <c r="D157" s="29" t="s">
        <v>4514</v>
      </c>
      <c r="E157" s="86"/>
      <c r="F157" s="58"/>
      <c r="G157" s="58"/>
      <c r="H157" s="58"/>
      <c r="I157" s="58"/>
      <c r="J157" s="58"/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ht="15.75" customHeight="1">
      <c r="A158" s="12" t="s">
        <v>4521</v>
      </c>
      <c r="B158" s="12" t="s">
        <v>4522</v>
      </c>
      <c r="C158" s="12" t="s">
        <v>4524</v>
      </c>
      <c r="D158" s="29" t="s">
        <v>4526</v>
      </c>
      <c r="E158" s="86"/>
      <c r="F158" s="58"/>
      <c r="G158" s="58"/>
      <c r="H158" s="58"/>
      <c r="I158" s="58"/>
      <c r="J158" s="58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ht="15.75" customHeight="1">
      <c r="A159" s="12" t="s">
        <v>4532</v>
      </c>
      <c r="B159" s="12" t="s">
        <v>4533</v>
      </c>
      <c r="C159" s="12" t="s">
        <v>4535</v>
      </c>
      <c r="D159" s="29" t="s">
        <v>4539</v>
      </c>
      <c r="E159" s="86"/>
      <c r="F159" s="58"/>
      <c r="G159" s="58"/>
      <c r="H159" s="58"/>
      <c r="I159" s="58"/>
      <c r="J159" s="58"/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ht="15.75" customHeight="1">
      <c r="A160" s="12" t="s">
        <v>4543</v>
      </c>
      <c r="B160" s="12" t="s">
        <v>4544</v>
      </c>
      <c r="C160" s="12" t="s">
        <v>4546</v>
      </c>
      <c r="D160" s="29" t="s">
        <v>4488</v>
      </c>
      <c r="E160" s="86"/>
      <c r="F160" s="58"/>
      <c r="G160" s="58"/>
      <c r="H160" s="58"/>
      <c r="I160" s="58"/>
      <c r="J160" s="58"/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ht="15.75" customHeight="1">
      <c r="A161" s="12" t="s">
        <v>4554</v>
      </c>
      <c r="B161" s="12" t="s">
        <v>4556</v>
      </c>
      <c r="C161" s="12" t="s">
        <v>4558</v>
      </c>
      <c r="D161" s="29" t="s">
        <v>4560</v>
      </c>
      <c r="E161" s="12" t="s">
        <v>3433</v>
      </c>
      <c r="F161" s="58"/>
      <c r="G161" s="58"/>
      <c r="H161" s="58"/>
      <c r="I161" s="58"/>
      <c r="J161" s="58"/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ht="15.75" customHeight="1">
      <c r="A162" s="56" t="s">
        <v>4569</v>
      </c>
      <c r="B162" s="56" t="s">
        <v>4570</v>
      </c>
      <c r="C162" s="56" t="s">
        <v>4573</v>
      </c>
      <c r="D162" s="29" t="s">
        <v>4576</v>
      </c>
      <c r="E162" s="56" t="s">
        <v>3489</v>
      </c>
      <c r="F162" s="58"/>
      <c r="G162" s="58"/>
      <c r="H162" s="58"/>
      <c r="I162" s="58"/>
      <c r="J162" s="58"/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ht="15.75" customHeight="1">
      <c r="A163" s="56" t="s">
        <v>4579</v>
      </c>
      <c r="B163" s="56" t="s">
        <v>4581</v>
      </c>
      <c r="C163" s="56" t="s">
        <v>4583</v>
      </c>
      <c r="D163" s="29" t="s">
        <v>4585</v>
      </c>
      <c r="E163" s="56" t="s">
        <v>3496</v>
      </c>
      <c r="F163" s="58"/>
      <c r="G163" s="58"/>
      <c r="H163" s="58"/>
      <c r="I163" s="58"/>
      <c r="J163" s="58"/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ht="15.75" customHeight="1">
      <c r="A164" s="56" t="s">
        <v>4588</v>
      </c>
      <c r="B164" s="56" t="s">
        <v>4588</v>
      </c>
      <c r="C164" s="56" t="s">
        <v>4590</v>
      </c>
      <c r="D164" s="29" t="s">
        <v>4591</v>
      </c>
      <c r="E164" s="56" t="s">
        <v>3504</v>
      </c>
      <c r="F164" s="58"/>
      <c r="G164" s="58"/>
      <c r="H164" s="58"/>
      <c r="I164" s="58"/>
      <c r="J164" s="58"/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ht="15.75" customHeight="1">
      <c r="A165" s="12" t="s">
        <v>4596</v>
      </c>
      <c r="B165" s="12" t="s">
        <v>4597</v>
      </c>
      <c r="C165" s="12" t="s">
        <v>4598</v>
      </c>
      <c r="D165" s="29" t="s">
        <v>4599</v>
      </c>
      <c r="E165" s="12" t="s">
        <v>4276</v>
      </c>
      <c r="F165" s="58"/>
      <c r="G165" s="58"/>
      <c r="H165" s="58"/>
      <c r="I165" s="58"/>
      <c r="J165" s="58"/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ht="15.75" customHeight="1">
      <c r="A166" s="12" t="s">
        <v>4605</v>
      </c>
      <c r="B166" s="12" t="s">
        <v>4606</v>
      </c>
      <c r="C166" s="12" t="s">
        <v>4607</v>
      </c>
      <c r="D166" s="29" t="s">
        <v>4608</v>
      </c>
      <c r="E166" s="86"/>
      <c r="F166" s="58"/>
      <c r="G166" s="58"/>
      <c r="H166" s="58"/>
      <c r="I166" s="58"/>
      <c r="J166" s="58"/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ht="15.75" customHeight="1">
      <c r="A167" s="12" t="s">
        <v>4618</v>
      </c>
      <c r="B167" s="12" t="s">
        <v>4619</v>
      </c>
      <c r="C167" s="12" t="s">
        <v>4620</v>
      </c>
      <c r="D167" s="29" t="s">
        <v>4608</v>
      </c>
      <c r="E167" s="86"/>
      <c r="F167" s="58"/>
      <c r="G167" s="58"/>
      <c r="H167" s="58"/>
      <c r="I167" s="58"/>
      <c r="J167" s="58"/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ht="15.75" customHeight="1">
      <c r="A168" s="12" t="s">
        <v>4629</v>
      </c>
      <c r="B168" s="12" t="s">
        <v>4631</v>
      </c>
      <c r="C168" s="12" t="s">
        <v>4632</v>
      </c>
      <c r="D168" s="29" t="s">
        <v>4633</v>
      </c>
      <c r="E168" s="86"/>
      <c r="F168" s="58"/>
      <c r="G168" s="58"/>
      <c r="H168" s="58"/>
      <c r="I168" s="58"/>
      <c r="J168" s="58"/>
      <c r="K168" s="58"/>
      <c r="L168" s="58"/>
      <c r="M168" s="58"/>
      <c r="N168" s="58"/>
      <c r="O168" s="58"/>
      <c r="P168" s="58"/>
      <c r="Q168" s="58"/>
      <c r="R168" s="58"/>
      <c r="S168" s="58"/>
      <c r="T168" s="58"/>
      <c r="U168" s="58"/>
      <c r="V168" s="58"/>
      <c r="W168" s="58"/>
      <c r="X168" s="58"/>
      <c r="Y168" s="58"/>
      <c r="Z168" s="58"/>
    </row>
    <row r="169" ht="15.75" customHeight="1">
      <c r="A169" s="12" t="s">
        <v>4639</v>
      </c>
      <c r="B169" s="12" t="s">
        <v>4641</v>
      </c>
      <c r="C169" s="12" t="s">
        <v>4643</v>
      </c>
      <c r="D169" s="29" t="s">
        <v>4645</v>
      </c>
      <c r="E169" s="86"/>
      <c r="F169" s="58"/>
      <c r="G169" s="58"/>
      <c r="H169" s="58"/>
      <c r="I169" s="58"/>
      <c r="J169" s="58"/>
      <c r="K169" s="58"/>
      <c r="L169" s="58"/>
      <c r="M169" s="58"/>
      <c r="N169" s="58"/>
      <c r="O169" s="58"/>
      <c r="P169" s="58"/>
      <c r="Q169" s="58"/>
      <c r="R169" s="58"/>
      <c r="S169" s="58"/>
      <c r="T169" s="58"/>
      <c r="U169" s="58"/>
      <c r="V169" s="58"/>
      <c r="W169" s="58"/>
      <c r="X169" s="58"/>
      <c r="Y169" s="58"/>
      <c r="Z169" s="58"/>
    </row>
    <row r="170" ht="15.75" customHeight="1">
      <c r="A170" s="12" t="s">
        <v>4650</v>
      </c>
      <c r="B170" s="12" t="s">
        <v>4651</v>
      </c>
      <c r="C170" s="12" t="s">
        <v>4652</v>
      </c>
      <c r="D170" s="29" t="s">
        <v>4653</v>
      </c>
      <c r="E170" s="86"/>
      <c r="F170" s="58"/>
      <c r="G170" s="58"/>
      <c r="H170" s="58"/>
      <c r="I170" s="58"/>
      <c r="J170" s="58"/>
      <c r="K170" s="58"/>
      <c r="L170" s="58"/>
      <c r="M170" s="58"/>
      <c r="N170" s="58"/>
      <c r="O170" s="58"/>
      <c r="P170" s="58"/>
      <c r="Q170" s="58"/>
      <c r="R170" s="58"/>
      <c r="S170" s="58"/>
      <c r="T170" s="58"/>
      <c r="U170" s="58"/>
      <c r="V170" s="58"/>
      <c r="W170" s="58"/>
      <c r="X170" s="58"/>
      <c r="Y170" s="58"/>
      <c r="Z170" s="58"/>
    </row>
    <row r="171" ht="15.75" customHeight="1">
      <c r="A171" s="12" t="s">
        <v>4662</v>
      </c>
      <c r="B171" s="12" t="s">
        <v>4662</v>
      </c>
      <c r="C171" s="12" t="s">
        <v>4664</v>
      </c>
      <c r="D171" s="29" t="s">
        <v>4668</v>
      </c>
      <c r="E171" s="86"/>
      <c r="F171" s="58"/>
      <c r="G171" s="58"/>
      <c r="H171" s="58"/>
      <c r="I171" s="58"/>
      <c r="J171" s="58"/>
      <c r="K171" s="58"/>
      <c r="L171" s="58"/>
      <c r="M171" s="58"/>
      <c r="N171" s="58"/>
      <c r="O171" s="58"/>
      <c r="P171" s="58"/>
      <c r="Q171" s="58"/>
      <c r="R171" s="58"/>
      <c r="S171" s="58"/>
      <c r="T171" s="58"/>
      <c r="U171" s="58"/>
      <c r="V171" s="58"/>
      <c r="W171" s="58"/>
      <c r="X171" s="58"/>
      <c r="Y171" s="58"/>
      <c r="Z171" s="58"/>
    </row>
    <row r="172" ht="15.75" customHeight="1">
      <c r="A172" s="12" t="s">
        <v>4673</v>
      </c>
      <c r="B172" s="12" t="s">
        <v>4675</v>
      </c>
      <c r="C172" s="12" t="s">
        <v>4678</v>
      </c>
      <c r="D172" s="29" t="s">
        <v>4681</v>
      </c>
      <c r="E172" s="86"/>
      <c r="F172" s="58"/>
      <c r="G172" s="58"/>
      <c r="H172" s="58"/>
      <c r="I172" s="58"/>
      <c r="J172" s="58"/>
      <c r="K172" s="58"/>
      <c r="L172" s="58"/>
      <c r="M172" s="58"/>
      <c r="N172" s="58"/>
      <c r="O172" s="58"/>
      <c r="P172" s="58"/>
      <c r="Q172" s="58"/>
      <c r="R172" s="58"/>
      <c r="S172" s="58"/>
      <c r="T172" s="58"/>
      <c r="U172" s="58"/>
      <c r="V172" s="58"/>
      <c r="W172" s="58"/>
      <c r="X172" s="58"/>
      <c r="Y172" s="58"/>
      <c r="Z172" s="58"/>
    </row>
    <row r="173" ht="15.75" customHeight="1">
      <c r="A173" s="12" t="s">
        <v>4684</v>
      </c>
      <c r="B173" s="12" t="s">
        <v>4686</v>
      </c>
      <c r="C173" s="12" t="s">
        <v>4689</v>
      </c>
      <c r="D173" s="29" t="s">
        <v>4692</v>
      </c>
      <c r="E173" s="86"/>
      <c r="F173" s="58"/>
      <c r="G173" s="58"/>
      <c r="H173" s="58"/>
      <c r="I173" s="58"/>
      <c r="J173" s="58"/>
      <c r="K173" s="58"/>
      <c r="L173" s="58"/>
      <c r="M173" s="58"/>
      <c r="N173" s="58"/>
      <c r="O173" s="58"/>
      <c r="P173" s="58"/>
      <c r="Q173" s="58"/>
      <c r="R173" s="58"/>
      <c r="S173" s="58"/>
      <c r="T173" s="58"/>
      <c r="U173" s="58"/>
      <c r="V173" s="58"/>
      <c r="W173" s="58"/>
      <c r="X173" s="58"/>
      <c r="Y173" s="58"/>
      <c r="Z173" s="58"/>
    </row>
    <row r="174" ht="15.75" customHeight="1">
      <c r="A174" s="12" t="s">
        <v>4696</v>
      </c>
      <c r="B174" s="12" t="s">
        <v>4698</v>
      </c>
      <c r="C174" s="12" t="s">
        <v>4700</v>
      </c>
      <c r="D174" s="29" t="s">
        <v>4702</v>
      </c>
      <c r="E174" s="86"/>
      <c r="F174" s="58"/>
      <c r="G174" s="58"/>
      <c r="H174" s="58"/>
      <c r="I174" s="58"/>
      <c r="J174" s="58"/>
      <c r="K174" s="58"/>
      <c r="L174" s="58"/>
      <c r="M174" s="58"/>
      <c r="N174" s="58"/>
      <c r="O174" s="58"/>
      <c r="P174" s="58"/>
      <c r="Q174" s="58"/>
      <c r="R174" s="58"/>
      <c r="S174" s="58"/>
      <c r="T174" s="58"/>
      <c r="U174" s="58"/>
      <c r="V174" s="58"/>
      <c r="W174" s="58"/>
      <c r="X174" s="58"/>
      <c r="Y174" s="58"/>
      <c r="Z174" s="58"/>
    </row>
    <row r="175" ht="15.75" customHeight="1">
      <c r="A175" s="12" t="s">
        <v>4708</v>
      </c>
      <c r="B175" s="12" t="s">
        <v>4708</v>
      </c>
      <c r="C175" s="12" t="s">
        <v>4711</v>
      </c>
      <c r="D175" s="29" t="s">
        <v>4714</v>
      </c>
      <c r="E175" s="86"/>
      <c r="F175" s="58"/>
      <c r="G175" s="58"/>
      <c r="H175" s="58"/>
      <c r="I175" s="58"/>
      <c r="J175" s="58"/>
      <c r="K175" s="58"/>
      <c r="L175" s="58"/>
      <c r="M175" s="58"/>
      <c r="N175" s="58"/>
      <c r="O175" s="58"/>
      <c r="P175" s="58"/>
      <c r="Q175" s="58"/>
      <c r="R175" s="58"/>
      <c r="S175" s="58"/>
      <c r="T175" s="58"/>
      <c r="U175" s="58"/>
      <c r="V175" s="58"/>
      <c r="W175" s="58"/>
      <c r="X175" s="58"/>
      <c r="Y175" s="58"/>
      <c r="Z175" s="58"/>
    </row>
    <row r="176" ht="15.75" customHeight="1">
      <c r="A176" s="12" t="s">
        <v>4720</v>
      </c>
      <c r="B176" s="12" t="s">
        <v>4722</v>
      </c>
      <c r="C176" s="12" t="s">
        <v>4724</v>
      </c>
      <c r="D176" s="29" t="s">
        <v>4725</v>
      </c>
      <c r="E176" s="86"/>
      <c r="F176" s="58"/>
      <c r="G176" s="58"/>
      <c r="H176" s="58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</row>
    <row r="177" ht="15.75" customHeight="1">
      <c r="A177" s="12" t="s">
        <v>4728</v>
      </c>
      <c r="B177" s="12" t="s">
        <v>4730</v>
      </c>
      <c r="C177" s="12" t="s">
        <v>4732</v>
      </c>
      <c r="D177" s="29" t="s">
        <v>4733</v>
      </c>
      <c r="E177" s="86"/>
      <c r="F177" s="58"/>
      <c r="G177" s="58"/>
      <c r="H177" s="58"/>
      <c r="I177" s="58"/>
      <c r="J177" s="58"/>
      <c r="K177" s="58"/>
      <c r="L177" s="58"/>
      <c r="M177" s="58"/>
      <c r="N177" s="58"/>
      <c r="O177" s="58"/>
      <c r="P177" s="58"/>
      <c r="Q177" s="58"/>
      <c r="R177" s="58"/>
      <c r="S177" s="58"/>
      <c r="T177" s="58"/>
      <c r="U177" s="58"/>
      <c r="V177" s="58"/>
      <c r="W177" s="58"/>
      <c r="X177" s="58"/>
      <c r="Y177" s="58"/>
      <c r="Z177" s="58"/>
    </row>
    <row r="178" ht="15.75" customHeight="1">
      <c r="A178" s="12" t="s">
        <v>4737</v>
      </c>
      <c r="B178" s="12" t="s">
        <v>4738</v>
      </c>
      <c r="C178" s="12" t="s">
        <v>4739</v>
      </c>
      <c r="D178" s="29" t="s">
        <v>4740</v>
      </c>
      <c r="E178" s="86"/>
      <c r="F178" s="58"/>
      <c r="G178" s="58"/>
      <c r="H178" s="58"/>
      <c r="I178" s="58"/>
      <c r="J178" s="58"/>
      <c r="K178" s="58"/>
      <c r="L178" s="58"/>
      <c r="M178" s="58"/>
      <c r="N178" s="58"/>
      <c r="O178" s="58"/>
      <c r="P178" s="58"/>
      <c r="Q178" s="58"/>
      <c r="R178" s="58"/>
      <c r="S178" s="58"/>
      <c r="T178" s="58"/>
      <c r="U178" s="58"/>
      <c r="V178" s="58"/>
      <c r="W178" s="58"/>
      <c r="X178" s="58"/>
      <c r="Y178" s="58"/>
      <c r="Z178" s="58"/>
    </row>
    <row r="179" ht="15.75" customHeight="1">
      <c r="A179" s="12" t="s">
        <v>4745</v>
      </c>
      <c r="B179" s="12" t="s">
        <v>4746</v>
      </c>
      <c r="C179" s="12" t="s">
        <v>4747</v>
      </c>
      <c r="D179" s="29" t="s">
        <v>4748</v>
      </c>
      <c r="E179" s="12" t="s">
        <v>3433</v>
      </c>
      <c r="F179" s="58"/>
      <c r="G179" s="58"/>
      <c r="H179" s="58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</row>
    <row r="180" ht="15.75" customHeight="1">
      <c r="A180" s="29" t="s">
        <v>4757</v>
      </c>
      <c r="B180" s="29" t="s">
        <v>4758</v>
      </c>
      <c r="C180" s="29" t="s">
        <v>4759</v>
      </c>
      <c r="D180" s="29" t="s">
        <v>4760</v>
      </c>
      <c r="E180" s="29" t="s">
        <v>3579</v>
      </c>
      <c r="F180" s="58"/>
      <c r="G180" s="58"/>
      <c r="H180" s="58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</row>
    <row r="181" ht="15.75" customHeight="1">
      <c r="A181" s="12" t="s">
        <v>4768</v>
      </c>
      <c r="B181" s="12" t="s">
        <v>4770</v>
      </c>
      <c r="C181" s="12" t="s">
        <v>4771</v>
      </c>
      <c r="D181" s="29" t="s">
        <v>4772</v>
      </c>
      <c r="E181" s="12" t="s">
        <v>3516</v>
      </c>
      <c r="F181" s="58"/>
      <c r="G181" s="58"/>
      <c r="H181" s="58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</row>
    <row r="182" ht="15.75" customHeight="1">
      <c r="A182" s="56" t="s">
        <v>4777</v>
      </c>
      <c r="B182" s="56" t="s">
        <v>4783</v>
      </c>
      <c r="C182" s="56" t="s">
        <v>4784</v>
      </c>
      <c r="D182" s="29" t="s">
        <v>4785</v>
      </c>
      <c r="E182" s="56" t="s">
        <v>3496</v>
      </c>
      <c r="F182" s="58"/>
      <c r="G182" s="58"/>
      <c r="H182" s="58"/>
      <c r="I182" s="58"/>
      <c r="J182" s="58"/>
      <c r="K182" s="58"/>
      <c r="L182" s="58"/>
      <c r="M182" s="58"/>
      <c r="N182" s="58"/>
      <c r="O182" s="58"/>
      <c r="P182" s="58"/>
      <c r="Q182" s="58"/>
      <c r="R182" s="58"/>
      <c r="S182" s="58"/>
      <c r="T182" s="58"/>
      <c r="U182" s="58"/>
      <c r="V182" s="58"/>
      <c r="W182" s="58"/>
      <c r="X182" s="58"/>
      <c r="Y182" s="58"/>
      <c r="Z182" s="58"/>
    </row>
    <row r="183" ht="15.75" customHeight="1">
      <c r="A183" s="56" t="s">
        <v>4793</v>
      </c>
      <c r="B183" s="56" t="s">
        <v>4794</v>
      </c>
      <c r="C183" s="56" t="s">
        <v>4795</v>
      </c>
      <c r="D183" s="29" t="s">
        <v>4796</v>
      </c>
      <c r="E183" s="56" t="s">
        <v>3489</v>
      </c>
      <c r="F183" s="58"/>
      <c r="G183" s="58"/>
      <c r="H183" s="58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</row>
    <row r="184" ht="15.75" customHeight="1">
      <c r="A184" s="56" t="s">
        <v>4805</v>
      </c>
      <c r="B184" s="56" t="s">
        <v>4806</v>
      </c>
      <c r="C184" s="56" t="s">
        <v>4807</v>
      </c>
      <c r="D184" s="29" t="s">
        <v>4808</v>
      </c>
      <c r="E184" s="56" t="s">
        <v>3504</v>
      </c>
      <c r="F184" s="58"/>
      <c r="G184" s="58"/>
      <c r="H184" s="58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</row>
    <row r="185" ht="15.75" customHeight="1">
      <c r="A185" s="12" t="s">
        <v>4817</v>
      </c>
      <c r="B185" s="12" t="s">
        <v>4818</v>
      </c>
      <c r="C185" s="12" t="s">
        <v>4819</v>
      </c>
      <c r="D185" s="29" t="s">
        <v>4820</v>
      </c>
      <c r="E185" s="86"/>
      <c r="F185" s="58"/>
      <c r="G185" s="58"/>
      <c r="H185" s="58"/>
      <c r="I185" s="58"/>
      <c r="J185" s="58"/>
      <c r="K185" s="58"/>
      <c r="L185" s="58"/>
      <c r="M185" s="58"/>
      <c r="N185" s="58"/>
      <c r="O185" s="58"/>
      <c r="P185" s="58"/>
      <c r="Q185" s="58"/>
      <c r="R185" s="58"/>
      <c r="S185" s="58"/>
      <c r="T185" s="58"/>
      <c r="U185" s="58"/>
      <c r="V185" s="58"/>
      <c r="W185" s="58"/>
      <c r="X185" s="58"/>
      <c r="Y185" s="58"/>
      <c r="Z185" s="58"/>
    </row>
    <row r="186" ht="15.75" customHeight="1">
      <c r="A186" s="12" t="s">
        <v>4829</v>
      </c>
      <c r="B186" s="12" t="s">
        <v>4830</v>
      </c>
      <c r="C186" s="12" t="s">
        <v>4832</v>
      </c>
      <c r="D186" s="29" t="s">
        <v>4835</v>
      </c>
      <c r="E186" s="12" t="s">
        <v>4276</v>
      </c>
      <c r="F186" s="58"/>
      <c r="G186" s="58"/>
      <c r="H186" s="58"/>
      <c r="I186" s="58"/>
      <c r="J186" s="58"/>
      <c r="K186" s="58"/>
      <c r="L186" s="58"/>
      <c r="M186" s="58"/>
      <c r="N186" s="58"/>
      <c r="O186" s="58"/>
      <c r="P186" s="58"/>
      <c r="Q186" s="58"/>
      <c r="R186" s="58"/>
      <c r="S186" s="58"/>
      <c r="T186" s="58"/>
      <c r="U186" s="58"/>
      <c r="V186" s="58"/>
      <c r="W186" s="58"/>
      <c r="X186" s="58"/>
      <c r="Y186" s="58"/>
      <c r="Z186" s="58"/>
    </row>
    <row r="187" ht="15.75" customHeight="1">
      <c r="A187" s="12" t="s">
        <v>4842</v>
      </c>
      <c r="B187" s="12" t="s">
        <v>4844</v>
      </c>
      <c r="C187" s="12" t="s">
        <v>4846</v>
      </c>
      <c r="D187" s="29" t="s">
        <v>4848</v>
      </c>
      <c r="E187" s="12" t="s">
        <v>4276</v>
      </c>
      <c r="F187" s="58"/>
      <c r="G187" s="58"/>
      <c r="H187" s="58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</row>
    <row r="188" ht="15.75" customHeight="1">
      <c r="A188" s="12" t="s">
        <v>4852</v>
      </c>
      <c r="B188" s="12" t="s">
        <v>4852</v>
      </c>
      <c r="C188" s="12" t="s">
        <v>4853</v>
      </c>
      <c r="D188" s="29" t="s">
        <v>4854</v>
      </c>
      <c r="E188" s="86"/>
      <c r="F188" s="58"/>
      <c r="G188" s="58"/>
      <c r="H188" s="58"/>
      <c r="I188" s="58"/>
      <c r="J188" s="58"/>
      <c r="K188" s="58"/>
      <c r="L188" s="58"/>
      <c r="M188" s="58"/>
      <c r="N188" s="58"/>
      <c r="O188" s="58"/>
      <c r="P188" s="58"/>
      <c r="Q188" s="58"/>
      <c r="R188" s="58"/>
      <c r="S188" s="58"/>
      <c r="T188" s="58"/>
      <c r="U188" s="58"/>
      <c r="V188" s="58"/>
      <c r="W188" s="58"/>
      <c r="X188" s="58"/>
      <c r="Y188" s="58"/>
      <c r="Z188" s="58"/>
    </row>
    <row r="189" ht="15.75" customHeight="1">
      <c r="A189" s="12" t="s">
        <v>4859</v>
      </c>
      <c r="B189" s="12" t="s">
        <v>4860</v>
      </c>
      <c r="C189" s="12" t="s">
        <v>4861</v>
      </c>
      <c r="D189" s="29" t="s">
        <v>4862</v>
      </c>
      <c r="E189" s="86"/>
      <c r="F189" s="58"/>
      <c r="G189" s="58"/>
      <c r="H189" s="58"/>
      <c r="I189" s="58"/>
      <c r="J189" s="58"/>
      <c r="K189" s="58"/>
      <c r="L189" s="58"/>
      <c r="M189" s="58"/>
      <c r="N189" s="58"/>
      <c r="O189" s="58"/>
      <c r="P189" s="58"/>
      <c r="Q189" s="58"/>
      <c r="R189" s="58"/>
      <c r="S189" s="58"/>
      <c r="T189" s="58"/>
      <c r="U189" s="58"/>
      <c r="V189" s="58"/>
      <c r="W189" s="58"/>
      <c r="X189" s="58"/>
      <c r="Y189" s="58"/>
      <c r="Z189" s="58"/>
    </row>
    <row r="190" ht="15.75" customHeight="1">
      <c r="A190" s="12" t="s">
        <v>4866</v>
      </c>
      <c r="B190" s="12" t="s">
        <v>4867</v>
      </c>
      <c r="C190" s="12" t="s">
        <v>4868</v>
      </c>
      <c r="D190" s="29" t="s">
        <v>4869</v>
      </c>
      <c r="E190" s="86"/>
      <c r="F190" s="58"/>
      <c r="G190" s="58"/>
      <c r="H190" s="58"/>
      <c r="I190" s="58"/>
      <c r="J190" s="58"/>
      <c r="K190" s="58"/>
      <c r="L190" s="58"/>
      <c r="M190" s="58"/>
      <c r="N190" s="58"/>
      <c r="O190" s="58"/>
      <c r="P190" s="58"/>
      <c r="Q190" s="58"/>
      <c r="R190" s="58"/>
      <c r="S190" s="58"/>
      <c r="T190" s="58"/>
      <c r="U190" s="58"/>
      <c r="V190" s="58"/>
      <c r="W190" s="58"/>
      <c r="X190" s="58"/>
      <c r="Y190" s="58"/>
      <c r="Z190" s="58"/>
    </row>
    <row r="191" ht="15.75" customHeight="1">
      <c r="A191" s="12" t="s">
        <v>4876</v>
      </c>
      <c r="B191" s="12" t="s">
        <v>4877</v>
      </c>
      <c r="C191" s="12" t="s">
        <v>4879</v>
      </c>
      <c r="D191" s="29" t="s">
        <v>4880</v>
      </c>
      <c r="E191" s="86"/>
      <c r="F191" s="58"/>
      <c r="G191" s="58"/>
      <c r="H191" s="58"/>
      <c r="I191" s="58"/>
      <c r="J191" s="58"/>
      <c r="K191" s="58"/>
      <c r="L191" s="58"/>
      <c r="M191" s="58"/>
      <c r="N191" s="58"/>
      <c r="O191" s="58"/>
      <c r="P191" s="58"/>
      <c r="Q191" s="58"/>
      <c r="R191" s="58"/>
      <c r="S191" s="58"/>
      <c r="T191" s="58"/>
      <c r="U191" s="58"/>
      <c r="V191" s="58"/>
      <c r="W191" s="58"/>
      <c r="X191" s="58"/>
      <c r="Y191" s="58"/>
      <c r="Z191" s="58"/>
    </row>
    <row r="192" ht="15.75" customHeight="1">
      <c r="A192" s="12" t="s">
        <v>4885</v>
      </c>
      <c r="B192" s="12" t="s">
        <v>4886</v>
      </c>
      <c r="C192" s="12" t="s">
        <v>4887</v>
      </c>
      <c r="D192" s="29" t="s">
        <v>4889</v>
      </c>
      <c r="E192" s="86"/>
      <c r="F192" s="58"/>
      <c r="G192" s="58"/>
      <c r="H192" s="58"/>
      <c r="I192" s="58"/>
      <c r="J192" s="58"/>
      <c r="K192" s="58"/>
      <c r="L192" s="58"/>
      <c r="M192" s="58"/>
      <c r="N192" s="58"/>
      <c r="O192" s="58"/>
      <c r="P192" s="58"/>
      <c r="Q192" s="58"/>
      <c r="R192" s="58"/>
      <c r="S192" s="58"/>
      <c r="T192" s="58"/>
      <c r="U192" s="58"/>
      <c r="V192" s="58"/>
      <c r="W192" s="58"/>
      <c r="X192" s="58"/>
      <c r="Y192" s="58"/>
      <c r="Z192" s="58"/>
    </row>
    <row r="193" ht="15.75" customHeight="1">
      <c r="A193" s="12" t="s">
        <v>4893</v>
      </c>
      <c r="B193" s="12" t="s">
        <v>4893</v>
      </c>
      <c r="C193" s="12" t="s">
        <v>4894</v>
      </c>
      <c r="D193" s="29" t="s">
        <v>4896</v>
      </c>
      <c r="E193" s="86"/>
      <c r="F193" s="58"/>
      <c r="G193" s="58"/>
      <c r="H193" s="58"/>
      <c r="I193" s="58"/>
      <c r="J193" s="58"/>
      <c r="K193" s="58"/>
      <c r="L193" s="58"/>
      <c r="M193" s="58"/>
      <c r="N193" s="58"/>
      <c r="O193" s="58"/>
      <c r="P193" s="58"/>
      <c r="Q193" s="58"/>
      <c r="R193" s="58"/>
      <c r="S193" s="58"/>
      <c r="T193" s="58"/>
      <c r="U193" s="58"/>
      <c r="V193" s="58"/>
      <c r="W193" s="58"/>
      <c r="X193" s="58"/>
      <c r="Y193" s="58"/>
      <c r="Z193" s="58"/>
    </row>
    <row r="194" ht="15.75" customHeight="1">
      <c r="A194" s="12" t="s">
        <v>4903</v>
      </c>
      <c r="B194" s="12" t="s">
        <v>4903</v>
      </c>
      <c r="C194" s="12" t="s">
        <v>4904</v>
      </c>
      <c r="D194" s="29" t="s">
        <v>4907</v>
      </c>
      <c r="E194" s="86"/>
      <c r="F194" s="58"/>
      <c r="G194" s="58"/>
      <c r="H194" s="58"/>
      <c r="I194" s="58"/>
      <c r="J194" s="58"/>
      <c r="K194" s="58"/>
      <c r="L194" s="58"/>
      <c r="M194" s="58"/>
      <c r="N194" s="58"/>
      <c r="O194" s="58"/>
      <c r="P194" s="58"/>
      <c r="Q194" s="58"/>
      <c r="R194" s="58"/>
      <c r="S194" s="58"/>
      <c r="T194" s="58"/>
      <c r="U194" s="58"/>
      <c r="V194" s="58"/>
      <c r="W194" s="58"/>
      <c r="X194" s="58"/>
      <c r="Y194" s="58"/>
      <c r="Z194" s="58"/>
    </row>
    <row r="195" ht="15.75" customHeight="1">
      <c r="A195" s="62" t="s">
        <v>4915</v>
      </c>
      <c r="B195" s="62" t="s">
        <v>3319</v>
      </c>
      <c r="C195" s="62" t="s">
        <v>3320</v>
      </c>
      <c r="D195" s="60" t="s">
        <v>4918</v>
      </c>
      <c r="E195" s="62" t="s">
        <v>3322</v>
      </c>
      <c r="F195" s="37"/>
      <c r="G195" s="37"/>
      <c r="H195" s="37"/>
      <c r="I195" s="37"/>
      <c r="J195" s="37"/>
      <c r="K195" s="37"/>
      <c r="L195" s="37"/>
      <c r="M195" s="37"/>
      <c r="N195" s="37"/>
      <c r="O195" s="37"/>
      <c r="P195" s="37"/>
      <c r="Q195" s="37"/>
      <c r="R195" s="37"/>
      <c r="S195" s="37"/>
      <c r="T195" s="37"/>
      <c r="U195" s="37"/>
      <c r="V195" s="37"/>
      <c r="W195" s="37"/>
      <c r="X195" s="37"/>
      <c r="Y195" s="37"/>
      <c r="Z195" s="37"/>
    </row>
    <row r="196" ht="15.75" customHeight="1">
      <c r="A196" s="62" t="s">
        <v>4925</v>
      </c>
      <c r="B196" s="62" t="s">
        <v>4926</v>
      </c>
      <c r="C196" s="62" t="s">
        <v>4927</v>
      </c>
      <c r="D196" s="60" t="s">
        <v>4929</v>
      </c>
      <c r="E196" s="62" t="s">
        <v>4931</v>
      </c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  <c r="S196" s="37"/>
      <c r="T196" s="37"/>
      <c r="U196" s="37"/>
      <c r="V196" s="37"/>
      <c r="W196" s="37"/>
      <c r="X196" s="37"/>
      <c r="Y196" s="37"/>
      <c r="Z196" s="37"/>
    </row>
    <row r="197" ht="15.75" customHeight="1">
      <c r="A197" s="62" t="s">
        <v>4937</v>
      </c>
      <c r="B197" s="62" t="s">
        <v>4938</v>
      </c>
      <c r="C197" s="62" t="s">
        <v>4939</v>
      </c>
      <c r="D197" s="60" t="s">
        <v>4940</v>
      </c>
      <c r="E197" s="62" t="s">
        <v>4941</v>
      </c>
      <c r="F197" s="37"/>
      <c r="G197" s="37"/>
      <c r="H197" s="37"/>
      <c r="I197" s="37"/>
      <c r="J197" s="37"/>
      <c r="K197" s="37"/>
      <c r="L197" s="37"/>
      <c r="M197" s="37"/>
      <c r="N197" s="37"/>
      <c r="O197" s="37"/>
      <c r="P197" s="37"/>
      <c r="Q197" s="37"/>
      <c r="R197" s="37"/>
      <c r="S197" s="37"/>
      <c r="T197" s="37"/>
      <c r="U197" s="37"/>
      <c r="V197" s="37"/>
      <c r="W197" s="37"/>
      <c r="X197" s="37"/>
      <c r="Y197" s="37"/>
      <c r="Z197" s="37"/>
    </row>
    <row r="198" ht="15.75" customHeight="1">
      <c r="A198" s="11" t="s">
        <v>4949</v>
      </c>
      <c r="B198" s="11" t="s">
        <v>4950</v>
      </c>
      <c r="C198" s="11" t="s">
        <v>4951</v>
      </c>
      <c r="D198" s="48" t="s">
        <v>4953</v>
      </c>
      <c r="E198" s="11" t="s">
        <v>3322</v>
      </c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5.75" customHeight="1">
      <c r="A199" s="11" t="s">
        <v>4963</v>
      </c>
      <c r="B199" s="11" t="s">
        <v>4964</v>
      </c>
      <c r="C199" s="11" t="s">
        <v>4965</v>
      </c>
      <c r="D199" s="48" t="s">
        <v>4967</v>
      </c>
      <c r="E199" s="11" t="s">
        <v>3322</v>
      </c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5.75" customHeight="1">
      <c r="A200" s="12" t="s">
        <v>4974</v>
      </c>
      <c r="B200" s="12" t="s">
        <v>4976</v>
      </c>
      <c r="C200" s="12" t="s">
        <v>4977</v>
      </c>
      <c r="D200" s="56" t="s">
        <v>4978</v>
      </c>
      <c r="E200" s="12" t="s">
        <v>3322</v>
      </c>
      <c r="F200" s="58"/>
      <c r="G200" s="58"/>
      <c r="H200" s="58"/>
      <c r="I200" s="58"/>
      <c r="J200" s="58"/>
      <c r="K200" s="58"/>
      <c r="L200" s="58"/>
      <c r="M200" s="58"/>
      <c r="N200" s="58"/>
      <c r="O200" s="58"/>
      <c r="P200" s="58"/>
      <c r="Q200" s="58"/>
      <c r="R200" s="58"/>
      <c r="S200" s="58"/>
      <c r="T200" s="58"/>
      <c r="U200" s="58"/>
      <c r="V200" s="58"/>
      <c r="W200" s="58"/>
      <c r="X200" s="58"/>
      <c r="Y200" s="58"/>
      <c r="Z200" s="58"/>
    </row>
    <row r="201" ht="15.75" customHeight="1">
      <c r="A201" s="12" t="s">
        <v>4983</v>
      </c>
      <c r="B201" s="12" t="s">
        <v>4986</v>
      </c>
      <c r="C201" s="12" t="s">
        <v>4988</v>
      </c>
      <c r="D201" s="29" t="s">
        <v>4990</v>
      </c>
      <c r="E201" s="12" t="s">
        <v>3322</v>
      </c>
      <c r="F201" s="58"/>
      <c r="G201" s="58"/>
      <c r="H201" s="58"/>
      <c r="I201" s="58"/>
      <c r="J201" s="58"/>
      <c r="K201" s="58"/>
      <c r="L201" s="58"/>
      <c r="M201" s="58"/>
      <c r="N201" s="58"/>
      <c r="O201" s="58"/>
      <c r="P201" s="58"/>
      <c r="Q201" s="58"/>
      <c r="R201" s="58"/>
      <c r="S201" s="58"/>
      <c r="T201" s="58"/>
      <c r="U201" s="58"/>
      <c r="V201" s="58"/>
      <c r="W201" s="58"/>
      <c r="X201" s="58"/>
      <c r="Y201" s="58"/>
      <c r="Z201" s="58"/>
    </row>
    <row r="202" ht="15.75" customHeight="1">
      <c r="A202" s="11" t="s">
        <v>4999</v>
      </c>
      <c r="B202" s="11" t="s">
        <v>5000</v>
      </c>
      <c r="C202" s="11" t="s">
        <v>5001</v>
      </c>
      <c r="D202" s="48" t="s">
        <v>5002</v>
      </c>
      <c r="E202" s="11" t="s">
        <v>5003</v>
      </c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t="15.75" customHeight="1">
      <c r="A203" s="12" t="s">
        <v>5009</v>
      </c>
      <c r="B203" s="12" t="s">
        <v>5009</v>
      </c>
      <c r="C203" s="12" t="s">
        <v>5012</v>
      </c>
      <c r="D203" s="29" t="s">
        <v>5014</v>
      </c>
      <c r="E203" s="86"/>
      <c r="F203" s="58"/>
      <c r="G203" s="58"/>
      <c r="H203" s="58"/>
      <c r="I203" s="58"/>
      <c r="J203" s="58"/>
      <c r="K203" s="58"/>
      <c r="L203" s="58"/>
      <c r="M203" s="58"/>
      <c r="N203" s="58"/>
      <c r="O203" s="58"/>
      <c r="P203" s="58"/>
      <c r="Q203" s="58"/>
      <c r="R203" s="58"/>
      <c r="S203" s="58"/>
      <c r="T203" s="58"/>
      <c r="U203" s="58"/>
      <c r="V203" s="58"/>
      <c r="W203" s="58"/>
      <c r="X203" s="58"/>
      <c r="Y203" s="58"/>
      <c r="Z203" s="58"/>
    </row>
    <row r="204" ht="15.75" customHeight="1">
      <c r="A204" s="12" t="s">
        <v>5020</v>
      </c>
      <c r="B204" s="12" t="s">
        <v>5021</v>
      </c>
      <c r="C204" s="12" t="s">
        <v>5023</v>
      </c>
      <c r="D204" s="29" t="s">
        <v>5026</v>
      </c>
      <c r="E204" s="86"/>
      <c r="F204" s="58"/>
      <c r="G204" s="58"/>
      <c r="H204" s="58"/>
      <c r="I204" s="58"/>
      <c r="J204" s="58"/>
      <c r="K204" s="58"/>
      <c r="L204" s="58"/>
      <c r="M204" s="58"/>
      <c r="N204" s="58"/>
      <c r="O204" s="58"/>
      <c r="P204" s="58"/>
      <c r="Q204" s="58"/>
      <c r="R204" s="58"/>
      <c r="S204" s="58"/>
      <c r="T204" s="58"/>
      <c r="U204" s="58"/>
      <c r="V204" s="58"/>
      <c r="W204" s="58"/>
      <c r="X204" s="58"/>
      <c r="Y204" s="58"/>
      <c r="Z204" s="58"/>
    </row>
    <row r="205" ht="15.75" customHeight="1">
      <c r="A205" s="12" t="s">
        <v>5032</v>
      </c>
      <c r="B205" s="12" t="s">
        <v>5033</v>
      </c>
      <c r="C205" s="12" t="s">
        <v>5035</v>
      </c>
      <c r="D205" s="29" t="s">
        <v>5038</v>
      </c>
      <c r="E205" s="86"/>
      <c r="F205" s="58"/>
      <c r="G205" s="58"/>
      <c r="H205" s="58"/>
      <c r="I205" s="58"/>
      <c r="J205" s="58"/>
      <c r="K205" s="58"/>
      <c r="L205" s="58"/>
      <c r="M205" s="58"/>
      <c r="N205" s="58"/>
      <c r="O205" s="58"/>
      <c r="P205" s="58"/>
      <c r="Q205" s="58"/>
      <c r="R205" s="58"/>
      <c r="S205" s="58"/>
      <c r="T205" s="58"/>
      <c r="U205" s="58"/>
      <c r="V205" s="58"/>
      <c r="W205" s="58"/>
      <c r="X205" s="58"/>
      <c r="Y205" s="58"/>
      <c r="Z205" s="58"/>
    </row>
    <row r="206" ht="15.75" customHeight="1">
      <c r="A206" s="12" t="s">
        <v>5040</v>
      </c>
      <c r="B206" s="12" t="s">
        <v>5041</v>
      </c>
      <c r="C206" s="12" t="s">
        <v>5043</v>
      </c>
      <c r="D206" s="29" t="s">
        <v>5046</v>
      </c>
      <c r="E206" s="86"/>
      <c r="F206" s="58"/>
      <c r="G206" s="58"/>
      <c r="H206" s="58"/>
      <c r="I206" s="58"/>
      <c r="J206" s="58"/>
      <c r="K206" s="58"/>
      <c r="L206" s="58"/>
      <c r="M206" s="58"/>
      <c r="N206" s="58"/>
      <c r="O206" s="58"/>
      <c r="P206" s="58"/>
      <c r="Q206" s="58"/>
      <c r="R206" s="58"/>
      <c r="S206" s="58"/>
      <c r="T206" s="58"/>
      <c r="U206" s="58"/>
      <c r="V206" s="58"/>
      <c r="W206" s="58"/>
      <c r="X206" s="58"/>
      <c r="Y206" s="58"/>
      <c r="Z206" s="58"/>
    </row>
    <row r="207" ht="15.75" customHeight="1">
      <c r="A207" s="12" t="s">
        <v>5048</v>
      </c>
      <c r="B207" s="12" t="s">
        <v>5048</v>
      </c>
      <c r="C207" s="12" t="s">
        <v>5051</v>
      </c>
      <c r="D207" s="29" t="s">
        <v>5053</v>
      </c>
      <c r="E207" s="86"/>
      <c r="F207" s="58"/>
      <c r="G207" s="58"/>
      <c r="H207" s="58"/>
      <c r="I207" s="58"/>
      <c r="J207" s="58"/>
      <c r="K207" s="58"/>
      <c r="L207" s="58"/>
      <c r="M207" s="58"/>
      <c r="N207" s="58"/>
      <c r="O207" s="58"/>
      <c r="P207" s="58"/>
      <c r="Q207" s="58"/>
      <c r="R207" s="58"/>
      <c r="S207" s="58"/>
      <c r="T207" s="58"/>
      <c r="U207" s="58"/>
      <c r="V207" s="58"/>
      <c r="W207" s="58"/>
      <c r="X207" s="58"/>
      <c r="Y207" s="58"/>
      <c r="Z207" s="58"/>
    </row>
    <row r="208" ht="15.75" customHeight="1">
      <c r="A208" s="12" t="s">
        <v>5055</v>
      </c>
      <c r="B208" s="12" t="s">
        <v>5056</v>
      </c>
      <c r="C208" s="12" t="s">
        <v>5057</v>
      </c>
      <c r="D208" s="29" t="s">
        <v>5059</v>
      </c>
      <c r="E208" s="86"/>
      <c r="F208" s="58"/>
      <c r="G208" s="58"/>
      <c r="H208" s="58"/>
      <c r="I208" s="58"/>
      <c r="J208" s="58"/>
      <c r="K208" s="58"/>
      <c r="L208" s="58"/>
      <c r="M208" s="58"/>
      <c r="N208" s="58"/>
      <c r="O208" s="58"/>
      <c r="P208" s="58"/>
      <c r="Q208" s="58"/>
      <c r="R208" s="58"/>
      <c r="S208" s="58"/>
      <c r="T208" s="58"/>
      <c r="U208" s="58"/>
      <c r="V208" s="58"/>
      <c r="W208" s="58"/>
      <c r="X208" s="58"/>
      <c r="Y208" s="58"/>
      <c r="Z208" s="58"/>
    </row>
    <row r="209" ht="15.75" customHeight="1">
      <c r="A209" s="12" t="s">
        <v>5064</v>
      </c>
      <c r="B209" s="12" t="s">
        <v>5066</v>
      </c>
      <c r="C209" s="12" t="s">
        <v>5067</v>
      </c>
      <c r="D209" s="29" t="s">
        <v>5069</v>
      </c>
      <c r="E209" s="86"/>
      <c r="F209" s="58"/>
      <c r="G209" s="58"/>
      <c r="H209" s="58"/>
      <c r="I209" s="58"/>
      <c r="J209" s="58"/>
      <c r="K209" s="58"/>
      <c r="L209" s="58"/>
      <c r="M209" s="58"/>
      <c r="N209" s="58"/>
      <c r="O209" s="58"/>
      <c r="P209" s="58"/>
      <c r="Q209" s="58"/>
      <c r="R209" s="58"/>
      <c r="S209" s="58"/>
      <c r="T209" s="58"/>
      <c r="U209" s="58"/>
      <c r="V209" s="58"/>
      <c r="W209" s="58"/>
      <c r="X209" s="58"/>
      <c r="Y209" s="58"/>
      <c r="Z209" s="58"/>
    </row>
    <row r="210" ht="15.75" customHeight="1">
      <c r="A210" s="12" t="s">
        <v>5074</v>
      </c>
      <c r="B210" s="12" t="s">
        <v>5075</v>
      </c>
      <c r="C210" s="12" t="s">
        <v>5077</v>
      </c>
      <c r="D210" s="29" t="s">
        <v>5080</v>
      </c>
      <c r="E210" s="86"/>
      <c r="F210" s="58"/>
      <c r="G210" s="58"/>
      <c r="H210" s="58"/>
      <c r="I210" s="58"/>
      <c r="J210" s="58"/>
      <c r="K210" s="58"/>
      <c r="L210" s="58"/>
      <c r="M210" s="58"/>
      <c r="N210" s="58"/>
      <c r="O210" s="58"/>
      <c r="P210" s="58"/>
      <c r="Q210" s="58"/>
      <c r="R210" s="58"/>
      <c r="S210" s="58"/>
      <c r="T210" s="58"/>
      <c r="U210" s="58"/>
      <c r="V210" s="58"/>
      <c r="W210" s="58"/>
      <c r="X210" s="58"/>
      <c r="Y210" s="58"/>
      <c r="Z210" s="58"/>
    </row>
    <row r="211" ht="15.75" customHeight="1">
      <c r="A211" s="12" t="s">
        <v>5085</v>
      </c>
      <c r="B211" s="12" t="s">
        <v>5086</v>
      </c>
      <c r="C211" s="12" t="s">
        <v>5088</v>
      </c>
      <c r="D211" s="29" t="s">
        <v>5089</v>
      </c>
      <c r="E211" s="12" t="s">
        <v>3433</v>
      </c>
      <c r="F211" s="58"/>
      <c r="G211" s="58"/>
      <c r="H211" s="58"/>
      <c r="I211" s="58"/>
      <c r="J211" s="58"/>
      <c r="K211" s="58"/>
      <c r="L211" s="58"/>
      <c r="M211" s="58"/>
      <c r="N211" s="58"/>
      <c r="O211" s="58"/>
      <c r="P211" s="58"/>
      <c r="Q211" s="58"/>
      <c r="R211" s="58"/>
      <c r="S211" s="58"/>
      <c r="T211" s="58"/>
      <c r="U211" s="58"/>
      <c r="V211" s="58"/>
      <c r="W211" s="58"/>
      <c r="X211" s="58"/>
      <c r="Y211" s="58"/>
      <c r="Z211" s="58"/>
    </row>
    <row r="212" ht="15.75" customHeight="1">
      <c r="A212" s="12" t="s">
        <v>5096</v>
      </c>
      <c r="B212" s="12" t="s">
        <v>5097</v>
      </c>
      <c r="C212" s="12" t="s">
        <v>5098</v>
      </c>
      <c r="D212" s="29" t="s">
        <v>5100</v>
      </c>
      <c r="E212" s="12" t="s">
        <v>3489</v>
      </c>
      <c r="F212" s="58"/>
      <c r="G212" s="58"/>
      <c r="H212" s="58"/>
      <c r="I212" s="58"/>
      <c r="J212" s="58"/>
      <c r="K212" s="58"/>
      <c r="L212" s="58"/>
      <c r="M212" s="58"/>
      <c r="N212" s="58"/>
      <c r="O212" s="58"/>
      <c r="P212" s="58"/>
      <c r="Q212" s="58"/>
      <c r="R212" s="58"/>
      <c r="S212" s="58"/>
      <c r="T212" s="58"/>
      <c r="U212" s="58"/>
      <c r="V212" s="58"/>
      <c r="W212" s="58"/>
      <c r="X212" s="58"/>
      <c r="Y212" s="58"/>
      <c r="Z212" s="58"/>
    </row>
    <row r="213" ht="15.75" customHeight="1">
      <c r="A213" s="56" t="s">
        <v>5108</v>
      </c>
      <c r="B213" s="56" t="s">
        <v>5109</v>
      </c>
      <c r="C213" s="56" t="s">
        <v>5110</v>
      </c>
      <c r="D213" s="29" t="s">
        <v>5111</v>
      </c>
      <c r="E213" s="56" t="s">
        <v>3496</v>
      </c>
      <c r="F213" s="58"/>
      <c r="G213" s="58"/>
      <c r="H213" s="58"/>
      <c r="I213" s="58"/>
      <c r="J213" s="58"/>
      <c r="K213" s="58"/>
      <c r="L213" s="58"/>
      <c r="M213" s="58"/>
      <c r="N213" s="58"/>
      <c r="O213" s="58"/>
      <c r="P213" s="58"/>
      <c r="Q213" s="58"/>
      <c r="R213" s="58"/>
      <c r="S213" s="58"/>
      <c r="T213" s="58"/>
      <c r="U213" s="58"/>
      <c r="V213" s="58"/>
      <c r="W213" s="58"/>
      <c r="X213" s="58"/>
      <c r="Y213" s="58"/>
      <c r="Z213" s="58"/>
    </row>
    <row r="214" ht="15.75" customHeight="1">
      <c r="A214" s="56" t="s">
        <v>5119</v>
      </c>
      <c r="B214" s="56" t="s">
        <v>5120</v>
      </c>
      <c r="C214" s="56" t="s">
        <v>5121</v>
      </c>
      <c r="D214" s="29" t="s">
        <v>5122</v>
      </c>
      <c r="E214" s="56" t="s">
        <v>3504</v>
      </c>
      <c r="F214" s="58"/>
      <c r="G214" s="58"/>
      <c r="H214" s="58"/>
      <c r="I214" s="58"/>
      <c r="J214" s="58"/>
      <c r="K214" s="58"/>
      <c r="L214" s="58"/>
      <c r="M214" s="58"/>
      <c r="N214" s="58"/>
      <c r="O214" s="58"/>
      <c r="P214" s="58"/>
      <c r="Q214" s="58"/>
      <c r="R214" s="58"/>
      <c r="S214" s="58"/>
      <c r="T214" s="58"/>
      <c r="U214" s="58"/>
      <c r="V214" s="58"/>
      <c r="W214" s="58"/>
      <c r="X214" s="58"/>
      <c r="Y214" s="58"/>
      <c r="Z214" s="58"/>
    </row>
    <row r="215" ht="15.75" customHeight="1">
      <c r="A215" s="56" t="s">
        <v>5131</v>
      </c>
      <c r="B215" s="56" t="s">
        <v>5132</v>
      </c>
      <c r="C215" s="56" t="s">
        <v>5133</v>
      </c>
      <c r="D215" s="29" t="s">
        <v>5134</v>
      </c>
      <c r="E215" s="56" t="s">
        <v>3433</v>
      </c>
      <c r="F215" s="58"/>
      <c r="G215" s="58"/>
      <c r="H215" s="58"/>
      <c r="I215" s="58"/>
      <c r="J215" s="58"/>
      <c r="K215" s="58"/>
      <c r="L215" s="58"/>
      <c r="M215" s="58"/>
      <c r="N215" s="58"/>
      <c r="O215" s="58"/>
      <c r="P215" s="58"/>
      <c r="Q215" s="58"/>
      <c r="R215" s="58"/>
      <c r="S215" s="58"/>
      <c r="T215" s="58"/>
      <c r="U215" s="58"/>
      <c r="V215" s="58"/>
      <c r="W215" s="58"/>
      <c r="X215" s="58"/>
      <c r="Y215" s="58"/>
      <c r="Z215" s="58"/>
    </row>
    <row r="216" ht="15.75" customHeight="1">
      <c r="A216" s="12" t="s">
        <v>5143</v>
      </c>
      <c r="B216" s="12" t="s">
        <v>5144</v>
      </c>
      <c r="C216" s="12" t="s">
        <v>5145</v>
      </c>
      <c r="D216" s="29" t="s">
        <v>5147</v>
      </c>
      <c r="E216" s="12" t="s">
        <v>3489</v>
      </c>
      <c r="F216" s="58"/>
      <c r="G216" s="58"/>
      <c r="H216" s="58"/>
      <c r="I216" s="58"/>
      <c r="J216" s="58"/>
      <c r="K216" s="58"/>
      <c r="L216" s="58"/>
      <c r="M216" s="58"/>
      <c r="N216" s="58"/>
      <c r="O216" s="58"/>
      <c r="P216" s="58"/>
      <c r="Q216" s="58"/>
      <c r="R216" s="58"/>
      <c r="S216" s="58"/>
      <c r="T216" s="58"/>
      <c r="U216" s="58"/>
      <c r="V216" s="58"/>
      <c r="W216" s="58"/>
      <c r="X216" s="58"/>
      <c r="Y216" s="58"/>
      <c r="Z216" s="58"/>
    </row>
    <row r="217" ht="15.75" customHeight="1">
      <c r="A217" s="56" t="s">
        <v>5154</v>
      </c>
      <c r="B217" s="56" t="s">
        <v>5155</v>
      </c>
      <c r="C217" s="56" t="s">
        <v>5157</v>
      </c>
      <c r="D217" s="29" t="s">
        <v>5160</v>
      </c>
      <c r="E217" s="56" t="s">
        <v>3496</v>
      </c>
      <c r="F217" s="58"/>
      <c r="G217" s="58"/>
      <c r="H217" s="58"/>
      <c r="I217" s="58"/>
      <c r="J217" s="58"/>
      <c r="K217" s="58"/>
      <c r="L217" s="58"/>
      <c r="M217" s="58"/>
      <c r="N217" s="58"/>
      <c r="O217" s="58"/>
      <c r="P217" s="58"/>
      <c r="Q217" s="58"/>
      <c r="R217" s="58"/>
      <c r="S217" s="58"/>
      <c r="T217" s="58"/>
      <c r="U217" s="58"/>
      <c r="V217" s="58"/>
      <c r="W217" s="58"/>
      <c r="X217" s="58"/>
      <c r="Y217" s="58"/>
      <c r="Z217" s="58"/>
    </row>
    <row r="218" ht="15.75" customHeight="1">
      <c r="A218" s="56" t="s">
        <v>5165</v>
      </c>
      <c r="B218" s="56" t="s">
        <v>5165</v>
      </c>
      <c r="C218" s="56" t="s">
        <v>5166</v>
      </c>
      <c r="D218" s="29" t="s">
        <v>5169</v>
      </c>
      <c r="E218" s="56" t="s">
        <v>3504</v>
      </c>
      <c r="F218" s="58"/>
      <c r="G218" s="58"/>
      <c r="H218" s="58"/>
      <c r="I218" s="58"/>
      <c r="J218" s="58"/>
      <c r="K218" s="58"/>
      <c r="L218" s="58"/>
      <c r="M218" s="58"/>
      <c r="N218" s="58"/>
      <c r="O218" s="58"/>
      <c r="P218" s="58"/>
      <c r="Q218" s="58"/>
      <c r="R218" s="58"/>
      <c r="S218" s="58"/>
      <c r="T218" s="58"/>
      <c r="U218" s="58"/>
      <c r="V218" s="58"/>
      <c r="W218" s="58"/>
      <c r="X218" s="58"/>
      <c r="Y218" s="58"/>
      <c r="Z218" s="58"/>
    </row>
    <row r="219" ht="15.75" customHeight="1">
      <c r="A219" s="56" t="s">
        <v>5174</v>
      </c>
      <c r="B219" s="56" t="s">
        <v>5175</v>
      </c>
      <c r="C219" s="56" t="s">
        <v>5176</v>
      </c>
      <c r="D219" s="29" t="s">
        <v>5178</v>
      </c>
      <c r="E219" s="56" t="s">
        <v>3433</v>
      </c>
      <c r="F219" s="58"/>
      <c r="G219" s="58"/>
      <c r="H219" s="58"/>
      <c r="I219" s="58"/>
      <c r="J219" s="58"/>
      <c r="K219" s="58"/>
      <c r="L219" s="58"/>
      <c r="M219" s="58"/>
      <c r="N219" s="58"/>
      <c r="O219" s="58"/>
      <c r="P219" s="58"/>
      <c r="Q219" s="58"/>
      <c r="R219" s="58"/>
      <c r="S219" s="58"/>
      <c r="T219" s="58"/>
      <c r="U219" s="58"/>
      <c r="V219" s="58"/>
      <c r="W219" s="58"/>
      <c r="X219" s="58"/>
      <c r="Y219" s="58"/>
      <c r="Z219" s="58"/>
    </row>
    <row r="220" ht="15.75" customHeight="1">
      <c r="A220" s="12" t="s">
        <v>5182</v>
      </c>
      <c r="B220" s="12" t="s">
        <v>5185</v>
      </c>
      <c r="C220" s="12" t="s">
        <v>5188</v>
      </c>
      <c r="D220" s="29" t="s">
        <v>5191</v>
      </c>
      <c r="E220" s="12" t="s">
        <v>3489</v>
      </c>
      <c r="F220" s="58"/>
      <c r="G220" s="58"/>
      <c r="H220" s="58"/>
      <c r="I220" s="58"/>
      <c r="J220" s="58"/>
      <c r="K220" s="58"/>
      <c r="L220" s="58"/>
      <c r="M220" s="58"/>
      <c r="N220" s="58"/>
      <c r="O220" s="58"/>
      <c r="P220" s="58"/>
      <c r="Q220" s="58"/>
      <c r="R220" s="58"/>
      <c r="S220" s="58"/>
      <c r="T220" s="58"/>
      <c r="U220" s="58"/>
      <c r="V220" s="58"/>
      <c r="W220" s="58"/>
      <c r="X220" s="58"/>
      <c r="Y220" s="58"/>
      <c r="Z220" s="58"/>
    </row>
    <row r="221" ht="15.75" customHeight="1">
      <c r="A221" s="56" t="s">
        <v>5195</v>
      </c>
      <c r="B221" s="56" t="s">
        <v>5199</v>
      </c>
      <c r="C221" s="56" t="s">
        <v>5200</v>
      </c>
      <c r="D221" s="29" t="s">
        <v>5203</v>
      </c>
      <c r="E221" s="56" t="s">
        <v>3496</v>
      </c>
      <c r="F221" s="58"/>
      <c r="G221" s="58"/>
      <c r="H221" s="58"/>
      <c r="I221" s="58"/>
      <c r="J221" s="58"/>
      <c r="K221" s="58"/>
      <c r="L221" s="58"/>
      <c r="M221" s="58"/>
      <c r="N221" s="58"/>
      <c r="O221" s="58"/>
      <c r="P221" s="58"/>
      <c r="Q221" s="58"/>
      <c r="R221" s="58"/>
      <c r="S221" s="58"/>
      <c r="T221" s="58"/>
      <c r="U221" s="58"/>
      <c r="V221" s="58"/>
      <c r="W221" s="58"/>
      <c r="X221" s="58"/>
      <c r="Y221" s="58"/>
      <c r="Z221" s="58"/>
    </row>
    <row r="222" ht="15.75" customHeight="1">
      <c r="A222" s="56" t="s">
        <v>5206</v>
      </c>
      <c r="B222" s="56" t="s">
        <v>5207</v>
      </c>
      <c r="C222" s="56" t="s">
        <v>5208</v>
      </c>
      <c r="D222" s="29" t="s">
        <v>5209</v>
      </c>
      <c r="E222" s="56" t="s">
        <v>3504</v>
      </c>
      <c r="F222" s="58"/>
      <c r="G222" s="58"/>
      <c r="H222" s="58"/>
      <c r="I222" s="58"/>
      <c r="J222" s="58"/>
      <c r="K222" s="58"/>
      <c r="L222" s="58"/>
      <c r="M222" s="58"/>
      <c r="N222" s="58"/>
      <c r="O222" s="58"/>
      <c r="P222" s="58"/>
      <c r="Q222" s="58"/>
      <c r="R222" s="58"/>
      <c r="S222" s="58"/>
      <c r="T222" s="58"/>
      <c r="U222" s="58"/>
      <c r="V222" s="58"/>
      <c r="W222" s="58"/>
      <c r="X222" s="58"/>
      <c r="Y222" s="58"/>
      <c r="Z222" s="58"/>
    </row>
    <row r="223" ht="15.75" customHeight="1">
      <c r="A223" s="56" t="s">
        <v>5214</v>
      </c>
      <c r="B223" s="56" t="s">
        <v>5215</v>
      </c>
      <c r="C223" s="56" t="s">
        <v>5216</v>
      </c>
      <c r="D223" s="29" t="s">
        <v>5220</v>
      </c>
      <c r="E223" s="56" t="s">
        <v>3433</v>
      </c>
      <c r="F223" s="58"/>
      <c r="G223" s="58"/>
      <c r="H223" s="58"/>
      <c r="I223" s="58"/>
      <c r="J223" s="58"/>
      <c r="K223" s="58"/>
      <c r="L223" s="58"/>
      <c r="M223" s="58"/>
      <c r="N223" s="58"/>
      <c r="O223" s="58"/>
      <c r="P223" s="58"/>
      <c r="Q223" s="58"/>
      <c r="R223" s="58"/>
      <c r="S223" s="58"/>
      <c r="T223" s="58"/>
      <c r="U223" s="58"/>
      <c r="V223" s="58"/>
      <c r="W223" s="58"/>
      <c r="X223" s="58"/>
      <c r="Y223" s="58"/>
      <c r="Z223" s="58"/>
    </row>
    <row r="224" ht="15.75" customHeight="1">
      <c r="A224" s="12" t="s">
        <v>5223</v>
      </c>
      <c r="B224" s="12" t="s">
        <v>5224</v>
      </c>
      <c r="C224" s="12" t="s">
        <v>5226</v>
      </c>
      <c r="D224" s="29" t="s">
        <v>5228</v>
      </c>
      <c r="E224" s="12" t="s">
        <v>554</v>
      </c>
      <c r="F224" s="58"/>
      <c r="G224" s="58"/>
      <c r="H224" s="58"/>
      <c r="I224" s="58"/>
      <c r="J224" s="58"/>
      <c r="K224" s="58"/>
      <c r="L224" s="58"/>
      <c r="M224" s="58"/>
      <c r="N224" s="58"/>
      <c r="O224" s="58"/>
      <c r="P224" s="58"/>
      <c r="Q224" s="58"/>
      <c r="R224" s="58"/>
      <c r="S224" s="58"/>
      <c r="T224" s="58"/>
      <c r="U224" s="58"/>
      <c r="V224" s="58"/>
      <c r="W224" s="58"/>
      <c r="X224" s="58"/>
      <c r="Y224" s="58"/>
      <c r="Z224" s="58"/>
    </row>
    <row r="225" ht="15.75" customHeight="1">
      <c r="A225" s="12" t="s">
        <v>5236</v>
      </c>
      <c r="B225" s="12" t="s">
        <v>5238</v>
      </c>
      <c r="C225" s="12" t="s">
        <v>5239</v>
      </c>
      <c r="D225" s="29" t="s">
        <v>5240</v>
      </c>
      <c r="E225" s="12" t="s">
        <v>554</v>
      </c>
      <c r="F225" s="58"/>
      <c r="G225" s="58"/>
      <c r="H225" s="58"/>
      <c r="I225" s="58"/>
      <c r="J225" s="58"/>
      <c r="K225" s="58"/>
      <c r="L225" s="58"/>
      <c r="M225" s="58"/>
      <c r="N225" s="58"/>
      <c r="O225" s="58"/>
      <c r="P225" s="58"/>
      <c r="Q225" s="58"/>
      <c r="R225" s="58"/>
      <c r="S225" s="58"/>
      <c r="T225" s="58"/>
      <c r="U225" s="58"/>
      <c r="V225" s="58"/>
      <c r="W225" s="58"/>
      <c r="X225" s="58"/>
      <c r="Y225" s="58"/>
      <c r="Z225" s="58"/>
    </row>
    <row r="226" ht="15.75" customHeight="1">
      <c r="A226" s="12" t="s">
        <v>5247</v>
      </c>
      <c r="B226" s="12" t="s">
        <v>5249</v>
      </c>
      <c r="C226" s="12" t="s">
        <v>5251</v>
      </c>
      <c r="D226" s="29" t="s">
        <v>5252</v>
      </c>
      <c r="E226" s="12" t="s">
        <v>3639</v>
      </c>
      <c r="F226" s="58"/>
      <c r="G226" s="58"/>
      <c r="H226" s="58"/>
      <c r="I226" s="58"/>
      <c r="J226" s="58"/>
      <c r="K226" s="58"/>
      <c r="L226" s="58"/>
      <c r="M226" s="58"/>
      <c r="N226" s="58"/>
      <c r="O226" s="58"/>
      <c r="P226" s="58"/>
      <c r="Q226" s="58"/>
      <c r="R226" s="58"/>
      <c r="S226" s="58"/>
      <c r="T226" s="58"/>
      <c r="U226" s="58"/>
      <c r="V226" s="58"/>
      <c r="W226" s="58"/>
      <c r="X226" s="58"/>
      <c r="Y226" s="58"/>
      <c r="Z226" s="58"/>
    </row>
    <row r="227" ht="15.75" customHeight="1">
      <c r="A227" s="12" t="s">
        <v>5258</v>
      </c>
      <c r="B227" s="12" t="s">
        <v>5260</v>
      </c>
      <c r="C227" s="12" t="s">
        <v>5261</v>
      </c>
      <c r="D227" s="29" t="s">
        <v>5263</v>
      </c>
      <c r="E227" s="12" t="s">
        <v>3639</v>
      </c>
      <c r="F227" s="58"/>
      <c r="G227" s="58"/>
      <c r="H227" s="58"/>
      <c r="I227" s="58"/>
      <c r="J227" s="58"/>
      <c r="K227" s="58"/>
      <c r="L227" s="58"/>
      <c r="M227" s="58"/>
      <c r="N227" s="58"/>
      <c r="O227" s="58"/>
      <c r="P227" s="58"/>
      <c r="Q227" s="58"/>
      <c r="R227" s="58"/>
      <c r="S227" s="58"/>
      <c r="T227" s="58"/>
      <c r="U227" s="58"/>
      <c r="V227" s="58"/>
      <c r="W227" s="58"/>
      <c r="X227" s="58"/>
      <c r="Y227" s="58"/>
      <c r="Z227" s="58"/>
    </row>
    <row r="228" ht="15.75" customHeight="1">
      <c r="A228" s="12" t="s">
        <v>3367</v>
      </c>
      <c r="B228" s="12" t="s">
        <v>3369</v>
      </c>
      <c r="C228" s="12" t="s">
        <v>3372</v>
      </c>
      <c r="D228" s="29" t="s">
        <v>5272</v>
      </c>
      <c r="E228" s="86"/>
      <c r="F228" s="58"/>
      <c r="G228" s="58"/>
      <c r="H228" s="58"/>
      <c r="I228" s="58"/>
      <c r="J228" s="58"/>
      <c r="K228" s="58"/>
      <c r="L228" s="58"/>
      <c r="M228" s="58"/>
      <c r="N228" s="58"/>
      <c r="O228" s="58"/>
      <c r="P228" s="58"/>
      <c r="Q228" s="58"/>
      <c r="R228" s="58"/>
      <c r="S228" s="58"/>
      <c r="T228" s="58"/>
      <c r="U228" s="58"/>
      <c r="V228" s="58"/>
      <c r="W228" s="58"/>
      <c r="X228" s="58"/>
      <c r="Y228" s="58"/>
      <c r="Z228" s="58"/>
    </row>
    <row r="229" ht="15.75" customHeight="1">
      <c r="A229" s="12" t="s">
        <v>5276</v>
      </c>
      <c r="B229" s="12" t="s">
        <v>5278</v>
      </c>
      <c r="C229" s="12" t="s">
        <v>5279</v>
      </c>
      <c r="D229" s="29" t="s">
        <v>5282</v>
      </c>
      <c r="E229" s="86"/>
      <c r="F229" s="58"/>
      <c r="G229" s="58"/>
      <c r="H229" s="58"/>
      <c r="I229" s="58"/>
      <c r="J229" s="58"/>
      <c r="K229" s="58"/>
      <c r="L229" s="58"/>
      <c r="M229" s="58"/>
      <c r="N229" s="58"/>
      <c r="O229" s="58"/>
      <c r="P229" s="58"/>
      <c r="Q229" s="58"/>
      <c r="R229" s="58"/>
      <c r="S229" s="58"/>
      <c r="T229" s="58"/>
      <c r="U229" s="58"/>
      <c r="V229" s="58"/>
      <c r="W229" s="58"/>
      <c r="X229" s="58"/>
      <c r="Y229" s="58"/>
      <c r="Z229" s="58"/>
    </row>
    <row r="230" ht="15.75" customHeight="1">
      <c r="A230" s="12" t="s">
        <v>5287</v>
      </c>
      <c r="B230" s="12" t="s">
        <v>5289</v>
      </c>
      <c r="C230" s="12" t="s">
        <v>5291</v>
      </c>
      <c r="D230" s="29" t="s">
        <v>5293</v>
      </c>
      <c r="E230" s="86"/>
      <c r="F230" s="58"/>
      <c r="G230" s="58"/>
      <c r="H230" s="58"/>
      <c r="I230" s="58"/>
      <c r="J230" s="58"/>
      <c r="K230" s="58"/>
      <c r="L230" s="58"/>
      <c r="M230" s="58"/>
      <c r="N230" s="58"/>
      <c r="O230" s="58"/>
      <c r="P230" s="58"/>
      <c r="Q230" s="58"/>
      <c r="R230" s="58"/>
      <c r="S230" s="58"/>
      <c r="T230" s="58"/>
      <c r="U230" s="58"/>
      <c r="V230" s="58"/>
      <c r="W230" s="58"/>
      <c r="X230" s="58"/>
      <c r="Y230" s="58"/>
      <c r="Z230" s="58"/>
    </row>
    <row r="231" ht="15.75" customHeight="1">
      <c r="A231" s="12" t="s">
        <v>5298</v>
      </c>
      <c r="B231" s="12" t="s">
        <v>5299</v>
      </c>
      <c r="C231" s="12" t="s">
        <v>5301</v>
      </c>
      <c r="D231" s="29" t="s">
        <v>5303</v>
      </c>
      <c r="E231" s="86"/>
      <c r="F231" s="58"/>
      <c r="G231" s="58"/>
      <c r="H231" s="58"/>
      <c r="I231" s="58"/>
      <c r="J231" s="58"/>
      <c r="K231" s="58"/>
      <c r="L231" s="58"/>
      <c r="M231" s="58"/>
      <c r="N231" s="58"/>
      <c r="O231" s="58"/>
      <c r="P231" s="58"/>
      <c r="Q231" s="58"/>
      <c r="R231" s="58"/>
      <c r="S231" s="58"/>
      <c r="T231" s="58"/>
      <c r="U231" s="58"/>
      <c r="V231" s="58"/>
      <c r="W231" s="58"/>
      <c r="X231" s="58"/>
      <c r="Y231" s="58"/>
      <c r="Z231" s="58"/>
    </row>
    <row r="232" ht="15.75" customHeight="1">
      <c r="A232" s="12" t="s">
        <v>5307</v>
      </c>
      <c r="B232" s="12" t="s">
        <v>5309</v>
      </c>
      <c r="C232" s="12" t="s">
        <v>5311</v>
      </c>
      <c r="D232" s="29" t="s">
        <v>5314</v>
      </c>
      <c r="E232" s="86"/>
      <c r="F232" s="58"/>
      <c r="G232" s="58"/>
      <c r="H232" s="58"/>
      <c r="I232" s="58"/>
      <c r="J232" s="58"/>
      <c r="K232" s="58"/>
      <c r="L232" s="58"/>
      <c r="M232" s="58"/>
      <c r="N232" s="58"/>
      <c r="O232" s="58"/>
      <c r="P232" s="58"/>
      <c r="Q232" s="58"/>
      <c r="R232" s="58"/>
      <c r="S232" s="58"/>
      <c r="T232" s="58"/>
      <c r="U232" s="58"/>
      <c r="V232" s="58"/>
      <c r="W232" s="58"/>
      <c r="X232" s="58"/>
      <c r="Y232" s="58"/>
      <c r="Z232" s="58"/>
    </row>
    <row r="233" ht="15.75" customHeight="1">
      <c r="A233" s="12" t="s">
        <v>5318</v>
      </c>
      <c r="B233" s="12" t="s">
        <v>5319</v>
      </c>
      <c r="C233" s="12" t="s">
        <v>5320</v>
      </c>
      <c r="D233" s="29" t="s">
        <v>5322</v>
      </c>
      <c r="E233" s="86"/>
      <c r="F233" s="58"/>
      <c r="G233" s="58"/>
      <c r="H233" s="58"/>
      <c r="I233" s="58"/>
      <c r="J233" s="58"/>
      <c r="K233" s="58"/>
      <c r="L233" s="58"/>
      <c r="M233" s="58"/>
      <c r="N233" s="58"/>
      <c r="O233" s="58"/>
      <c r="P233" s="58"/>
      <c r="Q233" s="58"/>
      <c r="R233" s="58"/>
      <c r="S233" s="58"/>
      <c r="T233" s="58"/>
      <c r="U233" s="58"/>
      <c r="V233" s="58"/>
      <c r="W233" s="58"/>
      <c r="X233" s="58"/>
      <c r="Y233" s="58"/>
      <c r="Z233" s="58"/>
    </row>
    <row r="234" ht="15.75" customHeight="1">
      <c r="A234" s="12" t="s">
        <v>5330</v>
      </c>
      <c r="B234" s="12" t="s">
        <v>5331</v>
      </c>
      <c r="C234" s="12" t="s">
        <v>5332</v>
      </c>
      <c r="D234" s="29" t="s">
        <v>5333</v>
      </c>
      <c r="E234" s="86"/>
      <c r="F234" s="58"/>
      <c r="G234" s="58"/>
      <c r="H234" s="58"/>
      <c r="I234" s="58"/>
      <c r="J234" s="58"/>
      <c r="K234" s="58"/>
      <c r="L234" s="58"/>
      <c r="M234" s="58"/>
      <c r="N234" s="58"/>
      <c r="O234" s="58"/>
      <c r="P234" s="58"/>
      <c r="Q234" s="58"/>
      <c r="R234" s="58"/>
      <c r="S234" s="58"/>
      <c r="T234" s="58"/>
      <c r="U234" s="58"/>
      <c r="V234" s="58"/>
      <c r="W234" s="58"/>
      <c r="X234" s="58"/>
      <c r="Y234" s="58"/>
      <c r="Z234" s="58"/>
    </row>
    <row r="235" ht="15.75" customHeight="1">
      <c r="A235" s="12" t="s">
        <v>5342</v>
      </c>
      <c r="B235" s="12" t="s">
        <v>5343</v>
      </c>
      <c r="C235" s="12" t="s">
        <v>5344</v>
      </c>
      <c r="D235" s="29" t="s">
        <v>5345</v>
      </c>
      <c r="E235" s="86"/>
      <c r="F235" s="58"/>
      <c r="G235" s="58"/>
      <c r="H235" s="58"/>
      <c r="I235" s="58"/>
      <c r="J235" s="58"/>
      <c r="K235" s="58"/>
      <c r="L235" s="58"/>
      <c r="M235" s="58"/>
      <c r="N235" s="58"/>
      <c r="O235" s="58"/>
      <c r="P235" s="58"/>
      <c r="Q235" s="58"/>
      <c r="R235" s="58"/>
      <c r="S235" s="58"/>
      <c r="T235" s="58"/>
      <c r="U235" s="58"/>
      <c r="V235" s="58"/>
      <c r="W235" s="58"/>
      <c r="X235" s="58"/>
      <c r="Y235" s="58"/>
      <c r="Z235" s="58"/>
    </row>
    <row r="236" ht="15.75" customHeight="1">
      <c r="A236" s="12" t="s">
        <v>5349</v>
      </c>
      <c r="B236" s="12" t="s">
        <v>5350</v>
      </c>
      <c r="C236" s="12" t="s">
        <v>5351</v>
      </c>
      <c r="D236" s="29" t="s">
        <v>5352</v>
      </c>
      <c r="E236" s="12" t="s">
        <v>3433</v>
      </c>
      <c r="F236" s="58"/>
      <c r="G236" s="58"/>
      <c r="H236" s="58"/>
      <c r="I236" s="58"/>
      <c r="J236" s="58"/>
      <c r="K236" s="58"/>
      <c r="L236" s="58"/>
      <c r="M236" s="58"/>
      <c r="N236" s="58"/>
      <c r="O236" s="58"/>
      <c r="P236" s="58"/>
      <c r="Q236" s="58"/>
      <c r="R236" s="58"/>
      <c r="S236" s="58"/>
      <c r="T236" s="58"/>
      <c r="U236" s="58"/>
      <c r="V236" s="58"/>
      <c r="W236" s="58"/>
      <c r="X236" s="58"/>
      <c r="Y236" s="58"/>
      <c r="Z236" s="58"/>
    </row>
    <row r="237" ht="15.75" customHeight="1">
      <c r="A237" s="12" t="s">
        <v>5356</v>
      </c>
      <c r="B237" s="12" t="s">
        <v>5357</v>
      </c>
      <c r="C237" s="12" t="s">
        <v>5358</v>
      </c>
      <c r="D237" s="29" t="s">
        <v>5359</v>
      </c>
      <c r="E237" s="12" t="s">
        <v>3489</v>
      </c>
      <c r="F237" s="58"/>
      <c r="G237" s="58"/>
      <c r="H237" s="58"/>
      <c r="I237" s="58"/>
      <c r="J237" s="58"/>
      <c r="K237" s="58"/>
      <c r="L237" s="58"/>
      <c r="M237" s="58"/>
      <c r="N237" s="58"/>
      <c r="O237" s="58"/>
      <c r="P237" s="58"/>
      <c r="Q237" s="58"/>
      <c r="R237" s="58"/>
      <c r="S237" s="58"/>
      <c r="T237" s="58"/>
      <c r="U237" s="58"/>
      <c r="V237" s="58"/>
      <c r="W237" s="58"/>
      <c r="X237" s="58"/>
      <c r="Y237" s="58"/>
      <c r="Z237" s="58"/>
    </row>
    <row r="238" ht="15.75" customHeight="1">
      <c r="A238" s="56" t="s">
        <v>5361</v>
      </c>
      <c r="B238" s="56" t="s">
        <v>5362</v>
      </c>
      <c r="C238" s="56" t="s">
        <v>5364</v>
      </c>
      <c r="D238" s="29" t="s">
        <v>5367</v>
      </c>
      <c r="E238" s="56" t="s">
        <v>3496</v>
      </c>
      <c r="F238" s="58"/>
      <c r="G238" s="58"/>
      <c r="H238" s="58"/>
      <c r="I238" s="58"/>
      <c r="J238" s="58"/>
      <c r="K238" s="58"/>
      <c r="L238" s="58"/>
      <c r="M238" s="58"/>
      <c r="N238" s="58"/>
      <c r="O238" s="58"/>
      <c r="P238" s="58"/>
      <c r="Q238" s="58"/>
      <c r="R238" s="58"/>
      <c r="S238" s="58"/>
      <c r="T238" s="58"/>
      <c r="U238" s="58"/>
      <c r="V238" s="58"/>
      <c r="W238" s="58"/>
      <c r="X238" s="58"/>
      <c r="Y238" s="58"/>
      <c r="Z238" s="58"/>
    </row>
    <row r="239" ht="15.75" customHeight="1">
      <c r="A239" s="56" t="s">
        <v>5373</v>
      </c>
      <c r="B239" s="56" t="s">
        <v>5375</v>
      </c>
      <c r="C239" s="56" t="s">
        <v>5377</v>
      </c>
      <c r="D239" s="29" t="s">
        <v>5379</v>
      </c>
      <c r="E239" s="56" t="s">
        <v>3504</v>
      </c>
      <c r="F239" s="58"/>
      <c r="G239" s="58"/>
      <c r="H239" s="58"/>
      <c r="I239" s="58"/>
      <c r="J239" s="58"/>
      <c r="K239" s="58"/>
      <c r="L239" s="58"/>
      <c r="M239" s="58"/>
      <c r="N239" s="58"/>
      <c r="O239" s="58"/>
      <c r="P239" s="58"/>
      <c r="Q239" s="58"/>
      <c r="R239" s="58"/>
      <c r="S239" s="58"/>
      <c r="T239" s="58"/>
      <c r="U239" s="58"/>
      <c r="V239" s="58"/>
      <c r="W239" s="58"/>
      <c r="X239" s="58"/>
      <c r="Y239" s="58"/>
      <c r="Z239" s="58"/>
    </row>
    <row r="240" ht="15.75" customHeight="1">
      <c r="A240" s="56" t="s">
        <v>5382</v>
      </c>
      <c r="B240" s="56" t="s">
        <v>5384</v>
      </c>
      <c r="C240" s="56" t="s">
        <v>5386</v>
      </c>
      <c r="D240" s="29" t="s">
        <v>5388</v>
      </c>
      <c r="E240" s="56" t="s">
        <v>3475</v>
      </c>
      <c r="F240" s="58"/>
      <c r="G240" s="58"/>
      <c r="H240" s="58"/>
      <c r="I240" s="58"/>
      <c r="J240" s="58"/>
      <c r="K240" s="58"/>
      <c r="L240" s="58"/>
      <c r="M240" s="58"/>
      <c r="N240" s="58"/>
      <c r="O240" s="58"/>
      <c r="P240" s="58"/>
      <c r="Q240" s="58"/>
      <c r="R240" s="58"/>
      <c r="S240" s="58"/>
      <c r="T240" s="58"/>
      <c r="U240" s="58"/>
      <c r="V240" s="58"/>
      <c r="W240" s="58"/>
      <c r="X240" s="58"/>
      <c r="Y240" s="58"/>
      <c r="Z240" s="58"/>
    </row>
    <row r="241" ht="15.75" customHeight="1">
      <c r="A241" s="12" t="s">
        <v>5396</v>
      </c>
      <c r="B241" s="12" t="s">
        <v>5397</v>
      </c>
      <c r="C241" s="12" t="s">
        <v>5399</v>
      </c>
      <c r="D241" s="29" t="s">
        <v>5401</v>
      </c>
      <c r="E241" s="12" t="s">
        <v>4276</v>
      </c>
      <c r="F241" s="58"/>
      <c r="G241" s="58"/>
      <c r="H241" s="58"/>
      <c r="I241" s="58"/>
      <c r="J241" s="58"/>
      <c r="K241" s="58"/>
      <c r="L241" s="58"/>
      <c r="M241" s="58"/>
      <c r="N241" s="58"/>
      <c r="O241" s="58"/>
      <c r="P241" s="58"/>
      <c r="Q241" s="58"/>
      <c r="R241" s="58"/>
      <c r="S241" s="58"/>
      <c r="T241" s="58"/>
      <c r="U241" s="58"/>
      <c r="V241" s="58"/>
      <c r="W241" s="58"/>
      <c r="X241" s="58"/>
      <c r="Y241" s="58"/>
      <c r="Z241" s="58"/>
    </row>
    <row r="242" ht="15.75" customHeight="1">
      <c r="A242" s="12" t="s">
        <v>5408</v>
      </c>
      <c r="B242" s="12" t="s">
        <v>5409</v>
      </c>
      <c r="C242" s="12" t="s">
        <v>5411</v>
      </c>
      <c r="D242" s="29" t="s">
        <v>5413</v>
      </c>
      <c r="E242" s="12" t="s">
        <v>4276</v>
      </c>
      <c r="F242" s="58"/>
      <c r="G242" s="58"/>
      <c r="H242" s="58"/>
      <c r="I242" s="58"/>
      <c r="J242" s="58"/>
      <c r="K242" s="58"/>
      <c r="L242" s="58"/>
      <c r="M242" s="58"/>
      <c r="N242" s="58"/>
      <c r="O242" s="58"/>
      <c r="P242" s="58"/>
      <c r="Q242" s="58"/>
      <c r="R242" s="58"/>
      <c r="S242" s="58"/>
      <c r="T242" s="58"/>
      <c r="U242" s="58"/>
      <c r="V242" s="58"/>
      <c r="W242" s="58"/>
      <c r="X242" s="58"/>
      <c r="Y242" s="58"/>
      <c r="Z242" s="58"/>
    </row>
    <row r="243" ht="15.75" customHeight="1">
      <c r="A243" s="12" t="s">
        <v>5418</v>
      </c>
      <c r="B243" s="12" t="s">
        <v>5419</v>
      </c>
      <c r="C243" s="12" t="s">
        <v>5420</v>
      </c>
      <c r="D243" s="29" t="s">
        <v>5421</v>
      </c>
      <c r="E243" s="12" t="s">
        <v>3433</v>
      </c>
      <c r="F243" s="58"/>
      <c r="G243" s="58"/>
      <c r="H243" s="58"/>
      <c r="I243" s="58"/>
      <c r="J243" s="58"/>
      <c r="K243" s="58"/>
      <c r="L243" s="58"/>
      <c r="M243" s="58"/>
      <c r="N243" s="58"/>
      <c r="O243" s="58"/>
      <c r="P243" s="58"/>
      <c r="Q243" s="58"/>
      <c r="R243" s="58"/>
      <c r="S243" s="58"/>
      <c r="T243" s="58"/>
      <c r="U243" s="58"/>
      <c r="V243" s="58"/>
      <c r="W243" s="58"/>
      <c r="X243" s="58"/>
      <c r="Y243" s="58"/>
      <c r="Z243" s="58"/>
    </row>
    <row r="244" ht="15.75" customHeight="1">
      <c r="A244" s="12" t="s">
        <v>5426</v>
      </c>
      <c r="B244" s="12" t="s">
        <v>5427</v>
      </c>
      <c r="C244" s="12" t="s">
        <v>5428</v>
      </c>
      <c r="D244" s="29" t="s">
        <v>5430</v>
      </c>
      <c r="E244" s="86"/>
      <c r="F244" s="58"/>
      <c r="G244" s="58"/>
      <c r="H244" s="58"/>
      <c r="I244" s="58"/>
      <c r="J244" s="58"/>
      <c r="K244" s="58"/>
      <c r="L244" s="58"/>
      <c r="M244" s="58"/>
      <c r="N244" s="58"/>
      <c r="O244" s="58"/>
      <c r="P244" s="58"/>
      <c r="Q244" s="58"/>
      <c r="R244" s="58"/>
      <c r="S244" s="58"/>
      <c r="T244" s="58"/>
      <c r="U244" s="58"/>
      <c r="V244" s="58"/>
      <c r="W244" s="58"/>
      <c r="X244" s="58"/>
      <c r="Y244" s="58"/>
      <c r="Z244" s="58"/>
    </row>
    <row r="245" ht="15.75" customHeight="1">
      <c r="A245" s="12" t="s">
        <v>5437</v>
      </c>
      <c r="B245" s="12" t="s">
        <v>5437</v>
      </c>
      <c r="C245" s="12" t="s">
        <v>5438</v>
      </c>
      <c r="D245" s="29" t="s">
        <v>5439</v>
      </c>
      <c r="E245" s="86"/>
      <c r="F245" s="58"/>
      <c r="G245" s="58"/>
      <c r="H245" s="58"/>
      <c r="I245" s="58"/>
      <c r="J245" s="58"/>
      <c r="K245" s="58"/>
      <c r="L245" s="58"/>
      <c r="M245" s="58"/>
      <c r="N245" s="58"/>
      <c r="O245" s="58"/>
      <c r="P245" s="58"/>
      <c r="Q245" s="58"/>
      <c r="R245" s="58"/>
      <c r="S245" s="58"/>
      <c r="T245" s="58"/>
      <c r="U245" s="58"/>
      <c r="V245" s="58"/>
      <c r="W245" s="58"/>
      <c r="X245" s="58"/>
      <c r="Y245" s="58"/>
      <c r="Z245" s="58"/>
    </row>
    <row r="246" ht="15.75" customHeight="1">
      <c r="A246" s="12" t="s">
        <v>5448</v>
      </c>
      <c r="B246" s="12" t="s">
        <v>5449</v>
      </c>
      <c r="C246" s="12" t="s">
        <v>5450</v>
      </c>
      <c r="D246" s="29" t="s">
        <v>5451</v>
      </c>
      <c r="E246" s="12" t="s">
        <v>3433</v>
      </c>
      <c r="F246" s="58"/>
      <c r="G246" s="58"/>
      <c r="H246" s="58"/>
      <c r="I246" s="58"/>
      <c r="J246" s="58"/>
      <c r="K246" s="58"/>
      <c r="L246" s="58"/>
      <c r="M246" s="58"/>
      <c r="N246" s="58"/>
      <c r="O246" s="58"/>
      <c r="P246" s="58"/>
      <c r="Q246" s="58"/>
      <c r="R246" s="58"/>
      <c r="S246" s="58"/>
      <c r="T246" s="58"/>
      <c r="U246" s="58"/>
      <c r="V246" s="58"/>
      <c r="W246" s="58"/>
      <c r="X246" s="58"/>
      <c r="Y246" s="58"/>
      <c r="Z246" s="58"/>
    </row>
    <row r="247" ht="15.75" customHeight="1">
      <c r="A247" s="12" t="s">
        <v>5460</v>
      </c>
      <c r="B247" s="12" t="s">
        <v>5461</v>
      </c>
      <c r="C247" s="12" t="s">
        <v>5462</v>
      </c>
      <c r="D247" s="29" t="s">
        <v>5463</v>
      </c>
      <c r="E247" s="86"/>
      <c r="F247" s="58"/>
      <c r="G247" s="58"/>
      <c r="H247" s="58"/>
      <c r="I247" s="58"/>
      <c r="J247" s="58"/>
      <c r="K247" s="58"/>
      <c r="L247" s="58"/>
      <c r="M247" s="58"/>
      <c r="N247" s="58"/>
      <c r="O247" s="58"/>
      <c r="P247" s="58"/>
      <c r="Q247" s="58"/>
      <c r="R247" s="58"/>
      <c r="S247" s="58"/>
      <c r="T247" s="58"/>
      <c r="U247" s="58"/>
      <c r="V247" s="58"/>
      <c r="W247" s="58"/>
      <c r="X247" s="58"/>
      <c r="Y247" s="58"/>
      <c r="Z247" s="58"/>
    </row>
    <row r="248" ht="15.75" customHeight="1">
      <c r="A248" s="12" t="s">
        <v>5468</v>
      </c>
      <c r="B248" s="12" t="s">
        <v>5469</v>
      </c>
      <c r="C248" s="12" t="s">
        <v>5470</v>
      </c>
      <c r="D248" s="29" t="s">
        <v>5471</v>
      </c>
      <c r="E248" s="86"/>
      <c r="F248" s="58"/>
      <c r="G248" s="58"/>
      <c r="H248" s="58"/>
      <c r="I248" s="58"/>
      <c r="J248" s="58"/>
      <c r="K248" s="58"/>
      <c r="L248" s="58"/>
      <c r="M248" s="58"/>
      <c r="N248" s="58"/>
      <c r="O248" s="58"/>
      <c r="P248" s="58"/>
      <c r="Q248" s="58"/>
      <c r="R248" s="58"/>
      <c r="S248" s="58"/>
      <c r="T248" s="58"/>
      <c r="U248" s="58"/>
      <c r="V248" s="58"/>
      <c r="W248" s="58"/>
      <c r="X248" s="58"/>
      <c r="Y248" s="58"/>
      <c r="Z248" s="58"/>
    </row>
    <row r="249" ht="15.75" customHeight="1">
      <c r="A249" s="12" t="s">
        <v>5472</v>
      </c>
      <c r="B249" s="12" t="s">
        <v>5473</v>
      </c>
      <c r="C249" s="12" t="s">
        <v>5474</v>
      </c>
      <c r="D249" s="29" t="s">
        <v>5477</v>
      </c>
      <c r="E249" s="86"/>
      <c r="F249" s="58"/>
      <c r="G249" s="58"/>
      <c r="H249" s="58"/>
      <c r="I249" s="58"/>
      <c r="J249" s="58"/>
      <c r="K249" s="58"/>
      <c r="L249" s="58"/>
      <c r="M249" s="58"/>
      <c r="N249" s="58"/>
      <c r="O249" s="58"/>
      <c r="P249" s="58"/>
      <c r="Q249" s="58"/>
      <c r="R249" s="58"/>
      <c r="S249" s="58"/>
      <c r="T249" s="58"/>
      <c r="U249" s="58"/>
      <c r="V249" s="58"/>
      <c r="W249" s="58"/>
      <c r="X249" s="58"/>
      <c r="Y249" s="58"/>
      <c r="Z249" s="58"/>
    </row>
    <row r="250" ht="15.75" customHeight="1">
      <c r="A250" s="12" t="s">
        <v>5480</v>
      </c>
      <c r="B250" s="12" t="s">
        <v>5481</v>
      </c>
      <c r="C250" s="12" t="s">
        <v>5482</v>
      </c>
      <c r="D250" s="29" t="s">
        <v>5486</v>
      </c>
      <c r="E250" s="86"/>
      <c r="F250" s="58"/>
      <c r="G250" s="58"/>
      <c r="H250" s="58"/>
      <c r="I250" s="58"/>
      <c r="J250" s="58"/>
      <c r="K250" s="58"/>
      <c r="L250" s="58"/>
      <c r="M250" s="58"/>
      <c r="N250" s="58"/>
      <c r="O250" s="58"/>
      <c r="P250" s="58"/>
      <c r="Q250" s="58"/>
      <c r="R250" s="58"/>
      <c r="S250" s="58"/>
      <c r="T250" s="58"/>
      <c r="U250" s="58"/>
      <c r="V250" s="58"/>
      <c r="W250" s="58"/>
      <c r="X250" s="58"/>
      <c r="Y250" s="58"/>
      <c r="Z250" s="58"/>
    </row>
    <row r="251" ht="15.75" customHeight="1">
      <c r="A251" s="12" t="s">
        <v>5490</v>
      </c>
      <c r="B251" s="12" t="s">
        <v>5493</v>
      </c>
      <c r="C251" s="12" t="s">
        <v>5495</v>
      </c>
      <c r="D251" s="29" t="s">
        <v>5498</v>
      </c>
      <c r="E251" s="86"/>
      <c r="F251" s="58"/>
      <c r="G251" s="58"/>
      <c r="H251" s="58"/>
      <c r="I251" s="58"/>
      <c r="J251" s="58"/>
      <c r="K251" s="58"/>
      <c r="L251" s="58"/>
      <c r="M251" s="58"/>
      <c r="N251" s="58"/>
      <c r="O251" s="58"/>
      <c r="P251" s="58"/>
      <c r="Q251" s="58"/>
      <c r="R251" s="58"/>
      <c r="S251" s="58"/>
      <c r="T251" s="58"/>
      <c r="U251" s="58"/>
      <c r="V251" s="58"/>
      <c r="W251" s="58"/>
      <c r="X251" s="58"/>
      <c r="Y251" s="58"/>
      <c r="Z251" s="58"/>
    </row>
    <row r="252" ht="15.75" customHeight="1">
      <c r="A252" s="12" t="s">
        <v>5502</v>
      </c>
      <c r="B252" s="12" t="s">
        <v>5502</v>
      </c>
      <c r="C252" s="12" t="s">
        <v>5509</v>
      </c>
      <c r="D252" s="29" t="s">
        <v>5510</v>
      </c>
      <c r="E252" s="86"/>
      <c r="F252" s="58"/>
      <c r="G252" s="58"/>
      <c r="H252" s="58"/>
      <c r="I252" s="58"/>
      <c r="J252" s="58"/>
      <c r="K252" s="58"/>
      <c r="L252" s="58"/>
      <c r="M252" s="58"/>
      <c r="N252" s="58"/>
      <c r="O252" s="58"/>
      <c r="P252" s="58"/>
      <c r="Q252" s="58"/>
      <c r="R252" s="58"/>
      <c r="S252" s="58"/>
      <c r="T252" s="58"/>
      <c r="U252" s="58"/>
      <c r="V252" s="58"/>
      <c r="W252" s="58"/>
      <c r="X252" s="58"/>
      <c r="Y252" s="58"/>
      <c r="Z252" s="58"/>
    </row>
    <row r="253" ht="15.75" customHeight="1">
      <c r="A253" s="12" t="s">
        <v>5512</v>
      </c>
      <c r="B253" s="12" t="s">
        <v>5514</v>
      </c>
      <c r="C253" s="12" t="s">
        <v>5516</v>
      </c>
      <c r="D253" s="29" t="s">
        <v>5519</v>
      </c>
      <c r="E253" s="86"/>
      <c r="F253" s="58"/>
      <c r="G253" s="58"/>
      <c r="H253" s="58"/>
      <c r="I253" s="58"/>
      <c r="J253" s="58"/>
      <c r="K253" s="58"/>
      <c r="L253" s="58"/>
      <c r="M253" s="58"/>
      <c r="N253" s="58"/>
      <c r="O253" s="58"/>
      <c r="P253" s="58"/>
      <c r="Q253" s="58"/>
      <c r="R253" s="58"/>
      <c r="S253" s="58"/>
      <c r="T253" s="58"/>
      <c r="U253" s="58"/>
      <c r="V253" s="58"/>
      <c r="W253" s="58"/>
      <c r="X253" s="58"/>
      <c r="Y253" s="58"/>
      <c r="Z253" s="58"/>
    </row>
    <row r="254" ht="15.75" customHeight="1">
      <c r="A254" s="56" t="s">
        <v>5525</v>
      </c>
      <c r="B254" s="12" t="s">
        <v>5527</v>
      </c>
      <c r="C254" s="12" t="s">
        <v>5528</v>
      </c>
      <c r="D254" s="29" t="s">
        <v>5529</v>
      </c>
      <c r="E254" s="12" t="s">
        <v>3433</v>
      </c>
      <c r="F254" s="58"/>
      <c r="G254" s="58"/>
      <c r="H254" s="58"/>
      <c r="I254" s="58"/>
      <c r="J254" s="58"/>
      <c r="K254" s="58"/>
      <c r="L254" s="58"/>
      <c r="M254" s="58"/>
      <c r="N254" s="58"/>
      <c r="O254" s="58"/>
      <c r="P254" s="58"/>
      <c r="Q254" s="58"/>
      <c r="R254" s="58"/>
      <c r="S254" s="58"/>
      <c r="T254" s="58"/>
      <c r="U254" s="58"/>
      <c r="V254" s="58"/>
      <c r="W254" s="58"/>
      <c r="X254" s="58"/>
      <c r="Y254" s="58"/>
      <c r="Z254" s="58"/>
    </row>
    <row r="255" ht="15.75" customHeight="1">
      <c r="A255" s="12" t="s">
        <v>5535</v>
      </c>
      <c r="B255" s="12" t="s">
        <v>5536</v>
      </c>
      <c r="C255" s="12" t="s">
        <v>5537</v>
      </c>
      <c r="D255" s="29" t="s">
        <v>5538</v>
      </c>
      <c r="E255" s="12" t="s">
        <v>3489</v>
      </c>
      <c r="F255" s="58"/>
      <c r="G255" s="58"/>
      <c r="H255" s="58"/>
      <c r="I255" s="58"/>
      <c r="J255" s="58"/>
      <c r="K255" s="58"/>
      <c r="L255" s="58"/>
      <c r="M255" s="58"/>
      <c r="N255" s="58"/>
      <c r="O255" s="58"/>
      <c r="P255" s="58"/>
      <c r="Q255" s="58"/>
      <c r="R255" s="58"/>
      <c r="S255" s="58"/>
      <c r="T255" s="58"/>
      <c r="U255" s="58"/>
      <c r="V255" s="58"/>
      <c r="W255" s="58"/>
      <c r="X255" s="58"/>
      <c r="Y255" s="58"/>
      <c r="Z255" s="58"/>
    </row>
    <row r="256" ht="15.75" customHeight="1">
      <c r="A256" s="56" t="s">
        <v>5542</v>
      </c>
      <c r="B256" s="56" t="s">
        <v>5544</v>
      </c>
      <c r="C256" s="56" t="s">
        <v>5545</v>
      </c>
      <c r="D256" s="29" t="s">
        <v>5546</v>
      </c>
      <c r="E256" s="56" t="s">
        <v>3496</v>
      </c>
      <c r="F256" s="58"/>
      <c r="G256" s="58"/>
      <c r="H256" s="58"/>
      <c r="I256" s="58"/>
      <c r="J256" s="58"/>
      <c r="K256" s="58"/>
      <c r="L256" s="58"/>
      <c r="M256" s="58"/>
      <c r="N256" s="58"/>
      <c r="O256" s="58"/>
      <c r="P256" s="58"/>
      <c r="Q256" s="58"/>
      <c r="R256" s="58"/>
      <c r="S256" s="58"/>
      <c r="T256" s="58"/>
      <c r="U256" s="58"/>
      <c r="V256" s="58"/>
      <c r="W256" s="58"/>
      <c r="X256" s="58"/>
      <c r="Y256" s="58"/>
      <c r="Z256" s="58"/>
    </row>
    <row r="257" ht="15.75" customHeight="1">
      <c r="A257" s="56" t="s">
        <v>5551</v>
      </c>
      <c r="B257" s="56" t="s">
        <v>5553</v>
      </c>
      <c r="C257" s="56" t="s">
        <v>5554</v>
      </c>
      <c r="D257" s="29" t="s">
        <v>5555</v>
      </c>
      <c r="E257" s="56" t="s">
        <v>3504</v>
      </c>
      <c r="F257" s="58"/>
      <c r="G257" s="58"/>
      <c r="H257" s="58"/>
      <c r="I257" s="58"/>
      <c r="J257" s="58"/>
      <c r="K257" s="58"/>
      <c r="L257" s="58"/>
      <c r="M257" s="58"/>
      <c r="N257" s="58"/>
      <c r="O257" s="58"/>
      <c r="P257" s="58"/>
      <c r="Q257" s="58"/>
      <c r="R257" s="58"/>
      <c r="S257" s="58"/>
      <c r="T257" s="58"/>
      <c r="U257" s="58"/>
      <c r="V257" s="58"/>
      <c r="W257" s="58"/>
      <c r="X257" s="58"/>
      <c r="Y257" s="58"/>
      <c r="Z257" s="58"/>
    </row>
    <row r="258" ht="15.75" customHeight="1">
      <c r="A258" s="56" t="s">
        <v>5560</v>
      </c>
      <c r="B258" s="56" t="s">
        <v>5561</v>
      </c>
      <c r="C258" s="56" t="s">
        <v>5562</v>
      </c>
      <c r="D258" s="29" t="s">
        <v>5565</v>
      </c>
      <c r="E258" s="56" t="s">
        <v>4276</v>
      </c>
      <c r="F258" s="58"/>
      <c r="G258" s="58"/>
      <c r="H258" s="58"/>
      <c r="I258" s="58"/>
      <c r="J258" s="58"/>
      <c r="K258" s="58"/>
      <c r="L258" s="58"/>
      <c r="M258" s="58"/>
      <c r="N258" s="58"/>
      <c r="O258" s="58"/>
      <c r="P258" s="58"/>
      <c r="Q258" s="58"/>
      <c r="R258" s="58"/>
      <c r="S258" s="58"/>
      <c r="T258" s="58"/>
      <c r="U258" s="58"/>
      <c r="V258" s="58"/>
      <c r="W258" s="58"/>
      <c r="X258" s="58"/>
      <c r="Y258" s="58"/>
      <c r="Z258" s="58"/>
    </row>
    <row r="259" ht="15.75" customHeight="1">
      <c r="A259" s="12" t="s">
        <v>5568</v>
      </c>
      <c r="B259" s="12" t="s">
        <v>5570</v>
      </c>
      <c r="C259" s="12" t="s">
        <v>5572</v>
      </c>
      <c r="D259" s="29" t="s">
        <v>5575</v>
      </c>
      <c r="E259" s="86"/>
      <c r="F259" s="58"/>
      <c r="G259" s="58"/>
      <c r="H259" s="58"/>
      <c r="I259" s="58"/>
      <c r="J259" s="58"/>
      <c r="K259" s="58"/>
      <c r="L259" s="58"/>
      <c r="M259" s="58"/>
      <c r="N259" s="58"/>
      <c r="O259" s="58"/>
      <c r="P259" s="58"/>
      <c r="Q259" s="58"/>
      <c r="R259" s="58"/>
      <c r="S259" s="58"/>
      <c r="T259" s="58"/>
      <c r="U259" s="58"/>
      <c r="V259" s="58"/>
      <c r="W259" s="58"/>
      <c r="X259" s="58"/>
      <c r="Y259" s="58"/>
      <c r="Z259" s="58"/>
    </row>
    <row r="260" ht="15.75" customHeight="1">
      <c r="A260" s="12" t="s">
        <v>5578</v>
      </c>
      <c r="B260" s="12" t="s">
        <v>5578</v>
      </c>
      <c r="C260" s="12" t="s">
        <v>5580</v>
      </c>
      <c r="D260" s="29" t="s">
        <v>5582</v>
      </c>
      <c r="E260" s="86"/>
      <c r="F260" s="58"/>
      <c r="G260" s="58"/>
      <c r="H260" s="58"/>
      <c r="I260" s="58"/>
      <c r="J260" s="58"/>
      <c r="K260" s="58"/>
      <c r="L260" s="58"/>
      <c r="M260" s="58"/>
      <c r="N260" s="58"/>
      <c r="O260" s="58"/>
      <c r="P260" s="58"/>
      <c r="Q260" s="58"/>
      <c r="R260" s="58"/>
      <c r="S260" s="58"/>
      <c r="T260" s="58"/>
      <c r="U260" s="58"/>
      <c r="V260" s="58"/>
      <c r="W260" s="58"/>
      <c r="X260" s="58"/>
      <c r="Y260" s="58"/>
      <c r="Z260" s="58"/>
    </row>
    <row r="261" ht="15.75" customHeight="1">
      <c r="A261" s="12" t="s">
        <v>5585</v>
      </c>
      <c r="B261" s="12" t="s">
        <v>5586</v>
      </c>
      <c r="C261" s="12" t="s">
        <v>5588</v>
      </c>
      <c r="D261" s="29" t="s">
        <v>5590</v>
      </c>
      <c r="E261" s="86"/>
      <c r="F261" s="58"/>
      <c r="G261" s="58"/>
      <c r="H261" s="58"/>
      <c r="I261" s="58"/>
      <c r="J261" s="58"/>
      <c r="K261" s="58"/>
      <c r="L261" s="58"/>
      <c r="M261" s="58"/>
      <c r="N261" s="58"/>
      <c r="O261" s="58"/>
      <c r="P261" s="58"/>
      <c r="Q261" s="58"/>
      <c r="R261" s="58"/>
      <c r="S261" s="58"/>
      <c r="T261" s="58"/>
      <c r="U261" s="58"/>
      <c r="V261" s="58"/>
      <c r="W261" s="58"/>
      <c r="X261" s="58"/>
      <c r="Y261" s="58"/>
      <c r="Z261" s="58"/>
    </row>
    <row r="262" ht="15.75" customHeight="1">
      <c r="A262" s="12" t="s">
        <v>5594</v>
      </c>
      <c r="B262" s="12" t="s">
        <v>5596</v>
      </c>
      <c r="C262" s="12" t="s">
        <v>5597</v>
      </c>
      <c r="D262" s="29" t="s">
        <v>5599</v>
      </c>
      <c r="E262" s="86"/>
      <c r="F262" s="58"/>
      <c r="G262" s="58"/>
      <c r="H262" s="58"/>
      <c r="I262" s="58"/>
      <c r="J262" s="58"/>
      <c r="K262" s="58"/>
      <c r="L262" s="58"/>
      <c r="M262" s="58"/>
      <c r="N262" s="58"/>
      <c r="O262" s="58"/>
      <c r="P262" s="58"/>
      <c r="Q262" s="58"/>
      <c r="R262" s="58"/>
      <c r="S262" s="58"/>
      <c r="T262" s="58"/>
      <c r="U262" s="58"/>
      <c r="V262" s="58"/>
      <c r="W262" s="58"/>
      <c r="X262" s="58"/>
      <c r="Y262" s="58"/>
      <c r="Z262" s="58"/>
    </row>
    <row r="263" ht="15.75" customHeight="1">
      <c r="A263" s="12" t="s">
        <v>5607</v>
      </c>
      <c r="B263" s="12" t="s">
        <v>5608</v>
      </c>
      <c r="C263" s="12" t="s">
        <v>5609</v>
      </c>
      <c r="D263" s="29" t="s">
        <v>5610</v>
      </c>
      <c r="E263" s="86"/>
      <c r="F263" s="58"/>
      <c r="G263" s="58"/>
      <c r="H263" s="58"/>
      <c r="I263" s="58"/>
      <c r="J263" s="58"/>
      <c r="K263" s="58"/>
      <c r="L263" s="58"/>
      <c r="M263" s="58"/>
      <c r="N263" s="58"/>
      <c r="O263" s="58"/>
      <c r="P263" s="58"/>
      <c r="Q263" s="58"/>
      <c r="R263" s="58"/>
      <c r="S263" s="58"/>
      <c r="T263" s="58"/>
      <c r="U263" s="58"/>
      <c r="V263" s="58"/>
      <c r="W263" s="58"/>
      <c r="X263" s="58"/>
      <c r="Y263" s="58"/>
      <c r="Z263" s="58"/>
    </row>
    <row r="264" ht="15.75" customHeight="1">
      <c r="A264" s="12" t="s">
        <v>5617</v>
      </c>
      <c r="B264" s="12" t="s">
        <v>5618</v>
      </c>
      <c r="C264" s="12" t="s">
        <v>5619</v>
      </c>
      <c r="D264" s="29" t="s">
        <v>5620</v>
      </c>
      <c r="E264" s="86"/>
      <c r="F264" s="58"/>
      <c r="G264" s="58"/>
      <c r="H264" s="58"/>
      <c r="I264" s="58"/>
      <c r="J264" s="58"/>
      <c r="K264" s="58"/>
      <c r="L264" s="58"/>
      <c r="M264" s="58"/>
      <c r="N264" s="58"/>
      <c r="O264" s="58"/>
      <c r="P264" s="58"/>
      <c r="Q264" s="58"/>
      <c r="R264" s="58"/>
      <c r="S264" s="58"/>
      <c r="T264" s="58"/>
      <c r="U264" s="58"/>
      <c r="V264" s="58"/>
      <c r="W264" s="58"/>
      <c r="X264" s="58"/>
      <c r="Y264" s="58"/>
      <c r="Z264" s="58"/>
    </row>
    <row r="265" ht="15.75" customHeight="1">
      <c r="A265" s="56" t="s">
        <v>5629</v>
      </c>
      <c r="B265" s="12" t="s">
        <v>5630</v>
      </c>
      <c r="C265" s="12" t="s">
        <v>5631</v>
      </c>
      <c r="D265" s="29" t="s">
        <v>5632</v>
      </c>
      <c r="E265" s="12" t="s">
        <v>3433</v>
      </c>
      <c r="F265" s="58"/>
      <c r="G265" s="58"/>
      <c r="H265" s="58"/>
      <c r="I265" s="58"/>
      <c r="J265" s="58"/>
      <c r="K265" s="58"/>
      <c r="L265" s="58"/>
      <c r="M265" s="58"/>
      <c r="N265" s="58"/>
      <c r="O265" s="58"/>
      <c r="P265" s="58"/>
      <c r="Q265" s="58"/>
      <c r="R265" s="58"/>
      <c r="S265" s="58"/>
      <c r="T265" s="58"/>
      <c r="U265" s="58"/>
      <c r="V265" s="58"/>
      <c r="W265" s="58"/>
      <c r="X265" s="58"/>
      <c r="Y265" s="58"/>
      <c r="Z265" s="58"/>
    </row>
    <row r="266" ht="15.75" customHeight="1">
      <c r="A266" s="12" t="s">
        <v>5639</v>
      </c>
      <c r="B266" s="12" t="s">
        <v>5641</v>
      </c>
      <c r="C266" s="12" t="s">
        <v>5642</v>
      </c>
      <c r="D266" s="29" t="s">
        <v>5644</v>
      </c>
      <c r="E266" s="12" t="s">
        <v>3489</v>
      </c>
      <c r="F266" s="58"/>
      <c r="G266" s="58"/>
      <c r="H266" s="58"/>
      <c r="I266" s="58"/>
      <c r="J266" s="58"/>
      <c r="K266" s="58"/>
      <c r="L266" s="58"/>
      <c r="M266" s="58"/>
      <c r="N266" s="58"/>
      <c r="O266" s="58"/>
      <c r="P266" s="58"/>
      <c r="Q266" s="58"/>
      <c r="R266" s="58"/>
      <c r="S266" s="58"/>
      <c r="T266" s="58"/>
      <c r="U266" s="58"/>
      <c r="V266" s="58"/>
      <c r="W266" s="58"/>
      <c r="X266" s="58"/>
      <c r="Y266" s="58"/>
      <c r="Z266" s="58"/>
    </row>
    <row r="267" ht="15.75" customHeight="1">
      <c r="A267" s="56" t="s">
        <v>5648</v>
      </c>
      <c r="B267" s="56" t="s">
        <v>5649</v>
      </c>
      <c r="C267" s="56" t="s">
        <v>5651</v>
      </c>
      <c r="D267" s="56" t="s">
        <v>5652</v>
      </c>
      <c r="E267" s="56" t="s">
        <v>3496</v>
      </c>
      <c r="F267" s="58"/>
      <c r="G267" s="58"/>
      <c r="H267" s="58"/>
      <c r="I267" s="58"/>
      <c r="J267" s="58"/>
      <c r="K267" s="58"/>
      <c r="L267" s="58"/>
      <c r="M267" s="58"/>
      <c r="N267" s="58"/>
      <c r="O267" s="58"/>
      <c r="P267" s="58"/>
      <c r="Q267" s="58"/>
      <c r="R267" s="58"/>
      <c r="S267" s="58"/>
      <c r="T267" s="58"/>
      <c r="U267" s="58"/>
      <c r="V267" s="58"/>
      <c r="W267" s="58"/>
      <c r="X267" s="58"/>
      <c r="Y267" s="58"/>
      <c r="Z267" s="58"/>
    </row>
    <row r="268" ht="15.75" customHeight="1">
      <c r="A268" s="56" t="s">
        <v>5660</v>
      </c>
      <c r="B268" s="56" t="s">
        <v>5662</v>
      </c>
      <c r="C268" s="56" t="s">
        <v>5663</v>
      </c>
      <c r="D268" s="29" t="s">
        <v>5664</v>
      </c>
      <c r="E268" s="56" t="s">
        <v>3504</v>
      </c>
      <c r="F268" s="58"/>
      <c r="G268" s="58"/>
      <c r="H268" s="58"/>
      <c r="I268" s="58"/>
      <c r="J268" s="58"/>
      <c r="K268" s="58"/>
      <c r="L268" s="58"/>
      <c r="M268" s="58"/>
      <c r="N268" s="58"/>
      <c r="O268" s="58"/>
      <c r="P268" s="58"/>
      <c r="Q268" s="58"/>
      <c r="R268" s="58"/>
      <c r="S268" s="58"/>
      <c r="T268" s="58"/>
      <c r="U268" s="58"/>
      <c r="V268" s="58"/>
      <c r="W268" s="58"/>
      <c r="X268" s="58"/>
      <c r="Y268" s="58"/>
      <c r="Z268" s="58"/>
    </row>
    <row r="269" ht="15.75" customHeight="1">
      <c r="A269" s="56" t="s">
        <v>5673</v>
      </c>
      <c r="B269" s="56" t="s">
        <v>5674</v>
      </c>
      <c r="C269" s="56" t="s">
        <v>5675</v>
      </c>
      <c r="D269" s="29" t="s">
        <v>5676</v>
      </c>
      <c r="E269" s="133"/>
      <c r="F269" s="58"/>
      <c r="G269" s="58"/>
      <c r="H269" s="58"/>
      <c r="I269" s="58"/>
      <c r="J269" s="58"/>
      <c r="K269" s="58"/>
      <c r="L269" s="58"/>
      <c r="M269" s="58"/>
      <c r="N269" s="58"/>
      <c r="O269" s="58"/>
      <c r="P269" s="58"/>
      <c r="Q269" s="58"/>
      <c r="R269" s="58"/>
      <c r="S269" s="58"/>
      <c r="T269" s="58"/>
      <c r="U269" s="58"/>
      <c r="V269" s="58"/>
      <c r="W269" s="58"/>
      <c r="X269" s="58"/>
      <c r="Y269" s="58"/>
      <c r="Z269" s="58"/>
    </row>
    <row r="270" ht="15.75" customHeight="1">
      <c r="A270" s="12" t="s">
        <v>5685</v>
      </c>
      <c r="B270" s="12" t="s">
        <v>5686</v>
      </c>
      <c r="C270" s="12" t="s">
        <v>5687</v>
      </c>
      <c r="D270" s="29" t="s">
        <v>5688</v>
      </c>
      <c r="E270" s="86"/>
      <c r="F270" s="58"/>
      <c r="G270" s="58"/>
      <c r="H270" s="58"/>
      <c r="I270" s="58"/>
      <c r="J270" s="58"/>
      <c r="K270" s="58"/>
      <c r="L270" s="58"/>
      <c r="M270" s="58"/>
      <c r="N270" s="58"/>
      <c r="O270" s="58"/>
      <c r="P270" s="58"/>
      <c r="Q270" s="58"/>
      <c r="R270" s="58"/>
      <c r="S270" s="58"/>
      <c r="T270" s="58"/>
      <c r="U270" s="58"/>
      <c r="V270" s="58"/>
      <c r="W270" s="58"/>
      <c r="X270" s="58"/>
      <c r="Y270" s="58"/>
      <c r="Z270" s="58"/>
    </row>
    <row r="271" ht="15.75" customHeight="1">
      <c r="A271" s="12" t="s">
        <v>5693</v>
      </c>
      <c r="B271" s="12" t="s">
        <v>5694</v>
      </c>
      <c r="C271" s="12" t="s">
        <v>5695</v>
      </c>
      <c r="D271" s="29" t="s">
        <v>5697</v>
      </c>
      <c r="E271" s="86"/>
      <c r="F271" s="58"/>
      <c r="G271" s="58"/>
      <c r="H271" s="58"/>
      <c r="I271" s="58"/>
      <c r="J271" s="58"/>
      <c r="K271" s="58"/>
      <c r="L271" s="58"/>
      <c r="M271" s="58"/>
      <c r="N271" s="58"/>
      <c r="O271" s="58"/>
      <c r="P271" s="58"/>
      <c r="Q271" s="58"/>
      <c r="R271" s="58"/>
      <c r="S271" s="58"/>
      <c r="T271" s="58"/>
      <c r="U271" s="58"/>
      <c r="V271" s="58"/>
      <c r="W271" s="58"/>
      <c r="X271" s="58"/>
      <c r="Y271" s="58"/>
      <c r="Z271" s="58"/>
    </row>
    <row r="272" ht="15.75" customHeight="1">
      <c r="A272" s="12" t="s">
        <v>5704</v>
      </c>
      <c r="B272" s="12" t="s">
        <v>5705</v>
      </c>
      <c r="C272" s="12" t="s">
        <v>5707</v>
      </c>
      <c r="D272" s="29" t="s">
        <v>5709</v>
      </c>
      <c r="E272" s="86"/>
      <c r="F272" s="58"/>
      <c r="G272" s="58"/>
      <c r="H272" s="58"/>
      <c r="I272" s="58"/>
      <c r="J272" s="58"/>
      <c r="K272" s="58"/>
      <c r="L272" s="58"/>
      <c r="M272" s="58"/>
      <c r="N272" s="58"/>
      <c r="O272" s="58"/>
      <c r="P272" s="58"/>
      <c r="Q272" s="58"/>
      <c r="R272" s="58"/>
      <c r="S272" s="58"/>
      <c r="T272" s="58"/>
      <c r="U272" s="58"/>
      <c r="V272" s="58"/>
      <c r="W272" s="58"/>
      <c r="X272" s="58"/>
      <c r="Y272" s="58"/>
      <c r="Z272" s="58"/>
    </row>
    <row r="273" ht="15.75" customHeight="1">
      <c r="A273" s="12" t="s">
        <v>5713</v>
      </c>
      <c r="B273" s="12" t="s">
        <v>5715</v>
      </c>
      <c r="C273" s="12" t="s">
        <v>5718</v>
      </c>
      <c r="D273" s="29" t="s">
        <v>5721</v>
      </c>
      <c r="E273" s="86"/>
      <c r="F273" s="58"/>
      <c r="G273" s="58"/>
      <c r="H273" s="58"/>
      <c r="I273" s="58"/>
      <c r="J273" s="58"/>
      <c r="K273" s="58"/>
      <c r="L273" s="58"/>
      <c r="M273" s="58"/>
      <c r="N273" s="58"/>
      <c r="O273" s="58"/>
      <c r="P273" s="58"/>
      <c r="Q273" s="58"/>
      <c r="R273" s="58"/>
      <c r="S273" s="58"/>
      <c r="T273" s="58"/>
      <c r="U273" s="58"/>
      <c r="V273" s="58"/>
      <c r="W273" s="58"/>
      <c r="X273" s="58"/>
      <c r="Y273" s="58"/>
      <c r="Z273" s="58"/>
    </row>
    <row r="274" ht="15.75" customHeight="1">
      <c r="A274" s="12" t="s">
        <v>5725</v>
      </c>
      <c r="B274" s="12" t="s">
        <v>5728</v>
      </c>
      <c r="C274" s="12" t="s">
        <v>5731</v>
      </c>
      <c r="D274" s="29" t="s">
        <v>5734</v>
      </c>
      <c r="E274" s="12" t="s">
        <v>3433</v>
      </c>
      <c r="F274" s="58"/>
      <c r="G274" s="58"/>
      <c r="H274" s="58"/>
      <c r="I274" s="58"/>
      <c r="J274" s="58"/>
      <c r="K274" s="58"/>
      <c r="L274" s="58"/>
      <c r="M274" s="58"/>
      <c r="N274" s="58"/>
      <c r="O274" s="58"/>
      <c r="P274" s="58"/>
      <c r="Q274" s="58"/>
      <c r="R274" s="58"/>
      <c r="S274" s="58"/>
      <c r="T274" s="58"/>
      <c r="U274" s="58"/>
      <c r="V274" s="58"/>
      <c r="W274" s="58"/>
      <c r="X274" s="58"/>
      <c r="Y274" s="58"/>
      <c r="Z274" s="58"/>
    </row>
    <row r="275" ht="15.75" customHeight="1">
      <c r="A275" s="12" t="s">
        <v>5737</v>
      </c>
      <c r="B275" s="12" t="s">
        <v>5740</v>
      </c>
      <c r="C275" s="12" t="s">
        <v>5743</v>
      </c>
      <c r="D275" s="29" t="s">
        <v>5746</v>
      </c>
      <c r="E275" s="12" t="s">
        <v>3489</v>
      </c>
      <c r="F275" s="58"/>
      <c r="G275" s="58"/>
      <c r="H275" s="58"/>
      <c r="I275" s="58"/>
      <c r="J275" s="58"/>
      <c r="K275" s="58"/>
      <c r="L275" s="58"/>
      <c r="M275" s="58"/>
      <c r="N275" s="58"/>
      <c r="O275" s="58"/>
      <c r="P275" s="58"/>
      <c r="Q275" s="58"/>
      <c r="R275" s="58"/>
      <c r="S275" s="58"/>
      <c r="T275" s="58"/>
      <c r="U275" s="58"/>
      <c r="V275" s="58"/>
      <c r="W275" s="58"/>
      <c r="X275" s="58"/>
      <c r="Y275" s="58"/>
      <c r="Z275" s="58"/>
    </row>
    <row r="276" ht="15.75" customHeight="1">
      <c r="A276" s="56" t="s">
        <v>5751</v>
      </c>
      <c r="B276" s="56" t="s">
        <v>5754</v>
      </c>
      <c r="C276" s="56" t="s">
        <v>5756</v>
      </c>
      <c r="D276" s="29" t="s">
        <v>5758</v>
      </c>
      <c r="E276" s="56" t="s">
        <v>3496</v>
      </c>
      <c r="F276" s="58"/>
      <c r="G276" s="58"/>
      <c r="H276" s="58"/>
      <c r="I276" s="58"/>
      <c r="J276" s="58"/>
      <c r="K276" s="58"/>
      <c r="L276" s="58"/>
      <c r="M276" s="58"/>
      <c r="N276" s="58"/>
      <c r="O276" s="58"/>
      <c r="P276" s="58"/>
      <c r="Q276" s="58"/>
      <c r="R276" s="58"/>
      <c r="S276" s="58"/>
      <c r="T276" s="58"/>
      <c r="U276" s="58"/>
      <c r="V276" s="58"/>
      <c r="W276" s="58"/>
      <c r="X276" s="58"/>
      <c r="Y276" s="58"/>
      <c r="Z276" s="58"/>
    </row>
    <row r="277" ht="15.75" customHeight="1">
      <c r="A277" s="56" t="s">
        <v>5765</v>
      </c>
      <c r="B277" s="56" t="s">
        <v>5767</v>
      </c>
      <c r="C277" s="56" t="s">
        <v>5768</v>
      </c>
      <c r="D277" s="29" t="s">
        <v>5770</v>
      </c>
      <c r="E277" s="56" t="s">
        <v>3504</v>
      </c>
      <c r="F277" s="58"/>
      <c r="G277" s="58"/>
      <c r="H277" s="58"/>
      <c r="I277" s="58"/>
      <c r="J277" s="58"/>
      <c r="K277" s="58"/>
      <c r="L277" s="58"/>
      <c r="M277" s="58"/>
      <c r="N277" s="58"/>
      <c r="O277" s="58"/>
      <c r="P277" s="58"/>
      <c r="Q277" s="58"/>
      <c r="R277" s="58"/>
      <c r="S277" s="58"/>
      <c r="T277" s="58"/>
      <c r="U277" s="58"/>
      <c r="V277" s="58"/>
      <c r="W277" s="58"/>
      <c r="X277" s="58"/>
      <c r="Y277" s="58"/>
      <c r="Z277" s="58"/>
    </row>
    <row r="278" ht="15.75" customHeight="1">
      <c r="A278" s="56" t="s">
        <v>5776</v>
      </c>
      <c r="B278" s="56" t="s">
        <v>5778</v>
      </c>
      <c r="C278" s="56" t="s">
        <v>5780</v>
      </c>
      <c r="D278" s="29" t="s">
        <v>5781</v>
      </c>
      <c r="E278" s="56" t="s">
        <v>4276</v>
      </c>
      <c r="F278" s="58"/>
      <c r="G278" s="58"/>
      <c r="H278" s="58"/>
      <c r="I278" s="58"/>
      <c r="J278" s="58"/>
      <c r="K278" s="58"/>
      <c r="L278" s="58"/>
      <c r="M278" s="58"/>
      <c r="N278" s="58"/>
      <c r="O278" s="58"/>
      <c r="P278" s="58"/>
      <c r="Q278" s="58"/>
      <c r="R278" s="58"/>
      <c r="S278" s="58"/>
      <c r="T278" s="58"/>
      <c r="U278" s="58"/>
      <c r="V278" s="58"/>
      <c r="W278" s="58"/>
      <c r="X278" s="58"/>
      <c r="Y278" s="58"/>
      <c r="Z278" s="58"/>
    </row>
    <row r="279" ht="15.75" customHeight="1">
      <c r="A279" s="12" t="s">
        <v>5786</v>
      </c>
      <c r="B279" s="12" t="s">
        <v>5788</v>
      </c>
      <c r="C279" s="12" t="s">
        <v>5789</v>
      </c>
      <c r="D279" s="29" t="s">
        <v>5790</v>
      </c>
      <c r="E279" s="12" t="s">
        <v>3433</v>
      </c>
      <c r="F279" s="58"/>
      <c r="G279" s="58"/>
      <c r="H279" s="58"/>
      <c r="I279" s="58"/>
      <c r="J279" s="58"/>
      <c r="K279" s="58"/>
      <c r="L279" s="58"/>
      <c r="M279" s="58"/>
      <c r="N279" s="58"/>
      <c r="O279" s="58"/>
      <c r="P279" s="58"/>
      <c r="Q279" s="58"/>
      <c r="R279" s="58"/>
      <c r="S279" s="58"/>
      <c r="T279" s="58"/>
      <c r="U279" s="58"/>
      <c r="V279" s="58"/>
      <c r="W279" s="58"/>
      <c r="X279" s="58"/>
      <c r="Y279" s="58"/>
      <c r="Z279" s="58"/>
    </row>
    <row r="280" ht="15.75" customHeight="1">
      <c r="A280" s="12" t="s">
        <v>5795</v>
      </c>
      <c r="B280" s="12" t="s">
        <v>5796</v>
      </c>
      <c r="C280" s="12" t="s">
        <v>5797</v>
      </c>
      <c r="D280" s="29" t="s">
        <v>5799</v>
      </c>
      <c r="E280" s="86"/>
      <c r="F280" s="58"/>
      <c r="G280" s="58"/>
      <c r="H280" s="58"/>
      <c r="I280" s="58"/>
      <c r="J280" s="58"/>
      <c r="K280" s="58"/>
      <c r="L280" s="58"/>
      <c r="M280" s="58"/>
      <c r="N280" s="58"/>
      <c r="O280" s="58"/>
      <c r="P280" s="58"/>
      <c r="Q280" s="58"/>
      <c r="R280" s="58"/>
      <c r="S280" s="58"/>
      <c r="T280" s="58"/>
      <c r="U280" s="58"/>
      <c r="V280" s="58"/>
      <c r="W280" s="58"/>
      <c r="X280" s="58"/>
      <c r="Y280" s="58"/>
      <c r="Z280" s="58"/>
    </row>
    <row r="281" ht="15.75" customHeight="1">
      <c r="A281" s="12" t="s">
        <v>5803</v>
      </c>
      <c r="B281" s="12" t="s">
        <v>5803</v>
      </c>
      <c r="C281" s="12" t="s">
        <v>5804</v>
      </c>
      <c r="D281" s="29" t="s">
        <v>5805</v>
      </c>
      <c r="E281" s="86"/>
      <c r="F281" s="58"/>
      <c r="G281" s="58"/>
      <c r="H281" s="58"/>
      <c r="I281" s="58"/>
      <c r="J281" s="58"/>
      <c r="K281" s="58"/>
      <c r="L281" s="58"/>
      <c r="M281" s="58"/>
      <c r="N281" s="58"/>
      <c r="O281" s="58"/>
      <c r="P281" s="58"/>
      <c r="Q281" s="58"/>
      <c r="R281" s="58"/>
      <c r="S281" s="58"/>
      <c r="T281" s="58"/>
      <c r="U281" s="58"/>
      <c r="V281" s="58"/>
      <c r="W281" s="58"/>
      <c r="X281" s="58"/>
      <c r="Y281" s="58"/>
      <c r="Z281" s="58"/>
    </row>
    <row r="282" ht="15.75" customHeight="1">
      <c r="A282" s="12" t="s">
        <v>5810</v>
      </c>
      <c r="B282" s="12" t="s">
        <v>5811</v>
      </c>
      <c r="C282" s="12" t="s">
        <v>5812</v>
      </c>
      <c r="D282" s="29" t="s">
        <v>5814</v>
      </c>
      <c r="E282" s="86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</row>
    <row r="283" ht="15.75" customHeight="1">
      <c r="A283" s="12" t="s">
        <v>5818</v>
      </c>
      <c r="B283" s="12" t="s">
        <v>5818</v>
      </c>
      <c r="C283" s="12" t="s">
        <v>5819</v>
      </c>
      <c r="D283" s="29" t="s">
        <v>5822</v>
      </c>
      <c r="E283" s="86"/>
      <c r="F283" s="58"/>
      <c r="G283" s="58"/>
      <c r="H283" s="58"/>
      <c r="I283" s="58"/>
      <c r="J283" s="58"/>
      <c r="K283" s="58"/>
      <c r="L283" s="58"/>
      <c r="M283" s="58"/>
      <c r="N283" s="58"/>
      <c r="O283" s="58"/>
      <c r="P283" s="58"/>
      <c r="Q283" s="58"/>
      <c r="R283" s="58"/>
      <c r="S283" s="58"/>
      <c r="T283" s="58"/>
      <c r="U283" s="58"/>
      <c r="V283" s="58"/>
      <c r="W283" s="58"/>
      <c r="X283" s="58"/>
      <c r="Y283" s="58"/>
      <c r="Z283" s="58"/>
    </row>
    <row r="284" ht="15.75" customHeight="1">
      <c r="A284" s="12" t="s">
        <v>5829</v>
      </c>
      <c r="B284" s="12" t="s">
        <v>5829</v>
      </c>
      <c r="C284" s="12" t="s">
        <v>5830</v>
      </c>
      <c r="D284" s="29" t="s">
        <v>5832</v>
      </c>
      <c r="E284" s="86"/>
      <c r="F284" s="58"/>
      <c r="G284" s="58"/>
      <c r="H284" s="58"/>
      <c r="I284" s="58"/>
      <c r="J284" s="58"/>
      <c r="K284" s="58"/>
      <c r="L284" s="58"/>
      <c r="M284" s="58"/>
      <c r="N284" s="58"/>
      <c r="O284" s="58"/>
      <c r="P284" s="58"/>
      <c r="Q284" s="58"/>
      <c r="R284" s="58"/>
      <c r="S284" s="58"/>
      <c r="T284" s="58"/>
      <c r="U284" s="58"/>
      <c r="V284" s="58"/>
      <c r="W284" s="58"/>
      <c r="X284" s="58"/>
      <c r="Y284" s="58"/>
      <c r="Z284" s="58"/>
    </row>
    <row r="285" ht="15.75" customHeight="1">
      <c r="A285" s="12" t="s">
        <v>5840</v>
      </c>
      <c r="B285" s="12" t="s">
        <v>5841</v>
      </c>
      <c r="C285" s="12" t="s">
        <v>5842</v>
      </c>
      <c r="D285" s="29" t="s">
        <v>5814</v>
      </c>
      <c r="E285" s="86"/>
      <c r="F285" s="58"/>
      <c r="G285" s="58"/>
      <c r="H285" s="58"/>
      <c r="I285" s="58"/>
      <c r="J285" s="58"/>
      <c r="K285" s="58"/>
      <c r="L285" s="58"/>
      <c r="M285" s="58"/>
      <c r="N285" s="58"/>
      <c r="O285" s="58"/>
      <c r="P285" s="58"/>
      <c r="Q285" s="58"/>
      <c r="R285" s="58"/>
      <c r="S285" s="58"/>
      <c r="T285" s="58"/>
      <c r="U285" s="58"/>
      <c r="V285" s="58"/>
      <c r="W285" s="58"/>
      <c r="X285" s="58"/>
      <c r="Y285" s="58"/>
      <c r="Z285" s="58"/>
    </row>
    <row r="286" ht="15.75" customHeight="1">
      <c r="A286" s="12" t="s">
        <v>5851</v>
      </c>
      <c r="B286" s="12" t="s">
        <v>5852</v>
      </c>
      <c r="C286" s="12" t="s">
        <v>5853</v>
      </c>
      <c r="D286" s="29" t="s">
        <v>5854</v>
      </c>
      <c r="E286" s="86"/>
      <c r="F286" s="58"/>
      <c r="G286" s="58"/>
      <c r="H286" s="58"/>
      <c r="I286" s="58"/>
      <c r="J286" s="58"/>
      <c r="K286" s="58"/>
      <c r="L286" s="58"/>
      <c r="M286" s="58"/>
      <c r="N286" s="58"/>
      <c r="O286" s="58"/>
      <c r="P286" s="58"/>
      <c r="Q286" s="58"/>
      <c r="R286" s="58"/>
      <c r="S286" s="58"/>
      <c r="T286" s="58"/>
      <c r="U286" s="58"/>
      <c r="V286" s="58"/>
      <c r="W286" s="58"/>
      <c r="X286" s="58"/>
      <c r="Y286" s="58"/>
      <c r="Z286" s="58"/>
    </row>
    <row r="287" ht="15.75" customHeight="1">
      <c r="A287" s="12" t="s">
        <v>5869</v>
      </c>
      <c r="B287" s="12" t="s">
        <v>5869</v>
      </c>
      <c r="C287" s="12" t="s">
        <v>5870</v>
      </c>
      <c r="D287" s="29" t="s">
        <v>5871</v>
      </c>
      <c r="E287" s="86"/>
      <c r="F287" s="58"/>
      <c r="G287" s="58"/>
      <c r="H287" s="58"/>
      <c r="I287" s="58"/>
      <c r="J287" s="58"/>
      <c r="K287" s="58"/>
      <c r="L287" s="58"/>
      <c r="M287" s="58"/>
      <c r="N287" s="58"/>
      <c r="O287" s="58"/>
      <c r="P287" s="58"/>
      <c r="Q287" s="58"/>
      <c r="R287" s="58"/>
      <c r="S287" s="58"/>
      <c r="T287" s="58"/>
      <c r="U287" s="58"/>
      <c r="V287" s="58"/>
      <c r="W287" s="58"/>
      <c r="X287" s="58"/>
      <c r="Y287" s="58"/>
      <c r="Z287" s="58"/>
    </row>
    <row r="288" ht="15.75" customHeight="1">
      <c r="A288" s="12" t="s">
        <v>5880</v>
      </c>
      <c r="B288" s="12" t="s">
        <v>5881</v>
      </c>
      <c r="C288" s="12" t="s">
        <v>5882</v>
      </c>
      <c r="D288" s="29" t="s">
        <v>5883</v>
      </c>
      <c r="E288" s="86"/>
      <c r="F288" s="58"/>
      <c r="G288" s="58"/>
      <c r="H288" s="58"/>
      <c r="I288" s="58"/>
      <c r="J288" s="58"/>
      <c r="K288" s="58"/>
      <c r="L288" s="58"/>
      <c r="M288" s="58"/>
      <c r="N288" s="58"/>
      <c r="O288" s="58"/>
      <c r="P288" s="58"/>
      <c r="Q288" s="58"/>
      <c r="R288" s="58"/>
      <c r="S288" s="58"/>
      <c r="T288" s="58"/>
      <c r="U288" s="58"/>
      <c r="V288" s="58"/>
      <c r="W288" s="58"/>
      <c r="X288" s="58"/>
      <c r="Y288" s="58"/>
      <c r="Z288" s="58"/>
    </row>
    <row r="289" ht="15.75" customHeight="1">
      <c r="A289" s="12" t="s">
        <v>5892</v>
      </c>
      <c r="B289" s="12" t="s">
        <v>5894</v>
      </c>
      <c r="C289" s="12" t="s">
        <v>5897</v>
      </c>
      <c r="D289" s="29" t="s">
        <v>5899</v>
      </c>
      <c r="E289" s="86"/>
      <c r="F289" s="58"/>
      <c r="G289" s="58"/>
      <c r="H289" s="58"/>
      <c r="I289" s="58"/>
      <c r="J289" s="58"/>
      <c r="K289" s="58"/>
      <c r="L289" s="58"/>
      <c r="M289" s="58"/>
      <c r="N289" s="58"/>
      <c r="O289" s="58"/>
      <c r="P289" s="58"/>
      <c r="Q289" s="58"/>
      <c r="R289" s="58"/>
      <c r="S289" s="58"/>
      <c r="T289" s="58"/>
      <c r="U289" s="58"/>
      <c r="V289" s="58"/>
      <c r="W289" s="58"/>
      <c r="X289" s="58"/>
      <c r="Y289" s="58"/>
      <c r="Z289" s="58"/>
    </row>
    <row r="290" ht="15.75" customHeight="1">
      <c r="A290" s="12" t="s">
        <v>5903</v>
      </c>
      <c r="B290" s="12" t="s">
        <v>5903</v>
      </c>
      <c r="C290" s="12" t="s">
        <v>5905</v>
      </c>
      <c r="D290" s="29" t="s">
        <v>5907</v>
      </c>
      <c r="E290" s="86"/>
      <c r="F290" s="58"/>
      <c r="G290" s="58"/>
      <c r="H290" s="58"/>
      <c r="I290" s="58"/>
      <c r="J290" s="58"/>
      <c r="K290" s="58"/>
      <c r="L290" s="58"/>
      <c r="M290" s="58"/>
      <c r="N290" s="58"/>
      <c r="O290" s="58"/>
      <c r="P290" s="58"/>
      <c r="Q290" s="58"/>
      <c r="R290" s="58"/>
      <c r="S290" s="58"/>
      <c r="T290" s="58"/>
      <c r="U290" s="58"/>
      <c r="V290" s="58"/>
      <c r="W290" s="58"/>
      <c r="X290" s="58"/>
      <c r="Y290" s="58"/>
      <c r="Z290" s="58"/>
    </row>
    <row r="291" ht="15.75" customHeight="1">
      <c r="A291" s="12" t="s">
        <v>5911</v>
      </c>
      <c r="B291" s="12" t="s">
        <v>5911</v>
      </c>
      <c r="C291" s="12" t="s">
        <v>5912</v>
      </c>
      <c r="D291" s="29" t="s">
        <v>5914</v>
      </c>
      <c r="E291" s="86"/>
      <c r="F291" s="58"/>
      <c r="G291" s="58"/>
      <c r="H291" s="58"/>
      <c r="I291" s="58"/>
      <c r="J291" s="58"/>
      <c r="K291" s="58"/>
      <c r="L291" s="58"/>
      <c r="M291" s="58"/>
      <c r="N291" s="58"/>
      <c r="O291" s="58"/>
      <c r="P291" s="58"/>
      <c r="Q291" s="58"/>
      <c r="R291" s="58"/>
      <c r="S291" s="58"/>
      <c r="T291" s="58"/>
      <c r="U291" s="58"/>
      <c r="V291" s="58"/>
      <c r="W291" s="58"/>
      <c r="X291" s="58"/>
      <c r="Y291" s="58"/>
      <c r="Z291" s="58"/>
    </row>
    <row r="292" ht="15.75" customHeight="1">
      <c r="A292" s="12" t="s">
        <v>5921</v>
      </c>
      <c r="B292" s="12" t="s">
        <v>5921</v>
      </c>
      <c r="C292" s="12" t="s">
        <v>5923</v>
      </c>
      <c r="D292" s="29" t="s">
        <v>5925</v>
      </c>
      <c r="E292" s="86"/>
      <c r="F292" s="58"/>
      <c r="G292" s="58"/>
      <c r="H292" s="58"/>
      <c r="I292" s="58"/>
      <c r="J292" s="58"/>
      <c r="K292" s="58"/>
      <c r="L292" s="58"/>
      <c r="M292" s="58"/>
      <c r="N292" s="58"/>
      <c r="O292" s="58"/>
      <c r="P292" s="58"/>
      <c r="Q292" s="58"/>
      <c r="R292" s="58"/>
      <c r="S292" s="58"/>
      <c r="T292" s="58"/>
      <c r="U292" s="58"/>
      <c r="V292" s="58"/>
      <c r="W292" s="58"/>
      <c r="X292" s="58"/>
      <c r="Y292" s="58"/>
      <c r="Z292" s="58"/>
    </row>
    <row r="293" ht="15.75" customHeight="1">
      <c r="A293" s="12" t="s">
        <v>5933</v>
      </c>
      <c r="B293" s="12" t="s">
        <v>5933</v>
      </c>
      <c r="C293" s="12" t="s">
        <v>5936</v>
      </c>
      <c r="D293" s="29" t="s">
        <v>5939</v>
      </c>
      <c r="E293" s="86"/>
      <c r="F293" s="58"/>
      <c r="G293" s="58"/>
      <c r="H293" s="58"/>
      <c r="I293" s="58"/>
      <c r="J293" s="58"/>
      <c r="K293" s="58"/>
      <c r="L293" s="58"/>
      <c r="M293" s="58"/>
      <c r="N293" s="58"/>
      <c r="O293" s="58"/>
      <c r="P293" s="58"/>
      <c r="Q293" s="58"/>
      <c r="R293" s="58"/>
      <c r="S293" s="58"/>
      <c r="T293" s="58"/>
      <c r="U293" s="58"/>
      <c r="V293" s="58"/>
      <c r="W293" s="58"/>
      <c r="X293" s="58"/>
      <c r="Y293" s="58"/>
      <c r="Z293" s="58"/>
    </row>
    <row r="294" ht="15.75" customHeight="1">
      <c r="A294" s="12" t="s">
        <v>5945</v>
      </c>
      <c r="B294" s="12" t="s">
        <v>5945</v>
      </c>
      <c r="C294" s="12" t="s">
        <v>5948</v>
      </c>
      <c r="D294" s="29" t="s">
        <v>5949</v>
      </c>
      <c r="E294" s="86"/>
      <c r="F294" s="58"/>
      <c r="G294" s="58"/>
      <c r="H294" s="58"/>
      <c r="I294" s="58"/>
      <c r="J294" s="58"/>
      <c r="K294" s="58"/>
      <c r="L294" s="58"/>
      <c r="M294" s="58"/>
      <c r="N294" s="58"/>
      <c r="O294" s="58"/>
      <c r="P294" s="58"/>
      <c r="Q294" s="58"/>
      <c r="R294" s="58"/>
      <c r="S294" s="58"/>
      <c r="T294" s="58"/>
      <c r="U294" s="58"/>
      <c r="V294" s="58"/>
      <c r="W294" s="58"/>
      <c r="X294" s="58"/>
      <c r="Y294" s="58"/>
      <c r="Z294" s="58"/>
    </row>
    <row r="295" ht="15.75" customHeight="1">
      <c r="A295" s="12" t="s">
        <v>5956</v>
      </c>
      <c r="B295" s="12" t="s">
        <v>5957</v>
      </c>
      <c r="C295" s="12" t="s">
        <v>5958</v>
      </c>
      <c r="D295" s="29" t="s">
        <v>5959</v>
      </c>
      <c r="E295" s="86"/>
      <c r="F295" s="58"/>
      <c r="G295" s="58"/>
      <c r="H295" s="58"/>
      <c r="I295" s="58"/>
      <c r="J295" s="58"/>
      <c r="K295" s="58"/>
      <c r="L295" s="58"/>
      <c r="M295" s="58"/>
      <c r="N295" s="58"/>
      <c r="O295" s="58"/>
      <c r="P295" s="58"/>
      <c r="Q295" s="58"/>
      <c r="R295" s="58"/>
      <c r="S295" s="58"/>
      <c r="T295" s="58"/>
      <c r="U295" s="58"/>
      <c r="V295" s="58"/>
      <c r="W295" s="58"/>
      <c r="X295" s="58"/>
      <c r="Y295" s="58"/>
      <c r="Z295" s="58"/>
    </row>
    <row r="296" ht="15.75" customHeight="1">
      <c r="A296" s="12" t="s">
        <v>5967</v>
      </c>
      <c r="B296" s="12" t="s">
        <v>5968</v>
      </c>
      <c r="C296" s="12" t="s">
        <v>5969</v>
      </c>
      <c r="D296" s="29" t="s">
        <v>5970</v>
      </c>
      <c r="E296" s="86"/>
      <c r="F296" s="58"/>
      <c r="G296" s="58"/>
      <c r="H296" s="58"/>
      <c r="I296" s="58"/>
      <c r="J296" s="58"/>
      <c r="K296" s="58"/>
      <c r="L296" s="58"/>
      <c r="M296" s="58"/>
      <c r="N296" s="58"/>
      <c r="O296" s="58"/>
      <c r="P296" s="58"/>
      <c r="Q296" s="58"/>
      <c r="R296" s="58"/>
      <c r="S296" s="58"/>
      <c r="T296" s="58"/>
      <c r="U296" s="58"/>
      <c r="V296" s="58"/>
      <c r="W296" s="58"/>
      <c r="X296" s="58"/>
      <c r="Y296" s="58"/>
      <c r="Z296" s="58"/>
    </row>
    <row r="297" ht="15.75" customHeight="1">
      <c r="A297" s="12" t="s">
        <v>5978</v>
      </c>
      <c r="B297" s="12" t="s">
        <v>5979</v>
      </c>
      <c r="C297" s="12" t="s">
        <v>5980</v>
      </c>
      <c r="D297" s="29" t="s">
        <v>5982</v>
      </c>
      <c r="E297" s="12" t="s">
        <v>3639</v>
      </c>
      <c r="F297" s="58"/>
      <c r="G297" s="58"/>
      <c r="H297" s="58"/>
      <c r="I297" s="58"/>
      <c r="J297" s="58"/>
      <c r="K297" s="58"/>
      <c r="L297" s="58"/>
      <c r="M297" s="58"/>
      <c r="N297" s="58"/>
      <c r="O297" s="58"/>
      <c r="P297" s="58"/>
      <c r="Q297" s="58"/>
      <c r="R297" s="58"/>
      <c r="S297" s="58"/>
      <c r="T297" s="58"/>
      <c r="U297" s="58"/>
      <c r="V297" s="58"/>
      <c r="W297" s="58"/>
      <c r="X297" s="58"/>
      <c r="Y297" s="58"/>
      <c r="Z297" s="58"/>
    </row>
    <row r="298" ht="15.75" customHeight="1">
      <c r="A298" s="12" t="s">
        <v>5991</v>
      </c>
      <c r="B298" s="12" t="s">
        <v>5992</v>
      </c>
      <c r="C298" s="12" t="s">
        <v>5993</v>
      </c>
      <c r="D298" s="29" t="s">
        <v>5997</v>
      </c>
      <c r="E298" s="12" t="s">
        <v>3639</v>
      </c>
      <c r="F298" s="58"/>
      <c r="G298" s="58"/>
      <c r="H298" s="58"/>
      <c r="I298" s="58"/>
      <c r="J298" s="58"/>
      <c r="K298" s="58"/>
      <c r="L298" s="58"/>
      <c r="M298" s="58"/>
      <c r="N298" s="58"/>
      <c r="O298" s="58"/>
      <c r="P298" s="58"/>
      <c r="Q298" s="58"/>
      <c r="R298" s="58"/>
      <c r="S298" s="58"/>
      <c r="T298" s="58"/>
      <c r="U298" s="58"/>
      <c r="V298" s="58"/>
      <c r="W298" s="58"/>
      <c r="X298" s="58"/>
      <c r="Y298" s="58"/>
      <c r="Z298" s="58"/>
    </row>
    <row r="299" ht="15.75" customHeight="1">
      <c r="A299" s="12" t="s">
        <v>6003</v>
      </c>
      <c r="B299" s="12" t="s">
        <v>6004</v>
      </c>
      <c r="C299" s="12" t="s">
        <v>6007</v>
      </c>
      <c r="D299" s="29" t="s">
        <v>6013</v>
      </c>
      <c r="E299" s="86"/>
      <c r="F299" s="58"/>
      <c r="G299" s="58"/>
      <c r="H299" s="58"/>
      <c r="I299" s="58"/>
      <c r="J299" s="58"/>
      <c r="K299" s="58"/>
      <c r="L299" s="58"/>
      <c r="M299" s="58"/>
      <c r="N299" s="58"/>
      <c r="O299" s="58"/>
      <c r="P299" s="58"/>
      <c r="Q299" s="58"/>
      <c r="R299" s="58"/>
      <c r="S299" s="58"/>
      <c r="T299" s="58"/>
      <c r="U299" s="58"/>
      <c r="V299" s="58"/>
      <c r="W299" s="58"/>
      <c r="X299" s="58"/>
      <c r="Y299" s="58"/>
      <c r="Z299" s="58"/>
    </row>
    <row r="300" ht="15.75" customHeight="1">
      <c r="A300" s="12" t="s">
        <v>6017</v>
      </c>
      <c r="B300" s="12" t="s">
        <v>6020</v>
      </c>
      <c r="C300" s="12" t="s">
        <v>6022</v>
      </c>
      <c r="D300" s="29" t="s">
        <v>6025</v>
      </c>
      <c r="E300" s="86"/>
      <c r="F300" s="58"/>
      <c r="G300" s="58"/>
      <c r="H300" s="58"/>
      <c r="I300" s="58"/>
      <c r="J300" s="58"/>
      <c r="K300" s="58"/>
      <c r="L300" s="58"/>
      <c r="M300" s="58"/>
      <c r="N300" s="58"/>
      <c r="O300" s="58"/>
      <c r="P300" s="58"/>
      <c r="Q300" s="58"/>
      <c r="R300" s="58"/>
      <c r="S300" s="58"/>
      <c r="T300" s="58"/>
      <c r="U300" s="58"/>
      <c r="V300" s="58"/>
      <c r="W300" s="58"/>
      <c r="X300" s="58"/>
      <c r="Y300" s="58"/>
      <c r="Z300" s="58"/>
    </row>
    <row r="301" ht="15.75" customHeight="1">
      <c r="A301" s="12" t="s">
        <v>6031</v>
      </c>
      <c r="B301" s="12" t="s">
        <v>6032</v>
      </c>
      <c r="C301" s="12" t="s">
        <v>6033</v>
      </c>
      <c r="D301" s="29" t="s">
        <v>6034</v>
      </c>
      <c r="E301" s="86"/>
      <c r="F301" s="58"/>
      <c r="G301" s="58"/>
      <c r="H301" s="58"/>
      <c r="I301" s="58"/>
      <c r="J301" s="58"/>
      <c r="K301" s="58"/>
      <c r="L301" s="58"/>
      <c r="M301" s="58"/>
      <c r="N301" s="58"/>
      <c r="O301" s="58"/>
      <c r="P301" s="58"/>
      <c r="Q301" s="58"/>
      <c r="R301" s="58"/>
      <c r="S301" s="58"/>
      <c r="T301" s="58"/>
      <c r="U301" s="58"/>
      <c r="V301" s="58"/>
      <c r="W301" s="58"/>
      <c r="X301" s="58"/>
      <c r="Y301" s="58"/>
      <c r="Z301" s="58"/>
    </row>
    <row r="302" ht="15.75" customHeight="1">
      <c r="A302" s="12" t="s">
        <v>5196</v>
      </c>
      <c r="B302" s="12" t="s">
        <v>5196</v>
      </c>
      <c r="C302" s="12" t="s">
        <v>5198</v>
      </c>
      <c r="D302" s="29" t="s">
        <v>6034</v>
      </c>
      <c r="E302" s="86"/>
      <c r="F302" s="58"/>
      <c r="G302" s="58"/>
      <c r="H302" s="58"/>
      <c r="I302" s="58"/>
      <c r="J302" s="58"/>
      <c r="K302" s="58"/>
      <c r="L302" s="58"/>
      <c r="M302" s="58"/>
      <c r="N302" s="58"/>
      <c r="O302" s="58"/>
      <c r="P302" s="58"/>
      <c r="Q302" s="58"/>
      <c r="R302" s="58"/>
      <c r="S302" s="58"/>
      <c r="T302" s="58"/>
      <c r="U302" s="58"/>
      <c r="V302" s="58"/>
      <c r="W302" s="58"/>
      <c r="X302" s="58"/>
      <c r="Y302" s="58"/>
      <c r="Z302" s="58"/>
    </row>
    <row r="303" ht="15.75" customHeight="1">
      <c r="A303" s="12" t="s">
        <v>6047</v>
      </c>
      <c r="B303" s="12" t="s">
        <v>6050</v>
      </c>
      <c r="C303" s="12" t="s">
        <v>6051</v>
      </c>
      <c r="D303" s="29" t="s">
        <v>6052</v>
      </c>
      <c r="E303" s="86"/>
      <c r="F303" s="58"/>
      <c r="G303" s="58"/>
      <c r="H303" s="58"/>
      <c r="I303" s="58"/>
      <c r="J303" s="58"/>
      <c r="K303" s="58"/>
      <c r="L303" s="58"/>
      <c r="M303" s="58"/>
      <c r="N303" s="58"/>
      <c r="O303" s="58"/>
      <c r="P303" s="58"/>
      <c r="Q303" s="58"/>
      <c r="R303" s="58"/>
      <c r="S303" s="58"/>
      <c r="T303" s="58"/>
      <c r="U303" s="58"/>
      <c r="V303" s="58"/>
      <c r="W303" s="58"/>
      <c r="X303" s="58"/>
      <c r="Y303" s="58"/>
      <c r="Z303" s="58"/>
    </row>
    <row r="304" ht="15.75" customHeight="1">
      <c r="A304" s="12" t="s">
        <v>6060</v>
      </c>
      <c r="B304" s="12" t="s">
        <v>6060</v>
      </c>
      <c r="C304" s="12" t="s">
        <v>6062</v>
      </c>
      <c r="D304" s="29" t="s">
        <v>6063</v>
      </c>
      <c r="E304" s="86"/>
      <c r="F304" s="58"/>
      <c r="G304" s="58"/>
      <c r="H304" s="58"/>
      <c r="I304" s="58"/>
      <c r="J304" s="58"/>
      <c r="K304" s="58"/>
      <c r="L304" s="58"/>
      <c r="M304" s="58"/>
      <c r="N304" s="58"/>
      <c r="O304" s="58"/>
      <c r="P304" s="58"/>
      <c r="Q304" s="58"/>
      <c r="R304" s="58"/>
      <c r="S304" s="58"/>
      <c r="T304" s="58"/>
      <c r="U304" s="58"/>
      <c r="V304" s="58"/>
      <c r="W304" s="58"/>
      <c r="X304" s="58"/>
      <c r="Y304" s="58"/>
      <c r="Z304" s="58"/>
    </row>
    <row r="305" ht="15.75" customHeight="1">
      <c r="A305" s="12" t="s">
        <v>6072</v>
      </c>
      <c r="B305" s="12" t="s">
        <v>6073</v>
      </c>
      <c r="C305" s="12" t="s">
        <v>6074</v>
      </c>
      <c r="D305" s="29" t="s">
        <v>6075</v>
      </c>
      <c r="E305" s="86"/>
      <c r="F305" s="58"/>
      <c r="G305" s="58"/>
      <c r="H305" s="58"/>
      <c r="I305" s="58"/>
      <c r="J305" s="58"/>
      <c r="K305" s="58"/>
      <c r="L305" s="58"/>
      <c r="M305" s="58"/>
      <c r="N305" s="58"/>
      <c r="O305" s="58"/>
      <c r="P305" s="58"/>
      <c r="Q305" s="58"/>
      <c r="R305" s="58"/>
      <c r="S305" s="58"/>
      <c r="T305" s="58"/>
      <c r="U305" s="58"/>
      <c r="V305" s="58"/>
      <c r="W305" s="58"/>
      <c r="X305" s="58"/>
      <c r="Y305" s="58"/>
      <c r="Z305" s="58"/>
    </row>
    <row r="306" ht="15.75" customHeight="1">
      <c r="A306" s="12" t="s">
        <v>6084</v>
      </c>
      <c r="B306" s="12" t="s">
        <v>6085</v>
      </c>
      <c r="C306" s="12" t="s">
        <v>6086</v>
      </c>
      <c r="D306" s="29" t="s">
        <v>6087</v>
      </c>
      <c r="E306" s="86"/>
      <c r="F306" s="58"/>
      <c r="G306" s="58"/>
      <c r="H306" s="58"/>
      <c r="I306" s="58"/>
      <c r="J306" s="58"/>
      <c r="K306" s="58"/>
      <c r="L306" s="58"/>
      <c r="M306" s="58"/>
      <c r="N306" s="58"/>
      <c r="O306" s="58"/>
      <c r="P306" s="58"/>
      <c r="Q306" s="58"/>
      <c r="R306" s="58"/>
      <c r="S306" s="58"/>
      <c r="T306" s="58"/>
      <c r="U306" s="58"/>
      <c r="V306" s="58"/>
      <c r="W306" s="58"/>
      <c r="X306" s="58"/>
      <c r="Y306" s="58"/>
      <c r="Z306" s="58"/>
    </row>
    <row r="307" ht="15.75" customHeight="1">
      <c r="A307" s="12" t="s">
        <v>6097</v>
      </c>
      <c r="B307" s="12" t="s">
        <v>6097</v>
      </c>
      <c r="C307" s="12" t="s">
        <v>6098</v>
      </c>
      <c r="D307" s="29" t="s">
        <v>6099</v>
      </c>
      <c r="E307" s="86"/>
      <c r="F307" s="58"/>
      <c r="G307" s="58"/>
      <c r="H307" s="58"/>
      <c r="I307" s="58"/>
      <c r="J307" s="58"/>
      <c r="K307" s="58"/>
      <c r="L307" s="58"/>
      <c r="M307" s="58"/>
      <c r="N307" s="58"/>
      <c r="O307" s="58"/>
      <c r="P307" s="58"/>
      <c r="Q307" s="58"/>
      <c r="R307" s="58"/>
      <c r="S307" s="58"/>
      <c r="T307" s="58"/>
      <c r="U307" s="58"/>
      <c r="V307" s="58"/>
      <c r="W307" s="58"/>
      <c r="X307" s="58"/>
      <c r="Y307" s="58"/>
      <c r="Z307" s="58"/>
    </row>
    <row r="308" ht="15.75" customHeight="1">
      <c r="A308" s="12" t="s">
        <v>6107</v>
      </c>
      <c r="B308" s="12" t="s">
        <v>6108</v>
      </c>
      <c r="C308" s="12" t="s">
        <v>6109</v>
      </c>
      <c r="D308" s="29" t="s">
        <v>6112</v>
      </c>
      <c r="E308" s="86"/>
      <c r="F308" s="58"/>
      <c r="G308" s="58"/>
      <c r="H308" s="58"/>
      <c r="I308" s="58"/>
      <c r="J308" s="58"/>
      <c r="K308" s="58"/>
      <c r="L308" s="58"/>
      <c r="M308" s="58"/>
      <c r="N308" s="58"/>
      <c r="O308" s="58"/>
      <c r="P308" s="58"/>
      <c r="Q308" s="58"/>
      <c r="R308" s="58"/>
      <c r="S308" s="58"/>
      <c r="T308" s="58"/>
      <c r="U308" s="58"/>
      <c r="V308" s="58"/>
      <c r="W308" s="58"/>
      <c r="X308" s="58"/>
      <c r="Y308" s="58"/>
      <c r="Z308" s="58"/>
    </row>
    <row r="309" ht="15.75" customHeight="1">
      <c r="A309" s="12" t="s">
        <v>6120</v>
      </c>
      <c r="B309" s="12" t="s">
        <v>6122</v>
      </c>
      <c r="C309" s="12" t="s">
        <v>6124</v>
      </c>
      <c r="D309" s="29" t="s">
        <v>6126</v>
      </c>
      <c r="E309" s="86"/>
      <c r="F309" s="58"/>
      <c r="G309" s="58"/>
      <c r="H309" s="58"/>
      <c r="I309" s="58"/>
      <c r="J309" s="58"/>
      <c r="K309" s="58"/>
      <c r="L309" s="58"/>
      <c r="M309" s="58"/>
      <c r="N309" s="58"/>
      <c r="O309" s="58"/>
      <c r="P309" s="58"/>
      <c r="Q309" s="58"/>
      <c r="R309" s="58"/>
      <c r="S309" s="58"/>
      <c r="T309" s="58"/>
      <c r="U309" s="58"/>
      <c r="V309" s="58"/>
      <c r="W309" s="58"/>
      <c r="X309" s="58"/>
      <c r="Y309" s="58"/>
      <c r="Z309" s="58"/>
    </row>
    <row r="310" ht="15.75" customHeight="1">
      <c r="A310" s="12" t="s">
        <v>6132</v>
      </c>
      <c r="B310" s="12" t="s">
        <v>3691</v>
      </c>
      <c r="C310" s="12" t="s">
        <v>3692</v>
      </c>
      <c r="D310" s="29" t="s">
        <v>6134</v>
      </c>
      <c r="E310" s="86"/>
      <c r="F310" s="58"/>
      <c r="G310" s="58"/>
      <c r="H310" s="58"/>
      <c r="I310" s="58"/>
      <c r="J310" s="58"/>
      <c r="K310" s="58"/>
      <c r="L310" s="58"/>
      <c r="M310" s="58"/>
      <c r="N310" s="58"/>
      <c r="O310" s="58"/>
      <c r="P310" s="58"/>
      <c r="Q310" s="58"/>
      <c r="R310" s="58"/>
      <c r="S310" s="58"/>
      <c r="T310" s="58"/>
      <c r="U310" s="58"/>
      <c r="V310" s="58"/>
      <c r="W310" s="58"/>
      <c r="X310" s="58"/>
      <c r="Y310" s="58"/>
      <c r="Z310" s="58"/>
    </row>
    <row r="311" ht="15.75" customHeight="1">
      <c r="A311" s="12" t="s">
        <v>3653</v>
      </c>
      <c r="B311" s="12" t="s">
        <v>3653</v>
      </c>
      <c r="C311" s="12" t="s">
        <v>3654</v>
      </c>
      <c r="D311" s="29" t="s">
        <v>6144</v>
      </c>
      <c r="E311" s="86"/>
      <c r="F311" s="58"/>
      <c r="G311" s="58"/>
      <c r="H311" s="58"/>
      <c r="I311" s="58"/>
      <c r="J311" s="58"/>
      <c r="K311" s="58"/>
      <c r="L311" s="58"/>
      <c r="M311" s="58"/>
      <c r="N311" s="58"/>
      <c r="O311" s="58"/>
      <c r="P311" s="58"/>
      <c r="Q311" s="58"/>
      <c r="R311" s="58"/>
      <c r="S311" s="58"/>
      <c r="T311" s="58"/>
      <c r="U311" s="58"/>
      <c r="V311" s="58"/>
      <c r="W311" s="58"/>
      <c r="X311" s="58"/>
      <c r="Y311" s="58"/>
      <c r="Z311" s="58"/>
    </row>
    <row r="312" ht="15.75" customHeight="1">
      <c r="A312" s="12" t="s">
        <v>6145</v>
      </c>
      <c r="B312" s="12" t="s">
        <v>6146</v>
      </c>
      <c r="C312" s="12" t="s">
        <v>6147</v>
      </c>
      <c r="D312" s="29" t="s">
        <v>6148</v>
      </c>
      <c r="E312" s="86"/>
      <c r="F312" s="58"/>
      <c r="G312" s="58"/>
      <c r="H312" s="58"/>
      <c r="I312" s="58"/>
      <c r="J312" s="58"/>
      <c r="K312" s="58"/>
      <c r="L312" s="58"/>
      <c r="M312" s="58"/>
      <c r="N312" s="58"/>
      <c r="O312" s="58"/>
      <c r="P312" s="58"/>
      <c r="Q312" s="58"/>
      <c r="R312" s="58"/>
      <c r="S312" s="58"/>
      <c r="T312" s="58"/>
      <c r="U312" s="58"/>
      <c r="V312" s="58"/>
      <c r="W312" s="58"/>
      <c r="X312" s="58"/>
      <c r="Y312" s="58"/>
      <c r="Z312" s="58"/>
    </row>
    <row r="313" ht="15.75" customHeight="1">
      <c r="A313" s="12" t="s">
        <v>6150</v>
      </c>
      <c r="B313" s="12" t="s">
        <v>6151</v>
      </c>
      <c r="C313" s="12" t="s">
        <v>6152</v>
      </c>
      <c r="D313" s="29" t="s">
        <v>6153</v>
      </c>
      <c r="E313" s="86"/>
      <c r="F313" s="58"/>
      <c r="G313" s="58"/>
      <c r="H313" s="58"/>
      <c r="I313" s="58"/>
      <c r="J313" s="58"/>
      <c r="K313" s="58"/>
      <c r="L313" s="58"/>
      <c r="M313" s="58"/>
      <c r="N313" s="58"/>
      <c r="O313" s="58"/>
      <c r="P313" s="58"/>
      <c r="Q313" s="58"/>
      <c r="R313" s="58"/>
      <c r="S313" s="58"/>
      <c r="T313" s="58"/>
      <c r="U313" s="58"/>
      <c r="V313" s="58"/>
      <c r="W313" s="58"/>
      <c r="X313" s="58"/>
      <c r="Y313" s="58"/>
      <c r="Z313" s="58"/>
    </row>
    <row r="314" ht="15.75" customHeight="1">
      <c r="A314" s="12" t="s">
        <v>6156</v>
      </c>
      <c r="B314" s="12" t="s">
        <v>6157</v>
      </c>
      <c r="C314" s="12" t="s">
        <v>6158</v>
      </c>
      <c r="D314" s="29" t="s">
        <v>6159</v>
      </c>
      <c r="E314" s="86"/>
      <c r="F314" s="58"/>
      <c r="G314" s="58"/>
      <c r="H314" s="58"/>
      <c r="I314" s="58"/>
      <c r="J314" s="58"/>
      <c r="K314" s="58"/>
      <c r="L314" s="58"/>
      <c r="M314" s="58"/>
      <c r="N314" s="58"/>
      <c r="O314" s="58"/>
      <c r="P314" s="58"/>
      <c r="Q314" s="58"/>
      <c r="R314" s="58"/>
      <c r="S314" s="58"/>
      <c r="T314" s="58"/>
      <c r="U314" s="58"/>
      <c r="V314" s="58"/>
      <c r="W314" s="58"/>
      <c r="X314" s="58"/>
      <c r="Y314" s="58"/>
      <c r="Z314" s="58"/>
    </row>
    <row r="315" ht="15.75" customHeight="1">
      <c r="A315" s="12" t="s">
        <v>6160</v>
      </c>
      <c r="B315" s="12" t="s">
        <v>6161</v>
      </c>
      <c r="C315" s="12" t="s">
        <v>6162</v>
      </c>
      <c r="D315" s="29" t="s">
        <v>6165</v>
      </c>
      <c r="E315" s="86"/>
      <c r="F315" s="58"/>
      <c r="G315" s="58"/>
      <c r="H315" s="58"/>
      <c r="I315" s="58"/>
      <c r="J315" s="58"/>
      <c r="K315" s="58"/>
      <c r="L315" s="58"/>
      <c r="M315" s="58"/>
      <c r="N315" s="58"/>
      <c r="O315" s="58"/>
      <c r="P315" s="58"/>
      <c r="Q315" s="58"/>
      <c r="R315" s="58"/>
      <c r="S315" s="58"/>
      <c r="T315" s="58"/>
      <c r="U315" s="58"/>
      <c r="V315" s="58"/>
      <c r="W315" s="58"/>
      <c r="X315" s="58"/>
      <c r="Y315" s="58"/>
      <c r="Z315" s="58"/>
    </row>
    <row r="316" ht="15.75" customHeight="1">
      <c r="A316" s="12" t="s">
        <v>6168</v>
      </c>
      <c r="B316" s="12" t="s">
        <v>6169</v>
      </c>
      <c r="C316" s="12" t="s">
        <v>6170</v>
      </c>
      <c r="D316" s="29" t="s">
        <v>6171</v>
      </c>
      <c r="E316" s="86"/>
      <c r="F316" s="58"/>
      <c r="G316" s="58"/>
      <c r="H316" s="58"/>
      <c r="I316" s="58"/>
      <c r="J316" s="58"/>
      <c r="K316" s="58"/>
      <c r="L316" s="58"/>
      <c r="M316" s="58"/>
      <c r="N316" s="58"/>
      <c r="O316" s="58"/>
      <c r="P316" s="58"/>
      <c r="Q316" s="58"/>
      <c r="R316" s="58"/>
      <c r="S316" s="58"/>
      <c r="T316" s="58"/>
      <c r="U316" s="58"/>
      <c r="V316" s="58"/>
      <c r="W316" s="58"/>
      <c r="X316" s="58"/>
      <c r="Y316" s="58"/>
      <c r="Z316" s="58"/>
    </row>
    <row r="317" ht="15.75" customHeight="1">
      <c r="A317" s="12" t="s">
        <v>6176</v>
      </c>
      <c r="B317" s="12" t="s">
        <v>6177</v>
      </c>
      <c r="C317" s="12" t="s">
        <v>6178</v>
      </c>
      <c r="D317" s="29" t="s">
        <v>6179</v>
      </c>
      <c r="E317" s="86"/>
      <c r="F317" s="58"/>
      <c r="G317" s="58"/>
      <c r="H317" s="58"/>
      <c r="I317" s="58"/>
      <c r="J317" s="58"/>
      <c r="K317" s="58"/>
      <c r="L317" s="58"/>
      <c r="M317" s="58"/>
      <c r="N317" s="58"/>
      <c r="O317" s="58"/>
      <c r="P317" s="58"/>
      <c r="Q317" s="58"/>
      <c r="R317" s="58"/>
      <c r="S317" s="58"/>
      <c r="T317" s="58"/>
      <c r="U317" s="58"/>
      <c r="V317" s="58"/>
      <c r="W317" s="58"/>
      <c r="X317" s="58"/>
      <c r="Y317" s="58"/>
      <c r="Z317" s="58"/>
    </row>
    <row r="318" ht="15.75" customHeight="1">
      <c r="A318" s="12" t="s">
        <v>6181</v>
      </c>
      <c r="B318" s="12" t="s">
        <v>6182</v>
      </c>
      <c r="C318" s="12" t="s">
        <v>6184</v>
      </c>
      <c r="D318" s="29" t="s">
        <v>6186</v>
      </c>
      <c r="E318" s="86"/>
      <c r="F318" s="58"/>
      <c r="G318" s="58"/>
      <c r="H318" s="58"/>
      <c r="I318" s="58"/>
      <c r="J318" s="58"/>
      <c r="K318" s="58"/>
      <c r="L318" s="58"/>
      <c r="M318" s="58"/>
      <c r="N318" s="58"/>
      <c r="O318" s="58"/>
      <c r="P318" s="58"/>
      <c r="Q318" s="58"/>
      <c r="R318" s="58"/>
      <c r="S318" s="58"/>
      <c r="T318" s="58"/>
      <c r="U318" s="58"/>
      <c r="V318" s="58"/>
      <c r="W318" s="58"/>
      <c r="X318" s="58"/>
      <c r="Y318" s="58"/>
      <c r="Z318" s="58"/>
    </row>
    <row r="319" ht="15.75" customHeight="1">
      <c r="A319" s="12" t="s">
        <v>6189</v>
      </c>
      <c r="B319" s="12" t="s">
        <v>6190</v>
      </c>
      <c r="C319" s="12" t="s">
        <v>6191</v>
      </c>
      <c r="D319" s="29" t="s">
        <v>6192</v>
      </c>
      <c r="E319" s="86"/>
      <c r="F319" s="58"/>
      <c r="G319" s="58"/>
      <c r="H319" s="58"/>
      <c r="I319" s="58"/>
      <c r="J319" s="58"/>
      <c r="K319" s="58"/>
      <c r="L319" s="58"/>
      <c r="M319" s="58"/>
      <c r="N319" s="58"/>
      <c r="O319" s="58"/>
      <c r="P319" s="58"/>
      <c r="Q319" s="58"/>
      <c r="R319" s="58"/>
      <c r="S319" s="58"/>
      <c r="T319" s="58"/>
      <c r="U319" s="58"/>
      <c r="V319" s="58"/>
      <c r="W319" s="58"/>
      <c r="X319" s="58"/>
      <c r="Y319" s="58"/>
      <c r="Z319" s="58"/>
    </row>
    <row r="320" ht="15.75" customHeight="1">
      <c r="A320" s="12" t="s">
        <v>4817</v>
      </c>
      <c r="B320" s="12" t="s">
        <v>4818</v>
      </c>
      <c r="C320" s="12" t="s">
        <v>4819</v>
      </c>
      <c r="D320" s="29" t="s">
        <v>6197</v>
      </c>
      <c r="E320" s="86"/>
      <c r="F320" s="58"/>
      <c r="G320" s="58"/>
      <c r="H320" s="58"/>
      <c r="I320" s="58"/>
      <c r="J320" s="58"/>
      <c r="K320" s="58"/>
      <c r="L320" s="58"/>
      <c r="M320" s="58"/>
      <c r="N320" s="58"/>
      <c r="O320" s="58"/>
      <c r="P320" s="58"/>
      <c r="Q320" s="58"/>
      <c r="R320" s="58"/>
      <c r="S320" s="58"/>
      <c r="T320" s="58"/>
      <c r="U320" s="58"/>
      <c r="V320" s="58"/>
      <c r="W320" s="58"/>
      <c r="X320" s="58"/>
      <c r="Y320" s="58"/>
      <c r="Z320" s="58"/>
    </row>
    <row r="321" ht="15.75" customHeight="1">
      <c r="A321" s="12" t="s">
        <v>6199</v>
      </c>
      <c r="B321" s="12" t="s">
        <v>6201</v>
      </c>
      <c r="C321" s="12" t="s">
        <v>6202</v>
      </c>
      <c r="D321" s="29" t="s">
        <v>6204</v>
      </c>
      <c r="E321" s="86"/>
      <c r="F321" s="58"/>
      <c r="G321" s="58"/>
      <c r="H321" s="58"/>
      <c r="I321" s="58"/>
      <c r="J321" s="58"/>
      <c r="K321" s="58"/>
      <c r="L321" s="58"/>
      <c r="M321" s="58"/>
      <c r="N321" s="58"/>
      <c r="O321" s="58"/>
      <c r="P321" s="58"/>
      <c r="Q321" s="58"/>
      <c r="R321" s="58"/>
      <c r="S321" s="58"/>
      <c r="T321" s="58"/>
      <c r="U321" s="58"/>
      <c r="V321" s="58"/>
      <c r="W321" s="58"/>
      <c r="X321" s="58"/>
      <c r="Y321" s="58"/>
      <c r="Z321" s="58"/>
    </row>
    <row r="322" ht="15.75" customHeight="1">
      <c r="A322" s="12" t="s">
        <v>6206</v>
      </c>
      <c r="B322" s="12" t="s">
        <v>6207</v>
      </c>
      <c r="C322" s="12" t="s">
        <v>6208</v>
      </c>
      <c r="D322" s="29" t="s">
        <v>6209</v>
      </c>
      <c r="E322" s="86"/>
      <c r="F322" s="58"/>
      <c r="G322" s="58"/>
      <c r="H322" s="58"/>
      <c r="I322" s="58"/>
      <c r="J322" s="58"/>
      <c r="K322" s="58"/>
      <c r="L322" s="58"/>
      <c r="M322" s="58"/>
      <c r="N322" s="58"/>
      <c r="O322" s="58"/>
      <c r="P322" s="58"/>
      <c r="Q322" s="58"/>
      <c r="R322" s="58"/>
      <c r="S322" s="58"/>
      <c r="T322" s="58"/>
      <c r="U322" s="58"/>
      <c r="V322" s="58"/>
      <c r="W322" s="58"/>
      <c r="X322" s="58"/>
      <c r="Y322" s="58"/>
      <c r="Z322" s="58"/>
    </row>
    <row r="323" ht="15.75" customHeight="1">
      <c r="A323" s="12" t="s">
        <v>3772</v>
      </c>
      <c r="B323" s="12" t="s">
        <v>3773</v>
      </c>
      <c r="C323" s="12" t="s">
        <v>3775</v>
      </c>
      <c r="D323" s="29" t="s">
        <v>6214</v>
      </c>
      <c r="E323" s="86"/>
      <c r="F323" s="58"/>
      <c r="G323" s="58"/>
      <c r="H323" s="58"/>
      <c r="I323" s="58"/>
      <c r="J323" s="58"/>
      <c r="K323" s="58"/>
      <c r="L323" s="58"/>
      <c r="M323" s="58"/>
      <c r="N323" s="58"/>
      <c r="O323" s="58"/>
      <c r="P323" s="58"/>
      <c r="Q323" s="58"/>
      <c r="R323" s="58"/>
      <c r="S323" s="58"/>
      <c r="T323" s="58"/>
      <c r="U323" s="58"/>
      <c r="V323" s="58"/>
      <c r="W323" s="58"/>
      <c r="X323" s="58"/>
      <c r="Y323" s="58"/>
      <c r="Z323" s="58"/>
    </row>
    <row r="324" ht="15.75" customHeight="1">
      <c r="A324" s="12" t="s">
        <v>6218</v>
      </c>
      <c r="B324" s="12" t="s">
        <v>3899</v>
      </c>
      <c r="C324" s="12" t="s">
        <v>3902</v>
      </c>
      <c r="D324" s="29" t="s">
        <v>6220</v>
      </c>
      <c r="E324" s="86"/>
      <c r="F324" s="58"/>
      <c r="G324" s="58"/>
      <c r="H324" s="58"/>
      <c r="I324" s="58"/>
      <c r="J324" s="58"/>
      <c r="K324" s="58"/>
      <c r="L324" s="58"/>
      <c r="M324" s="58"/>
      <c r="N324" s="58"/>
      <c r="O324" s="58"/>
      <c r="P324" s="58"/>
      <c r="Q324" s="58"/>
      <c r="R324" s="58"/>
      <c r="S324" s="58"/>
      <c r="T324" s="58"/>
      <c r="U324" s="58"/>
      <c r="V324" s="58"/>
      <c r="W324" s="58"/>
      <c r="X324" s="58"/>
      <c r="Y324" s="58"/>
      <c r="Z324" s="58"/>
    </row>
    <row r="325" ht="15.75" customHeight="1">
      <c r="A325" s="11" t="s">
        <v>6222</v>
      </c>
      <c r="B325" s="11" t="s">
        <v>6222</v>
      </c>
      <c r="C325" s="11" t="s">
        <v>6225</v>
      </c>
      <c r="D325" s="27" t="s">
        <v>6227</v>
      </c>
      <c r="E325" s="59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t="15.75" customHeight="1">
      <c r="A326" s="12" t="s">
        <v>6229</v>
      </c>
      <c r="B326" s="12" t="s">
        <v>6229</v>
      </c>
      <c r="C326" s="12" t="s">
        <v>6230</v>
      </c>
      <c r="D326" s="29" t="s">
        <v>6233</v>
      </c>
      <c r="E326" s="86"/>
      <c r="F326" s="58"/>
      <c r="G326" s="58"/>
      <c r="H326" s="58"/>
      <c r="I326" s="58"/>
      <c r="J326" s="58"/>
      <c r="K326" s="58"/>
      <c r="L326" s="58"/>
      <c r="M326" s="58"/>
      <c r="N326" s="58"/>
      <c r="O326" s="58"/>
      <c r="P326" s="58"/>
      <c r="Q326" s="58"/>
      <c r="R326" s="58"/>
      <c r="S326" s="58"/>
      <c r="T326" s="58"/>
      <c r="U326" s="58"/>
      <c r="V326" s="58"/>
      <c r="W326" s="58"/>
      <c r="X326" s="58"/>
      <c r="Y326" s="58"/>
      <c r="Z326" s="58"/>
    </row>
    <row r="327" ht="15.75" customHeight="1">
      <c r="A327" s="12" t="s">
        <v>6236</v>
      </c>
      <c r="B327" s="12" t="s">
        <v>6237</v>
      </c>
      <c r="C327" s="12" t="s">
        <v>6238</v>
      </c>
      <c r="D327" s="29" t="s">
        <v>6239</v>
      </c>
      <c r="E327" s="86"/>
      <c r="F327" s="58"/>
      <c r="G327" s="58"/>
      <c r="H327" s="58"/>
      <c r="I327" s="58"/>
      <c r="J327" s="58"/>
      <c r="K327" s="58"/>
      <c r="L327" s="58"/>
      <c r="M327" s="58"/>
      <c r="N327" s="58"/>
      <c r="O327" s="58"/>
      <c r="P327" s="58"/>
      <c r="Q327" s="58"/>
      <c r="R327" s="58"/>
      <c r="S327" s="58"/>
      <c r="T327" s="58"/>
      <c r="U327" s="58"/>
      <c r="V327" s="58"/>
      <c r="W327" s="58"/>
      <c r="X327" s="58"/>
      <c r="Y327" s="58"/>
      <c r="Z327" s="58"/>
    </row>
    <row r="328" ht="15.75" customHeight="1">
      <c r="A328" s="12" t="s">
        <v>6244</v>
      </c>
      <c r="B328" s="12" t="s">
        <v>6245</v>
      </c>
      <c r="C328" s="12" t="s">
        <v>6246</v>
      </c>
      <c r="D328" s="29" t="s">
        <v>6248</v>
      </c>
      <c r="E328" s="86"/>
      <c r="F328" s="58"/>
      <c r="G328" s="58"/>
      <c r="H328" s="58"/>
      <c r="I328" s="58"/>
      <c r="J328" s="58"/>
      <c r="K328" s="58"/>
      <c r="L328" s="58"/>
      <c r="M328" s="58"/>
      <c r="N328" s="58"/>
      <c r="O328" s="58"/>
      <c r="P328" s="58"/>
      <c r="Q328" s="58"/>
      <c r="R328" s="58"/>
      <c r="S328" s="58"/>
      <c r="T328" s="58"/>
      <c r="U328" s="58"/>
      <c r="V328" s="58"/>
      <c r="W328" s="58"/>
      <c r="X328" s="58"/>
      <c r="Y328" s="58"/>
      <c r="Z328" s="58"/>
    </row>
    <row r="329" ht="15.75" customHeight="1">
      <c r="A329" s="12" t="s">
        <v>6251</v>
      </c>
      <c r="B329" s="12" t="s">
        <v>6252</v>
      </c>
      <c r="C329" s="12" t="s">
        <v>6253</v>
      </c>
      <c r="D329" s="29" t="s">
        <v>6255</v>
      </c>
      <c r="E329" s="12" t="s">
        <v>3639</v>
      </c>
      <c r="F329" s="58"/>
      <c r="G329" s="58"/>
      <c r="H329" s="58"/>
      <c r="I329" s="58"/>
      <c r="J329" s="58"/>
      <c r="K329" s="58"/>
      <c r="L329" s="58"/>
      <c r="M329" s="58"/>
      <c r="N329" s="58"/>
      <c r="O329" s="58"/>
      <c r="P329" s="58"/>
      <c r="Q329" s="58"/>
      <c r="R329" s="58"/>
      <c r="S329" s="58"/>
      <c r="T329" s="58"/>
      <c r="U329" s="58"/>
      <c r="V329" s="58"/>
      <c r="W329" s="58"/>
      <c r="X329" s="58"/>
      <c r="Y329" s="58"/>
      <c r="Z329" s="58"/>
    </row>
    <row r="330" ht="15.75" customHeight="1">
      <c r="A330" s="12" t="s">
        <v>6256</v>
      </c>
      <c r="B330" s="12" t="s">
        <v>6257</v>
      </c>
      <c r="C330" s="12" t="s">
        <v>6258</v>
      </c>
      <c r="D330" s="29" t="s">
        <v>6259</v>
      </c>
      <c r="E330" s="12" t="s">
        <v>3639</v>
      </c>
      <c r="F330" s="58"/>
      <c r="G330" s="58"/>
      <c r="H330" s="58"/>
      <c r="I330" s="58"/>
      <c r="J330" s="58"/>
      <c r="K330" s="58"/>
      <c r="L330" s="58"/>
      <c r="M330" s="58"/>
      <c r="N330" s="58"/>
      <c r="O330" s="58"/>
      <c r="P330" s="58"/>
      <c r="Q330" s="58"/>
      <c r="R330" s="58"/>
      <c r="S330" s="58"/>
      <c r="T330" s="58"/>
      <c r="U330" s="58"/>
      <c r="V330" s="58"/>
      <c r="W330" s="58"/>
      <c r="X330" s="58"/>
      <c r="Y330" s="58"/>
      <c r="Z330" s="58"/>
    </row>
    <row r="331" ht="15.75" customHeight="1">
      <c r="A331" s="12" t="s">
        <v>6261</v>
      </c>
      <c r="B331" s="12" t="s">
        <v>6262</v>
      </c>
      <c r="C331" s="12" t="s">
        <v>6263</v>
      </c>
      <c r="D331" s="29" t="s">
        <v>6264</v>
      </c>
      <c r="E331" s="12" t="s">
        <v>4276</v>
      </c>
      <c r="F331" s="58"/>
      <c r="G331" s="58"/>
      <c r="H331" s="58"/>
      <c r="I331" s="58"/>
      <c r="J331" s="58"/>
      <c r="K331" s="58"/>
      <c r="L331" s="58"/>
      <c r="M331" s="58"/>
      <c r="N331" s="58"/>
      <c r="O331" s="58"/>
      <c r="P331" s="58"/>
      <c r="Q331" s="58"/>
      <c r="R331" s="58"/>
      <c r="S331" s="58"/>
      <c r="T331" s="58"/>
      <c r="U331" s="58"/>
      <c r="V331" s="58"/>
      <c r="W331" s="58"/>
      <c r="X331" s="58"/>
      <c r="Y331" s="58"/>
      <c r="Z331" s="58"/>
    </row>
    <row r="332" ht="15.75" customHeight="1">
      <c r="A332" s="12" t="s">
        <v>6266</v>
      </c>
      <c r="B332" s="12" t="s">
        <v>6267</v>
      </c>
      <c r="C332" s="12" t="s">
        <v>6268</v>
      </c>
      <c r="D332" s="29" t="s">
        <v>6269</v>
      </c>
      <c r="E332" s="12" t="s">
        <v>4276</v>
      </c>
      <c r="F332" s="58"/>
      <c r="G332" s="58"/>
      <c r="H332" s="58"/>
      <c r="I332" s="58"/>
      <c r="J332" s="58"/>
      <c r="K332" s="58"/>
      <c r="L332" s="58"/>
      <c r="M332" s="58"/>
      <c r="N332" s="58"/>
      <c r="O332" s="58"/>
      <c r="P332" s="58"/>
      <c r="Q332" s="58"/>
      <c r="R332" s="58"/>
      <c r="S332" s="58"/>
      <c r="T332" s="58"/>
      <c r="U332" s="58"/>
      <c r="V332" s="58"/>
      <c r="W332" s="58"/>
      <c r="X332" s="58"/>
      <c r="Y332" s="58"/>
      <c r="Z332" s="58"/>
    </row>
    <row r="333" ht="15.75" customHeight="1">
      <c r="A333" s="12" t="s">
        <v>6270</v>
      </c>
      <c r="B333" s="12" t="s">
        <v>6271</v>
      </c>
      <c r="C333" s="12" t="s">
        <v>6272</v>
      </c>
      <c r="D333" s="29" t="s">
        <v>6273</v>
      </c>
      <c r="E333" s="12" t="s">
        <v>554</v>
      </c>
      <c r="F333" s="58"/>
      <c r="G333" s="58"/>
      <c r="H333" s="58"/>
      <c r="I333" s="58"/>
      <c r="J333" s="58"/>
      <c r="K333" s="58"/>
      <c r="L333" s="58"/>
      <c r="M333" s="58"/>
      <c r="N333" s="58"/>
      <c r="O333" s="58"/>
      <c r="P333" s="58"/>
      <c r="Q333" s="58"/>
      <c r="R333" s="58"/>
      <c r="S333" s="58"/>
      <c r="T333" s="58"/>
      <c r="U333" s="58"/>
      <c r="V333" s="58"/>
      <c r="W333" s="58"/>
      <c r="X333" s="58"/>
      <c r="Y333" s="58"/>
      <c r="Z333" s="58"/>
    </row>
    <row r="334" ht="15.75" customHeight="1">
      <c r="A334" s="12" t="s">
        <v>6274</v>
      </c>
      <c r="B334" s="12" t="s">
        <v>6275</v>
      </c>
      <c r="C334" s="12" t="s">
        <v>6276</v>
      </c>
      <c r="D334" s="29" t="s">
        <v>6277</v>
      </c>
      <c r="E334" s="12" t="s">
        <v>554</v>
      </c>
      <c r="F334" s="58"/>
      <c r="G334" s="58"/>
      <c r="H334" s="58"/>
      <c r="I334" s="58"/>
      <c r="J334" s="58"/>
      <c r="K334" s="58"/>
      <c r="L334" s="58"/>
      <c r="M334" s="58"/>
      <c r="N334" s="58"/>
      <c r="O334" s="58"/>
      <c r="P334" s="58"/>
      <c r="Q334" s="58"/>
      <c r="R334" s="58"/>
      <c r="S334" s="58"/>
      <c r="T334" s="58"/>
      <c r="U334" s="58"/>
      <c r="V334" s="58"/>
      <c r="W334" s="58"/>
      <c r="X334" s="58"/>
      <c r="Y334" s="58"/>
      <c r="Z334" s="58"/>
    </row>
    <row r="335" ht="15.75" customHeight="1">
      <c r="A335" s="12" t="s">
        <v>6278</v>
      </c>
      <c r="B335" s="12" t="s">
        <v>6279</v>
      </c>
      <c r="C335" s="12" t="s">
        <v>6280</v>
      </c>
      <c r="D335" s="29" t="s">
        <v>6281</v>
      </c>
      <c r="E335" s="12" t="s">
        <v>554</v>
      </c>
      <c r="F335" s="58"/>
      <c r="G335" s="58"/>
      <c r="H335" s="58"/>
      <c r="I335" s="58"/>
      <c r="J335" s="58"/>
      <c r="K335" s="58"/>
      <c r="L335" s="58"/>
      <c r="M335" s="58"/>
      <c r="N335" s="58"/>
      <c r="O335" s="58"/>
      <c r="P335" s="58"/>
      <c r="Q335" s="58"/>
      <c r="R335" s="58"/>
      <c r="S335" s="58"/>
      <c r="T335" s="58"/>
      <c r="U335" s="58"/>
      <c r="V335" s="58"/>
      <c r="W335" s="58"/>
      <c r="X335" s="58"/>
      <c r="Y335" s="58"/>
      <c r="Z335" s="58"/>
    </row>
    <row r="336" ht="15.75" customHeight="1">
      <c r="A336" s="12" t="s">
        <v>6282</v>
      </c>
      <c r="B336" s="12" t="s">
        <v>6283</v>
      </c>
      <c r="C336" s="12" t="s">
        <v>6284</v>
      </c>
      <c r="D336" s="29" t="s">
        <v>6286</v>
      </c>
      <c r="E336" s="12" t="s">
        <v>554</v>
      </c>
      <c r="F336" s="58"/>
      <c r="G336" s="58"/>
      <c r="H336" s="58"/>
      <c r="I336" s="58"/>
      <c r="J336" s="58"/>
      <c r="K336" s="58"/>
      <c r="L336" s="58"/>
      <c r="M336" s="58"/>
      <c r="N336" s="58"/>
      <c r="O336" s="58"/>
      <c r="P336" s="58"/>
      <c r="Q336" s="58"/>
      <c r="R336" s="58"/>
      <c r="S336" s="58"/>
      <c r="T336" s="58"/>
      <c r="U336" s="58"/>
      <c r="V336" s="58"/>
      <c r="W336" s="58"/>
      <c r="X336" s="58"/>
      <c r="Y336" s="58"/>
      <c r="Z336" s="58"/>
    </row>
    <row r="337" ht="15.75" customHeight="1">
      <c r="A337" s="12" t="s">
        <v>6291</v>
      </c>
      <c r="B337" s="12" t="s">
        <v>6292</v>
      </c>
      <c r="C337" s="12" t="s">
        <v>6293</v>
      </c>
      <c r="D337" s="29" t="s">
        <v>6294</v>
      </c>
      <c r="E337" s="12" t="s">
        <v>4276</v>
      </c>
      <c r="F337" s="58"/>
      <c r="G337" s="58"/>
      <c r="H337" s="58"/>
      <c r="I337" s="58"/>
      <c r="J337" s="58"/>
      <c r="K337" s="58"/>
      <c r="L337" s="58"/>
      <c r="M337" s="58"/>
      <c r="N337" s="58"/>
      <c r="O337" s="58"/>
      <c r="P337" s="58"/>
      <c r="Q337" s="58"/>
      <c r="R337" s="58"/>
      <c r="S337" s="58"/>
      <c r="T337" s="58"/>
      <c r="U337" s="58"/>
      <c r="V337" s="58"/>
      <c r="W337" s="58"/>
      <c r="X337" s="58"/>
      <c r="Y337" s="58"/>
      <c r="Z337" s="58"/>
    </row>
    <row r="338" ht="15.75" customHeight="1">
      <c r="A338" s="12" t="s">
        <v>6296</v>
      </c>
      <c r="B338" s="12" t="s">
        <v>3758</v>
      </c>
      <c r="C338" s="12" t="s">
        <v>3759</v>
      </c>
      <c r="D338" s="29" t="s">
        <v>6299</v>
      </c>
      <c r="E338" s="12" t="s">
        <v>3342</v>
      </c>
      <c r="F338" s="58"/>
      <c r="G338" s="58"/>
      <c r="H338" s="58"/>
      <c r="I338" s="58"/>
      <c r="J338" s="58"/>
      <c r="K338" s="58"/>
      <c r="L338" s="58"/>
      <c r="M338" s="58"/>
      <c r="N338" s="58"/>
      <c r="O338" s="58"/>
      <c r="P338" s="58"/>
      <c r="Q338" s="58"/>
      <c r="R338" s="58"/>
      <c r="S338" s="58"/>
      <c r="T338" s="58"/>
      <c r="U338" s="58"/>
      <c r="V338" s="58"/>
      <c r="W338" s="58"/>
      <c r="X338" s="58"/>
      <c r="Y338" s="58"/>
      <c r="Z338" s="58"/>
    </row>
    <row r="339" ht="15.75" customHeight="1">
      <c r="A339" s="12" t="s">
        <v>6300</v>
      </c>
      <c r="B339" s="12" t="s">
        <v>3751</v>
      </c>
      <c r="C339" s="12" t="s">
        <v>3753</v>
      </c>
      <c r="D339" s="29" t="s">
        <v>6301</v>
      </c>
      <c r="E339" s="12" t="s">
        <v>3342</v>
      </c>
      <c r="F339" s="58"/>
      <c r="G339" s="58"/>
      <c r="H339" s="58"/>
      <c r="I339" s="58"/>
      <c r="J339" s="58"/>
      <c r="K339" s="58"/>
      <c r="L339" s="58"/>
      <c r="M339" s="58"/>
      <c r="N339" s="58"/>
      <c r="O339" s="58"/>
      <c r="P339" s="58"/>
      <c r="Q339" s="58"/>
      <c r="R339" s="58"/>
      <c r="S339" s="58"/>
      <c r="T339" s="58"/>
      <c r="U339" s="58"/>
      <c r="V339" s="58"/>
      <c r="W339" s="58"/>
      <c r="X339" s="58"/>
      <c r="Y339" s="58"/>
      <c r="Z339" s="58"/>
    </row>
    <row r="340" ht="15.75" customHeight="1">
      <c r="A340" s="12" t="s">
        <v>6304</v>
      </c>
      <c r="B340" s="12" t="s">
        <v>6305</v>
      </c>
      <c r="C340" s="12" t="s">
        <v>6306</v>
      </c>
      <c r="D340" s="29" t="s">
        <v>6255</v>
      </c>
      <c r="E340" s="12" t="s">
        <v>3639</v>
      </c>
      <c r="F340" s="58"/>
      <c r="G340" s="58"/>
      <c r="H340" s="58"/>
      <c r="I340" s="58"/>
      <c r="J340" s="58"/>
      <c r="K340" s="58"/>
      <c r="L340" s="58"/>
      <c r="M340" s="58"/>
      <c r="N340" s="58"/>
      <c r="O340" s="58"/>
      <c r="P340" s="58"/>
      <c r="Q340" s="58"/>
      <c r="R340" s="58"/>
      <c r="S340" s="58"/>
      <c r="T340" s="58"/>
      <c r="U340" s="58"/>
      <c r="V340" s="58"/>
      <c r="W340" s="58"/>
      <c r="X340" s="58"/>
      <c r="Y340" s="58"/>
      <c r="Z340" s="58"/>
    </row>
    <row r="341" ht="15.75" customHeight="1">
      <c r="A341" s="12" t="s">
        <v>6310</v>
      </c>
      <c r="B341" s="12" t="s">
        <v>6312</v>
      </c>
      <c r="C341" s="12" t="s">
        <v>6313</v>
      </c>
      <c r="D341" s="29" t="s">
        <v>6314</v>
      </c>
      <c r="E341" s="12" t="s">
        <v>3639</v>
      </c>
      <c r="F341" s="58"/>
      <c r="G341" s="58"/>
      <c r="H341" s="58"/>
      <c r="I341" s="58"/>
      <c r="J341" s="58"/>
      <c r="K341" s="58"/>
      <c r="L341" s="58"/>
      <c r="M341" s="58"/>
      <c r="N341" s="58"/>
      <c r="O341" s="58"/>
      <c r="P341" s="58"/>
      <c r="Q341" s="58"/>
      <c r="R341" s="58"/>
      <c r="S341" s="58"/>
      <c r="T341" s="58"/>
      <c r="U341" s="58"/>
      <c r="V341" s="58"/>
      <c r="W341" s="58"/>
      <c r="X341" s="58"/>
      <c r="Y341" s="58"/>
      <c r="Z341" s="58"/>
    </row>
    <row r="342" ht="15.75" customHeight="1">
      <c r="A342" s="12" t="s">
        <v>6315</v>
      </c>
      <c r="B342" s="12" t="s">
        <v>6315</v>
      </c>
      <c r="C342" s="12" t="s">
        <v>6316</v>
      </c>
      <c r="D342" s="29" t="s">
        <v>6317</v>
      </c>
      <c r="E342" s="86"/>
      <c r="F342" s="58"/>
      <c r="G342" s="58"/>
      <c r="H342" s="58"/>
      <c r="I342" s="58"/>
      <c r="J342" s="58"/>
      <c r="K342" s="58"/>
      <c r="L342" s="58"/>
      <c r="M342" s="58"/>
      <c r="N342" s="58"/>
      <c r="O342" s="58"/>
      <c r="P342" s="58"/>
      <c r="Q342" s="58"/>
      <c r="R342" s="58"/>
      <c r="S342" s="58"/>
      <c r="T342" s="58"/>
      <c r="U342" s="58"/>
      <c r="V342" s="58"/>
      <c r="W342" s="58"/>
      <c r="X342" s="58"/>
      <c r="Y342" s="58"/>
      <c r="Z342" s="58"/>
    </row>
    <row r="343" ht="15.75" customHeight="1">
      <c r="A343" s="137" t="s">
        <v>6318</v>
      </c>
      <c r="B343" s="137" t="s">
        <v>6318</v>
      </c>
      <c r="C343" s="137" t="s">
        <v>6319</v>
      </c>
      <c r="D343" s="138" t="s">
        <v>6320</v>
      </c>
      <c r="E343" s="139"/>
      <c r="F343" s="140"/>
      <c r="G343" s="140"/>
      <c r="H343" s="140"/>
      <c r="I343" s="140"/>
      <c r="J343" s="140"/>
      <c r="K343" s="140"/>
      <c r="L343" s="140"/>
      <c r="M343" s="140"/>
      <c r="N343" s="140"/>
      <c r="O343" s="140"/>
      <c r="P343" s="140"/>
      <c r="Q343" s="140"/>
      <c r="R343" s="140"/>
      <c r="S343" s="140"/>
      <c r="T343" s="140"/>
      <c r="U343" s="140"/>
      <c r="V343" s="140"/>
      <c r="W343" s="140"/>
      <c r="X343" s="140"/>
      <c r="Y343" s="140"/>
      <c r="Z343" s="140"/>
    </row>
    <row r="344" ht="15.75" customHeight="1">
      <c r="A344" s="137" t="s">
        <v>6321</v>
      </c>
      <c r="B344" s="137" t="s">
        <v>6322</v>
      </c>
      <c r="C344" s="137" t="s">
        <v>6323</v>
      </c>
      <c r="D344" s="138" t="s">
        <v>6324</v>
      </c>
      <c r="E344" s="139"/>
      <c r="F344" s="140"/>
      <c r="G344" s="140"/>
      <c r="H344" s="140"/>
      <c r="I344" s="140"/>
      <c r="J344" s="140"/>
      <c r="K344" s="140"/>
      <c r="L344" s="140"/>
      <c r="M344" s="140"/>
      <c r="N344" s="140"/>
      <c r="O344" s="140"/>
      <c r="P344" s="140"/>
      <c r="Q344" s="140"/>
      <c r="R344" s="140"/>
      <c r="S344" s="140"/>
      <c r="T344" s="140"/>
      <c r="U344" s="140"/>
      <c r="V344" s="140"/>
      <c r="W344" s="140"/>
      <c r="X344" s="140"/>
      <c r="Y344" s="140"/>
      <c r="Z344" s="140"/>
    </row>
    <row r="345" ht="15.75" customHeight="1">
      <c r="A345" s="12" t="s">
        <v>3564</v>
      </c>
      <c r="B345" s="12" t="s">
        <v>3565</v>
      </c>
      <c r="C345" s="12" t="s">
        <v>3566</v>
      </c>
      <c r="D345" s="29" t="s">
        <v>6325</v>
      </c>
      <c r="E345" s="12" t="s">
        <v>3433</v>
      </c>
      <c r="F345" s="58"/>
      <c r="G345" s="58"/>
      <c r="H345" s="58"/>
      <c r="I345" s="58"/>
      <c r="J345" s="58"/>
      <c r="K345" s="58"/>
      <c r="L345" s="58"/>
      <c r="M345" s="58"/>
      <c r="N345" s="58"/>
      <c r="O345" s="58"/>
      <c r="P345" s="58"/>
      <c r="Q345" s="58"/>
      <c r="R345" s="58"/>
      <c r="S345" s="58"/>
      <c r="T345" s="58"/>
      <c r="U345" s="58"/>
      <c r="V345" s="58"/>
      <c r="W345" s="58"/>
      <c r="X345" s="58"/>
      <c r="Y345" s="58"/>
      <c r="Z345" s="58"/>
    </row>
    <row r="346" ht="15.75" customHeight="1">
      <c r="A346" s="12" t="s">
        <v>6326</v>
      </c>
      <c r="B346" s="12" t="s">
        <v>6327</v>
      </c>
      <c r="C346" s="12" t="s">
        <v>6328</v>
      </c>
      <c r="D346" s="29" t="s">
        <v>6329</v>
      </c>
      <c r="E346" s="12" t="s">
        <v>3433</v>
      </c>
      <c r="F346" s="58"/>
      <c r="G346" s="58"/>
      <c r="H346" s="58"/>
      <c r="I346" s="58"/>
      <c r="J346" s="58"/>
      <c r="K346" s="58"/>
      <c r="L346" s="58"/>
      <c r="M346" s="58"/>
      <c r="N346" s="58"/>
      <c r="O346" s="58"/>
      <c r="P346" s="58"/>
      <c r="Q346" s="58"/>
      <c r="R346" s="58"/>
      <c r="S346" s="58"/>
      <c r="T346" s="58"/>
      <c r="U346" s="58"/>
      <c r="V346" s="58"/>
      <c r="W346" s="58"/>
      <c r="X346" s="58"/>
      <c r="Y346" s="58"/>
      <c r="Z346" s="58"/>
    </row>
    <row r="347" ht="15.75" customHeight="1">
      <c r="A347" s="12" t="s">
        <v>6330</v>
      </c>
      <c r="B347" s="12" t="s">
        <v>6331</v>
      </c>
      <c r="C347" s="12" t="s">
        <v>6332</v>
      </c>
      <c r="D347" s="29" t="s">
        <v>6333</v>
      </c>
      <c r="E347" s="12" t="s">
        <v>3433</v>
      </c>
      <c r="F347" s="58"/>
      <c r="G347" s="58"/>
      <c r="H347" s="58"/>
      <c r="I347" s="58"/>
      <c r="J347" s="58"/>
      <c r="K347" s="58"/>
      <c r="L347" s="58"/>
      <c r="M347" s="58"/>
      <c r="N347" s="58"/>
      <c r="O347" s="58"/>
      <c r="P347" s="58"/>
      <c r="Q347" s="58"/>
      <c r="R347" s="58"/>
      <c r="S347" s="58"/>
      <c r="T347" s="58"/>
      <c r="U347" s="58"/>
      <c r="V347" s="58"/>
      <c r="W347" s="58"/>
      <c r="X347" s="58"/>
      <c r="Y347" s="58"/>
      <c r="Z347" s="58"/>
    </row>
    <row r="348" ht="15.75" customHeight="1">
      <c r="A348" s="12" t="s">
        <v>6335</v>
      </c>
      <c r="B348" s="12" t="s">
        <v>6337</v>
      </c>
      <c r="C348" s="12" t="s">
        <v>6339</v>
      </c>
      <c r="D348" s="29" t="s">
        <v>6340</v>
      </c>
      <c r="E348" s="12" t="s">
        <v>3433</v>
      </c>
      <c r="F348" s="58"/>
      <c r="G348" s="58"/>
      <c r="H348" s="58"/>
      <c r="I348" s="58"/>
      <c r="J348" s="58"/>
      <c r="K348" s="58"/>
      <c r="L348" s="58"/>
      <c r="M348" s="58"/>
      <c r="N348" s="58"/>
      <c r="O348" s="58"/>
      <c r="P348" s="58"/>
      <c r="Q348" s="58"/>
      <c r="R348" s="58"/>
      <c r="S348" s="58"/>
      <c r="T348" s="58"/>
      <c r="U348" s="58"/>
      <c r="V348" s="58"/>
      <c r="W348" s="58"/>
      <c r="X348" s="58"/>
      <c r="Y348" s="58"/>
      <c r="Z348" s="58"/>
    </row>
    <row r="349" ht="15.75" customHeight="1">
      <c r="A349" s="12" t="s">
        <v>6343</v>
      </c>
      <c r="B349" s="12" t="s">
        <v>5350</v>
      </c>
      <c r="C349" s="12" t="s">
        <v>5351</v>
      </c>
      <c r="D349" s="29" t="s">
        <v>6345</v>
      </c>
      <c r="E349" s="12" t="s">
        <v>3433</v>
      </c>
      <c r="F349" s="58"/>
      <c r="G349" s="58"/>
      <c r="H349" s="58"/>
      <c r="I349" s="58"/>
      <c r="J349" s="58"/>
      <c r="K349" s="58"/>
      <c r="L349" s="58"/>
      <c r="M349" s="58"/>
      <c r="N349" s="58"/>
      <c r="O349" s="58"/>
      <c r="P349" s="58"/>
      <c r="Q349" s="58"/>
      <c r="R349" s="58"/>
      <c r="S349" s="58"/>
      <c r="T349" s="58"/>
      <c r="U349" s="58"/>
      <c r="V349" s="58"/>
      <c r="W349" s="58"/>
      <c r="X349" s="58"/>
      <c r="Y349" s="58"/>
      <c r="Z349" s="58"/>
    </row>
    <row r="350" ht="15.75" customHeight="1">
      <c r="A350" s="12" t="s">
        <v>6350</v>
      </c>
      <c r="B350" s="12" t="s">
        <v>6351</v>
      </c>
      <c r="C350" s="12" t="s">
        <v>6353</v>
      </c>
      <c r="D350" s="29" t="s">
        <v>6354</v>
      </c>
      <c r="E350" s="12" t="s">
        <v>3596</v>
      </c>
      <c r="F350" s="58"/>
      <c r="G350" s="58"/>
      <c r="H350" s="58"/>
      <c r="I350" s="58"/>
      <c r="J350" s="58"/>
      <c r="K350" s="58"/>
      <c r="L350" s="58"/>
      <c r="M350" s="58"/>
      <c r="N350" s="58"/>
      <c r="O350" s="58"/>
      <c r="P350" s="58"/>
      <c r="Q350" s="58"/>
      <c r="R350" s="58"/>
      <c r="S350" s="58"/>
      <c r="T350" s="58"/>
      <c r="U350" s="58"/>
      <c r="V350" s="58"/>
      <c r="W350" s="58"/>
      <c r="X350" s="58"/>
      <c r="Y350" s="58"/>
      <c r="Z350" s="58"/>
    </row>
    <row r="351" ht="15.75" customHeight="1">
      <c r="A351" s="56" t="s">
        <v>6358</v>
      </c>
      <c r="B351" s="56" t="s">
        <v>6360</v>
      </c>
      <c r="C351" s="56" t="s">
        <v>6361</v>
      </c>
      <c r="D351" s="29" t="s">
        <v>6364</v>
      </c>
      <c r="E351" s="56" t="s">
        <v>3604</v>
      </c>
      <c r="F351" s="58"/>
      <c r="G351" s="58"/>
      <c r="H351" s="58"/>
      <c r="I351" s="58"/>
      <c r="J351" s="58"/>
      <c r="K351" s="58"/>
      <c r="L351" s="58"/>
      <c r="M351" s="58"/>
      <c r="N351" s="58"/>
      <c r="O351" s="58"/>
      <c r="P351" s="58"/>
      <c r="Q351" s="58"/>
      <c r="R351" s="58"/>
      <c r="S351" s="58"/>
      <c r="T351" s="58"/>
      <c r="U351" s="58"/>
      <c r="V351" s="58"/>
      <c r="W351" s="58"/>
      <c r="X351" s="58"/>
      <c r="Y351" s="58"/>
      <c r="Z351" s="58"/>
    </row>
    <row r="352" ht="15.75" customHeight="1">
      <c r="A352" s="56" t="s">
        <v>6368</v>
      </c>
      <c r="B352" s="56" t="s">
        <v>6369</v>
      </c>
      <c r="C352" s="56" t="s">
        <v>6370</v>
      </c>
      <c r="D352" s="29" t="s">
        <v>6372</v>
      </c>
      <c r="E352" s="56" t="s">
        <v>3610</v>
      </c>
      <c r="F352" s="58"/>
      <c r="G352" s="58"/>
      <c r="H352" s="58"/>
      <c r="I352" s="58"/>
      <c r="J352" s="58"/>
      <c r="K352" s="58"/>
      <c r="L352" s="58"/>
      <c r="M352" s="58"/>
      <c r="N352" s="58"/>
      <c r="O352" s="58"/>
      <c r="P352" s="58"/>
      <c r="Q352" s="58"/>
      <c r="R352" s="58"/>
      <c r="S352" s="58"/>
      <c r="T352" s="58"/>
      <c r="U352" s="58"/>
      <c r="V352" s="58"/>
      <c r="W352" s="58"/>
      <c r="X352" s="58"/>
      <c r="Y352" s="58"/>
      <c r="Z352" s="58"/>
    </row>
    <row r="353" ht="15.75" customHeight="1">
      <c r="A353" s="56" t="s">
        <v>6376</v>
      </c>
      <c r="B353" s="56" t="s">
        <v>6377</v>
      </c>
      <c r="C353" s="56" t="s">
        <v>6378</v>
      </c>
      <c r="D353" s="29" t="s">
        <v>6379</v>
      </c>
      <c r="E353" s="56" t="s">
        <v>3596</v>
      </c>
      <c r="F353" s="58"/>
      <c r="G353" s="58"/>
      <c r="H353" s="58"/>
      <c r="I353" s="58"/>
      <c r="J353" s="58"/>
      <c r="K353" s="58"/>
      <c r="L353" s="58"/>
      <c r="M353" s="58"/>
      <c r="N353" s="58"/>
      <c r="O353" s="58"/>
      <c r="P353" s="58"/>
      <c r="Q353" s="58"/>
      <c r="R353" s="58"/>
      <c r="S353" s="58"/>
      <c r="T353" s="58"/>
      <c r="U353" s="58"/>
      <c r="V353" s="58"/>
      <c r="W353" s="58"/>
      <c r="X353" s="58"/>
      <c r="Y353" s="58"/>
      <c r="Z353" s="58"/>
    </row>
    <row r="354" ht="15.75" customHeight="1">
      <c r="A354" s="56" t="s">
        <v>6382</v>
      </c>
      <c r="B354" s="56" t="s">
        <v>6384</v>
      </c>
      <c r="C354" s="56" t="s">
        <v>6385</v>
      </c>
      <c r="D354" s="29" t="s">
        <v>6386</v>
      </c>
      <c r="E354" s="56" t="s">
        <v>3604</v>
      </c>
      <c r="F354" s="58"/>
      <c r="G354" s="58"/>
      <c r="H354" s="58"/>
      <c r="I354" s="58"/>
      <c r="J354" s="58"/>
      <c r="K354" s="58"/>
      <c r="L354" s="58"/>
      <c r="M354" s="58"/>
      <c r="N354" s="58"/>
      <c r="O354" s="58"/>
      <c r="P354" s="58"/>
      <c r="Q354" s="58"/>
      <c r="R354" s="58"/>
      <c r="S354" s="58"/>
      <c r="T354" s="58"/>
      <c r="U354" s="58"/>
      <c r="V354" s="58"/>
      <c r="W354" s="58"/>
      <c r="X354" s="58"/>
      <c r="Y354" s="58"/>
      <c r="Z354" s="58"/>
    </row>
    <row r="355" ht="15.75" customHeight="1">
      <c r="A355" s="56" t="s">
        <v>6391</v>
      </c>
      <c r="B355" s="56" t="s">
        <v>6392</v>
      </c>
      <c r="C355" s="56" t="s">
        <v>6393</v>
      </c>
      <c r="D355" s="29" t="s">
        <v>6394</v>
      </c>
      <c r="E355" s="56" t="s">
        <v>3610</v>
      </c>
      <c r="F355" s="58"/>
      <c r="G355" s="58"/>
      <c r="H355" s="58"/>
      <c r="I355" s="58"/>
      <c r="J355" s="58"/>
      <c r="K355" s="58"/>
      <c r="L355" s="58"/>
      <c r="M355" s="58"/>
      <c r="N355" s="58"/>
      <c r="O355" s="58"/>
      <c r="P355" s="58"/>
      <c r="Q355" s="58"/>
      <c r="R355" s="58"/>
      <c r="S355" s="58"/>
      <c r="T355" s="58"/>
      <c r="U355" s="58"/>
      <c r="V355" s="58"/>
      <c r="W355" s="58"/>
      <c r="X355" s="58"/>
      <c r="Y355" s="58"/>
      <c r="Z355" s="58"/>
    </row>
    <row r="356" ht="15.75" customHeight="1">
      <c r="A356" s="56" t="s">
        <v>6400</v>
      </c>
      <c r="B356" s="56" t="s">
        <v>6401</v>
      </c>
      <c r="C356" s="56" t="s">
        <v>6402</v>
      </c>
      <c r="D356" s="29" t="s">
        <v>6403</v>
      </c>
      <c r="E356" s="56" t="s">
        <v>3596</v>
      </c>
      <c r="F356" s="58"/>
      <c r="G356" s="58"/>
      <c r="H356" s="58"/>
      <c r="I356" s="58"/>
      <c r="J356" s="58"/>
      <c r="K356" s="58"/>
      <c r="L356" s="58"/>
      <c r="M356" s="58"/>
      <c r="N356" s="58"/>
      <c r="O356" s="58"/>
      <c r="P356" s="58"/>
      <c r="Q356" s="58"/>
      <c r="R356" s="58"/>
      <c r="S356" s="58"/>
      <c r="T356" s="58"/>
      <c r="U356" s="58"/>
      <c r="V356" s="58"/>
      <c r="W356" s="58"/>
      <c r="X356" s="58"/>
      <c r="Y356" s="58"/>
      <c r="Z356" s="58"/>
    </row>
    <row r="357" ht="15.75" customHeight="1">
      <c r="A357" s="56" t="s">
        <v>6409</v>
      </c>
      <c r="B357" s="56" t="s">
        <v>6410</v>
      </c>
      <c r="C357" s="56" t="s">
        <v>6411</v>
      </c>
      <c r="D357" s="29" t="s">
        <v>6412</v>
      </c>
      <c r="E357" s="56" t="s">
        <v>3604</v>
      </c>
      <c r="F357" s="58"/>
      <c r="G357" s="58"/>
      <c r="H357" s="58"/>
      <c r="I357" s="58"/>
      <c r="J357" s="58"/>
      <c r="K357" s="58"/>
      <c r="L357" s="58"/>
      <c r="M357" s="58"/>
      <c r="N357" s="58"/>
      <c r="O357" s="58"/>
      <c r="P357" s="58"/>
      <c r="Q357" s="58"/>
      <c r="R357" s="58"/>
      <c r="S357" s="58"/>
      <c r="T357" s="58"/>
      <c r="U357" s="58"/>
      <c r="V357" s="58"/>
      <c r="W357" s="58"/>
      <c r="X357" s="58"/>
      <c r="Y357" s="58"/>
      <c r="Z357" s="58"/>
    </row>
    <row r="358" ht="15.75" customHeight="1">
      <c r="A358" s="56" t="s">
        <v>6418</v>
      </c>
      <c r="B358" s="56" t="s">
        <v>6419</v>
      </c>
      <c r="C358" s="56" t="s">
        <v>6420</v>
      </c>
      <c r="D358" s="29" t="s">
        <v>6421</v>
      </c>
      <c r="E358" s="56" t="s">
        <v>3610</v>
      </c>
      <c r="F358" s="58"/>
      <c r="G358" s="58"/>
      <c r="H358" s="58"/>
      <c r="I358" s="58"/>
      <c r="J358" s="58"/>
      <c r="K358" s="58"/>
      <c r="L358" s="58"/>
      <c r="M358" s="58"/>
      <c r="N358" s="58"/>
      <c r="O358" s="58"/>
      <c r="P358" s="58"/>
      <c r="Q358" s="58"/>
      <c r="R358" s="58"/>
      <c r="S358" s="58"/>
      <c r="T358" s="58"/>
      <c r="U358" s="58"/>
      <c r="V358" s="58"/>
      <c r="W358" s="58"/>
      <c r="X358" s="58"/>
      <c r="Y358" s="58"/>
      <c r="Z358" s="58"/>
    </row>
    <row r="359" ht="15.75" customHeight="1">
      <c r="A359" s="56" t="s">
        <v>6427</v>
      </c>
      <c r="B359" s="56" t="s">
        <v>6428</v>
      </c>
      <c r="C359" s="56" t="s">
        <v>6429</v>
      </c>
      <c r="D359" s="29" t="s">
        <v>6430</v>
      </c>
      <c r="E359" s="56" t="s">
        <v>3596</v>
      </c>
      <c r="F359" s="58"/>
      <c r="G359" s="58"/>
      <c r="H359" s="58"/>
      <c r="I359" s="58"/>
      <c r="J359" s="58"/>
      <c r="K359" s="58"/>
      <c r="L359" s="58"/>
      <c r="M359" s="58"/>
      <c r="N359" s="58"/>
      <c r="O359" s="58"/>
      <c r="P359" s="58"/>
      <c r="Q359" s="58"/>
      <c r="R359" s="58"/>
      <c r="S359" s="58"/>
      <c r="T359" s="58"/>
      <c r="U359" s="58"/>
      <c r="V359" s="58"/>
      <c r="W359" s="58"/>
      <c r="X359" s="58"/>
      <c r="Y359" s="58"/>
      <c r="Z359" s="58"/>
    </row>
    <row r="360" ht="15.75" customHeight="1">
      <c r="A360" s="56" t="s">
        <v>6436</v>
      </c>
      <c r="B360" s="56" t="s">
        <v>6437</v>
      </c>
      <c r="C360" s="56" t="s">
        <v>6438</v>
      </c>
      <c r="D360" s="29" t="s">
        <v>6439</v>
      </c>
      <c r="E360" s="56" t="s">
        <v>3604</v>
      </c>
      <c r="F360" s="58"/>
      <c r="G360" s="58"/>
      <c r="H360" s="58"/>
      <c r="I360" s="58"/>
      <c r="J360" s="58"/>
      <c r="K360" s="58"/>
      <c r="L360" s="58"/>
      <c r="M360" s="58"/>
      <c r="N360" s="58"/>
      <c r="O360" s="58"/>
      <c r="P360" s="58"/>
      <c r="Q360" s="58"/>
      <c r="R360" s="58"/>
      <c r="S360" s="58"/>
      <c r="T360" s="58"/>
      <c r="U360" s="58"/>
      <c r="V360" s="58"/>
      <c r="W360" s="58"/>
      <c r="X360" s="58"/>
      <c r="Y360" s="58"/>
      <c r="Z360" s="58"/>
    </row>
    <row r="361" ht="15.75" customHeight="1">
      <c r="A361" s="56" t="s">
        <v>6445</v>
      </c>
      <c r="B361" s="56" t="s">
        <v>6446</v>
      </c>
      <c r="C361" s="56" t="s">
        <v>6447</v>
      </c>
      <c r="D361" s="29" t="s">
        <v>6448</v>
      </c>
      <c r="E361" s="56" t="s">
        <v>3610</v>
      </c>
      <c r="F361" s="58"/>
      <c r="G361" s="58"/>
      <c r="H361" s="58"/>
      <c r="I361" s="58"/>
      <c r="J361" s="58"/>
      <c r="K361" s="58"/>
      <c r="L361" s="58"/>
      <c r="M361" s="58"/>
      <c r="N361" s="58"/>
      <c r="O361" s="58"/>
      <c r="P361" s="58"/>
      <c r="Q361" s="58"/>
      <c r="R361" s="58"/>
      <c r="S361" s="58"/>
      <c r="T361" s="58"/>
      <c r="U361" s="58"/>
      <c r="V361" s="58"/>
      <c r="W361" s="58"/>
      <c r="X361" s="58"/>
      <c r="Y361" s="58"/>
      <c r="Z361" s="58"/>
    </row>
    <row r="362" ht="15.75" customHeight="1">
      <c r="A362" s="56" t="s">
        <v>6453</v>
      </c>
      <c r="B362" s="56" t="s">
        <v>6454</v>
      </c>
      <c r="C362" s="56" t="s">
        <v>6455</v>
      </c>
      <c r="D362" s="29" t="s">
        <v>6456</v>
      </c>
      <c r="E362" s="56" t="s">
        <v>3596</v>
      </c>
      <c r="F362" s="58"/>
      <c r="G362" s="58"/>
      <c r="H362" s="58"/>
      <c r="I362" s="58"/>
      <c r="J362" s="58"/>
      <c r="K362" s="58"/>
      <c r="L362" s="58"/>
      <c r="M362" s="58"/>
      <c r="N362" s="58"/>
      <c r="O362" s="58"/>
      <c r="P362" s="58"/>
      <c r="Q362" s="58"/>
      <c r="R362" s="58"/>
      <c r="S362" s="58"/>
      <c r="T362" s="58"/>
      <c r="U362" s="58"/>
      <c r="V362" s="58"/>
      <c r="W362" s="58"/>
      <c r="X362" s="58"/>
      <c r="Y362" s="58"/>
      <c r="Z362" s="58"/>
    </row>
    <row r="363" ht="15.75" customHeight="1">
      <c r="A363" s="56" t="s">
        <v>6460</v>
      </c>
      <c r="B363" s="56" t="s">
        <v>6460</v>
      </c>
      <c r="C363" s="56" t="s">
        <v>6463</v>
      </c>
      <c r="D363" s="29" t="s">
        <v>6464</v>
      </c>
      <c r="E363" s="56" t="s">
        <v>3604</v>
      </c>
      <c r="F363" s="58"/>
      <c r="G363" s="58"/>
      <c r="H363" s="58"/>
      <c r="I363" s="58"/>
      <c r="J363" s="58"/>
      <c r="K363" s="58"/>
      <c r="L363" s="58"/>
      <c r="M363" s="58"/>
      <c r="N363" s="58"/>
      <c r="O363" s="58"/>
      <c r="P363" s="58"/>
      <c r="Q363" s="58"/>
      <c r="R363" s="58"/>
      <c r="S363" s="58"/>
      <c r="T363" s="58"/>
      <c r="U363" s="58"/>
      <c r="V363" s="58"/>
      <c r="W363" s="58"/>
      <c r="X363" s="58"/>
      <c r="Y363" s="58"/>
      <c r="Z363" s="58"/>
    </row>
    <row r="364" ht="15.75" customHeight="1">
      <c r="A364" s="56" t="s">
        <v>6468</v>
      </c>
      <c r="B364" s="56" t="s">
        <v>6469</v>
      </c>
      <c r="C364" s="56" t="s">
        <v>6471</v>
      </c>
      <c r="D364" s="29" t="s">
        <v>6472</v>
      </c>
      <c r="E364" s="56" t="s">
        <v>3610</v>
      </c>
      <c r="F364" s="58"/>
      <c r="G364" s="58"/>
      <c r="H364" s="58"/>
      <c r="I364" s="58"/>
      <c r="J364" s="58"/>
      <c r="K364" s="58"/>
      <c r="L364" s="58"/>
      <c r="M364" s="58"/>
      <c r="N364" s="58"/>
      <c r="O364" s="58"/>
      <c r="P364" s="58"/>
      <c r="Q364" s="58"/>
      <c r="R364" s="58"/>
      <c r="S364" s="58"/>
      <c r="T364" s="58"/>
      <c r="U364" s="58"/>
      <c r="V364" s="58"/>
      <c r="W364" s="58"/>
      <c r="X364" s="58"/>
      <c r="Y364" s="58"/>
      <c r="Z364" s="58"/>
    </row>
    <row r="365" ht="15.75" customHeight="1">
      <c r="A365" s="56" t="s">
        <v>6476</v>
      </c>
      <c r="B365" s="56" t="s">
        <v>6477</v>
      </c>
      <c r="C365" s="56" t="s">
        <v>6479</v>
      </c>
      <c r="D365" s="29" t="s">
        <v>6480</v>
      </c>
      <c r="E365" s="56" t="s">
        <v>3433</v>
      </c>
      <c r="F365" s="58"/>
      <c r="G365" s="58"/>
      <c r="H365" s="58"/>
      <c r="I365" s="58"/>
      <c r="J365" s="58"/>
      <c r="K365" s="58"/>
      <c r="L365" s="58"/>
      <c r="M365" s="58"/>
      <c r="N365" s="58"/>
      <c r="O365" s="58"/>
      <c r="P365" s="58"/>
      <c r="Q365" s="58"/>
      <c r="R365" s="58"/>
      <c r="S365" s="58"/>
      <c r="T365" s="58"/>
      <c r="U365" s="58"/>
      <c r="V365" s="58"/>
      <c r="W365" s="58"/>
      <c r="X365" s="58"/>
      <c r="Y365" s="58"/>
      <c r="Z365" s="58"/>
    </row>
    <row r="366" ht="15.75" customHeight="1">
      <c r="A366" s="12" t="s">
        <v>6486</v>
      </c>
      <c r="B366" s="12" t="s">
        <v>6489</v>
      </c>
      <c r="C366" s="12" t="s">
        <v>6491</v>
      </c>
      <c r="D366" s="29" t="s">
        <v>6493</v>
      </c>
      <c r="E366" s="12" t="s">
        <v>3433</v>
      </c>
      <c r="F366" s="58"/>
      <c r="G366" s="58"/>
      <c r="H366" s="58"/>
      <c r="I366" s="58"/>
      <c r="J366" s="58"/>
      <c r="K366" s="58"/>
      <c r="L366" s="58"/>
      <c r="M366" s="58"/>
      <c r="N366" s="58"/>
      <c r="O366" s="58"/>
      <c r="P366" s="58"/>
      <c r="Q366" s="58"/>
      <c r="R366" s="58"/>
      <c r="S366" s="58"/>
      <c r="T366" s="58"/>
      <c r="U366" s="58"/>
      <c r="V366" s="58"/>
      <c r="W366" s="58"/>
      <c r="X366" s="58"/>
      <c r="Y366" s="58"/>
      <c r="Z366" s="58"/>
    </row>
    <row r="367" ht="15.75" customHeight="1">
      <c r="A367" s="12" t="s">
        <v>6498</v>
      </c>
      <c r="B367" s="12" t="s">
        <v>6500</v>
      </c>
      <c r="C367" s="12" t="s">
        <v>6502</v>
      </c>
      <c r="D367" s="29" t="s">
        <v>6505</v>
      </c>
      <c r="E367" s="12" t="s">
        <v>3433</v>
      </c>
      <c r="F367" s="58"/>
      <c r="G367" s="58"/>
      <c r="H367" s="58"/>
      <c r="I367" s="58"/>
      <c r="J367" s="58"/>
      <c r="K367" s="58"/>
      <c r="L367" s="58"/>
      <c r="M367" s="58"/>
      <c r="N367" s="58"/>
      <c r="O367" s="58"/>
      <c r="P367" s="58"/>
      <c r="Q367" s="58"/>
      <c r="R367" s="58"/>
      <c r="S367" s="58"/>
      <c r="T367" s="58"/>
      <c r="U367" s="58"/>
      <c r="V367" s="58"/>
      <c r="W367" s="58"/>
      <c r="X367" s="58"/>
      <c r="Y367" s="58"/>
      <c r="Z367" s="58"/>
    </row>
    <row r="368" ht="15.75" customHeight="1">
      <c r="A368" s="12" t="s">
        <v>6508</v>
      </c>
      <c r="B368" s="12" t="s">
        <v>6509</v>
      </c>
      <c r="C368" s="12" t="s">
        <v>6510</v>
      </c>
      <c r="D368" s="29" t="s">
        <v>6511</v>
      </c>
      <c r="E368" s="12" t="s">
        <v>3516</v>
      </c>
      <c r="F368" s="58"/>
      <c r="G368" s="58"/>
      <c r="H368" s="58"/>
      <c r="I368" s="58"/>
      <c r="J368" s="58"/>
      <c r="K368" s="58"/>
      <c r="L368" s="58"/>
      <c r="M368" s="58"/>
      <c r="N368" s="58"/>
      <c r="O368" s="58"/>
      <c r="P368" s="58"/>
      <c r="Q368" s="58"/>
      <c r="R368" s="58"/>
      <c r="S368" s="58"/>
      <c r="T368" s="58"/>
      <c r="U368" s="58"/>
      <c r="V368" s="58"/>
      <c r="W368" s="58"/>
      <c r="X368" s="58"/>
      <c r="Y368" s="58"/>
      <c r="Z368" s="58"/>
    </row>
    <row r="369" ht="15.75" customHeight="1">
      <c r="A369" s="12" t="s">
        <v>6512</v>
      </c>
      <c r="B369" s="12" t="s">
        <v>6513</v>
      </c>
      <c r="C369" s="12" t="s">
        <v>6514</v>
      </c>
      <c r="D369" s="29" t="s">
        <v>6515</v>
      </c>
      <c r="E369" s="12" t="s">
        <v>3433</v>
      </c>
      <c r="F369" s="58"/>
      <c r="G369" s="58"/>
      <c r="H369" s="58"/>
      <c r="I369" s="58"/>
      <c r="J369" s="58"/>
      <c r="K369" s="58"/>
      <c r="L369" s="58"/>
      <c r="M369" s="58"/>
      <c r="N369" s="58"/>
      <c r="O369" s="58"/>
      <c r="P369" s="58"/>
      <c r="Q369" s="58"/>
      <c r="R369" s="58"/>
      <c r="S369" s="58"/>
      <c r="T369" s="58"/>
      <c r="U369" s="58"/>
      <c r="V369" s="58"/>
      <c r="W369" s="58"/>
      <c r="X369" s="58"/>
      <c r="Y369" s="58"/>
      <c r="Z369" s="58"/>
    </row>
    <row r="370" ht="15.75" customHeight="1">
      <c r="A370" s="12" t="s">
        <v>6516</v>
      </c>
      <c r="B370" s="12" t="s">
        <v>6516</v>
      </c>
      <c r="C370" s="12" t="s">
        <v>6517</v>
      </c>
      <c r="D370" s="29" t="s">
        <v>6518</v>
      </c>
      <c r="E370" s="86"/>
      <c r="F370" s="58"/>
      <c r="G370" s="58"/>
      <c r="H370" s="58"/>
      <c r="I370" s="58"/>
      <c r="J370" s="58"/>
      <c r="K370" s="58"/>
      <c r="L370" s="58"/>
      <c r="M370" s="58"/>
      <c r="N370" s="58"/>
      <c r="O370" s="58"/>
      <c r="P370" s="58"/>
      <c r="Q370" s="58"/>
      <c r="R370" s="58"/>
      <c r="S370" s="58"/>
      <c r="T370" s="58"/>
      <c r="U370" s="58"/>
      <c r="V370" s="58"/>
      <c r="W370" s="58"/>
      <c r="X370" s="58"/>
      <c r="Y370" s="58"/>
      <c r="Z370" s="58"/>
    </row>
    <row r="371" ht="15.75" customHeight="1">
      <c r="A371" s="12" t="s">
        <v>6519</v>
      </c>
      <c r="B371" s="12" t="s">
        <v>6519</v>
      </c>
      <c r="C371" s="12" t="s">
        <v>6520</v>
      </c>
      <c r="D371" s="29" t="s">
        <v>6521</v>
      </c>
      <c r="E371" s="86"/>
      <c r="F371" s="58"/>
      <c r="G371" s="58"/>
      <c r="H371" s="58"/>
      <c r="I371" s="58"/>
      <c r="J371" s="58"/>
      <c r="K371" s="58"/>
      <c r="L371" s="58"/>
      <c r="M371" s="58"/>
      <c r="N371" s="58"/>
      <c r="O371" s="58"/>
      <c r="P371" s="58"/>
      <c r="Q371" s="58"/>
      <c r="R371" s="58"/>
      <c r="S371" s="58"/>
      <c r="T371" s="58"/>
      <c r="U371" s="58"/>
      <c r="V371" s="58"/>
      <c r="W371" s="58"/>
      <c r="X371" s="58"/>
      <c r="Y371" s="58"/>
      <c r="Z371" s="58"/>
    </row>
    <row r="372" ht="15.75" customHeight="1">
      <c r="A372" s="12" t="s">
        <v>6522</v>
      </c>
      <c r="B372" s="12" t="s">
        <v>6523</v>
      </c>
      <c r="C372" s="12" t="s">
        <v>6524</v>
      </c>
      <c r="D372" s="29" t="s">
        <v>6525</v>
      </c>
      <c r="E372" s="12" t="s">
        <v>3475</v>
      </c>
      <c r="F372" s="58"/>
      <c r="G372" s="58"/>
      <c r="H372" s="58"/>
      <c r="I372" s="58"/>
      <c r="J372" s="58"/>
      <c r="K372" s="58"/>
      <c r="L372" s="58"/>
      <c r="M372" s="58"/>
      <c r="N372" s="58"/>
      <c r="O372" s="58"/>
      <c r="P372" s="58"/>
      <c r="Q372" s="58"/>
      <c r="R372" s="58"/>
      <c r="S372" s="58"/>
      <c r="T372" s="58"/>
      <c r="U372" s="58"/>
      <c r="V372" s="58"/>
      <c r="W372" s="58"/>
      <c r="X372" s="58"/>
      <c r="Y372" s="58"/>
      <c r="Z372" s="58"/>
    </row>
    <row r="373" ht="15.75" customHeight="1">
      <c r="A373" s="12" t="s">
        <v>6526</v>
      </c>
      <c r="B373" s="12" t="s">
        <v>6527</v>
      </c>
      <c r="C373" s="12" t="s">
        <v>6528</v>
      </c>
      <c r="D373" s="29" t="s">
        <v>6529</v>
      </c>
      <c r="E373" s="86"/>
      <c r="F373" s="58"/>
      <c r="G373" s="58"/>
      <c r="H373" s="58"/>
      <c r="I373" s="58"/>
      <c r="J373" s="58"/>
      <c r="K373" s="58"/>
      <c r="L373" s="58"/>
      <c r="M373" s="58"/>
      <c r="N373" s="58"/>
      <c r="O373" s="58"/>
      <c r="P373" s="58"/>
      <c r="Q373" s="58"/>
      <c r="R373" s="58"/>
      <c r="S373" s="58"/>
      <c r="T373" s="58"/>
      <c r="U373" s="58"/>
      <c r="V373" s="58"/>
      <c r="W373" s="58"/>
      <c r="X373" s="58"/>
      <c r="Y373" s="58"/>
      <c r="Z373" s="58"/>
    </row>
    <row r="374" ht="15.75" customHeight="1">
      <c r="A374" s="12" t="s">
        <v>6530</v>
      </c>
      <c r="B374" s="12" t="s">
        <v>6531</v>
      </c>
      <c r="C374" s="12" t="s">
        <v>6532</v>
      </c>
      <c r="D374" s="29" t="s">
        <v>6533</v>
      </c>
      <c r="E374" s="12" t="s">
        <v>6534</v>
      </c>
      <c r="F374" s="58"/>
      <c r="G374" s="58"/>
      <c r="H374" s="58"/>
      <c r="I374" s="58"/>
      <c r="J374" s="58"/>
      <c r="K374" s="58"/>
      <c r="L374" s="58"/>
      <c r="M374" s="58"/>
      <c r="N374" s="58"/>
      <c r="O374" s="58"/>
      <c r="P374" s="58"/>
      <c r="Q374" s="58"/>
      <c r="R374" s="58"/>
      <c r="S374" s="58"/>
      <c r="T374" s="58"/>
      <c r="U374" s="58"/>
      <c r="V374" s="58"/>
      <c r="W374" s="58"/>
      <c r="X374" s="58"/>
      <c r="Y374" s="58"/>
      <c r="Z374" s="58"/>
    </row>
    <row r="375" ht="15.75" customHeight="1">
      <c r="A375" s="56" t="s">
        <v>6535</v>
      </c>
      <c r="B375" s="56" t="s">
        <v>6536</v>
      </c>
      <c r="C375" s="56" t="s">
        <v>6537</v>
      </c>
      <c r="D375" s="29" t="s">
        <v>6538</v>
      </c>
      <c r="E375" s="56" t="s">
        <v>6539</v>
      </c>
      <c r="F375" s="58"/>
      <c r="G375" s="58"/>
      <c r="H375" s="58"/>
      <c r="I375" s="58"/>
      <c r="J375" s="58"/>
      <c r="K375" s="58"/>
      <c r="L375" s="58"/>
      <c r="M375" s="58"/>
      <c r="N375" s="58"/>
      <c r="O375" s="58"/>
      <c r="P375" s="58"/>
      <c r="Q375" s="58"/>
      <c r="R375" s="58"/>
      <c r="S375" s="58"/>
      <c r="T375" s="58"/>
      <c r="U375" s="58"/>
      <c r="V375" s="58"/>
      <c r="W375" s="58"/>
      <c r="X375" s="58"/>
      <c r="Y375" s="58"/>
      <c r="Z375" s="58"/>
    </row>
    <row r="376" ht="15.75" customHeight="1">
      <c r="A376" s="56" t="s">
        <v>6540</v>
      </c>
      <c r="B376" s="56" t="s">
        <v>6541</v>
      </c>
      <c r="C376" s="56" t="s">
        <v>6542</v>
      </c>
      <c r="D376" s="29" t="s">
        <v>6543</v>
      </c>
      <c r="E376" s="56" t="s">
        <v>6544</v>
      </c>
      <c r="F376" s="58"/>
      <c r="G376" s="58"/>
      <c r="H376" s="58"/>
      <c r="I376" s="58"/>
      <c r="J376" s="58"/>
      <c r="K376" s="58"/>
      <c r="L376" s="58"/>
      <c r="M376" s="58"/>
      <c r="N376" s="58"/>
      <c r="O376" s="58"/>
      <c r="P376" s="58"/>
      <c r="Q376" s="58"/>
      <c r="R376" s="58"/>
      <c r="S376" s="58"/>
      <c r="T376" s="58"/>
      <c r="U376" s="58"/>
      <c r="V376" s="58"/>
      <c r="W376" s="58"/>
      <c r="X376" s="58"/>
      <c r="Y376" s="58"/>
      <c r="Z376" s="58"/>
    </row>
    <row r="377" ht="15.75" customHeight="1">
      <c r="A377" s="56" t="s">
        <v>6545</v>
      </c>
      <c r="B377" s="56" t="s">
        <v>6546</v>
      </c>
      <c r="C377" s="56" t="s">
        <v>6547</v>
      </c>
      <c r="D377" s="29" t="s">
        <v>6548</v>
      </c>
      <c r="E377" s="56" t="s">
        <v>6549</v>
      </c>
      <c r="F377" s="58"/>
      <c r="G377" s="58"/>
      <c r="H377" s="58"/>
      <c r="I377" s="58"/>
      <c r="J377" s="58"/>
      <c r="K377" s="58"/>
      <c r="L377" s="58"/>
      <c r="M377" s="58"/>
      <c r="N377" s="58"/>
      <c r="O377" s="58"/>
      <c r="P377" s="58"/>
      <c r="Q377" s="58"/>
      <c r="R377" s="58"/>
      <c r="S377" s="58"/>
      <c r="T377" s="58"/>
      <c r="U377" s="58"/>
      <c r="V377" s="58"/>
      <c r="W377" s="58"/>
      <c r="X377" s="58"/>
      <c r="Y377" s="58"/>
      <c r="Z377" s="58"/>
    </row>
    <row r="378" ht="15.75" customHeight="1">
      <c r="A378" s="56" t="s">
        <v>6550</v>
      </c>
      <c r="B378" s="56" t="s">
        <v>6551</v>
      </c>
      <c r="C378" s="56" t="s">
        <v>6552</v>
      </c>
      <c r="D378" s="29" t="s">
        <v>6553</v>
      </c>
      <c r="E378" s="56" t="s">
        <v>6554</v>
      </c>
      <c r="F378" s="58"/>
      <c r="G378" s="58"/>
      <c r="H378" s="58"/>
      <c r="I378" s="58"/>
      <c r="J378" s="58"/>
      <c r="K378" s="58"/>
      <c r="L378" s="58"/>
      <c r="M378" s="58"/>
      <c r="N378" s="58"/>
      <c r="O378" s="58"/>
      <c r="P378" s="58"/>
      <c r="Q378" s="58"/>
      <c r="R378" s="58"/>
      <c r="S378" s="58"/>
      <c r="T378" s="58"/>
      <c r="U378" s="58"/>
      <c r="V378" s="58"/>
      <c r="W378" s="58"/>
      <c r="X378" s="58"/>
      <c r="Y378" s="58"/>
      <c r="Z378" s="58"/>
    </row>
    <row r="379" ht="15.75" customHeight="1">
      <c r="A379" s="56" t="s">
        <v>6557</v>
      </c>
      <c r="B379" s="56" t="s">
        <v>6559</v>
      </c>
      <c r="C379" s="56" t="s">
        <v>6560</v>
      </c>
      <c r="D379" s="29" t="s">
        <v>6562</v>
      </c>
      <c r="E379" s="56" t="s">
        <v>6563</v>
      </c>
      <c r="F379" s="58"/>
      <c r="G379" s="58"/>
      <c r="H379" s="58"/>
      <c r="I379" s="58"/>
      <c r="J379" s="58"/>
      <c r="K379" s="58"/>
      <c r="L379" s="58"/>
      <c r="M379" s="58"/>
      <c r="N379" s="58"/>
      <c r="O379" s="58"/>
      <c r="P379" s="58"/>
      <c r="Q379" s="58"/>
      <c r="R379" s="58"/>
      <c r="S379" s="58"/>
      <c r="T379" s="58"/>
      <c r="U379" s="58"/>
      <c r="V379" s="58"/>
      <c r="W379" s="58"/>
      <c r="X379" s="58"/>
      <c r="Y379" s="58"/>
      <c r="Z379" s="58"/>
    </row>
    <row r="380" ht="15.75" customHeight="1">
      <c r="A380" s="56" t="s">
        <v>6564</v>
      </c>
      <c r="B380" s="56" t="s">
        <v>6565</v>
      </c>
      <c r="C380" s="56" t="s">
        <v>6566</v>
      </c>
      <c r="D380" s="29" t="s">
        <v>6567</v>
      </c>
      <c r="E380" s="56" t="s">
        <v>3596</v>
      </c>
      <c r="F380" s="58"/>
      <c r="G380" s="58"/>
      <c r="H380" s="58"/>
      <c r="I380" s="58"/>
      <c r="J380" s="58"/>
      <c r="K380" s="58"/>
      <c r="L380" s="58"/>
      <c r="M380" s="58"/>
      <c r="N380" s="58"/>
      <c r="O380" s="58"/>
      <c r="P380" s="58"/>
      <c r="Q380" s="58"/>
      <c r="R380" s="58"/>
      <c r="S380" s="58"/>
      <c r="T380" s="58"/>
      <c r="U380" s="58"/>
      <c r="V380" s="58"/>
      <c r="W380" s="58"/>
      <c r="X380" s="58"/>
      <c r="Y380" s="58"/>
      <c r="Z380" s="58"/>
    </row>
    <row r="381" ht="15.75" customHeight="1">
      <c r="A381" s="56" t="s">
        <v>6572</v>
      </c>
      <c r="B381" s="56" t="s">
        <v>6573</v>
      </c>
      <c r="C381" s="56" t="s">
        <v>6574</v>
      </c>
      <c r="D381" s="29" t="s">
        <v>6575</v>
      </c>
      <c r="E381" s="56" t="s">
        <v>3604</v>
      </c>
      <c r="F381" s="58"/>
      <c r="G381" s="58"/>
      <c r="H381" s="58"/>
      <c r="I381" s="58"/>
      <c r="J381" s="58"/>
      <c r="K381" s="58"/>
      <c r="L381" s="58"/>
      <c r="M381" s="58"/>
      <c r="N381" s="58"/>
      <c r="O381" s="58"/>
      <c r="P381" s="58"/>
      <c r="Q381" s="58"/>
      <c r="R381" s="58"/>
      <c r="S381" s="58"/>
      <c r="T381" s="58"/>
      <c r="U381" s="58"/>
      <c r="V381" s="58"/>
      <c r="W381" s="58"/>
      <c r="X381" s="58"/>
      <c r="Y381" s="58"/>
      <c r="Z381" s="58"/>
    </row>
    <row r="382" ht="15.75" customHeight="1">
      <c r="A382" s="56" t="s">
        <v>6580</v>
      </c>
      <c r="B382" s="56" t="s">
        <v>6581</v>
      </c>
      <c r="C382" s="56" t="s">
        <v>6582</v>
      </c>
      <c r="D382" s="29" t="s">
        <v>6583</v>
      </c>
      <c r="E382" s="56" t="s">
        <v>3610</v>
      </c>
      <c r="F382" s="58"/>
      <c r="G382" s="58"/>
      <c r="H382" s="58"/>
      <c r="I382" s="58"/>
      <c r="J382" s="58"/>
      <c r="K382" s="58"/>
      <c r="L382" s="58"/>
      <c r="M382" s="58"/>
      <c r="N382" s="58"/>
      <c r="O382" s="58"/>
      <c r="P382" s="58"/>
      <c r="Q382" s="58"/>
      <c r="R382" s="58"/>
      <c r="S382" s="58"/>
      <c r="T382" s="58"/>
      <c r="U382" s="58"/>
      <c r="V382" s="58"/>
      <c r="W382" s="58"/>
      <c r="X382" s="58"/>
      <c r="Y382" s="58"/>
      <c r="Z382" s="58"/>
    </row>
    <row r="383" ht="15.75" customHeight="1">
      <c r="A383" s="56" t="s">
        <v>6584</v>
      </c>
      <c r="B383" s="56" t="s">
        <v>6585</v>
      </c>
      <c r="C383" s="56" t="s">
        <v>6586</v>
      </c>
      <c r="D383" s="56" t="s">
        <v>6587</v>
      </c>
      <c r="E383" s="56" t="s">
        <v>3596</v>
      </c>
      <c r="F383" s="58"/>
      <c r="G383" s="58"/>
      <c r="H383" s="58"/>
      <c r="I383" s="58"/>
      <c r="J383" s="58"/>
      <c r="K383" s="58"/>
      <c r="L383" s="58"/>
      <c r="M383" s="58"/>
      <c r="N383" s="58"/>
      <c r="O383" s="58"/>
      <c r="P383" s="58"/>
      <c r="Q383" s="58"/>
      <c r="R383" s="58"/>
      <c r="S383" s="58"/>
      <c r="T383" s="58"/>
      <c r="U383" s="58"/>
      <c r="V383" s="58"/>
      <c r="W383" s="58"/>
      <c r="X383" s="58"/>
      <c r="Y383" s="58"/>
      <c r="Z383" s="58"/>
    </row>
    <row r="384" ht="15.75" customHeight="1">
      <c r="A384" s="56" t="s">
        <v>6588</v>
      </c>
      <c r="B384" s="56" t="s">
        <v>6589</v>
      </c>
      <c r="C384" s="56" t="s">
        <v>6590</v>
      </c>
      <c r="D384" s="29" t="s">
        <v>6591</v>
      </c>
      <c r="E384" s="56" t="s">
        <v>3604</v>
      </c>
      <c r="F384" s="58"/>
      <c r="G384" s="58"/>
      <c r="H384" s="58"/>
      <c r="I384" s="58"/>
      <c r="J384" s="58"/>
      <c r="K384" s="58"/>
      <c r="L384" s="58"/>
      <c r="M384" s="58"/>
      <c r="N384" s="58"/>
      <c r="O384" s="58"/>
      <c r="P384" s="58"/>
      <c r="Q384" s="58"/>
      <c r="R384" s="58"/>
      <c r="S384" s="58"/>
      <c r="T384" s="58"/>
      <c r="U384" s="58"/>
      <c r="V384" s="58"/>
      <c r="W384" s="58"/>
      <c r="X384" s="58"/>
      <c r="Y384" s="58"/>
      <c r="Z384" s="58"/>
    </row>
    <row r="385" ht="15.75" customHeight="1">
      <c r="A385" s="56" t="s">
        <v>6592</v>
      </c>
      <c r="B385" s="56" t="s">
        <v>6593</v>
      </c>
      <c r="C385" s="56" t="s">
        <v>6594</v>
      </c>
      <c r="D385" s="29" t="s">
        <v>6595</v>
      </c>
      <c r="E385" s="56" t="s">
        <v>3610</v>
      </c>
      <c r="F385" s="58"/>
      <c r="G385" s="58"/>
      <c r="H385" s="58"/>
      <c r="I385" s="58"/>
      <c r="J385" s="58"/>
      <c r="K385" s="58"/>
      <c r="L385" s="58"/>
      <c r="M385" s="58"/>
      <c r="N385" s="58"/>
      <c r="O385" s="58"/>
      <c r="P385" s="58"/>
      <c r="Q385" s="58"/>
      <c r="R385" s="58"/>
      <c r="S385" s="58"/>
      <c r="T385" s="58"/>
      <c r="U385" s="58"/>
      <c r="V385" s="58"/>
      <c r="W385" s="58"/>
      <c r="X385" s="58"/>
      <c r="Y385" s="58"/>
      <c r="Z385" s="58"/>
    </row>
    <row r="386" ht="15.75" customHeight="1">
      <c r="A386" s="56" t="s">
        <v>6596</v>
      </c>
      <c r="B386" s="56" t="s">
        <v>6597</v>
      </c>
      <c r="C386" s="56" t="s">
        <v>6598</v>
      </c>
      <c r="D386" s="29" t="s">
        <v>6599</v>
      </c>
      <c r="E386" s="56" t="s">
        <v>3433</v>
      </c>
      <c r="F386" s="58"/>
      <c r="G386" s="58"/>
      <c r="H386" s="58"/>
      <c r="I386" s="58"/>
      <c r="J386" s="58"/>
      <c r="K386" s="58"/>
      <c r="L386" s="58"/>
      <c r="M386" s="58"/>
      <c r="N386" s="58"/>
      <c r="O386" s="58"/>
      <c r="P386" s="58"/>
      <c r="Q386" s="58"/>
      <c r="R386" s="58"/>
      <c r="S386" s="58"/>
      <c r="T386" s="58"/>
      <c r="U386" s="58"/>
      <c r="V386" s="58"/>
      <c r="W386" s="58"/>
      <c r="X386" s="58"/>
      <c r="Y386" s="58"/>
      <c r="Z386" s="58"/>
    </row>
    <row r="387" ht="15.75" customHeight="1">
      <c r="A387" s="12" t="s">
        <v>6600</v>
      </c>
      <c r="B387" s="12" t="s">
        <v>6601</v>
      </c>
      <c r="C387" s="12" t="s">
        <v>6602</v>
      </c>
      <c r="D387" s="29" t="s">
        <v>6603</v>
      </c>
      <c r="E387" s="56" t="s">
        <v>3596</v>
      </c>
      <c r="F387" s="58"/>
      <c r="G387" s="58"/>
      <c r="H387" s="58"/>
      <c r="I387" s="58"/>
      <c r="J387" s="58"/>
      <c r="K387" s="58"/>
      <c r="L387" s="58"/>
      <c r="M387" s="58"/>
      <c r="N387" s="58"/>
      <c r="O387" s="58"/>
      <c r="P387" s="58"/>
      <c r="Q387" s="58"/>
      <c r="R387" s="58"/>
      <c r="S387" s="58"/>
      <c r="T387" s="58"/>
      <c r="U387" s="58"/>
      <c r="V387" s="58"/>
      <c r="W387" s="58"/>
      <c r="X387" s="58"/>
      <c r="Y387" s="58"/>
      <c r="Z387" s="58"/>
    </row>
    <row r="388" ht="15.75" customHeight="1">
      <c r="A388" s="56" t="s">
        <v>6604</v>
      </c>
      <c r="B388" s="56" t="s">
        <v>6605</v>
      </c>
      <c r="C388" s="56" t="s">
        <v>6606</v>
      </c>
      <c r="D388" s="29" t="s">
        <v>6607</v>
      </c>
      <c r="E388" s="56" t="s">
        <v>3604</v>
      </c>
      <c r="F388" s="58"/>
      <c r="G388" s="58"/>
      <c r="H388" s="58"/>
      <c r="I388" s="58"/>
      <c r="J388" s="58"/>
      <c r="K388" s="58"/>
      <c r="L388" s="58"/>
      <c r="M388" s="58"/>
      <c r="N388" s="58"/>
      <c r="O388" s="58"/>
      <c r="P388" s="58"/>
      <c r="Q388" s="58"/>
      <c r="R388" s="58"/>
      <c r="S388" s="58"/>
      <c r="T388" s="58"/>
      <c r="U388" s="58"/>
      <c r="V388" s="58"/>
      <c r="W388" s="58"/>
      <c r="X388" s="58"/>
      <c r="Y388" s="58"/>
      <c r="Z388" s="58"/>
    </row>
    <row r="389" ht="15.75" customHeight="1">
      <c r="A389" s="56" t="s">
        <v>6608</v>
      </c>
      <c r="B389" s="56" t="s">
        <v>6609</v>
      </c>
      <c r="C389" s="56" t="s">
        <v>6610</v>
      </c>
      <c r="D389" s="29" t="s">
        <v>6611</v>
      </c>
      <c r="E389" s="56" t="s">
        <v>3610</v>
      </c>
      <c r="F389" s="58"/>
      <c r="G389" s="58"/>
      <c r="H389" s="58"/>
      <c r="I389" s="58"/>
      <c r="J389" s="58"/>
      <c r="K389" s="58"/>
      <c r="L389" s="58"/>
      <c r="M389" s="58"/>
      <c r="N389" s="58"/>
      <c r="O389" s="58"/>
      <c r="P389" s="58"/>
      <c r="Q389" s="58"/>
      <c r="R389" s="58"/>
      <c r="S389" s="58"/>
      <c r="T389" s="58"/>
      <c r="U389" s="58"/>
      <c r="V389" s="58"/>
      <c r="W389" s="58"/>
      <c r="X389" s="58"/>
      <c r="Y389" s="58"/>
      <c r="Z389" s="58"/>
    </row>
    <row r="390" ht="15.75" customHeight="1">
      <c r="A390" s="56" t="s">
        <v>6612</v>
      </c>
      <c r="B390" s="56" t="s">
        <v>6613</v>
      </c>
      <c r="C390" s="56" t="s">
        <v>6614</v>
      </c>
      <c r="D390" s="29" t="s">
        <v>6615</v>
      </c>
      <c r="E390" s="56" t="s">
        <v>3596</v>
      </c>
      <c r="F390" s="58"/>
      <c r="G390" s="58"/>
      <c r="H390" s="58"/>
      <c r="I390" s="58"/>
      <c r="J390" s="58"/>
      <c r="K390" s="58"/>
      <c r="L390" s="58"/>
      <c r="M390" s="58"/>
      <c r="N390" s="58"/>
      <c r="O390" s="58"/>
      <c r="P390" s="58"/>
      <c r="Q390" s="58"/>
      <c r="R390" s="58"/>
      <c r="S390" s="58"/>
      <c r="T390" s="58"/>
      <c r="U390" s="58"/>
      <c r="V390" s="58"/>
      <c r="W390" s="58"/>
      <c r="X390" s="58"/>
      <c r="Y390" s="58"/>
      <c r="Z390" s="58"/>
    </row>
    <row r="391" ht="15.75" customHeight="1">
      <c r="A391" s="56" t="s">
        <v>6616</v>
      </c>
      <c r="B391" s="56" t="s">
        <v>6617</v>
      </c>
      <c r="C391" s="56" t="s">
        <v>6618</v>
      </c>
      <c r="D391" s="29" t="s">
        <v>6620</v>
      </c>
      <c r="E391" s="56" t="s">
        <v>3604</v>
      </c>
      <c r="F391" s="58"/>
      <c r="G391" s="58"/>
      <c r="H391" s="58"/>
      <c r="I391" s="58"/>
      <c r="J391" s="58"/>
      <c r="K391" s="58"/>
      <c r="L391" s="58"/>
      <c r="M391" s="58"/>
      <c r="N391" s="58"/>
      <c r="O391" s="58"/>
      <c r="P391" s="58"/>
      <c r="Q391" s="58"/>
      <c r="R391" s="58"/>
      <c r="S391" s="58"/>
      <c r="T391" s="58"/>
      <c r="U391" s="58"/>
      <c r="V391" s="58"/>
      <c r="W391" s="58"/>
      <c r="X391" s="58"/>
      <c r="Y391" s="58"/>
      <c r="Z391" s="58"/>
    </row>
    <row r="392" ht="15.75" customHeight="1">
      <c r="A392" s="56" t="s">
        <v>6622</v>
      </c>
      <c r="B392" s="56" t="s">
        <v>6623</v>
      </c>
      <c r="C392" s="56" t="s">
        <v>6624</v>
      </c>
      <c r="D392" s="29" t="s">
        <v>6625</v>
      </c>
      <c r="E392" s="56" t="s">
        <v>3610</v>
      </c>
      <c r="F392" s="58"/>
      <c r="G392" s="58"/>
      <c r="H392" s="58"/>
      <c r="I392" s="58"/>
      <c r="J392" s="58"/>
      <c r="K392" s="58"/>
      <c r="L392" s="58"/>
      <c r="M392" s="58"/>
      <c r="N392" s="58"/>
      <c r="O392" s="58"/>
      <c r="P392" s="58"/>
      <c r="Q392" s="58"/>
      <c r="R392" s="58"/>
      <c r="S392" s="58"/>
      <c r="T392" s="58"/>
      <c r="U392" s="58"/>
      <c r="V392" s="58"/>
      <c r="W392" s="58"/>
      <c r="X392" s="58"/>
      <c r="Y392" s="58"/>
      <c r="Z392" s="58"/>
    </row>
    <row r="393" ht="15.75" customHeight="1">
      <c r="A393" s="56" t="s">
        <v>6630</v>
      </c>
      <c r="B393" s="56" t="s">
        <v>6631</v>
      </c>
      <c r="C393" s="56" t="s">
        <v>6632</v>
      </c>
      <c r="D393" s="29" t="s">
        <v>6633</v>
      </c>
      <c r="E393" s="56" t="s">
        <v>3596</v>
      </c>
      <c r="F393" s="58"/>
      <c r="G393" s="58"/>
      <c r="H393" s="58"/>
      <c r="I393" s="58"/>
      <c r="J393" s="58"/>
      <c r="K393" s="58"/>
      <c r="L393" s="58"/>
      <c r="M393" s="58"/>
      <c r="N393" s="58"/>
      <c r="O393" s="58"/>
      <c r="P393" s="58"/>
      <c r="Q393" s="58"/>
      <c r="R393" s="58"/>
      <c r="S393" s="58"/>
      <c r="T393" s="58"/>
      <c r="U393" s="58"/>
      <c r="V393" s="58"/>
      <c r="W393" s="58"/>
      <c r="X393" s="58"/>
      <c r="Y393" s="58"/>
      <c r="Z393" s="58"/>
    </row>
    <row r="394" ht="15.75" customHeight="1">
      <c r="A394" s="56" t="s">
        <v>6634</v>
      </c>
      <c r="B394" s="56" t="s">
        <v>6635</v>
      </c>
      <c r="C394" s="56" t="s">
        <v>6636</v>
      </c>
      <c r="D394" s="29" t="s">
        <v>6637</v>
      </c>
      <c r="E394" s="56" t="s">
        <v>3604</v>
      </c>
      <c r="F394" s="58"/>
      <c r="G394" s="58"/>
      <c r="H394" s="58"/>
      <c r="I394" s="58"/>
      <c r="J394" s="58"/>
      <c r="K394" s="58"/>
      <c r="L394" s="58"/>
      <c r="M394" s="58"/>
      <c r="N394" s="58"/>
      <c r="O394" s="58"/>
      <c r="P394" s="58"/>
      <c r="Q394" s="58"/>
      <c r="R394" s="58"/>
      <c r="S394" s="58"/>
      <c r="T394" s="58"/>
      <c r="U394" s="58"/>
      <c r="V394" s="58"/>
      <c r="W394" s="58"/>
      <c r="X394" s="58"/>
      <c r="Y394" s="58"/>
      <c r="Z394" s="58"/>
    </row>
    <row r="395" ht="15.75" customHeight="1">
      <c r="A395" s="56" t="s">
        <v>6638</v>
      </c>
      <c r="B395" s="56" t="s">
        <v>6639</v>
      </c>
      <c r="C395" s="56" t="s">
        <v>6640</v>
      </c>
      <c r="D395" s="29" t="s">
        <v>6641</v>
      </c>
      <c r="E395" s="56" t="s">
        <v>3610</v>
      </c>
      <c r="F395" s="58"/>
      <c r="G395" s="58"/>
      <c r="H395" s="58"/>
      <c r="I395" s="58"/>
      <c r="J395" s="58"/>
      <c r="K395" s="58"/>
      <c r="L395" s="58"/>
      <c r="M395" s="58"/>
      <c r="N395" s="58"/>
      <c r="O395" s="58"/>
      <c r="P395" s="58"/>
      <c r="Q395" s="58"/>
      <c r="R395" s="58"/>
      <c r="S395" s="58"/>
      <c r="T395" s="58"/>
      <c r="U395" s="58"/>
      <c r="V395" s="58"/>
      <c r="W395" s="58"/>
      <c r="X395" s="58"/>
      <c r="Y395" s="58"/>
      <c r="Z395" s="58"/>
    </row>
    <row r="396" ht="15.75" customHeight="1">
      <c r="A396" s="56" t="s">
        <v>6642</v>
      </c>
      <c r="B396" s="56" t="s">
        <v>6643</v>
      </c>
      <c r="C396" s="56" t="s">
        <v>6644</v>
      </c>
      <c r="D396" s="29" t="s">
        <v>6645</v>
      </c>
      <c r="E396" s="56" t="s">
        <v>3596</v>
      </c>
      <c r="F396" s="58"/>
      <c r="G396" s="58"/>
      <c r="H396" s="58"/>
      <c r="I396" s="58"/>
      <c r="J396" s="58"/>
      <c r="K396" s="58"/>
      <c r="L396" s="58"/>
      <c r="M396" s="58"/>
      <c r="N396" s="58"/>
      <c r="O396" s="58"/>
      <c r="P396" s="58"/>
      <c r="Q396" s="58"/>
      <c r="R396" s="58"/>
      <c r="S396" s="58"/>
      <c r="T396" s="58"/>
      <c r="U396" s="58"/>
      <c r="V396" s="58"/>
      <c r="W396" s="58"/>
      <c r="X396" s="58"/>
      <c r="Y396" s="58"/>
      <c r="Z396" s="58"/>
    </row>
    <row r="397" ht="15.75" customHeight="1">
      <c r="A397" s="56" t="s">
        <v>6646</v>
      </c>
      <c r="B397" s="56" t="s">
        <v>6647</v>
      </c>
      <c r="C397" s="56" t="s">
        <v>6648</v>
      </c>
      <c r="D397" s="29" t="s">
        <v>6649</v>
      </c>
      <c r="E397" s="56" t="s">
        <v>3604</v>
      </c>
      <c r="F397" s="58"/>
      <c r="G397" s="58"/>
      <c r="H397" s="58"/>
      <c r="I397" s="58"/>
      <c r="J397" s="58"/>
      <c r="K397" s="58"/>
      <c r="L397" s="58"/>
      <c r="M397" s="58"/>
      <c r="N397" s="58"/>
      <c r="O397" s="58"/>
      <c r="P397" s="58"/>
      <c r="Q397" s="58"/>
      <c r="R397" s="58"/>
      <c r="S397" s="58"/>
      <c r="T397" s="58"/>
      <c r="U397" s="58"/>
      <c r="V397" s="58"/>
      <c r="W397" s="58"/>
      <c r="X397" s="58"/>
      <c r="Y397" s="58"/>
      <c r="Z397" s="58"/>
    </row>
    <row r="398" ht="15.75" customHeight="1">
      <c r="A398" s="56" t="s">
        <v>6650</v>
      </c>
      <c r="B398" s="56" t="s">
        <v>6651</v>
      </c>
      <c r="C398" s="56" t="s">
        <v>6652</v>
      </c>
      <c r="D398" s="29" t="s">
        <v>6653</v>
      </c>
      <c r="E398" s="56" t="s">
        <v>3610</v>
      </c>
      <c r="F398" s="58"/>
      <c r="G398" s="58"/>
      <c r="H398" s="58"/>
      <c r="I398" s="58"/>
      <c r="J398" s="58"/>
      <c r="K398" s="58"/>
      <c r="L398" s="58"/>
      <c r="M398" s="58"/>
      <c r="N398" s="58"/>
      <c r="O398" s="58"/>
      <c r="P398" s="58"/>
      <c r="Q398" s="58"/>
      <c r="R398" s="58"/>
      <c r="S398" s="58"/>
      <c r="T398" s="58"/>
      <c r="U398" s="58"/>
      <c r="V398" s="58"/>
      <c r="W398" s="58"/>
      <c r="X398" s="58"/>
      <c r="Y398" s="58"/>
      <c r="Z398" s="58"/>
    </row>
    <row r="399" ht="15.75" customHeight="1">
      <c r="A399" s="56" t="s">
        <v>6654</v>
      </c>
      <c r="B399" s="56" t="s">
        <v>6655</v>
      </c>
      <c r="C399" s="56" t="s">
        <v>6656</v>
      </c>
      <c r="D399" s="29" t="s">
        <v>6657</v>
      </c>
      <c r="E399" s="56" t="s">
        <v>3433</v>
      </c>
      <c r="F399" s="58"/>
      <c r="G399" s="58"/>
      <c r="H399" s="58"/>
      <c r="I399" s="58"/>
      <c r="J399" s="58"/>
      <c r="K399" s="58"/>
      <c r="L399" s="58"/>
      <c r="M399" s="58"/>
      <c r="N399" s="58"/>
      <c r="O399" s="58"/>
      <c r="P399" s="58"/>
      <c r="Q399" s="58"/>
      <c r="R399" s="58"/>
      <c r="S399" s="58"/>
      <c r="T399" s="58"/>
      <c r="U399" s="58"/>
      <c r="V399" s="58"/>
      <c r="W399" s="58"/>
      <c r="X399" s="58"/>
      <c r="Y399" s="58"/>
      <c r="Z399" s="58"/>
    </row>
    <row r="400" ht="15.75" customHeight="1">
      <c r="A400" s="12" t="s">
        <v>6658</v>
      </c>
      <c r="B400" s="12" t="s">
        <v>6659</v>
      </c>
      <c r="C400" s="12" t="s">
        <v>6660</v>
      </c>
      <c r="D400" s="29" t="s">
        <v>6661</v>
      </c>
      <c r="E400" s="56" t="s">
        <v>6662</v>
      </c>
      <c r="F400" s="58"/>
      <c r="G400" s="58"/>
      <c r="H400" s="58"/>
      <c r="I400" s="58"/>
      <c r="J400" s="58"/>
      <c r="K400" s="58"/>
      <c r="L400" s="58"/>
      <c r="M400" s="58"/>
      <c r="N400" s="58"/>
      <c r="O400" s="58"/>
      <c r="P400" s="58"/>
      <c r="Q400" s="58"/>
      <c r="R400" s="58"/>
      <c r="S400" s="58"/>
      <c r="T400" s="58"/>
      <c r="U400" s="58"/>
      <c r="V400" s="58"/>
      <c r="W400" s="58"/>
      <c r="X400" s="58"/>
      <c r="Y400" s="58"/>
      <c r="Z400" s="58"/>
    </row>
    <row r="401" ht="15.75" customHeight="1">
      <c r="A401" s="56" t="s">
        <v>6663</v>
      </c>
      <c r="B401" s="56" t="s">
        <v>6664</v>
      </c>
      <c r="C401" s="56" t="s">
        <v>6665</v>
      </c>
      <c r="D401" s="29" t="s">
        <v>6666</v>
      </c>
      <c r="E401" s="56" t="s">
        <v>6667</v>
      </c>
      <c r="F401" s="58"/>
      <c r="G401" s="58"/>
      <c r="H401" s="58"/>
      <c r="I401" s="58"/>
      <c r="J401" s="58"/>
      <c r="K401" s="58"/>
      <c r="L401" s="58"/>
      <c r="M401" s="58"/>
      <c r="N401" s="58"/>
      <c r="O401" s="58"/>
      <c r="P401" s="58"/>
      <c r="Q401" s="58"/>
      <c r="R401" s="58"/>
      <c r="S401" s="58"/>
      <c r="T401" s="58"/>
      <c r="U401" s="58"/>
      <c r="V401" s="58"/>
      <c r="W401" s="58"/>
      <c r="X401" s="58"/>
      <c r="Y401" s="58"/>
      <c r="Z401" s="58"/>
    </row>
    <row r="402" ht="15.75" customHeight="1">
      <c r="A402" s="56" t="s">
        <v>6668</v>
      </c>
      <c r="B402" s="56" t="s">
        <v>6669</v>
      </c>
      <c r="C402" s="56" t="s">
        <v>6670</v>
      </c>
      <c r="D402" s="29" t="s">
        <v>6671</v>
      </c>
      <c r="E402" s="56" t="s">
        <v>6672</v>
      </c>
      <c r="F402" s="58"/>
      <c r="G402" s="58"/>
      <c r="H402" s="58"/>
      <c r="I402" s="58"/>
      <c r="J402" s="58"/>
      <c r="K402" s="58"/>
      <c r="L402" s="58"/>
      <c r="M402" s="58"/>
      <c r="N402" s="58"/>
      <c r="O402" s="58"/>
      <c r="P402" s="58"/>
      <c r="Q402" s="58"/>
      <c r="R402" s="58"/>
      <c r="S402" s="58"/>
      <c r="T402" s="58"/>
      <c r="U402" s="58"/>
      <c r="V402" s="58"/>
      <c r="W402" s="58"/>
      <c r="X402" s="58"/>
      <c r="Y402" s="58"/>
      <c r="Z402" s="58"/>
    </row>
    <row r="403" ht="15.75" customHeight="1">
      <c r="A403" s="56" t="s">
        <v>6673</v>
      </c>
      <c r="B403" s="56" t="s">
        <v>6674</v>
      </c>
      <c r="C403" s="56" t="s">
        <v>6675</v>
      </c>
      <c r="D403" s="29" t="s">
        <v>6676</v>
      </c>
      <c r="E403" s="56" t="s">
        <v>6662</v>
      </c>
      <c r="F403" s="58"/>
      <c r="G403" s="58"/>
      <c r="H403" s="58"/>
      <c r="I403" s="58"/>
      <c r="J403" s="58"/>
      <c r="K403" s="58"/>
      <c r="L403" s="58"/>
      <c r="M403" s="58"/>
      <c r="N403" s="58"/>
      <c r="O403" s="58"/>
      <c r="P403" s="58"/>
      <c r="Q403" s="58"/>
      <c r="R403" s="58"/>
      <c r="S403" s="58"/>
      <c r="T403" s="58"/>
      <c r="U403" s="58"/>
      <c r="V403" s="58"/>
      <c r="W403" s="58"/>
      <c r="X403" s="58"/>
      <c r="Y403" s="58"/>
      <c r="Z403" s="58"/>
    </row>
    <row r="404" ht="15.75" customHeight="1">
      <c r="A404" s="56" t="s">
        <v>6677</v>
      </c>
      <c r="B404" s="56" t="s">
        <v>6679</v>
      </c>
      <c r="C404" s="56" t="s">
        <v>6681</v>
      </c>
      <c r="D404" s="29" t="s">
        <v>6683</v>
      </c>
      <c r="E404" s="56" t="s">
        <v>6667</v>
      </c>
      <c r="F404" s="58"/>
      <c r="G404" s="58"/>
      <c r="H404" s="58"/>
      <c r="I404" s="58"/>
      <c r="J404" s="58"/>
      <c r="K404" s="58"/>
      <c r="L404" s="58"/>
      <c r="M404" s="58"/>
      <c r="N404" s="58"/>
      <c r="O404" s="58"/>
      <c r="P404" s="58"/>
      <c r="Q404" s="58"/>
      <c r="R404" s="58"/>
      <c r="S404" s="58"/>
      <c r="T404" s="58"/>
      <c r="U404" s="58"/>
      <c r="V404" s="58"/>
      <c r="W404" s="58"/>
      <c r="X404" s="58"/>
      <c r="Y404" s="58"/>
      <c r="Z404" s="58"/>
    </row>
    <row r="405" ht="15.75" customHeight="1">
      <c r="A405" s="56" t="s">
        <v>6685</v>
      </c>
      <c r="B405" s="56" t="s">
        <v>6686</v>
      </c>
      <c r="C405" s="56" t="s">
        <v>6687</v>
      </c>
      <c r="D405" s="29" t="s">
        <v>6688</v>
      </c>
      <c r="E405" s="56" t="s">
        <v>6672</v>
      </c>
      <c r="F405" s="58"/>
      <c r="G405" s="58"/>
      <c r="H405" s="58"/>
      <c r="I405" s="58"/>
      <c r="J405" s="58"/>
      <c r="K405" s="58"/>
      <c r="L405" s="58"/>
      <c r="M405" s="58"/>
      <c r="N405" s="58"/>
      <c r="O405" s="58"/>
      <c r="P405" s="58"/>
      <c r="Q405" s="58"/>
      <c r="R405" s="58"/>
      <c r="S405" s="58"/>
      <c r="T405" s="58"/>
      <c r="U405" s="58"/>
      <c r="V405" s="58"/>
      <c r="W405" s="58"/>
      <c r="X405" s="58"/>
      <c r="Y405" s="58"/>
      <c r="Z405" s="58"/>
    </row>
    <row r="406" ht="15.75" customHeight="1">
      <c r="A406" s="56" t="s">
        <v>6695</v>
      </c>
      <c r="B406" s="56" t="s">
        <v>6697</v>
      </c>
      <c r="C406" s="56" t="s">
        <v>6698</v>
      </c>
      <c r="D406" s="29" t="s">
        <v>6700</v>
      </c>
      <c r="E406" s="56" t="s">
        <v>3516</v>
      </c>
      <c r="F406" s="58"/>
      <c r="G406" s="58"/>
      <c r="H406" s="58"/>
      <c r="I406" s="58"/>
      <c r="J406" s="58"/>
      <c r="K406" s="58"/>
      <c r="L406" s="58"/>
      <c r="M406" s="58"/>
      <c r="N406" s="58"/>
      <c r="O406" s="58"/>
      <c r="P406" s="58"/>
      <c r="Q406" s="58"/>
      <c r="R406" s="58"/>
      <c r="S406" s="58"/>
      <c r="T406" s="58"/>
      <c r="U406" s="58"/>
      <c r="V406" s="58"/>
      <c r="W406" s="58"/>
      <c r="X406" s="58"/>
      <c r="Y406" s="58"/>
      <c r="Z406" s="58"/>
    </row>
    <row r="407" ht="15.75" customHeight="1">
      <c r="A407" s="12" t="s">
        <v>6702</v>
      </c>
      <c r="B407" s="12" t="s">
        <v>6704</v>
      </c>
      <c r="C407" s="12" t="s">
        <v>6706</v>
      </c>
      <c r="D407" s="29" t="s">
        <v>6707</v>
      </c>
      <c r="E407" s="12" t="s">
        <v>6662</v>
      </c>
      <c r="F407" s="58"/>
      <c r="G407" s="58"/>
      <c r="H407" s="58"/>
      <c r="I407" s="58"/>
      <c r="J407" s="58"/>
      <c r="K407" s="58"/>
      <c r="L407" s="58"/>
      <c r="M407" s="58"/>
      <c r="N407" s="58"/>
      <c r="O407" s="58"/>
      <c r="P407" s="58"/>
      <c r="Q407" s="58"/>
      <c r="R407" s="58"/>
      <c r="S407" s="58"/>
      <c r="T407" s="58"/>
      <c r="U407" s="58"/>
      <c r="V407" s="58"/>
      <c r="W407" s="58"/>
      <c r="X407" s="58"/>
      <c r="Y407" s="58"/>
      <c r="Z407" s="58"/>
    </row>
    <row r="408" ht="15.75" customHeight="1">
      <c r="A408" s="56" t="s">
        <v>6711</v>
      </c>
      <c r="B408" s="56" t="s">
        <v>6712</v>
      </c>
      <c r="C408" s="56" t="s">
        <v>6714</v>
      </c>
      <c r="D408" s="29" t="s">
        <v>6715</v>
      </c>
      <c r="E408" s="56" t="s">
        <v>6667</v>
      </c>
      <c r="F408" s="58"/>
      <c r="G408" s="58"/>
      <c r="H408" s="58"/>
      <c r="I408" s="58"/>
      <c r="J408" s="58"/>
      <c r="K408" s="58"/>
      <c r="L408" s="58"/>
      <c r="M408" s="58"/>
      <c r="N408" s="58"/>
      <c r="O408" s="58"/>
      <c r="P408" s="58"/>
      <c r="Q408" s="58"/>
      <c r="R408" s="58"/>
      <c r="S408" s="58"/>
      <c r="T408" s="58"/>
      <c r="U408" s="58"/>
      <c r="V408" s="58"/>
      <c r="W408" s="58"/>
      <c r="X408" s="58"/>
      <c r="Y408" s="58"/>
      <c r="Z408" s="58"/>
    </row>
    <row r="409" ht="15.75" customHeight="1">
      <c r="A409" s="56" t="s">
        <v>6718</v>
      </c>
      <c r="B409" s="56" t="s">
        <v>6720</v>
      </c>
      <c r="C409" s="56" t="s">
        <v>6721</v>
      </c>
      <c r="D409" s="29" t="s">
        <v>6722</v>
      </c>
      <c r="E409" s="56" t="s">
        <v>6672</v>
      </c>
      <c r="F409" s="58"/>
      <c r="G409" s="58"/>
      <c r="H409" s="58"/>
      <c r="I409" s="58"/>
      <c r="J409" s="58"/>
      <c r="K409" s="58"/>
      <c r="L409" s="58"/>
      <c r="M409" s="58"/>
      <c r="N409" s="58"/>
      <c r="O409" s="58"/>
      <c r="P409" s="58"/>
      <c r="Q409" s="58"/>
      <c r="R409" s="58"/>
      <c r="S409" s="58"/>
      <c r="T409" s="58"/>
      <c r="U409" s="58"/>
      <c r="V409" s="58"/>
      <c r="W409" s="58"/>
      <c r="X409" s="58"/>
      <c r="Y409" s="58"/>
      <c r="Z409" s="58"/>
    </row>
    <row r="410" ht="15.75" customHeight="1">
      <c r="A410" s="56" t="s">
        <v>6724</v>
      </c>
      <c r="B410" s="56" t="s">
        <v>6725</v>
      </c>
      <c r="C410" s="56" t="s">
        <v>6726</v>
      </c>
      <c r="D410" s="29" t="s">
        <v>6727</v>
      </c>
      <c r="E410" s="56" t="s">
        <v>3516</v>
      </c>
      <c r="F410" s="58"/>
      <c r="G410" s="58"/>
      <c r="H410" s="58"/>
      <c r="I410" s="58"/>
      <c r="J410" s="58"/>
      <c r="K410" s="58"/>
      <c r="L410" s="58"/>
      <c r="M410" s="58"/>
      <c r="N410" s="58"/>
      <c r="O410" s="58"/>
      <c r="P410" s="58"/>
      <c r="Q410" s="58"/>
      <c r="R410" s="58"/>
      <c r="S410" s="58"/>
      <c r="T410" s="58"/>
      <c r="U410" s="58"/>
      <c r="V410" s="58"/>
      <c r="W410" s="58"/>
      <c r="X410" s="58"/>
      <c r="Y410" s="58"/>
      <c r="Z410" s="58"/>
    </row>
    <row r="411" ht="15.75" customHeight="1">
      <c r="A411" s="12" t="s">
        <v>6728</v>
      </c>
      <c r="B411" s="12" t="s">
        <v>6729</v>
      </c>
      <c r="C411" s="12" t="s">
        <v>6730</v>
      </c>
      <c r="D411" s="29" t="s">
        <v>6731</v>
      </c>
      <c r="E411" s="12" t="s">
        <v>6662</v>
      </c>
      <c r="F411" s="58"/>
      <c r="G411" s="58"/>
      <c r="H411" s="58"/>
      <c r="I411" s="58"/>
      <c r="J411" s="58"/>
      <c r="K411" s="58"/>
      <c r="L411" s="58"/>
      <c r="M411" s="58"/>
      <c r="N411" s="58"/>
      <c r="O411" s="58"/>
      <c r="P411" s="58"/>
      <c r="Q411" s="58"/>
      <c r="R411" s="58"/>
      <c r="S411" s="58"/>
      <c r="T411" s="58"/>
      <c r="U411" s="58"/>
      <c r="V411" s="58"/>
      <c r="W411" s="58"/>
      <c r="X411" s="58"/>
      <c r="Y411" s="58"/>
      <c r="Z411" s="58"/>
    </row>
    <row r="412" ht="15.75" customHeight="1">
      <c r="A412" s="56" t="s">
        <v>6732</v>
      </c>
      <c r="B412" s="56" t="s">
        <v>6733</v>
      </c>
      <c r="C412" s="56" t="s">
        <v>6734</v>
      </c>
      <c r="D412" s="29" t="s">
        <v>6735</v>
      </c>
      <c r="E412" s="56" t="s">
        <v>6667</v>
      </c>
      <c r="F412" s="58"/>
      <c r="G412" s="58"/>
      <c r="H412" s="58"/>
      <c r="I412" s="58"/>
      <c r="J412" s="58"/>
      <c r="K412" s="58"/>
      <c r="L412" s="58"/>
      <c r="M412" s="58"/>
      <c r="N412" s="58"/>
      <c r="O412" s="58"/>
      <c r="P412" s="58"/>
      <c r="Q412" s="58"/>
      <c r="R412" s="58"/>
      <c r="S412" s="58"/>
      <c r="T412" s="58"/>
      <c r="U412" s="58"/>
      <c r="V412" s="58"/>
      <c r="W412" s="58"/>
      <c r="X412" s="58"/>
      <c r="Y412" s="58"/>
      <c r="Z412" s="58"/>
    </row>
    <row r="413" ht="15.75" customHeight="1">
      <c r="A413" s="56" t="s">
        <v>6736</v>
      </c>
      <c r="B413" s="56" t="s">
        <v>6737</v>
      </c>
      <c r="C413" s="56" t="s">
        <v>6738</v>
      </c>
      <c r="D413" s="29" t="s">
        <v>6739</v>
      </c>
      <c r="E413" s="56" t="s">
        <v>6672</v>
      </c>
      <c r="F413" s="58"/>
      <c r="G413" s="58"/>
      <c r="H413" s="58"/>
      <c r="I413" s="58"/>
      <c r="J413" s="58"/>
      <c r="K413" s="58"/>
      <c r="L413" s="58"/>
      <c r="M413" s="58"/>
      <c r="N413" s="58"/>
      <c r="O413" s="58"/>
      <c r="P413" s="58"/>
      <c r="Q413" s="58"/>
      <c r="R413" s="58"/>
      <c r="S413" s="58"/>
      <c r="T413" s="58"/>
      <c r="U413" s="58"/>
      <c r="V413" s="58"/>
      <c r="W413" s="58"/>
      <c r="X413" s="58"/>
      <c r="Y413" s="58"/>
      <c r="Z413" s="58"/>
    </row>
    <row r="414" ht="15.75" customHeight="1">
      <c r="A414" s="56" t="s">
        <v>6740</v>
      </c>
      <c r="B414" s="56" t="s">
        <v>6741</v>
      </c>
      <c r="C414" s="56" t="s">
        <v>6742</v>
      </c>
      <c r="D414" s="29" t="s">
        <v>6743</v>
      </c>
      <c r="E414" s="56" t="s">
        <v>6662</v>
      </c>
      <c r="F414" s="58"/>
      <c r="G414" s="58"/>
      <c r="H414" s="58"/>
      <c r="I414" s="58"/>
      <c r="J414" s="58"/>
      <c r="K414" s="58"/>
      <c r="L414" s="58"/>
      <c r="M414" s="58"/>
      <c r="N414" s="58"/>
      <c r="O414" s="58"/>
      <c r="P414" s="58"/>
      <c r="Q414" s="58"/>
      <c r="R414" s="58"/>
      <c r="S414" s="58"/>
      <c r="T414" s="58"/>
      <c r="U414" s="58"/>
      <c r="V414" s="58"/>
      <c r="W414" s="58"/>
      <c r="X414" s="58"/>
      <c r="Y414" s="58"/>
      <c r="Z414" s="58"/>
    </row>
    <row r="415" ht="15.75" customHeight="1">
      <c r="A415" s="56" t="s">
        <v>6744</v>
      </c>
      <c r="B415" s="56" t="s">
        <v>6745</v>
      </c>
      <c r="C415" s="56" t="s">
        <v>6746</v>
      </c>
      <c r="D415" s="29" t="s">
        <v>6747</v>
      </c>
      <c r="E415" s="56" t="s">
        <v>6667</v>
      </c>
      <c r="F415" s="58"/>
      <c r="G415" s="58"/>
      <c r="H415" s="58"/>
      <c r="I415" s="58"/>
      <c r="J415" s="58"/>
      <c r="K415" s="58"/>
      <c r="L415" s="58"/>
      <c r="M415" s="58"/>
      <c r="N415" s="58"/>
      <c r="O415" s="58"/>
      <c r="P415" s="58"/>
      <c r="Q415" s="58"/>
      <c r="R415" s="58"/>
      <c r="S415" s="58"/>
      <c r="T415" s="58"/>
      <c r="U415" s="58"/>
      <c r="V415" s="58"/>
      <c r="W415" s="58"/>
      <c r="X415" s="58"/>
      <c r="Y415" s="58"/>
      <c r="Z415" s="58"/>
    </row>
    <row r="416" ht="15.75" customHeight="1">
      <c r="A416" s="56" t="s">
        <v>6748</v>
      </c>
      <c r="B416" s="56" t="s">
        <v>6749</v>
      </c>
      <c r="C416" s="56" t="s">
        <v>6750</v>
      </c>
      <c r="D416" s="29" t="s">
        <v>6751</v>
      </c>
      <c r="E416" s="56" t="s">
        <v>6672</v>
      </c>
      <c r="F416" s="58"/>
      <c r="G416" s="58"/>
      <c r="H416" s="58"/>
      <c r="I416" s="58"/>
      <c r="J416" s="58"/>
      <c r="K416" s="58"/>
      <c r="L416" s="58"/>
      <c r="M416" s="58"/>
      <c r="N416" s="58"/>
      <c r="O416" s="58"/>
      <c r="P416" s="58"/>
      <c r="Q416" s="58"/>
      <c r="R416" s="58"/>
      <c r="S416" s="58"/>
      <c r="T416" s="58"/>
      <c r="U416" s="58"/>
      <c r="V416" s="58"/>
      <c r="W416" s="58"/>
      <c r="X416" s="58"/>
      <c r="Y416" s="58"/>
      <c r="Z416" s="58"/>
    </row>
    <row r="417" ht="15.75" customHeight="1">
      <c r="A417" s="56" t="s">
        <v>6752</v>
      </c>
      <c r="B417" s="56" t="s">
        <v>6753</v>
      </c>
      <c r="C417" s="56" t="s">
        <v>6754</v>
      </c>
      <c r="D417" s="29" t="s">
        <v>6755</v>
      </c>
      <c r="E417" s="56" t="s">
        <v>3516</v>
      </c>
      <c r="F417" s="58"/>
      <c r="G417" s="58"/>
      <c r="H417" s="58"/>
      <c r="I417" s="58"/>
      <c r="J417" s="58"/>
      <c r="K417" s="58"/>
      <c r="L417" s="58"/>
      <c r="M417" s="58"/>
      <c r="N417" s="58"/>
      <c r="O417" s="58"/>
      <c r="P417" s="58"/>
      <c r="Q417" s="58"/>
      <c r="R417" s="58"/>
      <c r="S417" s="58"/>
      <c r="T417" s="58"/>
      <c r="U417" s="58"/>
      <c r="V417" s="58"/>
      <c r="W417" s="58"/>
      <c r="X417" s="58"/>
      <c r="Y417" s="58"/>
      <c r="Z417" s="58"/>
    </row>
    <row r="418" ht="15.75" customHeight="1">
      <c r="A418" s="12" t="s">
        <v>6756</v>
      </c>
      <c r="B418" s="12" t="s">
        <v>6757</v>
      </c>
      <c r="C418" s="12" t="s">
        <v>6758</v>
      </c>
      <c r="D418" s="29" t="s">
        <v>6759</v>
      </c>
      <c r="E418" s="86"/>
      <c r="F418" s="58"/>
      <c r="G418" s="58"/>
      <c r="H418" s="58"/>
      <c r="I418" s="58"/>
      <c r="J418" s="58"/>
      <c r="K418" s="58"/>
      <c r="L418" s="58"/>
      <c r="M418" s="58"/>
      <c r="N418" s="58"/>
      <c r="O418" s="58"/>
      <c r="P418" s="58"/>
      <c r="Q418" s="58"/>
      <c r="R418" s="58"/>
      <c r="S418" s="58"/>
      <c r="T418" s="58"/>
      <c r="U418" s="58"/>
      <c r="V418" s="58"/>
      <c r="W418" s="58"/>
      <c r="X418" s="58"/>
      <c r="Y418" s="58"/>
      <c r="Z418" s="58"/>
    </row>
    <row r="419" ht="15.75" customHeight="1">
      <c r="A419" s="12" t="s">
        <v>6760</v>
      </c>
      <c r="B419" s="12" t="s">
        <v>6761</v>
      </c>
      <c r="C419" s="12" t="s">
        <v>6762</v>
      </c>
      <c r="D419" s="29" t="s">
        <v>6763</v>
      </c>
      <c r="E419" s="12" t="s">
        <v>3543</v>
      </c>
      <c r="F419" s="58"/>
      <c r="G419" s="58"/>
      <c r="H419" s="58"/>
      <c r="I419" s="58"/>
      <c r="J419" s="58"/>
      <c r="K419" s="58"/>
      <c r="L419" s="58"/>
      <c r="M419" s="58"/>
      <c r="N419" s="58"/>
      <c r="O419" s="58"/>
      <c r="P419" s="58"/>
      <c r="Q419" s="58"/>
      <c r="R419" s="58"/>
      <c r="S419" s="58"/>
      <c r="T419" s="58"/>
      <c r="U419" s="58"/>
      <c r="V419" s="58"/>
      <c r="W419" s="58"/>
      <c r="X419" s="58"/>
      <c r="Y419" s="58"/>
      <c r="Z419" s="58"/>
    </row>
    <row r="420" ht="15.75" customHeight="1">
      <c r="A420" s="56" t="s">
        <v>6764</v>
      </c>
      <c r="B420" s="56" t="s">
        <v>6765</v>
      </c>
      <c r="C420" s="56" t="s">
        <v>6766</v>
      </c>
      <c r="D420" s="29" t="s">
        <v>6767</v>
      </c>
      <c r="E420" s="56" t="s">
        <v>3551</v>
      </c>
      <c r="F420" s="58"/>
      <c r="G420" s="58"/>
      <c r="H420" s="58"/>
      <c r="I420" s="58"/>
      <c r="J420" s="58"/>
      <c r="K420" s="58"/>
      <c r="L420" s="58"/>
      <c r="M420" s="58"/>
      <c r="N420" s="58"/>
      <c r="O420" s="58"/>
      <c r="P420" s="58"/>
      <c r="Q420" s="58"/>
      <c r="R420" s="58"/>
      <c r="S420" s="58"/>
      <c r="T420" s="58"/>
      <c r="U420" s="58"/>
      <c r="V420" s="58"/>
      <c r="W420" s="58"/>
      <c r="X420" s="58"/>
      <c r="Y420" s="58"/>
      <c r="Z420" s="58"/>
    </row>
    <row r="421" ht="15.75" customHeight="1">
      <c r="A421" s="56" t="s">
        <v>6768</v>
      </c>
      <c r="B421" s="56" t="s">
        <v>6769</v>
      </c>
      <c r="C421" s="56" t="s">
        <v>6770</v>
      </c>
      <c r="D421" s="29" t="s">
        <v>6771</v>
      </c>
      <c r="E421" s="56" t="s">
        <v>3560</v>
      </c>
      <c r="F421" s="58"/>
      <c r="G421" s="58"/>
      <c r="H421" s="58"/>
      <c r="I421" s="58"/>
      <c r="J421" s="58"/>
      <c r="K421" s="58"/>
      <c r="L421" s="58"/>
      <c r="M421" s="58"/>
      <c r="N421" s="58"/>
      <c r="O421" s="58"/>
      <c r="P421" s="58"/>
      <c r="Q421" s="58"/>
      <c r="R421" s="58"/>
      <c r="S421" s="58"/>
      <c r="T421" s="58"/>
      <c r="U421" s="58"/>
      <c r="V421" s="58"/>
      <c r="W421" s="58"/>
      <c r="X421" s="58"/>
      <c r="Y421" s="58"/>
      <c r="Z421" s="58"/>
    </row>
    <row r="422" ht="15.75" customHeight="1">
      <c r="A422" s="56" t="s">
        <v>6772</v>
      </c>
      <c r="B422" s="56" t="s">
        <v>6773</v>
      </c>
      <c r="C422" s="56" t="s">
        <v>6774</v>
      </c>
      <c r="D422" s="29" t="s">
        <v>6775</v>
      </c>
      <c r="E422" s="56" t="s">
        <v>3521</v>
      </c>
      <c r="F422" s="58"/>
      <c r="G422" s="58"/>
      <c r="H422" s="58"/>
      <c r="I422" s="58"/>
      <c r="J422" s="58"/>
      <c r="K422" s="58"/>
      <c r="L422" s="58"/>
      <c r="M422" s="58"/>
      <c r="N422" s="58"/>
      <c r="O422" s="58"/>
      <c r="P422" s="58"/>
      <c r="Q422" s="58"/>
      <c r="R422" s="58"/>
      <c r="S422" s="58"/>
      <c r="T422" s="58"/>
      <c r="U422" s="58"/>
      <c r="V422" s="58"/>
      <c r="W422" s="58"/>
      <c r="X422" s="58"/>
      <c r="Y422" s="58"/>
      <c r="Z422" s="58"/>
    </row>
    <row r="423" ht="15.75" customHeight="1">
      <c r="A423" s="12" t="s">
        <v>6776</v>
      </c>
      <c r="B423" s="12" t="s">
        <v>6777</v>
      </c>
      <c r="C423" s="12" t="s">
        <v>6778</v>
      </c>
      <c r="D423" s="29" t="s">
        <v>6780</v>
      </c>
      <c r="E423" s="12" t="s">
        <v>3543</v>
      </c>
      <c r="F423" s="58"/>
      <c r="G423" s="58"/>
      <c r="H423" s="58"/>
      <c r="I423" s="58"/>
      <c r="J423" s="58"/>
      <c r="K423" s="58"/>
      <c r="L423" s="58"/>
      <c r="M423" s="58"/>
      <c r="N423" s="58"/>
      <c r="O423" s="58"/>
      <c r="P423" s="58"/>
      <c r="Q423" s="58"/>
      <c r="R423" s="58"/>
      <c r="S423" s="58"/>
      <c r="T423" s="58"/>
      <c r="U423" s="58"/>
      <c r="V423" s="58"/>
      <c r="W423" s="58"/>
      <c r="X423" s="58"/>
      <c r="Y423" s="58"/>
      <c r="Z423" s="58"/>
    </row>
    <row r="424" ht="15.75" customHeight="1">
      <c r="A424" s="56" t="s">
        <v>6785</v>
      </c>
      <c r="B424" s="56" t="s">
        <v>6786</v>
      </c>
      <c r="C424" s="56" t="s">
        <v>6787</v>
      </c>
      <c r="D424" s="29" t="s">
        <v>6789</v>
      </c>
      <c r="E424" s="56" t="s">
        <v>3551</v>
      </c>
      <c r="F424" s="58"/>
      <c r="G424" s="58"/>
      <c r="H424" s="58"/>
      <c r="I424" s="58"/>
      <c r="J424" s="58"/>
      <c r="K424" s="58"/>
      <c r="L424" s="58"/>
      <c r="M424" s="58"/>
      <c r="N424" s="58"/>
      <c r="O424" s="58"/>
      <c r="P424" s="58"/>
      <c r="Q424" s="58"/>
      <c r="R424" s="58"/>
      <c r="S424" s="58"/>
      <c r="T424" s="58"/>
      <c r="U424" s="58"/>
      <c r="V424" s="58"/>
      <c r="W424" s="58"/>
      <c r="X424" s="58"/>
      <c r="Y424" s="58"/>
      <c r="Z424" s="58"/>
    </row>
    <row r="425" ht="15.75" customHeight="1">
      <c r="A425" s="56" t="s">
        <v>6793</v>
      </c>
      <c r="B425" s="56" t="s">
        <v>6794</v>
      </c>
      <c r="C425" s="56" t="s">
        <v>6795</v>
      </c>
      <c r="D425" s="29" t="s">
        <v>6796</v>
      </c>
      <c r="E425" s="29" t="s">
        <v>3560</v>
      </c>
      <c r="F425" s="58"/>
      <c r="G425" s="58"/>
      <c r="H425" s="58"/>
      <c r="I425" s="58"/>
      <c r="J425" s="58"/>
      <c r="K425" s="58"/>
      <c r="L425" s="58"/>
      <c r="M425" s="58"/>
      <c r="N425" s="58"/>
      <c r="O425" s="58"/>
      <c r="P425" s="58"/>
      <c r="Q425" s="58"/>
      <c r="R425" s="58"/>
      <c r="S425" s="58"/>
      <c r="T425" s="58"/>
      <c r="U425" s="58"/>
      <c r="V425" s="58"/>
      <c r="W425" s="58"/>
      <c r="X425" s="58"/>
      <c r="Y425" s="58"/>
      <c r="Z425" s="58"/>
    </row>
    <row r="426" ht="15.75" customHeight="1">
      <c r="A426" s="56" t="s">
        <v>6797</v>
      </c>
      <c r="B426" s="56" t="s">
        <v>6798</v>
      </c>
      <c r="C426" s="56" t="s">
        <v>6799</v>
      </c>
      <c r="D426" s="29" t="s">
        <v>6800</v>
      </c>
      <c r="E426" s="56" t="s">
        <v>3543</v>
      </c>
      <c r="F426" s="58"/>
      <c r="G426" s="58"/>
      <c r="H426" s="58"/>
      <c r="I426" s="58"/>
      <c r="J426" s="58"/>
      <c r="K426" s="58"/>
      <c r="L426" s="58"/>
      <c r="M426" s="58"/>
      <c r="N426" s="58"/>
      <c r="O426" s="58"/>
      <c r="P426" s="58"/>
      <c r="Q426" s="58"/>
      <c r="R426" s="58"/>
      <c r="S426" s="58"/>
      <c r="T426" s="58"/>
      <c r="U426" s="58"/>
      <c r="V426" s="58"/>
      <c r="W426" s="58"/>
      <c r="X426" s="58"/>
      <c r="Y426" s="58"/>
      <c r="Z426" s="58"/>
    </row>
    <row r="427" ht="15.75" customHeight="1">
      <c r="A427" s="56" t="s">
        <v>6801</v>
      </c>
      <c r="B427" s="56" t="s">
        <v>6802</v>
      </c>
      <c r="C427" s="56" t="s">
        <v>6803</v>
      </c>
      <c r="D427" s="29" t="s">
        <v>6804</v>
      </c>
      <c r="E427" s="56" t="s">
        <v>3551</v>
      </c>
      <c r="F427" s="58"/>
      <c r="G427" s="58"/>
      <c r="H427" s="58"/>
      <c r="I427" s="58"/>
      <c r="J427" s="58"/>
      <c r="K427" s="58"/>
      <c r="L427" s="58"/>
      <c r="M427" s="58"/>
      <c r="N427" s="58"/>
      <c r="O427" s="58"/>
      <c r="P427" s="58"/>
      <c r="Q427" s="58"/>
      <c r="R427" s="58"/>
      <c r="S427" s="58"/>
      <c r="T427" s="58"/>
      <c r="U427" s="58"/>
      <c r="V427" s="58"/>
      <c r="W427" s="58"/>
      <c r="X427" s="58"/>
      <c r="Y427" s="58"/>
      <c r="Z427" s="58"/>
    </row>
    <row r="428" ht="15.75" customHeight="1">
      <c r="A428" s="56" t="s">
        <v>6805</v>
      </c>
      <c r="B428" s="56" t="s">
        <v>6806</v>
      </c>
      <c r="C428" s="56" t="s">
        <v>6807</v>
      </c>
      <c r="D428" s="29" t="s">
        <v>6808</v>
      </c>
      <c r="E428" s="56" t="s">
        <v>3560</v>
      </c>
      <c r="F428" s="58"/>
      <c r="G428" s="58"/>
      <c r="H428" s="58"/>
      <c r="I428" s="58"/>
      <c r="J428" s="58"/>
      <c r="K428" s="58"/>
      <c r="L428" s="58"/>
      <c r="M428" s="58"/>
      <c r="N428" s="58"/>
      <c r="O428" s="58"/>
      <c r="P428" s="58"/>
      <c r="Q428" s="58"/>
      <c r="R428" s="58"/>
      <c r="S428" s="58"/>
      <c r="T428" s="58"/>
      <c r="U428" s="58"/>
      <c r="V428" s="58"/>
      <c r="W428" s="58"/>
      <c r="X428" s="58"/>
      <c r="Y428" s="58"/>
      <c r="Z428" s="58"/>
    </row>
    <row r="429" ht="15.75" customHeight="1">
      <c r="A429" s="56" t="s">
        <v>6809</v>
      </c>
      <c r="B429" s="56" t="s">
        <v>6810</v>
      </c>
      <c r="C429" s="56" t="s">
        <v>6811</v>
      </c>
      <c r="D429" s="29" t="s">
        <v>6812</v>
      </c>
      <c r="E429" s="56" t="s">
        <v>3551</v>
      </c>
      <c r="F429" s="58"/>
      <c r="G429" s="58"/>
      <c r="H429" s="58"/>
      <c r="I429" s="58"/>
      <c r="J429" s="58"/>
      <c r="K429" s="58"/>
      <c r="L429" s="58"/>
      <c r="M429" s="58"/>
      <c r="N429" s="58"/>
      <c r="O429" s="58"/>
      <c r="P429" s="58"/>
      <c r="Q429" s="58"/>
      <c r="R429" s="58"/>
      <c r="S429" s="58"/>
      <c r="T429" s="58"/>
      <c r="U429" s="58"/>
      <c r="V429" s="58"/>
      <c r="W429" s="58"/>
      <c r="X429" s="58"/>
      <c r="Y429" s="58"/>
      <c r="Z429" s="58"/>
    </row>
    <row r="430" ht="15.75" customHeight="1">
      <c r="A430" s="56" t="s">
        <v>6813</v>
      </c>
      <c r="B430" s="56" t="s">
        <v>6814</v>
      </c>
      <c r="C430" s="56" t="s">
        <v>6815</v>
      </c>
      <c r="D430" s="29" t="s">
        <v>6816</v>
      </c>
      <c r="E430" s="56" t="s">
        <v>3543</v>
      </c>
      <c r="F430" s="58"/>
      <c r="G430" s="58"/>
      <c r="H430" s="58"/>
      <c r="I430" s="58"/>
      <c r="J430" s="58"/>
      <c r="K430" s="58"/>
      <c r="L430" s="58"/>
      <c r="M430" s="58"/>
      <c r="N430" s="58"/>
      <c r="O430" s="58"/>
      <c r="P430" s="58"/>
      <c r="Q430" s="58"/>
      <c r="R430" s="58"/>
      <c r="S430" s="58"/>
      <c r="T430" s="58"/>
      <c r="U430" s="58"/>
      <c r="V430" s="58"/>
      <c r="W430" s="58"/>
      <c r="X430" s="58"/>
      <c r="Y430" s="58"/>
      <c r="Z430" s="58"/>
    </row>
    <row r="431" ht="15.75" customHeight="1">
      <c r="A431" s="56" t="s">
        <v>6817</v>
      </c>
      <c r="B431" s="56" t="s">
        <v>6818</v>
      </c>
      <c r="C431" s="56" t="s">
        <v>6819</v>
      </c>
      <c r="D431" s="29" t="s">
        <v>6820</v>
      </c>
      <c r="E431" s="56" t="s">
        <v>3560</v>
      </c>
      <c r="F431" s="58"/>
      <c r="G431" s="58"/>
      <c r="H431" s="58"/>
      <c r="I431" s="58"/>
      <c r="J431" s="58"/>
      <c r="K431" s="58"/>
      <c r="L431" s="58"/>
      <c r="M431" s="58"/>
      <c r="N431" s="58"/>
      <c r="O431" s="58"/>
      <c r="P431" s="58"/>
      <c r="Q431" s="58"/>
      <c r="R431" s="58"/>
      <c r="S431" s="58"/>
      <c r="T431" s="58"/>
      <c r="U431" s="58"/>
      <c r="V431" s="58"/>
      <c r="W431" s="58"/>
      <c r="X431" s="58"/>
      <c r="Y431" s="58"/>
      <c r="Z431" s="58"/>
    </row>
    <row r="432" ht="15.75" customHeight="1">
      <c r="A432" s="56" t="s">
        <v>6821</v>
      </c>
      <c r="B432" s="56" t="s">
        <v>6822</v>
      </c>
      <c r="C432" s="56" t="s">
        <v>6823</v>
      </c>
      <c r="D432" s="29" t="s">
        <v>6824</v>
      </c>
      <c r="E432" s="56" t="s">
        <v>3521</v>
      </c>
      <c r="F432" s="58"/>
      <c r="G432" s="58"/>
      <c r="H432" s="58"/>
      <c r="I432" s="58"/>
      <c r="J432" s="58"/>
      <c r="K432" s="58"/>
      <c r="L432" s="58"/>
      <c r="M432" s="58"/>
      <c r="N432" s="58"/>
      <c r="O432" s="58"/>
      <c r="P432" s="58"/>
      <c r="Q432" s="58"/>
      <c r="R432" s="58"/>
      <c r="S432" s="58"/>
      <c r="T432" s="58"/>
      <c r="U432" s="58"/>
      <c r="V432" s="58"/>
      <c r="W432" s="58"/>
      <c r="X432" s="58"/>
      <c r="Y432" s="58"/>
      <c r="Z432" s="58"/>
    </row>
    <row r="433" ht="15.75" customHeight="1">
      <c r="A433" s="12" t="s">
        <v>6825</v>
      </c>
      <c r="B433" s="12" t="s">
        <v>6826</v>
      </c>
      <c r="C433" s="12" t="s">
        <v>6827</v>
      </c>
      <c r="D433" s="29" t="s">
        <v>6828</v>
      </c>
      <c r="E433" s="12" t="s">
        <v>3521</v>
      </c>
      <c r="F433" s="58"/>
      <c r="G433" s="58"/>
      <c r="H433" s="58"/>
      <c r="I433" s="58"/>
      <c r="J433" s="58"/>
      <c r="K433" s="58"/>
      <c r="L433" s="58"/>
      <c r="M433" s="58"/>
      <c r="N433" s="58"/>
      <c r="O433" s="58"/>
      <c r="P433" s="58"/>
      <c r="Q433" s="58"/>
      <c r="R433" s="58"/>
      <c r="S433" s="58"/>
      <c r="T433" s="58"/>
      <c r="U433" s="58"/>
      <c r="V433" s="58"/>
      <c r="W433" s="58"/>
      <c r="X433" s="58"/>
      <c r="Y433" s="58"/>
      <c r="Z433" s="58"/>
    </row>
    <row r="434" ht="15.75" customHeight="1">
      <c r="A434" s="12" t="s">
        <v>6829</v>
      </c>
      <c r="B434" s="12" t="s">
        <v>6830</v>
      </c>
      <c r="C434" s="12" t="s">
        <v>6831</v>
      </c>
      <c r="D434" s="29" t="s">
        <v>6832</v>
      </c>
      <c r="E434" s="12" t="s">
        <v>3521</v>
      </c>
      <c r="F434" s="58"/>
      <c r="G434" s="58"/>
      <c r="H434" s="58"/>
      <c r="I434" s="58"/>
      <c r="J434" s="58"/>
      <c r="K434" s="58"/>
      <c r="L434" s="58"/>
      <c r="M434" s="58"/>
      <c r="N434" s="58"/>
      <c r="O434" s="58"/>
      <c r="P434" s="58"/>
      <c r="Q434" s="58"/>
      <c r="R434" s="58"/>
      <c r="S434" s="58"/>
      <c r="T434" s="58"/>
      <c r="U434" s="58"/>
      <c r="V434" s="58"/>
      <c r="W434" s="58"/>
      <c r="X434" s="58"/>
      <c r="Y434" s="58"/>
      <c r="Z434" s="58"/>
    </row>
    <row r="435" ht="15.75" customHeight="1">
      <c r="A435" s="12" t="s">
        <v>6833</v>
      </c>
      <c r="B435" s="12" t="s">
        <v>6834</v>
      </c>
      <c r="C435" s="12" t="s">
        <v>6835</v>
      </c>
      <c r="D435" s="29" t="s">
        <v>6836</v>
      </c>
      <c r="E435" s="12" t="s">
        <v>6837</v>
      </c>
      <c r="F435" s="58"/>
      <c r="G435" s="58"/>
      <c r="H435" s="58"/>
      <c r="I435" s="58"/>
      <c r="J435" s="58"/>
      <c r="K435" s="58"/>
      <c r="L435" s="58"/>
      <c r="M435" s="58"/>
      <c r="N435" s="58"/>
      <c r="O435" s="58"/>
      <c r="P435" s="58"/>
      <c r="Q435" s="58"/>
      <c r="R435" s="58"/>
      <c r="S435" s="58"/>
      <c r="T435" s="58"/>
      <c r="U435" s="58"/>
      <c r="V435" s="58"/>
      <c r="W435" s="58"/>
      <c r="X435" s="58"/>
      <c r="Y435" s="58"/>
      <c r="Z435" s="58"/>
    </row>
    <row r="436" ht="15.75" customHeight="1">
      <c r="A436" s="12" t="s">
        <v>6838</v>
      </c>
      <c r="B436" s="12" t="s">
        <v>6839</v>
      </c>
      <c r="C436" s="12" t="s">
        <v>6840</v>
      </c>
      <c r="D436" s="29" t="s">
        <v>6841</v>
      </c>
      <c r="E436" s="12" t="s">
        <v>6837</v>
      </c>
      <c r="F436" s="58"/>
      <c r="G436" s="58"/>
      <c r="H436" s="58"/>
      <c r="I436" s="58"/>
      <c r="J436" s="58"/>
      <c r="K436" s="58"/>
      <c r="L436" s="58"/>
      <c r="M436" s="58"/>
      <c r="N436" s="58"/>
      <c r="O436" s="58"/>
      <c r="P436" s="58"/>
      <c r="Q436" s="58"/>
      <c r="R436" s="58"/>
      <c r="S436" s="58"/>
      <c r="T436" s="58"/>
      <c r="U436" s="58"/>
      <c r="V436" s="58"/>
      <c r="W436" s="58"/>
      <c r="X436" s="58"/>
      <c r="Y436" s="58"/>
      <c r="Z436" s="58"/>
    </row>
    <row r="437" ht="15.75" customHeight="1">
      <c r="A437" s="12" t="s">
        <v>6842</v>
      </c>
      <c r="B437" s="12" t="s">
        <v>6844</v>
      </c>
      <c r="C437" s="12" t="s">
        <v>6845</v>
      </c>
      <c r="D437" s="29" t="s">
        <v>6846</v>
      </c>
      <c r="E437" s="86"/>
      <c r="F437" s="58"/>
      <c r="G437" s="58"/>
      <c r="H437" s="58"/>
      <c r="I437" s="58"/>
      <c r="J437" s="58"/>
      <c r="K437" s="58"/>
      <c r="L437" s="58"/>
      <c r="M437" s="58"/>
      <c r="N437" s="58"/>
      <c r="O437" s="58"/>
      <c r="P437" s="58"/>
      <c r="Q437" s="58"/>
      <c r="R437" s="58"/>
      <c r="S437" s="58"/>
      <c r="T437" s="58"/>
      <c r="U437" s="58"/>
      <c r="V437" s="58"/>
      <c r="W437" s="58"/>
      <c r="X437" s="58"/>
      <c r="Y437" s="58"/>
      <c r="Z437" s="58"/>
    </row>
    <row r="438" ht="15.75" customHeight="1">
      <c r="A438" s="12" t="s">
        <v>6851</v>
      </c>
      <c r="B438" s="12" t="s">
        <v>6852</v>
      </c>
      <c r="C438" s="12" t="s">
        <v>6853</v>
      </c>
      <c r="D438" s="29" t="s">
        <v>6854</v>
      </c>
      <c r="E438" s="86"/>
      <c r="F438" s="58"/>
      <c r="G438" s="58"/>
      <c r="H438" s="58"/>
      <c r="I438" s="58"/>
      <c r="J438" s="58"/>
      <c r="K438" s="58"/>
      <c r="L438" s="58"/>
      <c r="M438" s="58"/>
      <c r="N438" s="58"/>
      <c r="O438" s="58"/>
      <c r="P438" s="58"/>
      <c r="Q438" s="58"/>
      <c r="R438" s="58"/>
      <c r="S438" s="58"/>
      <c r="T438" s="58"/>
      <c r="U438" s="58"/>
      <c r="V438" s="58"/>
      <c r="W438" s="58"/>
      <c r="X438" s="58"/>
      <c r="Y438" s="58"/>
      <c r="Z438" s="58"/>
    </row>
    <row r="439" ht="15.75" customHeight="1">
      <c r="A439" s="12" t="s">
        <v>6855</v>
      </c>
      <c r="B439" s="12" t="s">
        <v>6855</v>
      </c>
      <c r="C439" s="12" t="s">
        <v>6856</v>
      </c>
      <c r="D439" s="29" t="s">
        <v>6857</v>
      </c>
      <c r="E439" s="86"/>
      <c r="F439" s="58"/>
      <c r="G439" s="58"/>
      <c r="H439" s="58"/>
      <c r="I439" s="58"/>
      <c r="J439" s="58"/>
      <c r="K439" s="58"/>
      <c r="L439" s="58"/>
      <c r="M439" s="58"/>
      <c r="N439" s="58"/>
      <c r="O439" s="58"/>
      <c r="P439" s="58"/>
      <c r="Q439" s="58"/>
      <c r="R439" s="58"/>
      <c r="S439" s="58"/>
      <c r="T439" s="58"/>
      <c r="U439" s="58"/>
      <c r="V439" s="58"/>
      <c r="W439" s="58"/>
      <c r="X439" s="58"/>
      <c r="Y439" s="58"/>
      <c r="Z439" s="58"/>
    </row>
    <row r="440" ht="15.75" customHeight="1">
      <c r="A440" s="12" t="s">
        <v>6858</v>
      </c>
      <c r="B440" s="12" t="s">
        <v>6859</v>
      </c>
      <c r="C440" s="12" t="s">
        <v>6860</v>
      </c>
      <c r="D440" s="29" t="s">
        <v>6861</v>
      </c>
      <c r="E440" s="86"/>
      <c r="F440" s="58"/>
      <c r="G440" s="58"/>
      <c r="H440" s="58"/>
      <c r="I440" s="58"/>
      <c r="J440" s="58"/>
      <c r="K440" s="58"/>
      <c r="L440" s="58"/>
      <c r="M440" s="58"/>
      <c r="N440" s="58"/>
      <c r="O440" s="58"/>
      <c r="P440" s="58"/>
      <c r="Q440" s="58"/>
      <c r="R440" s="58"/>
      <c r="S440" s="58"/>
      <c r="T440" s="58"/>
      <c r="U440" s="58"/>
      <c r="V440" s="58"/>
      <c r="W440" s="58"/>
      <c r="X440" s="58"/>
      <c r="Y440" s="58"/>
      <c r="Z440" s="58"/>
    </row>
    <row r="441" ht="15.75" customHeight="1">
      <c r="A441" s="12" t="s">
        <v>6862</v>
      </c>
      <c r="B441" s="12" t="s">
        <v>6863</v>
      </c>
      <c r="C441" s="12" t="s">
        <v>6864</v>
      </c>
      <c r="D441" s="29" t="s">
        <v>6865</v>
      </c>
      <c r="E441" s="86"/>
      <c r="F441" s="58"/>
      <c r="G441" s="58"/>
      <c r="H441" s="58"/>
      <c r="I441" s="58"/>
      <c r="J441" s="58"/>
      <c r="K441" s="58"/>
      <c r="L441" s="58"/>
      <c r="M441" s="58"/>
      <c r="N441" s="58"/>
      <c r="O441" s="58"/>
      <c r="P441" s="58"/>
      <c r="Q441" s="58"/>
      <c r="R441" s="58"/>
      <c r="S441" s="58"/>
      <c r="T441" s="58"/>
      <c r="U441" s="58"/>
      <c r="V441" s="58"/>
      <c r="W441" s="58"/>
      <c r="X441" s="58"/>
      <c r="Y441" s="58"/>
      <c r="Z441" s="58"/>
    </row>
    <row r="442" ht="15.75" customHeight="1">
      <c r="A442" s="12" t="s">
        <v>6866</v>
      </c>
      <c r="B442" s="12" t="s">
        <v>6867</v>
      </c>
      <c r="C442" s="12" t="s">
        <v>6868</v>
      </c>
      <c r="D442" s="29" t="s">
        <v>6869</v>
      </c>
      <c r="E442" s="86"/>
      <c r="F442" s="58"/>
      <c r="G442" s="58"/>
      <c r="H442" s="58"/>
      <c r="I442" s="58"/>
      <c r="J442" s="58"/>
      <c r="K442" s="58"/>
      <c r="L442" s="58"/>
      <c r="M442" s="58"/>
      <c r="N442" s="58"/>
      <c r="O442" s="58"/>
      <c r="P442" s="58"/>
      <c r="Q442" s="58"/>
      <c r="R442" s="58"/>
      <c r="S442" s="58"/>
      <c r="T442" s="58"/>
      <c r="U442" s="58"/>
      <c r="V442" s="58"/>
      <c r="W442" s="58"/>
      <c r="X442" s="58"/>
      <c r="Y442" s="58"/>
      <c r="Z442" s="58"/>
    </row>
    <row r="443" ht="15.75" customHeight="1">
      <c r="A443" s="12" t="s">
        <v>6870</v>
      </c>
      <c r="B443" s="12" t="s">
        <v>6870</v>
      </c>
      <c r="C443" s="12" t="s">
        <v>6871</v>
      </c>
      <c r="D443" s="29" t="s">
        <v>6872</v>
      </c>
      <c r="E443" s="133"/>
      <c r="F443" s="58"/>
      <c r="G443" s="58"/>
      <c r="H443" s="58"/>
      <c r="I443" s="58"/>
      <c r="J443" s="58"/>
      <c r="K443" s="58"/>
      <c r="L443" s="58"/>
      <c r="M443" s="58"/>
      <c r="N443" s="58"/>
      <c r="O443" s="58"/>
      <c r="P443" s="58"/>
      <c r="Q443" s="58"/>
      <c r="R443" s="58"/>
      <c r="S443" s="58"/>
      <c r="T443" s="58"/>
      <c r="U443" s="58"/>
      <c r="V443" s="58"/>
      <c r="W443" s="58"/>
      <c r="X443" s="58"/>
      <c r="Y443" s="58"/>
      <c r="Z443" s="58"/>
    </row>
    <row r="444" ht="15.75" customHeight="1">
      <c r="A444" s="12" t="s">
        <v>6873</v>
      </c>
      <c r="B444" s="12" t="s">
        <v>6874</v>
      </c>
      <c r="C444" s="12" t="s">
        <v>6875</v>
      </c>
      <c r="D444" s="29" t="s">
        <v>6876</v>
      </c>
      <c r="E444" s="133"/>
      <c r="F444" s="58"/>
      <c r="G444" s="58"/>
      <c r="H444" s="58"/>
      <c r="I444" s="58"/>
      <c r="J444" s="58"/>
      <c r="K444" s="58"/>
      <c r="L444" s="58"/>
      <c r="M444" s="58"/>
      <c r="N444" s="58"/>
      <c r="O444" s="58"/>
      <c r="P444" s="58"/>
      <c r="Q444" s="58"/>
      <c r="R444" s="58"/>
      <c r="S444" s="58"/>
      <c r="T444" s="58"/>
      <c r="U444" s="58"/>
      <c r="V444" s="58"/>
      <c r="W444" s="58"/>
      <c r="X444" s="58"/>
      <c r="Y444" s="58"/>
      <c r="Z444" s="58"/>
    </row>
    <row r="445" ht="15.75" customHeight="1">
      <c r="A445" s="12" t="s">
        <v>6877</v>
      </c>
      <c r="B445" s="12" t="s">
        <v>6878</v>
      </c>
      <c r="C445" s="12" t="s">
        <v>6879</v>
      </c>
      <c r="D445" s="29" t="s">
        <v>6880</v>
      </c>
      <c r="E445" s="133"/>
      <c r="F445" s="58"/>
      <c r="G445" s="58"/>
      <c r="H445" s="58"/>
      <c r="I445" s="58"/>
      <c r="J445" s="58"/>
      <c r="K445" s="58"/>
      <c r="L445" s="58"/>
      <c r="M445" s="58"/>
      <c r="N445" s="58"/>
      <c r="O445" s="58"/>
      <c r="P445" s="58"/>
      <c r="Q445" s="58"/>
      <c r="R445" s="58"/>
      <c r="S445" s="58"/>
      <c r="T445" s="58"/>
      <c r="U445" s="58"/>
      <c r="V445" s="58"/>
      <c r="W445" s="58"/>
      <c r="X445" s="58"/>
      <c r="Y445" s="58"/>
      <c r="Z445" s="58"/>
    </row>
    <row r="446" ht="15.75" customHeight="1">
      <c r="A446" s="12" t="s">
        <v>6881</v>
      </c>
      <c r="B446" s="12" t="s">
        <v>6882</v>
      </c>
      <c r="C446" s="12" t="s">
        <v>6883</v>
      </c>
      <c r="D446" s="29" t="s">
        <v>6884</v>
      </c>
      <c r="E446" s="133"/>
      <c r="F446" s="58"/>
      <c r="G446" s="58"/>
      <c r="H446" s="58"/>
      <c r="I446" s="58"/>
      <c r="J446" s="58"/>
      <c r="K446" s="58"/>
      <c r="L446" s="58"/>
      <c r="M446" s="58"/>
      <c r="N446" s="58"/>
      <c r="O446" s="58"/>
      <c r="P446" s="58"/>
      <c r="Q446" s="58"/>
      <c r="R446" s="58"/>
      <c r="S446" s="58"/>
      <c r="T446" s="58"/>
      <c r="U446" s="58"/>
      <c r="V446" s="58"/>
      <c r="W446" s="58"/>
      <c r="X446" s="58"/>
      <c r="Y446" s="58"/>
      <c r="Z446" s="58"/>
    </row>
    <row r="447" ht="15.75" customHeight="1">
      <c r="A447" s="12" t="s">
        <v>6885</v>
      </c>
      <c r="B447" s="12" t="s">
        <v>6886</v>
      </c>
      <c r="C447" s="12" t="s">
        <v>6887</v>
      </c>
      <c r="D447" s="29" t="s">
        <v>6888</v>
      </c>
      <c r="E447" s="12" t="s">
        <v>6889</v>
      </c>
      <c r="F447" s="58"/>
      <c r="G447" s="58"/>
      <c r="H447" s="58"/>
      <c r="I447" s="58"/>
      <c r="J447" s="58"/>
      <c r="K447" s="58"/>
      <c r="L447" s="58"/>
      <c r="M447" s="58"/>
      <c r="N447" s="58"/>
      <c r="O447" s="58"/>
      <c r="P447" s="58"/>
      <c r="Q447" s="58"/>
      <c r="R447" s="58"/>
      <c r="S447" s="58"/>
      <c r="T447" s="58"/>
      <c r="U447" s="58"/>
      <c r="V447" s="58"/>
      <c r="W447" s="58"/>
      <c r="X447" s="58"/>
      <c r="Y447" s="58"/>
      <c r="Z447" s="58"/>
    </row>
    <row r="448" ht="15.75" customHeight="1">
      <c r="A448" s="12" t="s">
        <v>6890</v>
      </c>
      <c r="B448" s="12" t="s">
        <v>6891</v>
      </c>
      <c r="C448" s="12" t="s">
        <v>6892</v>
      </c>
      <c r="D448" s="29" t="s">
        <v>6894</v>
      </c>
      <c r="E448" s="56" t="s">
        <v>6895</v>
      </c>
      <c r="F448" s="58"/>
      <c r="G448" s="58"/>
      <c r="H448" s="58"/>
      <c r="I448" s="58"/>
      <c r="J448" s="58"/>
      <c r="K448" s="58"/>
      <c r="L448" s="58"/>
      <c r="M448" s="58"/>
      <c r="N448" s="58"/>
      <c r="O448" s="58"/>
      <c r="P448" s="58"/>
      <c r="Q448" s="58"/>
      <c r="R448" s="58"/>
      <c r="S448" s="58"/>
      <c r="T448" s="58"/>
      <c r="U448" s="58"/>
      <c r="V448" s="58"/>
      <c r="W448" s="58"/>
      <c r="X448" s="58"/>
      <c r="Y448" s="58"/>
      <c r="Z448" s="58"/>
    </row>
    <row r="449" ht="15.75" customHeight="1">
      <c r="A449" s="12" t="s">
        <v>6899</v>
      </c>
      <c r="B449" s="12" t="s">
        <v>6900</v>
      </c>
      <c r="C449" s="12" t="s">
        <v>6901</v>
      </c>
      <c r="D449" s="29" t="s">
        <v>6902</v>
      </c>
      <c r="E449" s="56" t="s">
        <v>6903</v>
      </c>
      <c r="F449" s="58"/>
      <c r="G449" s="58"/>
      <c r="H449" s="58"/>
      <c r="I449" s="58"/>
      <c r="J449" s="58"/>
      <c r="K449" s="58"/>
      <c r="L449" s="58"/>
      <c r="M449" s="58"/>
      <c r="N449" s="58"/>
      <c r="O449" s="58"/>
      <c r="P449" s="58"/>
      <c r="Q449" s="58"/>
      <c r="R449" s="58"/>
      <c r="S449" s="58"/>
      <c r="T449" s="58"/>
      <c r="U449" s="58"/>
      <c r="V449" s="58"/>
      <c r="W449" s="58"/>
      <c r="X449" s="58"/>
      <c r="Y449" s="58"/>
      <c r="Z449" s="58"/>
    </row>
    <row r="450" ht="15.75" customHeight="1">
      <c r="A450" s="12" t="s">
        <v>6908</v>
      </c>
      <c r="B450" s="12" t="s">
        <v>6909</v>
      </c>
      <c r="C450" s="12" t="s">
        <v>6910</v>
      </c>
      <c r="D450" s="29" t="s">
        <v>6911</v>
      </c>
      <c r="E450" s="12" t="s">
        <v>6889</v>
      </c>
      <c r="F450" s="58"/>
      <c r="G450" s="58"/>
      <c r="H450" s="58"/>
      <c r="I450" s="58"/>
      <c r="J450" s="58"/>
      <c r="K450" s="58"/>
      <c r="L450" s="58"/>
      <c r="M450" s="58"/>
      <c r="N450" s="58"/>
      <c r="O450" s="58"/>
      <c r="P450" s="58"/>
      <c r="Q450" s="58"/>
      <c r="R450" s="58"/>
      <c r="S450" s="58"/>
      <c r="T450" s="58"/>
      <c r="U450" s="58"/>
      <c r="V450" s="58"/>
      <c r="W450" s="58"/>
      <c r="X450" s="58"/>
      <c r="Y450" s="58"/>
      <c r="Z450" s="58"/>
    </row>
    <row r="451" ht="15.75" customHeight="1">
      <c r="A451" s="12" t="s">
        <v>6915</v>
      </c>
      <c r="B451" s="12" t="s">
        <v>6917</v>
      </c>
      <c r="C451" s="12" t="s">
        <v>6918</v>
      </c>
      <c r="D451" s="29" t="s">
        <v>6919</v>
      </c>
      <c r="E451" s="29" t="s">
        <v>554</v>
      </c>
      <c r="F451" s="58"/>
      <c r="G451" s="58"/>
      <c r="H451" s="58"/>
      <c r="I451" s="58"/>
      <c r="J451" s="58"/>
      <c r="K451" s="58"/>
      <c r="L451" s="58"/>
      <c r="M451" s="58"/>
      <c r="N451" s="58"/>
      <c r="O451" s="58"/>
      <c r="P451" s="58"/>
      <c r="Q451" s="58"/>
      <c r="R451" s="58"/>
      <c r="S451" s="58"/>
      <c r="T451" s="58"/>
      <c r="U451" s="58"/>
      <c r="V451" s="58"/>
      <c r="W451" s="58"/>
      <c r="X451" s="58"/>
      <c r="Y451" s="58"/>
      <c r="Z451" s="58"/>
    </row>
    <row r="452" ht="15.75" customHeight="1">
      <c r="A452" s="12" t="s">
        <v>6923</v>
      </c>
      <c r="B452" s="12" t="s">
        <v>6924</v>
      </c>
      <c r="C452" s="12" t="s">
        <v>6926</v>
      </c>
      <c r="D452" s="29" t="s">
        <v>6927</v>
      </c>
      <c r="E452" s="56" t="s">
        <v>6928</v>
      </c>
      <c r="F452" s="58"/>
      <c r="G452" s="58"/>
      <c r="H452" s="58"/>
      <c r="I452" s="58"/>
      <c r="J452" s="58"/>
      <c r="K452" s="58"/>
      <c r="L452" s="58"/>
      <c r="M452" s="58"/>
      <c r="N452" s="58"/>
      <c r="O452" s="58"/>
      <c r="P452" s="58"/>
      <c r="Q452" s="58"/>
      <c r="R452" s="58"/>
      <c r="S452" s="58"/>
      <c r="T452" s="58"/>
      <c r="U452" s="58"/>
      <c r="V452" s="58"/>
      <c r="W452" s="58"/>
      <c r="X452" s="58"/>
      <c r="Y452" s="58"/>
      <c r="Z452" s="58"/>
    </row>
    <row r="453" ht="15.75" customHeight="1">
      <c r="A453" s="12" t="s">
        <v>6929</v>
      </c>
      <c r="B453" s="12" t="s">
        <v>6930</v>
      </c>
      <c r="C453" s="12" t="s">
        <v>6931</v>
      </c>
      <c r="D453" s="29" t="s">
        <v>6932</v>
      </c>
      <c r="E453" s="12" t="s">
        <v>3639</v>
      </c>
      <c r="F453" s="58"/>
      <c r="G453" s="58"/>
      <c r="H453" s="58"/>
      <c r="I453" s="58"/>
      <c r="J453" s="58"/>
      <c r="K453" s="58"/>
      <c r="L453" s="58"/>
      <c r="M453" s="58"/>
      <c r="N453" s="58"/>
      <c r="O453" s="58"/>
      <c r="P453" s="58"/>
      <c r="Q453" s="58"/>
      <c r="R453" s="58"/>
      <c r="S453" s="58"/>
      <c r="T453" s="58"/>
      <c r="U453" s="58"/>
      <c r="V453" s="58"/>
      <c r="W453" s="58"/>
      <c r="X453" s="58"/>
      <c r="Y453" s="58"/>
      <c r="Z453" s="58"/>
    </row>
    <row r="454" ht="15.75" customHeight="1">
      <c r="A454" s="12" t="s">
        <v>6933</v>
      </c>
      <c r="B454" s="12" t="s">
        <v>6934</v>
      </c>
      <c r="C454" s="12" t="s">
        <v>6935</v>
      </c>
      <c r="D454" s="29" t="s">
        <v>6936</v>
      </c>
      <c r="E454" s="12" t="s">
        <v>6937</v>
      </c>
      <c r="F454" s="58"/>
      <c r="G454" s="58"/>
      <c r="H454" s="58"/>
      <c r="I454" s="58"/>
      <c r="J454" s="58"/>
      <c r="K454" s="58"/>
      <c r="L454" s="58"/>
      <c r="M454" s="58"/>
      <c r="N454" s="58"/>
      <c r="O454" s="58"/>
      <c r="P454" s="58"/>
      <c r="Q454" s="58"/>
      <c r="R454" s="58"/>
      <c r="S454" s="58"/>
      <c r="T454" s="58"/>
      <c r="U454" s="58"/>
      <c r="V454" s="58"/>
      <c r="W454" s="58"/>
      <c r="X454" s="58"/>
      <c r="Y454" s="58"/>
      <c r="Z454" s="58"/>
    </row>
    <row r="455" ht="15.75" customHeight="1">
      <c r="A455" s="56" t="s">
        <v>6938</v>
      </c>
      <c r="B455" s="56" t="s">
        <v>6939</v>
      </c>
      <c r="C455" s="56" t="s">
        <v>6940</v>
      </c>
      <c r="D455" s="29" t="s">
        <v>6941</v>
      </c>
      <c r="E455" s="56" t="s">
        <v>6942</v>
      </c>
      <c r="F455" s="58"/>
      <c r="G455" s="58"/>
      <c r="H455" s="58"/>
      <c r="I455" s="58"/>
      <c r="J455" s="58"/>
      <c r="K455" s="58"/>
      <c r="L455" s="58"/>
      <c r="M455" s="58"/>
      <c r="N455" s="58"/>
      <c r="O455" s="58"/>
      <c r="P455" s="58"/>
      <c r="Q455" s="58"/>
      <c r="R455" s="58"/>
      <c r="S455" s="58"/>
      <c r="T455" s="58"/>
      <c r="U455" s="58"/>
      <c r="V455" s="58"/>
      <c r="W455" s="58"/>
      <c r="X455" s="58"/>
      <c r="Y455" s="58"/>
      <c r="Z455" s="58"/>
    </row>
    <row r="456" ht="15.75" customHeight="1">
      <c r="A456" s="56" t="s">
        <v>6943</v>
      </c>
      <c r="B456" s="56" t="s">
        <v>6944</v>
      </c>
      <c r="C456" s="56" t="s">
        <v>6945</v>
      </c>
      <c r="D456" s="29" t="s">
        <v>6946</v>
      </c>
      <c r="E456" s="56" t="s">
        <v>6947</v>
      </c>
      <c r="F456" s="58"/>
      <c r="G456" s="58"/>
      <c r="H456" s="58"/>
      <c r="I456" s="58"/>
      <c r="J456" s="58"/>
      <c r="K456" s="58"/>
      <c r="L456" s="58"/>
      <c r="M456" s="58"/>
      <c r="N456" s="58"/>
      <c r="O456" s="58"/>
      <c r="P456" s="58"/>
      <c r="Q456" s="58"/>
      <c r="R456" s="58"/>
      <c r="S456" s="58"/>
      <c r="T456" s="58"/>
      <c r="U456" s="58"/>
      <c r="V456" s="58"/>
      <c r="W456" s="58"/>
      <c r="X456" s="58"/>
      <c r="Y456" s="58"/>
      <c r="Z456" s="58"/>
    </row>
    <row r="457" ht="15.75" customHeight="1">
      <c r="A457" s="56" t="s">
        <v>6948</v>
      </c>
      <c r="B457" s="56" t="s">
        <v>6949</v>
      </c>
      <c r="C457" s="56" t="s">
        <v>6950</v>
      </c>
      <c r="D457" s="29" t="s">
        <v>6951</v>
      </c>
      <c r="E457" s="29" t="s">
        <v>3521</v>
      </c>
      <c r="F457" s="58"/>
      <c r="G457" s="58"/>
      <c r="H457" s="58"/>
      <c r="I457" s="58"/>
      <c r="J457" s="58"/>
      <c r="K457" s="58"/>
      <c r="L457" s="58"/>
      <c r="M457" s="58"/>
      <c r="N457" s="58"/>
      <c r="O457" s="58"/>
      <c r="P457" s="58"/>
      <c r="Q457" s="58"/>
      <c r="R457" s="58"/>
      <c r="S457" s="58"/>
      <c r="T457" s="58"/>
      <c r="U457" s="58"/>
      <c r="V457" s="58"/>
      <c r="W457" s="58"/>
      <c r="X457" s="58"/>
      <c r="Y457" s="58"/>
      <c r="Z457" s="58"/>
    </row>
    <row r="458" ht="15.75" customHeight="1">
      <c r="A458" s="12" t="s">
        <v>6952</v>
      </c>
      <c r="B458" s="12" t="s">
        <v>6953</v>
      </c>
      <c r="C458" s="12" t="s">
        <v>6954</v>
      </c>
      <c r="D458" s="29" t="s">
        <v>6955</v>
      </c>
      <c r="E458" s="12" t="s">
        <v>3322</v>
      </c>
      <c r="F458" s="58"/>
      <c r="G458" s="58"/>
      <c r="H458" s="58"/>
      <c r="I458" s="58"/>
      <c r="J458" s="58"/>
      <c r="K458" s="58"/>
      <c r="L458" s="58"/>
      <c r="M458" s="58"/>
      <c r="N458" s="58"/>
      <c r="O458" s="58"/>
      <c r="P458" s="58"/>
      <c r="Q458" s="58"/>
      <c r="R458" s="58"/>
      <c r="S458" s="58"/>
      <c r="T458" s="58"/>
      <c r="U458" s="58"/>
      <c r="V458" s="58"/>
      <c r="W458" s="58"/>
      <c r="X458" s="58"/>
      <c r="Y458" s="58"/>
      <c r="Z458" s="58"/>
    </row>
    <row r="459" ht="15.75" customHeight="1">
      <c r="A459" s="12" t="s">
        <v>6956</v>
      </c>
      <c r="B459" s="12" t="s">
        <v>6957</v>
      </c>
      <c r="C459" s="12" t="s">
        <v>6958</v>
      </c>
      <c r="D459" s="29" t="s">
        <v>6959</v>
      </c>
      <c r="E459" s="12" t="s">
        <v>3639</v>
      </c>
      <c r="F459" s="58"/>
      <c r="G459" s="58"/>
      <c r="H459" s="58"/>
      <c r="I459" s="58"/>
      <c r="J459" s="58"/>
      <c r="K459" s="58"/>
      <c r="L459" s="58"/>
      <c r="M459" s="58"/>
      <c r="N459" s="58"/>
      <c r="O459" s="58"/>
      <c r="P459" s="58"/>
      <c r="Q459" s="58"/>
      <c r="R459" s="58"/>
      <c r="S459" s="58"/>
      <c r="T459" s="58"/>
      <c r="U459" s="58"/>
      <c r="V459" s="58"/>
      <c r="W459" s="58"/>
      <c r="X459" s="58"/>
      <c r="Y459" s="58"/>
      <c r="Z459" s="58"/>
    </row>
    <row r="460" ht="15.75" customHeight="1">
      <c r="A460" s="29" t="s">
        <v>6960</v>
      </c>
      <c r="B460" s="29" t="s">
        <v>6961</v>
      </c>
      <c r="C460" s="29" t="s">
        <v>6962</v>
      </c>
      <c r="D460" s="29" t="s">
        <v>6963</v>
      </c>
      <c r="E460" s="29" t="s">
        <v>3596</v>
      </c>
      <c r="F460" s="58"/>
      <c r="G460" s="58"/>
      <c r="H460" s="58"/>
      <c r="I460" s="58"/>
      <c r="J460" s="58"/>
      <c r="K460" s="58"/>
      <c r="L460" s="58"/>
      <c r="M460" s="58"/>
      <c r="N460" s="58"/>
      <c r="O460" s="58"/>
      <c r="P460" s="58"/>
      <c r="Q460" s="58"/>
      <c r="R460" s="58"/>
      <c r="S460" s="58"/>
      <c r="T460" s="58"/>
      <c r="U460" s="58"/>
      <c r="V460" s="58"/>
      <c r="W460" s="58"/>
      <c r="X460" s="58"/>
      <c r="Y460" s="58"/>
      <c r="Z460" s="58"/>
    </row>
    <row r="461" ht="15.75" customHeight="1">
      <c r="A461" s="12" t="s">
        <v>6964</v>
      </c>
      <c r="B461" s="12" t="s">
        <v>6965</v>
      </c>
      <c r="C461" s="12" t="s">
        <v>6966</v>
      </c>
      <c r="D461" s="29" t="s">
        <v>6967</v>
      </c>
      <c r="E461" s="29" t="s">
        <v>6837</v>
      </c>
      <c r="F461" s="58"/>
      <c r="G461" s="58"/>
      <c r="H461" s="58"/>
      <c r="I461" s="58"/>
      <c r="J461" s="58"/>
      <c r="K461" s="58"/>
      <c r="L461" s="58"/>
      <c r="M461" s="58"/>
      <c r="N461" s="58"/>
      <c r="O461" s="58"/>
      <c r="P461" s="58"/>
      <c r="Q461" s="58"/>
      <c r="R461" s="58"/>
      <c r="S461" s="58"/>
      <c r="T461" s="58"/>
      <c r="U461" s="58"/>
      <c r="V461" s="58"/>
      <c r="W461" s="58"/>
      <c r="X461" s="58"/>
      <c r="Y461" s="58"/>
      <c r="Z461" s="58"/>
    </row>
    <row r="462" ht="15.75" customHeight="1">
      <c r="A462" s="29" t="s">
        <v>6974</v>
      </c>
      <c r="B462" s="29" t="s">
        <v>6975</v>
      </c>
      <c r="C462" s="29" t="s">
        <v>6976</v>
      </c>
      <c r="D462" s="29" t="s">
        <v>6978</v>
      </c>
      <c r="E462" s="29" t="s">
        <v>3543</v>
      </c>
      <c r="F462" s="58"/>
      <c r="G462" s="58"/>
      <c r="H462" s="58"/>
      <c r="I462" s="58"/>
      <c r="J462" s="58"/>
      <c r="K462" s="58"/>
      <c r="L462" s="58"/>
      <c r="M462" s="58"/>
      <c r="N462" s="58"/>
      <c r="O462" s="58"/>
      <c r="P462" s="58"/>
      <c r="Q462" s="58"/>
      <c r="R462" s="58"/>
      <c r="S462" s="58"/>
      <c r="T462" s="58"/>
      <c r="U462" s="58"/>
      <c r="V462" s="58"/>
      <c r="W462" s="58"/>
      <c r="X462" s="58"/>
      <c r="Y462" s="58"/>
      <c r="Z462" s="58"/>
    </row>
    <row r="463" ht="15.75" customHeight="1">
      <c r="A463" s="12" t="s">
        <v>6979</v>
      </c>
      <c r="B463" s="12" t="s">
        <v>6980</v>
      </c>
      <c r="C463" s="12" t="s">
        <v>6981</v>
      </c>
      <c r="D463" s="29" t="s">
        <v>6982</v>
      </c>
      <c r="E463" s="29" t="s">
        <v>3489</v>
      </c>
      <c r="F463" s="58"/>
      <c r="G463" s="58"/>
      <c r="H463" s="58"/>
      <c r="I463" s="58"/>
      <c r="J463" s="58"/>
      <c r="K463" s="58"/>
      <c r="L463" s="58"/>
      <c r="M463" s="58"/>
      <c r="N463" s="58"/>
      <c r="O463" s="58"/>
      <c r="P463" s="58"/>
      <c r="Q463" s="58"/>
      <c r="R463" s="58"/>
      <c r="S463" s="58"/>
      <c r="T463" s="58"/>
      <c r="U463" s="58"/>
      <c r="V463" s="58"/>
      <c r="W463" s="58"/>
      <c r="X463" s="58"/>
      <c r="Y463" s="58"/>
      <c r="Z463" s="58"/>
    </row>
    <row r="464" ht="15.75" customHeight="1">
      <c r="A464" s="56" t="s">
        <v>6983</v>
      </c>
      <c r="B464" s="56" t="s">
        <v>6984</v>
      </c>
      <c r="C464" s="56" t="s">
        <v>6985</v>
      </c>
      <c r="D464" s="29" t="s">
        <v>6986</v>
      </c>
      <c r="E464" s="12" t="s">
        <v>3475</v>
      </c>
      <c r="F464" s="58"/>
      <c r="G464" s="58"/>
      <c r="H464" s="58"/>
      <c r="I464" s="58"/>
      <c r="J464" s="58"/>
      <c r="K464" s="58"/>
      <c r="L464" s="58"/>
      <c r="M464" s="58"/>
      <c r="N464" s="58"/>
      <c r="O464" s="58"/>
      <c r="P464" s="58"/>
      <c r="Q464" s="58"/>
      <c r="R464" s="58"/>
      <c r="S464" s="58"/>
      <c r="T464" s="58"/>
      <c r="U464" s="58"/>
      <c r="V464" s="58"/>
      <c r="W464" s="58"/>
      <c r="X464" s="58"/>
      <c r="Y464" s="58"/>
      <c r="Z464" s="58"/>
    </row>
    <row r="465" ht="15.75" customHeight="1">
      <c r="A465" s="12" t="s">
        <v>6987</v>
      </c>
      <c r="B465" s="12" t="s">
        <v>6988</v>
      </c>
      <c r="C465" s="12" t="s">
        <v>6989</v>
      </c>
      <c r="D465" s="29" t="s">
        <v>6990</v>
      </c>
      <c r="E465" s="12" t="s">
        <v>3496</v>
      </c>
      <c r="F465" s="58"/>
      <c r="G465" s="58"/>
      <c r="H465" s="58"/>
      <c r="I465" s="58"/>
      <c r="J465" s="58"/>
      <c r="K465" s="58"/>
      <c r="L465" s="58"/>
      <c r="M465" s="58"/>
      <c r="N465" s="58"/>
      <c r="O465" s="58"/>
      <c r="P465" s="58"/>
      <c r="Q465" s="58"/>
      <c r="R465" s="58"/>
      <c r="S465" s="58"/>
      <c r="T465" s="58"/>
      <c r="U465" s="58"/>
      <c r="V465" s="58"/>
      <c r="W465" s="58"/>
      <c r="X465" s="58"/>
      <c r="Y465" s="58"/>
      <c r="Z465" s="58"/>
    </row>
    <row r="466" ht="15.75" customHeight="1">
      <c r="A466" s="56" t="s">
        <v>6991</v>
      </c>
      <c r="B466" s="56" t="s">
        <v>6992</v>
      </c>
      <c r="C466" s="12" t="s">
        <v>6993</v>
      </c>
      <c r="D466" s="29" t="s">
        <v>6994</v>
      </c>
      <c r="E466" s="56" t="s">
        <v>3489</v>
      </c>
      <c r="F466" s="58"/>
      <c r="G466" s="58"/>
      <c r="H466" s="58"/>
      <c r="I466" s="58"/>
      <c r="J466" s="58"/>
      <c r="K466" s="58"/>
      <c r="L466" s="58"/>
      <c r="M466" s="58"/>
      <c r="N466" s="58"/>
      <c r="O466" s="58"/>
      <c r="P466" s="58"/>
      <c r="Q466" s="58"/>
      <c r="R466" s="58"/>
      <c r="S466" s="58"/>
      <c r="T466" s="58"/>
      <c r="U466" s="58"/>
      <c r="V466" s="58"/>
      <c r="W466" s="58"/>
      <c r="X466" s="58"/>
      <c r="Y466" s="58"/>
      <c r="Z466" s="58"/>
    </row>
    <row r="467" ht="15.75" customHeight="1">
      <c r="A467" s="56" t="s">
        <v>6995</v>
      </c>
      <c r="B467" s="56" t="s">
        <v>6996</v>
      </c>
      <c r="C467" s="56" t="s">
        <v>6997</v>
      </c>
      <c r="D467" s="29" t="s">
        <v>6998</v>
      </c>
      <c r="E467" s="56" t="s">
        <v>3504</v>
      </c>
      <c r="F467" s="58"/>
      <c r="G467" s="58"/>
      <c r="H467" s="58"/>
      <c r="I467" s="58"/>
      <c r="J467" s="58"/>
      <c r="K467" s="58"/>
      <c r="L467" s="58"/>
      <c r="M467" s="58"/>
      <c r="N467" s="58"/>
      <c r="O467" s="58"/>
      <c r="P467" s="58"/>
      <c r="Q467" s="58"/>
      <c r="R467" s="58"/>
      <c r="S467" s="58"/>
      <c r="T467" s="58"/>
      <c r="U467" s="58"/>
      <c r="V467" s="58"/>
      <c r="W467" s="58"/>
      <c r="X467" s="58"/>
      <c r="Y467" s="58"/>
      <c r="Z467" s="58"/>
    </row>
    <row r="468" ht="15.75" customHeight="1">
      <c r="A468" s="56" t="s">
        <v>6999</v>
      </c>
      <c r="B468" s="56" t="s">
        <v>7000</v>
      </c>
      <c r="C468" s="56" t="s">
        <v>7001</v>
      </c>
      <c r="D468" s="29" t="s">
        <v>7002</v>
      </c>
      <c r="E468" s="133"/>
      <c r="F468" s="58"/>
      <c r="G468" s="58"/>
      <c r="H468" s="58"/>
      <c r="I468" s="58"/>
      <c r="J468" s="58"/>
      <c r="K468" s="58"/>
      <c r="L468" s="58"/>
      <c r="M468" s="58"/>
      <c r="N468" s="58"/>
      <c r="O468" s="58"/>
      <c r="P468" s="58"/>
      <c r="Q468" s="58"/>
      <c r="R468" s="58"/>
      <c r="S468" s="58"/>
      <c r="T468" s="58"/>
      <c r="U468" s="58"/>
      <c r="V468" s="58"/>
      <c r="W468" s="58"/>
      <c r="X468" s="58"/>
      <c r="Y468" s="58"/>
      <c r="Z468" s="58"/>
    </row>
    <row r="469" ht="15.75" customHeight="1">
      <c r="A469" s="12" t="s">
        <v>7004</v>
      </c>
      <c r="B469" s="12" t="s">
        <v>7004</v>
      </c>
      <c r="C469" s="12" t="s">
        <v>7005</v>
      </c>
      <c r="D469" s="29" t="s">
        <v>7006</v>
      </c>
      <c r="E469" s="86"/>
      <c r="F469" s="58"/>
      <c r="G469" s="58"/>
      <c r="H469" s="58"/>
      <c r="I469" s="58"/>
      <c r="J469" s="58"/>
      <c r="K469" s="58"/>
      <c r="L469" s="58"/>
      <c r="M469" s="58"/>
      <c r="N469" s="58"/>
      <c r="O469" s="58"/>
      <c r="P469" s="58"/>
      <c r="Q469" s="58"/>
      <c r="R469" s="58"/>
      <c r="S469" s="58"/>
      <c r="T469" s="58"/>
      <c r="U469" s="58"/>
      <c r="V469" s="58"/>
      <c r="W469" s="58"/>
      <c r="X469" s="58"/>
      <c r="Y469" s="58"/>
      <c r="Z469" s="58"/>
    </row>
    <row r="470" ht="15.75" customHeight="1">
      <c r="A470" s="12" t="s">
        <v>7012</v>
      </c>
      <c r="B470" s="12" t="s">
        <v>7013</v>
      </c>
      <c r="C470" s="12" t="s">
        <v>7014</v>
      </c>
      <c r="D470" s="29" t="s">
        <v>7015</v>
      </c>
      <c r="E470" s="86"/>
      <c r="F470" s="58"/>
      <c r="G470" s="58"/>
      <c r="H470" s="58"/>
      <c r="I470" s="58"/>
      <c r="J470" s="58"/>
      <c r="K470" s="58"/>
      <c r="L470" s="58"/>
      <c r="M470" s="58"/>
      <c r="N470" s="58"/>
      <c r="O470" s="58"/>
      <c r="P470" s="58"/>
      <c r="Q470" s="58"/>
      <c r="R470" s="58"/>
      <c r="S470" s="58"/>
      <c r="T470" s="58"/>
      <c r="U470" s="58"/>
      <c r="V470" s="58"/>
      <c r="W470" s="58"/>
      <c r="X470" s="58"/>
      <c r="Y470" s="58"/>
      <c r="Z470" s="58"/>
    </row>
    <row r="471" ht="15.75" customHeight="1">
      <c r="A471" s="12" t="s">
        <v>7020</v>
      </c>
      <c r="B471" s="12" t="s">
        <v>7021</v>
      </c>
      <c r="C471" s="12" t="s">
        <v>7022</v>
      </c>
      <c r="D471" s="29" t="s">
        <v>7023</v>
      </c>
      <c r="E471" s="12" t="s">
        <v>3496</v>
      </c>
      <c r="F471" s="58"/>
      <c r="G471" s="58"/>
      <c r="H471" s="58"/>
      <c r="I471" s="58"/>
      <c r="J471" s="58"/>
      <c r="K471" s="58"/>
      <c r="L471" s="58"/>
      <c r="M471" s="58"/>
      <c r="N471" s="58"/>
      <c r="O471" s="58"/>
      <c r="P471" s="58"/>
      <c r="Q471" s="58"/>
      <c r="R471" s="58"/>
      <c r="S471" s="58"/>
      <c r="T471" s="58"/>
      <c r="U471" s="58"/>
      <c r="V471" s="58"/>
      <c r="W471" s="58"/>
      <c r="X471" s="58"/>
      <c r="Y471" s="58"/>
      <c r="Z471" s="58"/>
    </row>
    <row r="472" ht="15.75" customHeight="1">
      <c r="A472" s="56" t="s">
        <v>7024</v>
      </c>
      <c r="B472" s="56" t="s">
        <v>7025</v>
      </c>
      <c r="C472" s="56" t="s">
        <v>7026</v>
      </c>
      <c r="D472" s="29" t="s">
        <v>7027</v>
      </c>
      <c r="E472" s="56" t="s">
        <v>3489</v>
      </c>
      <c r="F472" s="58"/>
      <c r="G472" s="58"/>
      <c r="H472" s="58"/>
      <c r="I472" s="58"/>
      <c r="J472" s="58"/>
      <c r="K472" s="58"/>
      <c r="L472" s="58"/>
      <c r="M472" s="58"/>
      <c r="N472" s="58"/>
      <c r="O472" s="58"/>
      <c r="P472" s="58"/>
      <c r="Q472" s="58"/>
      <c r="R472" s="58"/>
      <c r="S472" s="58"/>
      <c r="T472" s="58"/>
      <c r="U472" s="58"/>
      <c r="V472" s="58"/>
      <c r="W472" s="58"/>
      <c r="X472" s="58"/>
      <c r="Y472" s="58"/>
      <c r="Z472" s="58"/>
    </row>
    <row r="473" ht="15.75" customHeight="1">
      <c r="A473" s="56" t="s">
        <v>7028</v>
      </c>
      <c r="B473" s="56" t="s">
        <v>7029</v>
      </c>
      <c r="C473" s="56" t="s">
        <v>7030</v>
      </c>
      <c r="D473" s="29" t="s">
        <v>7031</v>
      </c>
      <c r="E473" s="56" t="s">
        <v>3504</v>
      </c>
      <c r="F473" s="58"/>
      <c r="G473" s="58"/>
      <c r="H473" s="58"/>
      <c r="I473" s="58"/>
      <c r="J473" s="58"/>
      <c r="K473" s="58"/>
      <c r="L473" s="58"/>
      <c r="M473" s="58"/>
      <c r="N473" s="58"/>
      <c r="O473" s="58"/>
      <c r="P473" s="58"/>
      <c r="Q473" s="58"/>
      <c r="R473" s="58"/>
      <c r="S473" s="58"/>
      <c r="T473" s="58"/>
      <c r="U473" s="58"/>
      <c r="V473" s="58"/>
      <c r="W473" s="58"/>
      <c r="X473" s="58"/>
      <c r="Y473" s="58"/>
      <c r="Z473" s="58"/>
    </row>
    <row r="474" ht="15.75" customHeight="1">
      <c r="A474" s="56" t="s">
        <v>7032</v>
      </c>
      <c r="B474" s="56" t="s">
        <v>7033</v>
      </c>
      <c r="C474" s="56" t="s">
        <v>7034</v>
      </c>
      <c r="D474" s="29" t="s">
        <v>7035</v>
      </c>
      <c r="E474" s="29" t="s">
        <v>3521</v>
      </c>
      <c r="F474" s="58"/>
      <c r="G474" s="58"/>
      <c r="H474" s="58"/>
      <c r="I474" s="58"/>
      <c r="J474" s="58"/>
      <c r="K474" s="58"/>
      <c r="L474" s="58"/>
      <c r="M474" s="58"/>
      <c r="N474" s="58"/>
      <c r="O474" s="58"/>
      <c r="P474" s="58"/>
      <c r="Q474" s="58"/>
      <c r="R474" s="58"/>
      <c r="S474" s="58"/>
      <c r="T474" s="58"/>
      <c r="U474" s="58"/>
      <c r="V474" s="58"/>
      <c r="W474" s="58"/>
      <c r="X474" s="58"/>
      <c r="Y474" s="58"/>
      <c r="Z474" s="58"/>
    </row>
    <row r="475" ht="15.75" customHeight="1">
      <c r="A475" s="12" t="s">
        <v>7036</v>
      </c>
      <c r="B475" s="12" t="s">
        <v>7037</v>
      </c>
      <c r="C475" s="12" t="s">
        <v>7038</v>
      </c>
      <c r="D475" s="29" t="s">
        <v>7039</v>
      </c>
      <c r="E475" s="12" t="s">
        <v>3496</v>
      </c>
      <c r="F475" s="58"/>
      <c r="G475" s="58"/>
      <c r="H475" s="58"/>
      <c r="I475" s="58"/>
      <c r="J475" s="58"/>
      <c r="K475" s="58"/>
      <c r="L475" s="58"/>
      <c r="M475" s="58"/>
      <c r="N475" s="58"/>
      <c r="O475" s="58"/>
      <c r="P475" s="58"/>
      <c r="Q475" s="58"/>
      <c r="R475" s="58"/>
      <c r="S475" s="58"/>
      <c r="T475" s="58"/>
      <c r="U475" s="58"/>
      <c r="V475" s="58"/>
      <c r="W475" s="58"/>
      <c r="X475" s="58"/>
      <c r="Y475" s="58"/>
      <c r="Z475" s="58"/>
    </row>
    <row r="476" ht="15.75" customHeight="1">
      <c r="A476" s="56" t="s">
        <v>7040</v>
      </c>
      <c r="B476" s="56" t="s">
        <v>7041</v>
      </c>
      <c r="C476" s="56" t="s">
        <v>7042</v>
      </c>
      <c r="D476" s="29" t="s">
        <v>7043</v>
      </c>
      <c r="E476" s="56" t="s">
        <v>3489</v>
      </c>
      <c r="F476" s="58"/>
      <c r="G476" s="58"/>
      <c r="H476" s="58"/>
      <c r="I476" s="58"/>
      <c r="J476" s="58"/>
      <c r="K476" s="58"/>
      <c r="L476" s="58"/>
      <c r="M476" s="58"/>
      <c r="N476" s="58"/>
      <c r="O476" s="58"/>
      <c r="P476" s="58"/>
      <c r="Q476" s="58"/>
      <c r="R476" s="58"/>
      <c r="S476" s="58"/>
      <c r="T476" s="58"/>
      <c r="U476" s="58"/>
      <c r="V476" s="58"/>
      <c r="W476" s="58"/>
      <c r="X476" s="58"/>
      <c r="Y476" s="58"/>
      <c r="Z476" s="58"/>
    </row>
    <row r="477" ht="15.75" customHeight="1">
      <c r="A477" s="56" t="s">
        <v>7044</v>
      </c>
      <c r="B477" s="56" t="s">
        <v>7045</v>
      </c>
      <c r="C477" s="56" t="s">
        <v>7046</v>
      </c>
      <c r="D477" s="29" t="s">
        <v>7047</v>
      </c>
      <c r="E477" s="56" t="s">
        <v>3504</v>
      </c>
      <c r="F477" s="58"/>
      <c r="G477" s="58"/>
      <c r="H477" s="58"/>
      <c r="I477" s="58"/>
      <c r="J477" s="58"/>
      <c r="K477" s="58"/>
      <c r="L477" s="58"/>
      <c r="M477" s="58"/>
      <c r="N477" s="58"/>
      <c r="O477" s="58"/>
      <c r="P477" s="58"/>
      <c r="Q477" s="58"/>
      <c r="R477" s="58"/>
      <c r="S477" s="58"/>
      <c r="T477" s="58"/>
      <c r="U477" s="58"/>
      <c r="V477" s="58"/>
      <c r="W477" s="58"/>
      <c r="X477" s="58"/>
      <c r="Y477" s="58"/>
      <c r="Z477" s="58"/>
    </row>
    <row r="478" ht="15.75" customHeight="1">
      <c r="A478" s="56" t="s">
        <v>7055</v>
      </c>
      <c r="B478" s="56" t="s">
        <v>7056</v>
      </c>
      <c r="C478" s="56" t="s">
        <v>7057</v>
      </c>
      <c r="D478" s="29" t="s">
        <v>7059</v>
      </c>
      <c r="E478" s="56" t="s">
        <v>3496</v>
      </c>
      <c r="F478" s="58"/>
      <c r="G478" s="58"/>
      <c r="H478" s="58"/>
      <c r="I478" s="58"/>
      <c r="J478" s="58"/>
      <c r="K478" s="58"/>
      <c r="L478" s="58"/>
      <c r="M478" s="58"/>
      <c r="N478" s="58"/>
      <c r="O478" s="58"/>
      <c r="P478" s="58"/>
      <c r="Q478" s="58"/>
      <c r="R478" s="58"/>
      <c r="S478" s="58"/>
      <c r="T478" s="58"/>
      <c r="U478" s="58"/>
      <c r="V478" s="58"/>
      <c r="W478" s="58"/>
      <c r="X478" s="58"/>
      <c r="Y478" s="58"/>
      <c r="Z478" s="58"/>
    </row>
    <row r="479" ht="15.75" customHeight="1">
      <c r="A479" s="56" t="s">
        <v>7064</v>
      </c>
      <c r="B479" s="56" t="s">
        <v>7065</v>
      </c>
      <c r="C479" s="56" t="s">
        <v>7066</v>
      </c>
      <c r="D479" s="29" t="s">
        <v>7069</v>
      </c>
      <c r="E479" s="56" t="s">
        <v>3489</v>
      </c>
      <c r="F479" s="58"/>
      <c r="G479" s="58"/>
      <c r="H479" s="58"/>
      <c r="I479" s="58"/>
      <c r="J479" s="58"/>
      <c r="K479" s="58"/>
      <c r="L479" s="58"/>
      <c r="M479" s="58"/>
      <c r="N479" s="58"/>
      <c r="O479" s="58"/>
      <c r="P479" s="58"/>
      <c r="Q479" s="58"/>
      <c r="R479" s="58"/>
      <c r="S479" s="58"/>
      <c r="T479" s="58"/>
      <c r="U479" s="58"/>
      <c r="V479" s="58"/>
      <c r="W479" s="58"/>
      <c r="X479" s="58"/>
      <c r="Y479" s="58"/>
      <c r="Z479" s="58"/>
    </row>
    <row r="480" ht="15.75" customHeight="1">
      <c r="A480" s="56" t="s">
        <v>7072</v>
      </c>
      <c r="B480" s="56" t="s">
        <v>7073</v>
      </c>
      <c r="C480" s="56" t="s">
        <v>7074</v>
      </c>
      <c r="D480" s="29" t="s">
        <v>7077</v>
      </c>
      <c r="E480" s="56" t="s">
        <v>3504</v>
      </c>
      <c r="F480" s="58"/>
      <c r="G480" s="58"/>
      <c r="H480" s="58"/>
      <c r="I480" s="58"/>
      <c r="J480" s="58"/>
      <c r="K480" s="58"/>
      <c r="L480" s="58"/>
      <c r="M480" s="58"/>
      <c r="N480" s="58"/>
      <c r="O480" s="58"/>
      <c r="P480" s="58"/>
      <c r="Q480" s="58"/>
      <c r="R480" s="58"/>
      <c r="S480" s="58"/>
      <c r="T480" s="58"/>
      <c r="U480" s="58"/>
      <c r="V480" s="58"/>
      <c r="W480" s="58"/>
      <c r="X480" s="58"/>
      <c r="Y480" s="58"/>
      <c r="Z480" s="58"/>
    </row>
    <row r="481" ht="15.75" customHeight="1">
      <c r="A481" s="56" t="s">
        <v>7084</v>
      </c>
      <c r="B481" s="56" t="s">
        <v>7084</v>
      </c>
      <c r="C481" s="56" t="s">
        <v>7085</v>
      </c>
      <c r="D481" s="29" t="s">
        <v>7087</v>
      </c>
      <c r="E481" s="133"/>
      <c r="F481" s="58"/>
      <c r="G481" s="58"/>
      <c r="H481" s="58"/>
      <c r="I481" s="58"/>
      <c r="J481" s="58"/>
      <c r="K481" s="58"/>
      <c r="L481" s="58"/>
      <c r="M481" s="58"/>
      <c r="N481" s="58"/>
      <c r="O481" s="58"/>
      <c r="P481" s="58"/>
      <c r="Q481" s="58"/>
      <c r="R481" s="58"/>
      <c r="S481" s="58"/>
      <c r="T481" s="58"/>
      <c r="U481" s="58"/>
      <c r="V481" s="58"/>
      <c r="W481" s="58"/>
      <c r="X481" s="58"/>
      <c r="Y481" s="58"/>
      <c r="Z481" s="58"/>
    </row>
    <row r="482" ht="15.75" customHeight="1">
      <c r="A482" s="12" t="s">
        <v>7091</v>
      </c>
      <c r="B482" s="12" t="s">
        <v>7092</v>
      </c>
      <c r="C482" s="12" t="s">
        <v>7093</v>
      </c>
      <c r="D482" s="29" t="s">
        <v>7096</v>
      </c>
      <c r="E482" s="12" t="s">
        <v>3475</v>
      </c>
      <c r="F482" s="58"/>
      <c r="G482" s="58"/>
      <c r="H482" s="58"/>
      <c r="I482" s="58"/>
      <c r="J482" s="58"/>
      <c r="K482" s="58"/>
      <c r="L482" s="58"/>
      <c r="M482" s="58"/>
      <c r="N482" s="58"/>
      <c r="O482" s="58"/>
      <c r="P482" s="58"/>
      <c r="Q482" s="58"/>
      <c r="R482" s="58"/>
      <c r="S482" s="58"/>
      <c r="T482" s="58"/>
      <c r="U482" s="58"/>
      <c r="V482" s="58"/>
      <c r="W482" s="58"/>
      <c r="X482" s="58"/>
      <c r="Y482" s="58"/>
      <c r="Z482" s="58"/>
    </row>
    <row r="483" ht="15.75" customHeight="1">
      <c r="A483" s="12" t="s">
        <v>7099</v>
      </c>
      <c r="B483" s="12" t="s">
        <v>7101</v>
      </c>
      <c r="C483" s="12" t="s">
        <v>7103</v>
      </c>
      <c r="D483" s="29" t="s">
        <v>7110</v>
      </c>
      <c r="E483" s="12" t="s">
        <v>3604</v>
      </c>
      <c r="F483" s="58"/>
      <c r="G483" s="58"/>
      <c r="H483" s="58"/>
      <c r="I483" s="58"/>
      <c r="J483" s="58"/>
      <c r="K483" s="58"/>
      <c r="L483" s="58"/>
      <c r="M483" s="58"/>
      <c r="N483" s="58"/>
      <c r="O483" s="58"/>
      <c r="P483" s="58"/>
      <c r="Q483" s="58"/>
      <c r="R483" s="58"/>
      <c r="S483" s="58"/>
      <c r="T483" s="58"/>
      <c r="U483" s="58"/>
      <c r="V483" s="58"/>
      <c r="W483" s="58"/>
      <c r="X483" s="58"/>
      <c r="Y483" s="58"/>
      <c r="Z483" s="58"/>
    </row>
    <row r="484" ht="15.75" customHeight="1">
      <c r="A484" s="56" t="s">
        <v>7114</v>
      </c>
      <c r="B484" s="56" t="s">
        <v>7116</v>
      </c>
      <c r="C484" s="56" t="s">
        <v>7117</v>
      </c>
      <c r="D484" s="29" t="s">
        <v>7118</v>
      </c>
      <c r="E484" s="12" t="s">
        <v>7119</v>
      </c>
      <c r="F484" s="58"/>
      <c r="G484" s="58"/>
      <c r="H484" s="58"/>
      <c r="I484" s="58"/>
      <c r="J484" s="58"/>
      <c r="K484" s="58"/>
      <c r="L484" s="58"/>
      <c r="M484" s="58"/>
      <c r="N484" s="58"/>
      <c r="O484" s="58"/>
      <c r="P484" s="58"/>
      <c r="Q484" s="58"/>
      <c r="R484" s="58"/>
      <c r="S484" s="58"/>
      <c r="T484" s="58"/>
      <c r="U484" s="58"/>
      <c r="V484" s="58"/>
      <c r="W484" s="58"/>
      <c r="X484" s="58"/>
      <c r="Y484" s="58"/>
      <c r="Z484" s="58"/>
    </row>
    <row r="485" ht="15.75" customHeight="1">
      <c r="A485" s="56" t="s">
        <v>7124</v>
      </c>
      <c r="B485" s="56" t="s">
        <v>7125</v>
      </c>
      <c r="C485" s="56" t="s">
        <v>7126</v>
      </c>
      <c r="D485" s="29" t="s">
        <v>7128</v>
      </c>
      <c r="E485" s="12" t="s">
        <v>6672</v>
      </c>
      <c r="F485" s="58"/>
      <c r="G485" s="58"/>
      <c r="H485" s="58"/>
      <c r="I485" s="58"/>
      <c r="J485" s="58"/>
      <c r="K485" s="58"/>
      <c r="L485" s="58"/>
      <c r="M485" s="58"/>
      <c r="N485" s="58"/>
      <c r="O485" s="58"/>
      <c r="P485" s="58"/>
      <c r="Q485" s="58"/>
      <c r="R485" s="58"/>
      <c r="S485" s="58"/>
      <c r="T485" s="58"/>
      <c r="U485" s="58"/>
      <c r="V485" s="58"/>
      <c r="W485" s="58"/>
      <c r="X485" s="58"/>
      <c r="Y485" s="58"/>
      <c r="Z485" s="58"/>
    </row>
    <row r="486" ht="15.75" customHeight="1">
      <c r="A486" s="56" t="s">
        <v>7133</v>
      </c>
      <c r="B486" s="56" t="s">
        <v>7134</v>
      </c>
      <c r="C486" s="56" t="s">
        <v>7136</v>
      </c>
      <c r="D486" s="29" t="s">
        <v>7139</v>
      </c>
      <c r="E486" s="12" t="s">
        <v>3604</v>
      </c>
      <c r="F486" s="58"/>
      <c r="G486" s="58"/>
      <c r="H486" s="58"/>
      <c r="I486" s="58"/>
      <c r="J486" s="58"/>
      <c r="K486" s="58"/>
      <c r="L486" s="58"/>
      <c r="M486" s="58"/>
      <c r="N486" s="58"/>
      <c r="O486" s="58"/>
      <c r="P486" s="58"/>
      <c r="Q486" s="58"/>
      <c r="R486" s="58"/>
      <c r="S486" s="58"/>
      <c r="T486" s="58"/>
      <c r="U486" s="58"/>
      <c r="V486" s="58"/>
      <c r="W486" s="58"/>
      <c r="X486" s="58"/>
      <c r="Y486" s="58"/>
      <c r="Z486" s="58"/>
    </row>
    <row r="487" ht="15.75" customHeight="1">
      <c r="A487" s="56" t="s">
        <v>7142</v>
      </c>
      <c r="B487" s="56" t="s">
        <v>7144</v>
      </c>
      <c r="C487" s="56" t="s">
        <v>7146</v>
      </c>
      <c r="D487" s="29" t="s">
        <v>7148</v>
      </c>
      <c r="E487" s="12" t="s">
        <v>3543</v>
      </c>
      <c r="F487" s="58"/>
      <c r="G487" s="58"/>
      <c r="H487" s="58"/>
      <c r="I487" s="58"/>
      <c r="J487" s="58"/>
      <c r="K487" s="58"/>
      <c r="L487" s="58"/>
      <c r="M487" s="58"/>
      <c r="N487" s="58"/>
      <c r="O487" s="58"/>
      <c r="P487" s="58"/>
      <c r="Q487" s="58"/>
      <c r="R487" s="58"/>
      <c r="S487" s="58"/>
      <c r="T487" s="58"/>
      <c r="U487" s="58"/>
      <c r="V487" s="58"/>
      <c r="W487" s="58"/>
      <c r="X487" s="58"/>
      <c r="Y487" s="58"/>
      <c r="Z487" s="58"/>
    </row>
    <row r="488" ht="15.75" customHeight="1">
      <c r="A488" s="56" t="s">
        <v>7152</v>
      </c>
      <c r="B488" s="56" t="s">
        <v>7153</v>
      </c>
      <c r="C488" s="56" t="s">
        <v>7155</v>
      </c>
      <c r="D488" s="29" t="s">
        <v>7159</v>
      </c>
      <c r="E488" s="12" t="s">
        <v>7160</v>
      </c>
      <c r="F488" s="58"/>
      <c r="G488" s="58"/>
      <c r="H488" s="58"/>
      <c r="I488" s="58"/>
      <c r="J488" s="58"/>
      <c r="K488" s="58"/>
      <c r="L488" s="58"/>
      <c r="M488" s="58"/>
      <c r="N488" s="58"/>
      <c r="O488" s="58"/>
      <c r="P488" s="58"/>
      <c r="Q488" s="58"/>
      <c r="R488" s="58"/>
      <c r="S488" s="58"/>
      <c r="T488" s="58"/>
      <c r="U488" s="58"/>
      <c r="V488" s="58"/>
      <c r="W488" s="58"/>
      <c r="X488" s="58"/>
      <c r="Y488" s="58"/>
      <c r="Z488" s="58"/>
    </row>
    <row r="489" ht="15.75" customHeight="1">
      <c r="A489" s="56" t="s">
        <v>7166</v>
      </c>
      <c r="B489" s="12" t="s">
        <v>7167</v>
      </c>
      <c r="C489" s="12" t="s">
        <v>7168</v>
      </c>
      <c r="D489" s="29" t="s">
        <v>7170</v>
      </c>
      <c r="E489" s="12" t="s">
        <v>7119</v>
      </c>
      <c r="F489" s="58"/>
      <c r="G489" s="58"/>
      <c r="H489" s="58"/>
      <c r="I489" s="58"/>
      <c r="J489" s="58"/>
      <c r="K489" s="58"/>
      <c r="L489" s="58"/>
      <c r="M489" s="58"/>
      <c r="N489" s="58"/>
      <c r="O489" s="58"/>
      <c r="P489" s="58"/>
      <c r="Q489" s="58"/>
      <c r="R489" s="58"/>
      <c r="S489" s="58"/>
      <c r="T489" s="58"/>
      <c r="U489" s="58"/>
      <c r="V489" s="58"/>
      <c r="W489" s="58"/>
      <c r="X489" s="58"/>
      <c r="Y489" s="58"/>
      <c r="Z489" s="58"/>
    </row>
    <row r="490" ht="15.75" customHeight="1">
      <c r="A490" s="133"/>
      <c r="B490" s="86"/>
      <c r="C490" s="86"/>
      <c r="D490" s="133"/>
      <c r="E490" s="86"/>
      <c r="F490" s="58"/>
      <c r="G490" s="58"/>
      <c r="H490" s="58"/>
      <c r="I490" s="58"/>
      <c r="J490" s="58"/>
      <c r="K490" s="58"/>
      <c r="L490" s="58"/>
      <c r="M490" s="58"/>
      <c r="N490" s="58"/>
      <c r="O490" s="58"/>
      <c r="P490" s="58"/>
      <c r="Q490" s="58"/>
      <c r="R490" s="58"/>
      <c r="S490" s="58"/>
      <c r="T490" s="58"/>
      <c r="U490" s="58"/>
      <c r="V490" s="58"/>
      <c r="W490" s="58"/>
      <c r="X490" s="58"/>
      <c r="Y490" s="58"/>
      <c r="Z490" s="58"/>
    </row>
    <row r="491" ht="15.75" customHeight="1">
      <c r="A491" s="86"/>
      <c r="B491" s="86"/>
      <c r="C491" s="86"/>
      <c r="D491" s="133"/>
      <c r="E491" s="86"/>
      <c r="F491" s="58"/>
      <c r="G491" s="58"/>
      <c r="H491" s="58"/>
      <c r="I491" s="58"/>
      <c r="J491" s="58"/>
      <c r="K491" s="58"/>
      <c r="L491" s="58"/>
      <c r="M491" s="58"/>
      <c r="N491" s="58"/>
      <c r="O491" s="58"/>
      <c r="P491" s="58"/>
      <c r="Q491" s="58"/>
      <c r="R491" s="58"/>
      <c r="S491" s="58"/>
      <c r="T491" s="58"/>
      <c r="U491" s="58"/>
      <c r="V491" s="58"/>
      <c r="W491" s="58"/>
      <c r="X491" s="58"/>
      <c r="Y491" s="58"/>
      <c r="Z491" s="58"/>
    </row>
    <row r="492" ht="15.75" customHeight="1">
      <c r="A492" s="86"/>
      <c r="B492" s="86"/>
      <c r="C492" s="86"/>
      <c r="D492" s="133"/>
      <c r="E492" s="86"/>
      <c r="F492" s="58"/>
      <c r="G492" s="58"/>
      <c r="H492" s="58"/>
      <c r="I492" s="58"/>
      <c r="J492" s="58"/>
      <c r="K492" s="58"/>
      <c r="L492" s="58"/>
      <c r="M492" s="58"/>
      <c r="N492" s="58"/>
      <c r="O492" s="58"/>
      <c r="P492" s="58"/>
      <c r="Q492" s="58"/>
      <c r="R492" s="58"/>
      <c r="S492" s="58"/>
      <c r="T492" s="58"/>
      <c r="U492" s="58"/>
      <c r="V492" s="58"/>
      <c r="W492" s="58"/>
      <c r="X492" s="58"/>
      <c r="Y492" s="58"/>
      <c r="Z492" s="58"/>
    </row>
    <row r="493" ht="15.75" customHeight="1">
      <c r="A493" s="86"/>
      <c r="B493" s="86"/>
      <c r="C493" s="86"/>
      <c r="D493" s="133"/>
      <c r="E493" s="86"/>
      <c r="F493" s="58"/>
      <c r="G493" s="58"/>
      <c r="H493" s="58"/>
      <c r="I493" s="58"/>
      <c r="J493" s="58"/>
      <c r="K493" s="58"/>
      <c r="L493" s="58"/>
      <c r="M493" s="58"/>
      <c r="N493" s="58"/>
      <c r="O493" s="58"/>
      <c r="P493" s="58"/>
      <c r="Q493" s="58"/>
      <c r="R493" s="58"/>
      <c r="S493" s="58"/>
      <c r="T493" s="58"/>
      <c r="U493" s="58"/>
      <c r="V493" s="58"/>
      <c r="W493" s="58"/>
      <c r="X493" s="58"/>
      <c r="Y493" s="58"/>
      <c r="Z493" s="58"/>
    </row>
    <row r="494" ht="15.75" customHeight="1">
      <c r="A494" s="86"/>
      <c r="B494" s="86"/>
      <c r="C494" s="86"/>
      <c r="D494" s="133"/>
      <c r="E494" s="86"/>
      <c r="F494" s="58"/>
      <c r="G494" s="58"/>
      <c r="H494" s="58"/>
      <c r="I494" s="58"/>
      <c r="J494" s="58"/>
      <c r="K494" s="58"/>
      <c r="L494" s="58"/>
      <c r="M494" s="58"/>
      <c r="N494" s="58"/>
      <c r="O494" s="58"/>
      <c r="P494" s="58"/>
      <c r="Q494" s="58"/>
      <c r="R494" s="58"/>
      <c r="S494" s="58"/>
      <c r="T494" s="58"/>
      <c r="U494" s="58"/>
      <c r="V494" s="58"/>
      <c r="W494" s="58"/>
      <c r="X494" s="58"/>
      <c r="Y494" s="58"/>
      <c r="Z494" s="58"/>
    </row>
    <row r="495" ht="15.75" customHeight="1">
      <c r="A495" s="86"/>
      <c r="B495" s="86"/>
      <c r="C495" s="86"/>
      <c r="D495" s="133"/>
      <c r="E495" s="86"/>
      <c r="F495" s="58"/>
      <c r="G495" s="58"/>
      <c r="H495" s="58"/>
      <c r="I495" s="58"/>
      <c r="J495" s="58"/>
      <c r="K495" s="58"/>
      <c r="L495" s="58"/>
      <c r="M495" s="58"/>
      <c r="N495" s="58"/>
      <c r="O495" s="58"/>
      <c r="P495" s="58"/>
      <c r="Q495" s="58"/>
      <c r="R495" s="58"/>
      <c r="S495" s="58"/>
      <c r="T495" s="58"/>
      <c r="U495" s="58"/>
      <c r="V495" s="58"/>
      <c r="W495" s="58"/>
      <c r="X495" s="58"/>
      <c r="Y495" s="58"/>
      <c r="Z495" s="58"/>
    </row>
    <row r="496" ht="15.75" customHeight="1">
      <c r="A496" s="86"/>
      <c r="B496" s="86"/>
      <c r="C496" s="86"/>
      <c r="D496" s="86"/>
      <c r="E496" s="86"/>
      <c r="F496" s="58"/>
      <c r="G496" s="58"/>
      <c r="H496" s="58"/>
      <c r="I496" s="58"/>
      <c r="J496" s="58"/>
      <c r="K496" s="58"/>
      <c r="L496" s="58"/>
      <c r="M496" s="58"/>
      <c r="N496" s="58"/>
      <c r="O496" s="58"/>
      <c r="P496" s="58"/>
      <c r="Q496" s="58"/>
      <c r="R496" s="58"/>
      <c r="S496" s="58"/>
      <c r="T496" s="58"/>
      <c r="U496" s="58"/>
      <c r="V496" s="58"/>
      <c r="W496" s="58"/>
      <c r="X496" s="58"/>
      <c r="Y496" s="58"/>
      <c r="Z496" s="58"/>
    </row>
    <row r="497" ht="15.75" customHeight="1">
      <c r="A497" s="86"/>
      <c r="B497" s="86"/>
      <c r="C497" s="86"/>
      <c r="D497" s="133"/>
      <c r="E497" s="86"/>
      <c r="F497" s="58"/>
      <c r="G497" s="58"/>
      <c r="H497" s="58"/>
      <c r="I497" s="58"/>
      <c r="J497" s="58"/>
      <c r="K497" s="58"/>
      <c r="L497" s="58"/>
      <c r="M497" s="58"/>
      <c r="N497" s="58"/>
      <c r="O497" s="58"/>
      <c r="P497" s="58"/>
      <c r="Q497" s="58"/>
      <c r="R497" s="58"/>
      <c r="S497" s="58"/>
      <c r="T497" s="58"/>
      <c r="U497" s="58"/>
      <c r="V497" s="58"/>
      <c r="W497" s="58"/>
      <c r="X497" s="58"/>
      <c r="Y497" s="58"/>
      <c r="Z497" s="58"/>
    </row>
    <row r="498" ht="15.75" customHeight="1">
      <c r="A498" s="86"/>
      <c r="B498" s="86"/>
      <c r="C498" s="86"/>
      <c r="D498" s="86"/>
      <c r="E498" s="86"/>
      <c r="F498" s="58"/>
      <c r="G498" s="58"/>
      <c r="H498" s="58"/>
      <c r="I498" s="58"/>
      <c r="J498" s="58"/>
      <c r="K498" s="58"/>
      <c r="L498" s="58"/>
      <c r="M498" s="58"/>
      <c r="N498" s="58"/>
      <c r="O498" s="58"/>
      <c r="P498" s="58"/>
      <c r="Q498" s="58"/>
      <c r="R498" s="58"/>
      <c r="S498" s="58"/>
      <c r="T498" s="58"/>
      <c r="U498" s="58"/>
      <c r="V498" s="58"/>
      <c r="W498" s="58"/>
      <c r="X498" s="58"/>
      <c r="Y498" s="58"/>
      <c r="Z498" s="58"/>
    </row>
    <row r="499" ht="15.75" customHeight="1">
      <c r="A499" s="133"/>
      <c r="B499" s="133"/>
      <c r="C499" s="133"/>
      <c r="D499" s="133"/>
      <c r="E499" s="86"/>
      <c r="F499" s="58"/>
      <c r="G499" s="58"/>
      <c r="H499" s="58"/>
      <c r="I499" s="58"/>
      <c r="J499" s="58"/>
      <c r="K499" s="58"/>
      <c r="L499" s="58"/>
      <c r="M499" s="58"/>
      <c r="N499" s="58"/>
      <c r="O499" s="58"/>
      <c r="P499" s="58"/>
      <c r="Q499" s="58"/>
      <c r="R499" s="58"/>
      <c r="S499" s="58"/>
      <c r="T499" s="58"/>
      <c r="U499" s="58"/>
      <c r="V499" s="58"/>
      <c r="W499" s="58"/>
      <c r="X499" s="58"/>
      <c r="Y499" s="58"/>
      <c r="Z499" s="58"/>
    </row>
    <row r="500" ht="15.75" customHeight="1">
      <c r="A500" s="86"/>
      <c r="B500" s="86"/>
      <c r="C500" s="86"/>
      <c r="D500" s="133"/>
      <c r="E500" s="86"/>
      <c r="F500" s="58"/>
      <c r="G500" s="58"/>
      <c r="H500" s="58"/>
      <c r="I500" s="58"/>
      <c r="J500" s="58"/>
      <c r="K500" s="58"/>
      <c r="L500" s="58"/>
      <c r="M500" s="58"/>
      <c r="N500" s="58"/>
      <c r="O500" s="58"/>
      <c r="P500" s="58"/>
      <c r="Q500" s="58"/>
      <c r="R500" s="58"/>
      <c r="S500" s="58"/>
      <c r="T500" s="58"/>
      <c r="U500" s="58"/>
      <c r="V500" s="58"/>
      <c r="W500" s="58"/>
      <c r="X500" s="58"/>
      <c r="Y500" s="58"/>
      <c r="Z500" s="58"/>
    </row>
    <row r="501" ht="15.75" customHeight="1">
      <c r="A501" s="133"/>
      <c r="B501" s="86"/>
      <c r="C501" s="86"/>
      <c r="D501" s="86"/>
      <c r="E501" s="86"/>
      <c r="F501" s="58"/>
      <c r="G501" s="58"/>
      <c r="H501" s="58"/>
      <c r="I501" s="58"/>
      <c r="J501" s="58"/>
      <c r="K501" s="58"/>
      <c r="L501" s="58"/>
      <c r="M501" s="58"/>
      <c r="N501" s="58"/>
      <c r="O501" s="58"/>
      <c r="P501" s="58"/>
      <c r="Q501" s="58"/>
      <c r="R501" s="58"/>
      <c r="S501" s="58"/>
      <c r="T501" s="58"/>
      <c r="U501" s="58"/>
      <c r="V501" s="58"/>
      <c r="W501" s="58"/>
      <c r="X501" s="58"/>
      <c r="Y501" s="58"/>
      <c r="Z501" s="58"/>
    </row>
    <row r="502" ht="15.75" customHeight="1">
      <c r="A502" s="86"/>
      <c r="B502" s="86"/>
      <c r="C502" s="86"/>
      <c r="D502" s="86"/>
      <c r="E502" s="86"/>
      <c r="F502" s="58"/>
      <c r="G502" s="58"/>
      <c r="H502" s="58"/>
      <c r="I502" s="58"/>
      <c r="J502" s="58"/>
      <c r="K502" s="58"/>
      <c r="L502" s="58"/>
      <c r="M502" s="58"/>
      <c r="N502" s="58"/>
      <c r="O502" s="58"/>
      <c r="P502" s="58"/>
      <c r="Q502" s="58"/>
      <c r="R502" s="58"/>
      <c r="S502" s="58"/>
      <c r="T502" s="58"/>
      <c r="U502" s="58"/>
      <c r="V502" s="58"/>
      <c r="W502" s="58"/>
      <c r="X502" s="58"/>
      <c r="Y502" s="58"/>
      <c r="Z502" s="58"/>
    </row>
    <row r="503" ht="15.75" customHeight="1">
      <c r="A503" s="86"/>
      <c r="B503" s="86"/>
      <c r="C503" s="86"/>
      <c r="D503" s="86"/>
      <c r="E503" s="86"/>
      <c r="F503" s="58"/>
      <c r="G503" s="58"/>
      <c r="H503" s="58"/>
      <c r="I503" s="58"/>
      <c r="J503" s="58"/>
      <c r="K503" s="58"/>
      <c r="L503" s="58"/>
      <c r="M503" s="58"/>
      <c r="N503" s="58"/>
      <c r="O503" s="58"/>
      <c r="P503" s="58"/>
      <c r="Q503" s="58"/>
      <c r="R503" s="58"/>
      <c r="S503" s="58"/>
      <c r="T503" s="58"/>
      <c r="U503" s="58"/>
      <c r="V503" s="58"/>
      <c r="W503" s="58"/>
      <c r="X503" s="58"/>
      <c r="Y503" s="58"/>
      <c r="Z503" s="58"/>
    </row>
    <row r="504" ht="15.75" customHeight="1">
      <c r="A504" s="86"/>
      <c r="B504" s="86"/>
      <c r="C504" s="86"/>
      <c r="D504" s="86"/>
      <c r="E504" s="86"/>
      <c r="F504" s="58"/>
      <c r="G504" s="58"/>
      <c r="H504" s="58"/>
      <c r="I504" s="58"/>
      <c r="J504" s="58"/>
      <c r="K504" s="58"/>
      <c r="L504" s="58"/>
      <c r="M504" s="58"/>
      <c r="N504" s="58"/>
      <c r="O504" s="58"/>
      <c r="P504" s="58"/>
      <c r="Q504" s="58"/>
      <c r="R504" s="58"/>
      <c r="S504" s="58"/>
      <c r="T504" s="58"/>
      <c r="U504" s="58"/>
      <c r="V504" s="58"/>
      <c r="W504" s="58"/>
      <c r="X504" s="58"/>
      <c r="Y504" s="58"/>
      <c r="Z504" s="58"/>
    </row>
    <row r="505" ht="15.75" customHeight="1">
      <c r="A505" s="86"/>
      <c r="B505" s="86"/>
      <c r="C505" s="86"/>
      <c r="D505" s="86"/>
      <c r="E505" s="86"/>
      <c r="F505" s="58"/>
      <c r="G505" s="58"/>
      <c r="H505" s="58"/>
      <c r="I505" s="58"/>
      <c r="J505" s="58"/>
      <c r="K505" s="58"/>
      <c r="L505" s="58"/>
      <c r="M505" s="58"/>
      <c r="N505" s="58"/>
      <c r="O505" s="58"/>
      <c r="P505" s="58"/>
      <c r="Q505" s="58"/>
      <c r="R505" s="58"/>
      <c r="S505" s="58"/>
      <c r="T505" s="58"/>
      <c r="U505" s="58"/>
      <c r="V505" s="58"/>
      <c r="W505" s="58"/>
      <c r="X505" s="58"/>
      <c r="Y505" s="58"/>
      <c r="Z505" s="58"/>
    </row>
    <row r="506" ht="15.75" customHeight="1">
      <c r="A506" s="86"/>
      <c r="B506" s="86"/>
      <c r="C506" s="86"/>
      <c r="D506" s="86"/>
      <c r="E506" s="86"/>
      <c r="F506" s="58"/>
      <c r="G506" s="58"/>
      <c r="H506" s="58"/>
      <c r="I506" s="58"/>
      <c r="J506" s="58"/>
      <c r="K506" s="58"/>
      <c r="L506" s="58"/>
      <c r="M506" s="58"/>
      <c r="N506" s="58"/>
      <c r="O506" s="58"/>
      <c r="P506" s="58"/>
      <c r="Q506" s="58"/>
      <c r="R506" s="58"/>
      <c r="S506" s="58"/>
      <c r="T506" s="58"/>
      <c r="U506" s="58"/>
      <c r="V506" s="58"/>
      <c r="W506" s="58"/>
      <c r="X506" s="58"/>
      <c r="Y506" s="58"/>
      <c r="Z506" s="58"/>
    </row>
    <row r="507" ht="15.75" customHeight="1">
      <c r="A507" s="86"/>
      <c r="B507" s="86"/>
      <c r="C507" s="86"/>
      <c r="D507" s="86"/>
      <c r="E507" s="86"/>
      <c r="F507" s="58"/>
      <c r="G507" s="58"/>
      <c r="H507" s="58"/>
      <c r="I507" s="58"/>
      <c r="J507" s="58"/>
      <c r="K507" s="58"/>
      <c r="L507" s="58"/>
      <c r="M507" s="58"/>
      <c r="N507" s="58"/>
      <c r="O507" s="58"/>
      <c r="P507" s="58"/>
      <c r="Q507" s="58"/>
      <c r="R507" s="58"/>
      <c r="S507" s="58"/>
      <c r="T507" s="58"/>
      <c r="U507" s="58"/>
      <c r="V507" s="58"/>
      <c r="W507" s="58"/>
      <c r="X507" s="58"/>
      <c r="Y507" s="58"/>
      <c r="Z507" s="58"/>
    </row>
    <row r="508" ht="15.75" customHeight="1">
      <c r="A508" s="86"/>
      <c r="B508" s="86"/>
      <c r="C508" s="86"/>
      <c r="D508" s="86"/>
      <c r="E508" s="86"/>
      <c r="F508" s="58"/>
      <c r="G508" s="58"/>
      <c r="H508" s="58"/>
      <c r="I508" s="58"/>
      <c r="J508" s="58"/>
      <c r="K508" s="58"/>
      <c r="L508" s="58"/>
      <c r="M508" s="58"/>
      <c r="N508" s="58"/>
      <c r="O508" s="58"/>
      <c r="P508" s="58"/>
      <c r="Q508" s="58"/>
      <c r="R508" s="58"/>
      <c r="S508" s="58"/>
      <c r="T508" s="58"/>
      <c r="U508" s="58"/>
      <c r="V508" s="58"/>
      <c r="W508" s="58"/>
      <c r="X508" s="58"/>
      <c r="Y508" s="58"/>
      <c r="Z508" s="58"/>
    </row>
    <row r="509" ht="15.75" customHeight="1">
      <c r="A509" s="86"/>
      <c r="B509" s="86"/>
      <c r="C509" s="86"/>
      <c r="D509" s="86"/>
      <c r="E509" s="86"/>
      <c r="F509" s="58"/>
      <c r="G509" s="58"/>
      <c r="H509" s="58"/>
      <c r="I509" s="58"/>
      <c r="J509" s="58"/>
      <c r="K509" s="58"/>
      <c r="L509" s="58"/>
      <c r="M509" s="58"/>
      <c r="N509" s="58"/>
      <c r="O509" s="58"/>
      <c r="P509" s="58"/>
      <c r="Q509" s="58"/>
      <c r="R509" s="58"/>
      <c r="S509" s="58"/>
      <c r="T509" s="58"/>
      <c r="U509" s="58"/>
      <c r="V509" s="58"/>
      <c r="W509" s="58"/>
      <c r="X509" s="58"/>
      <c r="Y509" s="58"/>
      <c r="Z509" s="58"/>
    </row>
    <row r="510" ht="15.75" customHeight="1">
      <c r="A510" s="86"/>
      <c r="B510" s="86"/>
      <c r="C510" s="86"/>
      <c r="D510" s="86"/>
      <c r="E510" s="86"/>
      <c r="F510" s="58"/>
      <c r="G510" s="58"/>
      <c r="H510" s="58"/>
      <c r="I510" s="58"/>
      <c r="J510" s="58"/>
      <c r="K510" s="58"/>
      <c r="L510" s="58"/>
      <c r="M510" s="58"/>
      <c r="N510" s="58"/>
      <c r="O510" s="58"/>
      <c r="P510" s="58"/>
      <c r="Q510" s="58"/>
      <c r="R510" s="58"/>
      <c r="S510" s="58"/>
      <c r="T510" s="58"/>
      <c r="U510" s="58"/>
      <c r="V510" s="58"/>
      <c r="W510" s="58"/>
      <c r="X510" s="58"/>
      <c r="Y510" s="58"/>
      <c r="Z510" s="58"/>
    </row>
    <row r="511" ht="15.75" customHeight="1">
      <c r="A511" s="86"/>
      <c r="B511" s="86"/>
      <c r="C511" s="86"/>
      <c r="D511" s="86"/>
      <c r="E511" s="86"/>
      <c r="F511" s="58"/>
      <c r="G511" s="58"/>
      <c r="H511" s="58"/>
      <c r="I511" s="58"/>
      <c r="J511" s="58"/>
      <c r="K511" s="58"/>
      <c r="L511" s="58"/>
      <c r="M511" s="58"/>
      <c r="N511" s="58"/>
      <c r="O511" s="58"/>
      <c r="P511" s="58"/>
      <c r="Q511" s="58"/>
      <c r="R511" s="58"/>
      <c r="S511" s="58"/>
      <c r="T511" s="58"/>
      <c r="U511" s="58"/>
      <c r="V511" s="58"/>
      <c r="W511" s="58"/>
      <c r="X511" s="58"/>
      <c r="Y511" s="58"/>
      <c r="Z511" s="58"/>
    </row>
    <row r="512" ht="15.75" customHeight="1">
      <c r="A512" s="86"/>
      <c r="B512" s="86"/>
      <c r="C512" s="86"/>
      <c r="D512" s="133"/>
      <c r="E512" s="86"/>
      <c r="F512" s="58"/>
      <c r="G512" s="58"/>
      <c r="H512" s="58"/>
      <c r="I512" s="58"/>
      <c r="J512" s="58"/>
      <c r="K512" s="58"/>
      <c r="L512" s="58"/>
      <c r="M512" s="58"/>
      <c r="N512" s="58"/>
      <c r="O512" s="58"/>
      <c r="P512" s="58"/>
      <c r="Q512" s="58"/>
      <c r="R512" s="58"/>
      <c r="S512" s="58"/>
      <c r="T512" s="58"/>
      <c r="U512" s="58"/>
      <c r="V512" s="58"/>
      <c r="W512" s="58"/>
      <c r="X512" s="58"/>
      <c r="Y512" s="58"/>
      <c r="Z512" s="58"/>
    </row>
    <row r="513" ht="15.75" customHeight="1">
      <c r="A513" s="86"/>
      <c r="B513" s="86"/>
      <c r="C513" s="86"/>
      <c r="D513" s="86"/>
      <c r="E513" s="86"/>
      <c r="F513" s="58"/>
      <c r="G513" s="58"/>
      <c r="H513" s="58"/>
      <c r="I513" s="58"/>
      <c r="J513" s="58"/>
      <c r="K513" s="58"/>
      <c r="L513" s="58"/>
      <c r="M513" s="58"/>
      <c r="N513" s="58"/>
      <c r="O513" s="58"/>
      <c r="P513" s="58"/>
      <c r="Q513" s="58"/>
      <c r="R513" s="58"/>
      <c r="S513" s="58"/>
      <c r="T513" s="58"/>
      <c r="U513" s="58"/>
      <c r="V513" s="58"/>
      <c r="W513" s="58"/>
      <c r="X513" s="58"/>
      <c r="Y513" s="58"/>
      <c r="Z513" s="58"/>
    </row>
    <row r="514" ht="15.75" customHeight="1">
      <c r="A514" s="133"/>
      <c r="B514" s="133"/>
      <c r="C514" s="133"/>
      <c r="D514" s="133"/>
      <c r="E514" s="86"/>
      <c r="F514" s="58"/>
      <c r="G514" s="58"/>
      <c r="H514" s="58"/>
      <c r="I514" s="58"/>
      <c r="J514" s="58"/>
      <c r="K514" s="58"/>
      <c r="L514" s="58"/>
      <c r="M514" s="58"/>
      <c r="N514" s="58"/>
      <c r="O514" s="58"/>
      <c r="P514" s="58"/>
      <c r="Q514" s="58"/>
      <c r="R514" s="58"/>
      <c r="S514" s="58"/>
      <c r="T514" s="58"/>
      <c r="U514" s="58"/>
      <c r="V514" s="58"/>
      <c r="W514" s="58"/>
      <c r="X514" s="58"/>
      <c r="Y514" s="58"/>
      <c r="Z514" s="58"/>
    </row>
    <row r="515" ht="15.75" customHeight="1">
      <c r="A515" s="86"/>
      <c r="B515" s="86"/>
      <c r="C515" s="86"/>
      <c r="D515" s="86"/>
      <c r="E515" s="86"/>
      <c r="F515" s="58"/>
      <c r="G515" s="58"/>
      <c r="H515" s="58"/>
      <c r="I515" s="58"/>
      <c r="J515" s="58"/>
      <c r="K515" s="58"/>
      <c r="L515" s="58"/>
      <c r="M515" s="58"/>
      <c r="N515" s="58"/>
      <c r="O515" s="58"/>
      <c r="P515" s="58"/>
      <c r="Q515" s="58"/>
      <c r="R515" s="58"/>
      <c r="S515" s="58"/>
      <c r="T515" s="58"/>
      <c r="U515" s="58"/>
      <c r="V515" s="58"/>
      <c r="W515" s="58"/>
      <c r="X515" s="58"/>
      <c r="Y515" s="58"/>
      <c r="Z515" s="58"/>
    </row>
    <row r="516" ht="15.75" customHeight="1">
      <c r="A516" s="86"/>
      <c r="B516" s="86"/>
      <c r="C516" s="86"/>
      <c r="D516" s="86"/>
      <c r="E516" s="86"/>
      <c r="F516" s="58"/>
      <c r="G516" s="58"/>
      <c r="H516" s="58"/>
      <c r="I516" s="58"/>
      <c r="J516" s="58"/>
      <c r="K516" s="58"/>
      <c r="L516" s="58"/>
      <c r="M516" s="58"/>
      <c r="N516" s="58"/>
      <c r="O516" s="58"/>
      <c r="P516" s="58"/>
      <c r="Q516" s="58"/>
      <c r="R516" s="58"/>
      <c r="S516" s="58"/>
      <c r="T516" s="58"/>
      <c r="U516" s="58"/>
      <c r="V516" s="58"/>
      <c r="W516" s="58"/>
      <c r="X516" s="58"/>
      <c r="Y516" s="58"/>
      <c r="Z516" s="58"/>
    </row>
    <row r="517" ht="15.75" customHeight="1">
      <c r="A517" s="86"/>
      <c r="B517" s="86"/>
      <c r="C517" s="86"/>
      <c r="D517" s="86"/>
      <c r="E517" s="86"/>
      <c r="F517" s="58"/>
      <c r="G517" s="58"/>
      <c r="H517" s="58"/>
      <c r="I517" s="58"/>
      <c r="J517" s="58"/>
      <c r="K517" s="58"/>
      <c r="L517" s="58"/>
      <c r="M517" s="58"/>
      <c r="N517" s="58"/>
      <c r="O517" s="58"/>
      <c r="P517" s="58"/>
      <c r="Q517" s="58"/>
      <c r="R517" s="58"/>
      <c r="S517" s="58"/>
      <c r="T517" s="58"/>
      <c r="U517" s="58"/>
      <c r="V517" s="58"/>
      <c r="W517" s="58"/>
      <c r="X517" s="58"/>
      <c r="Y517" s="58"/>
      <c r="Z517" s="58"/>
    </row>
    <row r="518" ht="15.75" customHeight="1">
      <c r="A518" s="86"/>
      <c r="B518" s="86"/>
      <c r="C518" s="86"/>
      <c r="D518" s="86"/>
      <c r="E518" s="86"/>
      <c r="F518" s="58"/>
      <c r="G518" s="58"/>
      <c r="H518" s="58"/>
      <c r="I518" s="58"/>
      <c r="J518" s="58"/>
      <c r="K518" s="58"/>
      <c r="L518" s="58"/>
      <c r="M518" s="58"/>
      <c r="N518" s="58"/>
      <c r="O518" s="58"/>
      <c r="P518" s="58"/>
      <c r="Q518" s="58"/>
      <c r="R518" s="58"/>
      <c r="S518" s="58"/>
      <c r="T518" s="58"/>
      <c r="U518" s="58"/>
      <c r="V518" s="58"/>
      <c r="W518" s="58"/>
      <c r="X518" s="58"/>
      <c r="Y518" s="58"/>
      <c r="Z518" s="58"/>
    </row>
    <row r="519" ht="15.75" customHeight="1">
      <c r="A519" s="86"/>
      <c r="B519" s="86"/>
      <c r="C519" s="86"/>
      <c r="D519" s="86"/>
      <c r="E519" s="86"/>
      <c r="F519" s="58"/>
      <c r="G519" s="58"/>
      <c r="H519" s="58"/>
      <c r="I519" s="58"/>
      <c r="J519" s="58"/>
      <c r="K519" s="58"/>
      <c r="L519" s="58"/>
      <c r="M519" s="58"/>
      <c r="N519" s="58"/>
      <c r="O519" s="58"/>
      <c r="P519" s="58"/>
      <c r="Q519" s="58"/>
      <c r="R519" s="58"/>
      <c r="S519" s="58"/>
      <c r="T519" s="58"/>
      <c r="U519" s="58"/>
      <c r="V519" s="58"/>
      <c r="W519" s="58"/>
      <c r="X519" s="58"/>
      <c r="Y519" s="58"/>
      <c r="Z519" s="58"/>
    </row>
    <row r="520" ht="15.75" customHeight="1">
      <c r="A520" s="86"/>
      <c r="B520" s="86"/>
      <c r="C520" s="86"/>
      <c r="D520" s="86"/>
      <c r="E520" s="86"/>
      <c r="F520" s="58"/>
      <c r="G520" s="58"/>
      <c r="H520" s="58"/>
      <c r="I520" s="58"/>
      <c r="J520" s="58"/>
      <c r="K520" s="58"/>
      <c r="L520" s="58"/>
      <c r="M520" s="58"/>
      <c r="N520" s="58"/>
      <c r="O520" s="58"/>
      <c r="P520" s="58"/>
      <c r="Q520" s="58"/>
      <c r="R520" s="58"/>
      <c r="S520" s="58"/>
      <c r="T520" s="58"/>
      <c r="U520" s="58"/>
      <c r="V520" s="58"/>
      <c r="W520" s="58"/>
      <c r="X520" s="58"/>
      <c r="Y520" s="58"/>
      <c r="Z520" s="58"/>
    </row>
    <row r="521" ht="15.75" customHeight="1">
      <c r="A521" s="86"/>
      <c r="B521" s="86"/>
      <c r="C521" s="86"/>
      <c r="D521" s="86"/>
      <c r="E521" s="86"/>
      <c r="F521" s="58"/>
      <c r="G521" s="58"/>
      <c r="H521" s="58"/>
      <c r="I521" s="58"/>
      <c r="J521" s="58"/>
      <c r="K521" s="58"/>
      <c r="L521" s="58"/>
      <c r="M521" s="58"/>
      <c r="N521" s="58"/>
      <c r="O521" s="58"/>
      <c r="P521" s="58"/>
      <c r="Q521" s="58"/>
      <c r="R521" s="58"/>
      <c r="S521" s="58"/>
      <c r="T521" s="58"/>
      <c r="U521" s="58"/>
      <c r="V521" s="58"/>
      <c r="W521" s="58"/>
      <c r="X521" s="58"/>
      <c r="Y521" s="58"/>
      <c r="Z521" s="58"/>
    </row>
    <row r="522" ht="15.75" customHeight="1">
      <c r="A522" s="86"/>
      <c r="B522" s="86"/>
      <c r="C522" s="86"/>
      <c r="D522" s="86"/>
      <c r="E522" s="86"/>
      <c r="F522" s="58"/>
      <c r="G522" s="58"/>
      <c r="H522" s="58"/>
      <c r="I522" s="58"/>
      <c r="J522" s="58"/>
      <c r="K522" s="58"/>
      <c r="L522" s="58"/>
      <c r="M522" s="58"/>
      <c r="N522" s="58"/>
      <c r="O522" s="58"/>
      <c r="P522" s="58"/>
      <c r="Q522" s="58"/>
      <c r="R522" s="58"/>
      <c r="S522" s="58"/>
      <c r="T522" s="58"/>
      <c r="U522" s="58"/>
      <c r="V522" s="58"/>
      <c r="W522" s="58"/>
      <c r="X522" s="58"/>
      <c r="Y522" s="58"/>
      <c r="Z522" s="58"/>
    </row>
    <row r="523" ht="15.75" customHeight="1">
      <c r="A523" s="86"/>
      <c r="B523" s="86"/>
      <c r="C523" s="86"/>
      <c r="D523" s="86"/>
      <c r="E523" s="86"/>
      <c r="F523" s="58"/>
      <c r="G523" s="58"/>
      <c r="H523" s="58"/>
      <c r="I523" s="58"/>
      <c r="J523" s="58"/>
      <c r="K523" s="58"/>
      <c r="L523" s="58"/>
      <c r="M523" s="58"/>
      <c r="N523" s="58"/>
      <c r="O523" s="58"/>
      <c r="P523" s="58"/>
      <c r="Q523" s="58"/>
      <c r="R523" s="58"/>
      <c r="S523" s="58"/>
      <c r="T523" s="58"/>
      <c r="U523" s="58"/>
      <c r="V523" s="58"/>
      <c r="W523" s="58"/>
      <c r="X523" s="58"/>
      <c r="Y523" s="58"/>
      <c r="Z523" s="58"/>
    </row>
    <row r="524" ht="15.75" customHeight="1">
      <c r="A524" s="86"/>
      <c r="B524" s="86"/>
      <c r="C524" s="86"/>
      <c r="D524" s="86"/>
      <c r="E524" s="86"/>
      <c r="F524" s="58"/>
      <c r="G524" s="58"/>
      <c r="H524" s="58"/>
      <c r="I524" s="58"/>
      <c r="J524" s="58"/>
      <c r="K524" s="58"/>
      <c r="L524" s="58"/>
      <c r="M524" s="58"/>
      <c r="N524" s="58"/>
      <c r="O524" s="58"/>
      <c r="P524" s="58"/>
      <c r="Q524" s="58"/>
      <c r="R524" s="58"/>
      <c r="S524" s="58"/>
      <c r="T524" s="58"/>
      <c r="U524" s="58"/>
      <c r="V524" s="58"/>
      <c r="W524" s="58"/>
      <c r="X524" s="58"/>
      <c r="Y524" s="58"/>
      <c r="Z524" s="58"/>
    </row>
    <row r="525" ht="15.75" customHeight="1">
      <c r="A525" s="86"/>
      <c r="B525" s="86"/>
      <c r="C525" s="86"/>
      <c r="D525" s="86"/>
      <c r="E525" s="86"/>
      <c r="F525" s="58"/>
      <c r="G525" s="58"/>
      <c r="H525" s="58"/>
      <c r="I525" s="58"/>
      <c r="J525" s="58"/>
      <c r="K525" s="58"/>
      <c r="L525" s="58"/>
      <c r="M525" s="58"/>
      <c r="N525" s="58"/>
      <c r="O525" s="58"/>
      <c r="P525" s="58"/>
      <c r="Q525" s="58"/>
      <c r="R525" s="58"/>
      <c r="S525" s="58"/>
      <c r="T525" s="58"/>
      <c r="U525" s="58"/>
      <c r="V525" s="58"/>
      <c r="W525" s="58"/>
      <c r="X525" s="58"/>
      <c r="Y525" s="58"/>
      <c r="Z525" s="58"/>
    </row>
    <row r="526" ht="15.75" customHeight="1">
      <c r="A526" s="86"/>
      <c r="B526" s="86"/>
      <c r="C526" s="86"/>
      <c r="D526" s="86"/>
      <c r="E526" s="86"/>
      <c r="F526" s="58"/>
      <c r="G526" s="58"/>
      <c r="H526" s="58"/>
      <c r="I526" s="58"/>
      <c r="J526" s="58"/>
      <c r="K526" s="58"/>
      <c r="L526" s="58"/>
      <c r="M526" s="58"/>
      <c r="N526" s="58"/>
      <c r="O526" s="58"/>
      <c r="P526" s="58"/>
      <c r="Q526" s="58"/>
      <c r="R526" s="58"/>
      <c r="S526" s="58"/>
      <c r="T526" s="58"/>
      <c r="U526" s="58"/>
      <c r="V526" s="58"/>
      <c r="W526" s="58"/>
      <c r="X526" s="58"/>
      <c r="Y526" s="58"/>
      <c r="Z526" s="58"/>
    </row>
    <row r="527" ht="15.75" customHeight="1">
      <c r="A527" s="86"/>
      <c r="B527" s="86"/>
      <c r="C527" s="86"/>
      <c r="D527" s="86"/>
      <c r="E527" s="86"/>
      <c r="F527" s="58"/>
      <c r="G527" s="58"/>
      <c r="H527" s="58"/>
      <c r="I527" s="58"/>
      <c r="J527" s="58"/>
      <c r="K527" s="58"/>
      <c r="L527" s="58"/>
      <c r="M527" s="58"/>
      <c r="N527" s="58"/>
      <c r="O527" s="58"/>
      <c r="P527" s="58"/>
      <c r="Q527" s="58"/>
      <c r="R527" s="58"/>
      <c r="S527" s="58"/>
      <c r="T527" s="58"/>
      <c r="U527" s="58"/>
      <c r="V527" s="58"/>
      <c r="W527" s="58"/>
      <c r="X527" s="58"/>
      <c r="Y527" s="58"/>
      <c r="Z527" s="58"/>
    </row>
    <row r="528" ht="15.75" customHeight="1">
      <c r="A528" s="86"/>
      <c r="B528" s="86"/>
      <c r="C528" s="86"/>
      <c r="D528" s="86"/>
      <c r="E528" s="86"/>
      <c r="F528" s="58"/>
      <c r="G528" s="58"/>
      <c r="H528" s="58"/>
      <c r="I528" s="58"/>
      <c r="J528" s="58"/>
      <c r="K528" s="58"/>
      <c r="L528" s="58"/>
      <c r="M528" s="58"/>
      <c r="N528" s="58"/>
      <c r="O528" s="58"/>
      <c r="P528" s="58"/>
      <c r="Q528" s="58"/>
      <c r="R528" s="58"/>
      <c r="S528" s="58"/>
      <c r="T528" s="58"/>
      <c r="U528" s="58"/>
      <c r="V528" s="58"/>
      <c r="W528" s="58"/>
      <c r="X528" s="58"/>
      <c r="Y528" s="58"/>
      <c r="Z528" s="58"/>
    </row>
    <row r="529" ht="15.75" customHeight="1">
      <c r="A529" s="86"/>
      <c r="B529" s="86"/>
      <c r="C529" s="86"/>
      <c r="D529" s="86"/>
      <c r="E529" s="86"/>
      <c r="F529" s="58"/>
      <c r="G529" s="58"/>
      <c r="H529" s="58"/>
      <c r="I529" s="58"/>
      <c r="J529" s="58"/>
      <c r="K529" s="58"/>
      <c r="L529" s="58"/>
      <c r="M529" s="58"/>
      <c r="N529" s="58"/>
      <c r="O529" s="58"/>
      <c r="P529" s="58"/>
      <c r="Q529" s="58"/>
      <c r="R529" s="58"/>
      <c r="S529" s="58"/>
      <c r="T529" s="58"/>
      <c r="U529" s="58"/>
      <c r="V529" s="58"/>
      <c r="W529" s="58"/>
      <c r="X529" s="58"/>
      <c r="Y529" s="58"/>
      <c r="Z529" s="58"/>
    </row>
    <row r="530" ht="15.75" customHeight="1">
      <c r="A530" s="86"/>
      <c r="B530" s="86"/>
      <c r="C530" s="86"/>
      <c r="D530" s="86"/>
      <c r="E530" s="86"/>
      <c r="F530" s="58"/>
      <c r="G530" s="58"/>
      <c r="H530" s="58"/>
      <c r="I530" s="58"/>
      <c r="J530" s="58"/>
      <c r="K530" s="58"/>
      <c r="L530" s="58"/>
      <c r="M530" s="58"/>
      <c r="N530" s="58"/>
      <c r="O530" s="58"/>
      <c r="P530" s="58"/>
      <c r="Q530" s="58"/>
      <c r="R530" s="58"/>
      <c r="S530" s="58"/>
      <c r="T530" s="58"/>
      <c r="U530" s="58"/>
      <c r="V530" s="58"/>
      <c r="W530" s="58"/>
      <c r="X530" s="58"/>
      <c r="Y530" s="58"/>
      <c r="Z530" s="58"/>
    </row>
    <row r="531" ht="15.75" customHeight="1">
      <c r="A531" s="86"/>
      <c r="B531" s="86"/>
      <c r="C531" s="86"/>
      <c r="D531" s="86"/>
      <c r="E531" s="86"/>
      <c r="F531" s="58"/>
      <c r="G531" s="58"/>
      <c r="H531" s="58"/>
      <c r="I531" s="58"/>
      <c r="J531" s="58"/>
      <c r="K531" s="58"/>
      <c r="L531" s="58"/>
      <c r="M531" s="58"/>
      <c r="N531" s="58"/>
      <c r="O531" s="58"/>
      <c r="P531" s="58"/>
      <c r="Q531" s="58"/>
      <c r="R531" s="58"/>
      <c r="S531" s="58"/>
      <c r="T531" s="58"/>
      <c r="U531" s="58"/>
      <c r="V531" s="58"/>
      <c r="W531" s="58"/>
      <c r="X531" s="58"/>
      <c r="Y531" s="58"/>
      <c r="Z531" s="58"/>
    </row>
    <row r="532" ht="15.75" customHeight="1">
      <c r="A532" s="86"/>
      <c r="B532" s="86"/>
      <c r="C532" s="86"/>
      <c r="D532" s="86"/>
      <c r="E532" s="86"/>
      <c r="F532" s="58"/>
      <c r="G532" s="58"/>
      <c r="H532" s="58"/>
      <c r="I532" s="58"/>
      <c r="J532" s="58"/>
      <c r="K532" s="58"/>
      <c r="L532" s="58"/>
      <c r="M532" s="58"/>
      <c r="N532" s="58"/>
      <c r="O532" s="58"/>
      <c r="P532" s="58"/>
      <c r="Q532" s="58"/>
      <c r="R532" s="58"/>
      <c r="S532" s="58"/>
      <c r="T532" s="58"/>
      <c r="U532" s="58"/>
      <c r="V532" s="58"/>
      <c r="W532" s="58"/>
      <c r="X532" s="58"/>
      <c r="Y532" s="58"/>
      <c r="Z532" s="58"/>
    </row>
    <row r="533" ht="15.75" customHeight="1">
      <c r="A533" s="86"/>
      <c r="B533" s="86"/>
      <c r="C533" s="86"/>
      <c r="D533" s="86"/>
      <c r="E533" s="86"/>
      <c r="F533" s="58"/>
      <c r="G533" s="58"/>
      <c r="H533" s="58"/>
      <c r="I533" s="58"/>
      <c r="J533" s="58"/>
      <c r="K533" s="58"/>
      <c r="L533" s="58"/>
      <c r="M533" s="58"/>
      <c r="N533" s="58"/>
      <c r="O533" s="58"/>
      <c r="P533" s="58"/>
      <c r="Q533" s="58"/>
      <c r="R533" s="58"/>
      <c r="S533" s="58"/>
      <c r="T533" s="58"/>
      <c r="U533" s="58"/>
      <c r="V533" s="58"/>
      <c r="W533" s="58"/>
      <c r="X533" s="58"/>
      <c r="Y533" s="58"/>
      <c r="Z533" s="58"/>
    </row>
    <row r="534" ht="15.75" customHeight="1">
      <c r="A534" s="86"/>
      <c r="B534" s="86"/>
      <c r="C534" s="86"/>
      <c r="D534" s="86"/>
      <c r="E534" s="86"/>
      <c r="F534" s="58"/>
      <c r="G534" s="58"/>
      <c r="H534" s="58"/>
      <c r="I534" s="58"/>
      <c r="J534" s="58"/>
      <c r="K534" s="58"/>
      <c r="L534" s="58"/>
      <c r="M534" s="58"/>
      <c r="N534" s="58"/>
      <c r="O534" s="58"/>
      <c r="P534" s="58"/>
      <c r="Q534" s="58"/>
      <c r="R534" s="58"/>
      <c r="S534" s="58"/>
      <c r="T534" s="58"/>
      <c r="U534" s="58"/>
      <c r="V534" s="58"/>
      <c r="W534" s="58"/>
      <c r="X534" s="58"/>
      <c r="Y534" s="58"/>
      <c r="Z534" s="58"/>
    </row>
    <row r="535" ht="15.75" customHeight="1">
      <c r="A535" s="86"/>
      <c r="B535" s="86"/>
      <c r="C535" s="86"/>
      <c r="D535" s="86"/>
      <c r="E535" s="86"/>
      <c r="F535" s="58"/>
      <c r="G535" s="58"/>
      <c r="H535" s="58"/>
      <c r="I535" s="58"/>
      <c r="J535" s="58"/>
      <c r="K535" s="58"/>
      <c r="L535" s="58"/>
      <c r="M535" s="58"/>
      <c r="N535" s="58"/>
      <c r="O535" s="58"/>
      <c r="P535" s="58"/>
      <c r="Q535" s="58"/>
      <c r="R535" s="58"/>
      <c r="S535" s="58"/>
      <c r="T535" s="58"/>
      <c r="U535" s="58"/>
      <c r="V535" s="58"/>
      <c r="W535" s="58"/>
      <c r="X535" s="58"/>
      <c r="Y535" s="58"/>
      <c r="Z535" s="58"/>
    </row>
    <row r="536" ht="15.75" customHeight="1">
      <c r="A536" s="86"/>
      <c r="B536" s="86"/>
      <c r="C536" s="86"/>
      <c r="D536" s="86"/>
      <c r="E536" s="86"/>
      <c r="F536" s="58"/>
      <c r="G536" s="58"/>
      <c r="H536" s="58"/>
      <c r="I536" s="58"/>
      <c r="J536" s="58"/>
      <c r="K536" s="58"/>
      <c r="L536" s="58"/>
      <c r="M536" s="58"/>
      <c r="N536" s="58"/>
      <c r="O536" s="58"/>
      <c r="P536" s="58"/>
      <c r="Q536" s="58"/>
      <c r="R536" s="58"/>
      <c r="S536" s="58"/>
      <c r="T536" s="58"/>
      <c r="U536" s="58"/>
      <c r="V536" s="58"/>
      <c r="W536" s="58"/>
      <c r="X536" s="58"/>
      <c r="Y536" s="58"/>
      <c r="Z536" s="58"/>
    </row>
    <row r="537" ht="15.75" customHeight="1">
      <c r="A537" s="86"/>
      <c r="B537" s="86"/>
      <c r="C537" s="86"/>
      <c r="D537" s="86"/>
      <c r="E537" s="86"/>
      <c r="F537" s="58"/>
      <c r="G537" s="58"/>
      <c r="H537" s="58"/>
      <c r="I537" s="58"/>
      <c r="J537" s="58"/>
      <c r="K537" s="58"/>
      <c r="L537" s="58"/>
      <c r="M537" s="58"/>
      <c r="N537" s="58"/>
      <c r="O537" s="58"/>
      <c r="P537" s="58"/>
      <c r="Q537" s="58"/>
      <c r="R537" s="58"/>
      <c r="S537" s="58"/>
      <c r="T537" s="58"/>
      <c r="U537" s="58"/>
      <c r="V537" s="58"/>
      <c r="W537" s="58"/>
      <c r="X537" s="58"/>
      <c r="Y537" s="58"/>
      <c r="Z537" s="58"/>
    </row>
    <row r="538" ht="15.75" customHeight="1">
      <c r="A538" s="86"/>
      <c r="B538" s="86"/>
      <c r="C538" s="86"/>
      <c r="D538" s="86"/>
      <c r="E538" s="86"/>
      <c r="F538" s="58"/>
      <c r="G538" s="58"/>
      <c r="H538" s="58"/>
      <c r="I538" s="58"/>
      <c r="J538" s="58"/>
      <c r="K538" s="58"/>
      <c r="L538" s="58"/>
      <c r="M538" s="58"/>
      <c r="N538" s="58"/>
      <c r="O538" s="58"/>
      <c r="P538" s="58"/>
      <c r="Q538" s="58"/>
      <c r="R538" s="58"/>
      <c r="S538" s="58"/>
      <c r="T538" s="58"/>
      <c r="U538" s="58"/>
      <c r="V538" s="58"/>
      <c r="W538" s="58"/>
      <c r="X538" s="58"/>
      <c r="Y538" s="58"/>
      <c r="Z538" s="58"/>
    </row>
    <row r="539" ht="15.75" customHeight="1">
      <c r="A539" s="86"/>
      <c r="B539" s="86"/>
      <c r="C539" s="86"/>
      <c r="D539" s="86"/>
      <c r="E539" s="86"/>
      <c r="F539" s="58"/>
      <c r="G539" s="58"/>
      <c r="H539" s="58"/>
      <c r="I539" s="58"/>
      <c r="J539" s="58"/>
      <c r="K539" s="58"/>
      <c r="L539" s="58"/>
      <c r="M539" s="58"/>
      <c r="N539" s="58"/>
      <c r="O539" s="58"/>
      <c r="P539" s="58"/>
      <c r="Q539" s="58"/>
      <c r="R539" s="58"/>
      <c r="S539" s="58"/>
      <c r="T539" s="58"/>
      <c r="U539" s="58"/>
      <c r="V539" s="58"/>
      <c r="W539" s="58"/>
      <c r="X539" s="58"/>
      <c r="Y539" s="58"/>
      <c r="Z539" s="58"/>
    </row>
    <row r="540" ht="15.75" customHeight="1">
      <c r="A540" s="86"/>
      <c r="B540" s="86"/>
      <c r="C540" s="86"/>
      <c r="D540" s="86"/>
      <c r="E540" s="86"/>
      <c r="F540" s="58"/>
      <c r="G540" s="58"/>
      <c r="H540" s="58"/>
      <c r="I540" s="58"/>
      <c r="J540" s="58"/>
      <c r="K540" s="58"/>
      <c r="L540" s="58"/>
      <c r="M540" s="58"/>
      <c r="N540" s="58"/>
      <c r="O540" s="58"/>
      <c r="P540" s="58"/>
      <c r="Q540" s="58"/>
      <c r="R540" s="58"/>
      <c r="S540" s="58"/>
      <c r="T540" s="58"/>
      <c r="U540" s="58"/>
      <c r="V540" s="58"/>
      <c r="W540" s="58"/>
      <c r="X540" s="58"/>
      <c r="Y540" s="58"/>
      <c r="Z540" s="58"/>
    </row>
    <row r="541" ht="15.75" customHeight="1">
      <c r="A541" s="86"/>
      <c r="B541" s="86"/>
      <c r="C541" s="86"/>
      <c r="D541" s="86"/>
      <c r="E541" s="86"/>
      <c r="F541" s="58"/>
      <c r="G541" s="58"/>
      <c r="H541" s="58"/>
      <c r="I541" s="58"/>
      <c r="J541" s="58"/>
      <c r="K541" s="58"/>
      <c r="L541" s="58"/>
      <c r="M541" s="58"/>
      <c r="N541" s="58"/>
      <c r="O541" s="58"/>
      <c r="P541" s="58"/>
      <c r="Q541" s="58"/>
      <c r="R541" s="58"/>
      <c r="S541" s="58"/>
      <c r="T541" s="58"/>
      <c r="U541" s="58"/>
      <c r="V541" s="58"/>
      <c r="W541" s="58"/>
      <c r="X541" s="58"/>
      <c r="Y541" s="58"/>
      <c r="Z541" s="58"/>
    </row>
    <row r="542" ht="15.75" customHeight="1">
      <c r="A542" s="86"/>
      <c r="B542" s="86"/>
      <c r="C542" s="86"/>
      <c r="D542" s="86"/>
      <c r="E542" s="86"/>
      <c r="F542" s="58"/>
      <c r="G542" s="58"/>
      <c r="H542" s="58"/>
      <c r="I542" s="58"/>
      <c r="J542" s="58"/>
      <c r="K542" s="58"/>
      <c r="L542" s="58"/>
      <c r="M542" s="58"/>
      <c r="N542" s="58"/>
      <c r="O542" s="58"/>
      <c r="P542" s="58"/>
      <c r="Q542" s="58"/>
      <c r="R542" s="58"/>
      <c r="S542" s="58"/>
      <c r="T542" s="58"/>
      <c r="U542" s="58"/>
      <c r="V542" s="58"/>
      <c r="W542" s="58"/>
      <c r="X542" s="58"/>
      <c r="Y542" s="58"/>
      <c r="Z542" s="58"/>
    </row>
    <row r="543" ht="15.75" customHeight="1">
      <c r="A543" s="86"/>
      <c r="B543" s="86"/>
      <c r="C543" s="86"/>
      <c r="D543" s="86"/>
      <c r="E543" s="86"/>
      <c r="F543" s="58"/>
      <c r="G543" s="58"/>
      <c r="H543" s="58"/>
      <c r="I543" s="58"/>
      <c r="J543" s="58"/>
      <c r="K543" s="58"/>
      <c r="L543" s="58"/>
      <c r="M543" s="58"/>
      <c r="N543" s="58"/>
      <c r="O543" s="58"/>
      <c r="P543" s="58"/>
      <c r="Q543" s="58"/>
      <c r="R543" s="58"/>
      <c r="S543" s="58"/>
      <c r="T543" s="58"/>
      <c r="U543" s="58"/>
      <c r="V543" s="58"/>
      <c r="W543" s="58"/>
      <c r="X543" s="58"/>
      <c r="Y543" s="58"/>
      <c r="Z543" s="58"/>
    </row>
    <row r="544" ht="15.75" customHeight="1">
      <c r="A544" s="86"/>
      <c r="B544" s="86"/>
      <c r="C544" s="86"/>
      <c r="D544" s="86"/>
      <c r="E544" s="86"/>
      <c r="F544" s="58"/>
      <c r="G544" s="58"/>
      <c r="H544" s="58"/>
      <c r="I544" s="58"/>
      <c r="J544" s="58"/>
      <c r="K544" s="58"/>
      <c r="L544" s="58"/>
      <c r="M544" s="58"/>
      <c r="N544" s="58"/>
      <c r="O544" s="58"/>
      <c r="P544" s="58"/>
      <c r="Q544" s="58"/>
      <c r="R544" s="58"/>
      <c r="S544" s="58"/>
      <c r="T544" s="58"/>
      <c r="U544" s="58"/>
      <c r="V544" s="58"/>
      <c r="W544" s="58"/>
      <c r="X544" s="58"/>
      <c r="Y544" s="58"/>
      <c r="Z544" s="58"/>
    </row>
    <row r="545" ht="15.75" customHeight="1">
      <c r="A545" s="86"/>
      <c r="B545" s="86"/>
      <c r="C545" s="86"/>
      <c r="D545" s="86"/>
      <c r="E545" s="86"/>
      <c r="F545" s="58"/>
      <c r="G545" s="58"/>
      <c r="H545" s="58"/>
      <c r="I545" s="58"/>
      <c r="J545" s="58"/>
      <c r="K545" s="58"/>
      <c r="L545" s="58"/>
      <c r="M545" s="58"/>
      <c r="N545" s="58"/>
      <c r="O545" s="58"/>
      <c r="P545" s="58"/>
      <c r="Q545" s="58"/>
      <c r="R545" s="58"/>
      <c r="S545" s="58"/>
      <c r="T545" s="58"/>
      <c r="U545" s="58"/>
      <c r="V545" s="58"/>
      <c r="W545" s="58"/>
      <c r="X545" s="58"/>
      <c r="Y545" s="58"/>
      <c r="Z545" s="58"/>
    </row>
    <row r="546" ht="15.75" customHeight="1">
      <c r="A546" s="86"/>
      <c r="B546" s="86"/>
      <c r="C546" s="86"/>
      <c r="D546" s="86"/>
      <c r="E546" s="86"/>
      <c r="F546" s="58"/>
      <c r="G546" s="58"/>
      <c r="H546" s="58"/>
      <c r="I546" s="58"/>
      <c r="J546" s="58"/>
      <c r="K546" s="58"/>
      <c r="L546" s="58"/>
      <c r="M546" s="58"/>
      <c r="N546" s="58"/>
      <c r="O546" s="58"/>
      <c r="P546" s="58"/>
      <c r="Q546" s="58"/>
      <c r="R546" s="58"/>
      <c r="S546" s="58"/>
      <c r="T546" s="58"/>
      <c r="U546" s="58"/>
      <c r="V546" s="58"/>
      <c r="W546" s="58"/>
      <c r="X546" s="58"/>
      <c r="Y546" s="58"/>
      <c r="Z546" s="58"/>
    </row>
    <row r="547" ht="15.75" customHeight="1">
      <c r="A547" s="86"/>
      <c r="B547" s="86"/>
      <c r="C547" s="86"/>
      <c r="D547" s="86"/>
      <c r="E547" s="86"/>
      <c r="F547" s="58"/>
      <c r="G547" s="58"/>
      <c r="H547" s="58"/>
      <c r="I547" s="58"/>
      <c r="J547" s="58"/>
      <c r="K547" s="58"/>
      <c r="L547" s="58"/>
      <c r="M547" s="58"/>
      <c r="N547" s="58"/>
      <c r="O547" s="58"/>
      <c r="P547" s="58"/>
      <c r="Q547" s="58"/>
      <c r="R547" s="58"/>
      <c r="S547" s="58"/>
      <c r="T547" s="58"/>
      <c r="U547" s="58"/>
      <c r="V547" s="58"/>
      <c r="W547" s="58"/>
      <c r="X547" s="58"/>
      <c r="Y547" s="58"/>
      <c r="Z547" s="58"/>
    </row>
    <row r="548" ht="15.75" customHeight="1">
      <c r="A548" s="86"/>
      <c r="B548" s="86"/>
      <c r="C548" s="86"/>
      <c r="D548" s="86"/>
      <c r="E548" s="86"/>
      <c r="F548" s="58"/>
      <c r="G548" s="58"/>
      <c r="H548" s="58"/>
      <c r="I548" s="58"/>
      <c r="J548" s="58"/>
      <c r="K548" s="58"/>
      <c r="L548" s="58"/>
      <c r="M548" s="58"/>
      <c r="N548" s="58"/>
      <c r="O548" s="58"/>
      <c r="P548" s="58"/>
      <c r="Q548" s="58"/>
      <c r="R548" s="58"/>
      <c r="S548" s="58"/>
      <c r="T548" s="58"/>
      <c r="U548" s="58"/>
      <c r="V548" s="58"/>
      <c r="W548" s="58"/>
      <c r="X548" s="58"/>
      <c r="Y548" s="58"/>
      <c r="Z548" s="58"/>
    </row>
    <row r="549" ht="15.75" customHeight="1">
      <c r="A549" s="86"/>
      <c r="B549" s="86"/>
      <c r="C549" s="86"/>
      <c r="D549" s="86"/>
      <c r="E549" s="86"/>
      <c r="F549" s="58"/>
      <c r="G549" s="58"/>
      <c r="H549" s="58"/>
      <c r="I549" s="58"/>
      <c r="J549" s="58"/>
      <c r="K549" s="58"/>
      <c r="L549" s="58"/>
      <c r="M549" s="58"/>
      <c r="N549" s="58"/>
      <c r="O549" s="58"/>
      <c r="P549" s="58"/>
      <c r="Q549" s="58"/>
      <c r="R549" s="58"/>
      <c r="S549" s="58"/>
      <c r="T549" s="58"/>
      <c r="U549" s="58"/>
      <c r="V549" s="58"/>
      <c r="W549" s="58"/>
      <c r="X549" s="58"/>
      <c r="Y549" s="58"/>
      <c r="Z549" s="58"/>
    </row>
    <row r="550" ht="15.75" customHeight="1">
      <c r="A550" s="86"/>
      <c r="B550" s="86"/>
      <c r="C550" s="86"/>
      <c r="D550" s="86"/>
      <c r="E550" s="86"/>
      <c r="F550" s="58"/>
      <c r="G550" s="58"/>
      <c r="H550" s="58"/>
      <c r="I550" s="58"/>
      <c r="J550" s="58"/>
      <c r="K550" s="58"/>
      <c r="L550" s="58"/>
      <c r="M550" s="58"/>
      <c r="N550" s="58"/>
      <c r="O550" s="58"/>
      <c r="P550" s="58"/>
      <c r="Q550" s="58"/>
      <c r="R550" s="58"/>
      <c r="S550" s="58"/>
      <c r="T550" s="58"/>
      <c r="U550" s="58"/>
      <c r="V550" s="58"/>
      <c r="W550" s="58"/>
      <c r="X550" s="58"/>
      <c r="Y550" s="58"/>
      <c r="Z550" s="58"/>
    </row>
    <row r="551" ht="15.75" customHeight="1">
      <c r="A551" s="86"/>
      <c r="B551" s="86"/>
      <c r="C551" s="86"/>
      <c r="D551" s="86"/>
      <c r="E551" s="86"/>
      <c r="F551" s="58"/>
      <c r="G551" s="58"/>
      <c r="H551" s="58"/>
      <c r="I551" s="58"/>
      <c r="J551" s="58"/>
      <c r="K551" s="58"/>
      <c r="L551" s="58"/>
      <c r="M551" s="58"/>
      <c r="N551" s="58"/>
      <c r="O551" s="58"/>
      <c r="P551" s="58"/>
      <c r="Q551" s="58"/>
      <c r="R551" s="58"/>
      <c r="S551" s="58"/>
      <c r="T551" s="58"/>
      <c r="U551" s="58"/>
      <c r="V551" s="58"/>
      <c r="W551" s="58"/>
      <c r="X551" s="58"/>
      <c r="Y551" s="58"/>
      <c r="Z551" s="58"/>
    </row>
    <row r="552" ht="15.75" customHeight="1">
      <c r="A552" s="86"/>
      <c r="B552" s="86"/>
      <c r="C552" s="86"/>
      <c r="D552" s="86"/>
      <c r="E552" s="86"/>
      <c r="F552" s="58"/>
      <c r="G552" s="58"/>
      <c r="H552" s="58"/>
      <c r="I552" s="58"/>
      <c r="J552" s="58"/>
      <c r="K552" s="58"/>
      <c r="L552" s="58"/>
      <c r="M552" s="58"/>
      <c r="N552" s="58"/>
      <c r="O552" s="58"/>
      <c r="P552" s="58"/>
      <c r="Q552" s="58"/>
      <c r="R552" s="58"/>
      <c r="S552" s="58"/>
      <c r="T552" s="58"/>
      <c r="U552" s="58"/>
      <c r="V552" s="58"/>
      <c r="W552" s="58"/>
      <c r="X552" s="58"/>
      <c r="Y552" s="58"/>
      <c r="Z552" s="58"/>
    </row>
    <row r="553" ht="15.75" customHeight="1">
      <c r="A553" s="86"/>
      <c r="B553" s="86"/>
      <c r="C553" s="86"/>
      <c r="D553" s="86"/>
      <c r="E553" s="86"/>
      <c r="F553" s="58"/>
      <c r="G553" s="58"/>
      <c r="H553" s="58"/>
      <c r="I553" s="58"/>
      <c r="J553" s="58"/>
      <c r="K553" s="58"/>
      <c r="L553" s="58"/>
      <c r="M553" s="58"/>
      <c r="N553" s="58"/>
      <c r="O553" s="58"/>
      <c r="P553" s="58"/>
      <c r="Q553" s="58"/>
      <c r="R553" s="58"/>
      <c r="S553" s="58"/>
      <c r="T553" s="58"/>
      <c r="U553" s="58"/>
      <c r="V553" s="58"/>
      <c r="W553" s="58"/>
      <c r="X553" s="58"/>
      <c r="Y553" s="58"/>
      <c r="Z553" s="58"/>
    </row>
    <row r="554" ht="15.75" customHeight="1">
      <c r="A554" s="86"/>
      <c r="B554" s="86"/>
      <c r="C554" s="86"/>
      <c r="D554" s="86"/>
      <c r="E554" s="86"/>
      <c r="F554" s="58"/>
      <c r="G554" s="58"/>
      <c r="H554" s="58"/>
      <c r="I554" s="58"/>
      <c r="J554" s="58"/>
      <c r="K554" s="58"/>
      <c r="L554" s="58"/>
      <c r="M554" s="58"/>
      <c r="N554" s="58"/>
      <c r="O554" s="58"/>
      <c r="P554" s="58"/>
      <c r="Q554" s="58"/>
      <c r="R554" s="58"/>
      <c r="S554" s="58"/>
      <c r="T554" s="58"/>
      <c r="U554" s="58"/>
      <c r="V554" s="58"/>
      <c r="W554" s="58"/>
      <c r="X554" s="58"/>
      <c r="Y554" s="58"/>
      <c r="Z554" s="58"/>
    </row>
    <row r="555" ht="15.75" customHeight="1">
      <c r="A555" s="86"/>
      <c r="B555" s="86"/>
      <c r="C555" s="86"/>
      <c r="D555" s="86"/>
      <c r="E555" s="86"/>
      <c r="F555" s="58"/>
      <c r="G555" s="58"/>
      <c r="H555" s="58"/>
      <c r="I555" s="58"/>
      <c r="J555" s="58"/>
      <c r="K555" s="58"/>
      <c r="L555" s="58"/>
      <c r="M555" s="58"/>
      <c r="N555" s="58"/>
      <c r="O555" s="58"/>
      <c r="P555" s="58"/>
      <c r="Q555" s="58"/>
      <c r="R555" s="58"/>
      <c r="S555" s="58"/>
      <c r="T555" s="58"/>
      <c r="U555" s="58"/>
      <c r="V555" s="58"/>
      <c r="W555" s="58"/>
      <c r="X555" s="58"/>
      <c r="Y555" s="58"/>
      <c r="Z555" s="58"/>
    </row>
    <row r="556" ht="15.75" customHeight="1">
      <c r="A556" s="86"/>
      <c r="B556" s="86"/>
      <c r="C556" s="86"/>
      <c r="D556" s="86"/>
      <c r="E556" s="86"/>
      <c r="F556" s="58"/>
      <c r="G556" s="58"/>
      <c r="H556" s="58"/>
      <c r="I556" s="58"/>
      <c r="J556" s="58"/>
      <c r="K556" s="58"/>
      <c r="L556" s="58"/>
      <c r="M556" s="58"/>
      <c r="N556" s="58"/>
      <c r="O556" s="58"/>
      <c r="P556" s="58"/>
      <c r="Q556" s="58"/>
      <c r="R556" s="58"/>
      <c r="S556" s="58"/>
      <c r="T556" s="58"/>
      <c r="U556" s="58"/>
      <c r="V556" s="58"/>
      <c r="W556" s="58"/>
      <c r="X556" s="58"/>
      <c r="Y556" s="58"/>
      <c r="Z556" s="58"/>
    </row>
    <row r="557" ht="15.75" customHeight="1">
      <c r="A557" s="86"/>
      <c r="B557" s="86"/>
      <c r="C557" s="86"/>
      <c r="D557" s="86"/>
      <c r="E557" s="86"/>
      <c r="F557" s="58"/>
      <c r="G557" s="58"/>
      <c r="H557" s="58"/>
      <c r="I557" s="58"/>
      <c r="J557" s="58"/>
      <c r="K557" s="58"/>
      <c r="L557" s="58"/>
      <c r="M557" s="58"/>
      <c r="N557" s="58"/>
      <c r="O557" s="58"/>
      <c r="P557" s="58"/>
      <c r="Q557" s="58"/>
      <c r="R557" s="58"/>
      <c r="S557" s="58"/>
      <c r="T557" s="58"/>
      <c r="U557" s="58"/>
      <c r="V557" s="58"/>
      <c r="W557" s="58"/>
      <c r="X557" s="58"/>
      <c r="Y557" s="58"/>
      <c r="Z557" s="58"/>
    </row>
    <row r="558" ht="15.75" customHeight="1">
      <c r="A558" s="86"/>
      <c r="B558" s="86"/>
      <c r="C558" s="86"/>
      <c r="D558" s="86"/>
      <c r="E558" s="86"/>
      <c r="F558" s="58"/>
      <c r="G558" s="58"/>
      <c r="H558" s="58"/>
      <c r="I558" s="58"/>
      <c r="J558" s="58"/>
      <c r="K558" s="58"/>
      <c r="L558" s="58"/>
      <c r="M558" s="58"/>
      <c r="N558" s="58"/>
      <c r="O558" s="58"/>
      <c r="P558" s="58"/>
      <c r="Q558" s="58"/>
      <c r="R558" s="58"/>
      <c r="S558" s="58"/>
      <c r="T558" s="58"/>
      <c r="U558" s="58"/>
      <c r="V558" s="58"/>
      <c r="W558" s="58"/>
      <c r="X558" s="58"/>
      <c r="Y558" s="58"/>
      <c r="Z558" s="58"/>
    </row>
    <row r="559" ht="15.75" customHeight="1">
      <c r="A559" s="86"/>
      <c r="B559" s="86"/>
      <c r="C559" s="86"/>
      <c r="D559" s="86"/>
      <c r="E559" s="86"/>
      <c r="F559" s="58"/>
      <c r="G559" s="58"/>
      <c r="H559" s="58"/>
      <c r="I559" s="58"/>
      <c r="J559" s="58"/>
      <c r="K559" s="58"/>
      <c r="L559" s="58"/>
      <c r="M559" s="58"/>
      <c r="N559" s="58"/>
      <c r="O559" s="58"/>
      <c r="P559" s="58"/>
      <c r="Q559" s="58"/>
      <c r="R559" s="58"/>
      <c r="S559" s="58"/>
      <c r="T559" s="58"/>
      <c r="U559" s="58"/>
      <c r="V559" s="58"/>
      <c r="W559" s="58"/>
      <c r="X559" s="58"/>
      <c r="Y559" s="58"/>
      <c r="Z559" s="58"/>
    </row>
    <row r="560" ht="15.75" customHeight="1">
      <c r="A560" s="86"/>
      <c r="B560" s="86"/>
      <c r="C560" s="86"/>
      <c r="D560" s="86"/>
      <c r="E560" s="86"/>
      <c r="F560" s="58"/>
      <c r="G560" s="58"/>
      <c r="H560" s="58"/>
      <c r="I560" s="58"/>
      <c r="J560" s="58"/>
      <c r="K560" s="58"/>
      <c r="L560" s="58"/>
      <c r="M560" s="58"/>
      <c r="N560" s="58"/>
      <c r="O560" s="58"/>
      <c r="P560" s="58"/>
      <c r="Q560" s="58"/>
      <c r="R560" s="58"/>
      <c r="S560" s="58"/>
      <c r="T560" s="58"/>
      <c r="U560" s="58"/>
      <c r="V560" s="58"/>
      <c r="W560" s="58"/>
      <c r="X560" s="58"/>
      <c r="Y560" s="58"/>
      <c r="Z560" s="58"/>
    </row>
    <row r="561" ht="15.75" customHeight="1">
      <c r="A561" s="86"/>
      <c r="B561" s="86"/>
      <c r="C561" s="86"/>
      <c r="D561" s="86"/>
      <c r="E561" s="86"/>
      <c r="F561" s="58"/>
      <c r="G561" s="58"/>
      <c r="H561" s="58"/>
      <c r="I561" s="58"/>
      <c r="J561" s="58"/>
      <c r="K561" s="58"/>
      <c r="L561" s="58"/>
      <c r="M561" s="58"/>
      <c r="N561" s="58"/>
      <c r="O561" s="58"/>
      <c r="P561" s="58"/>
      <c r="Q561" s="58"/>
      <c r="R561" s="58"/>
      <c r="S561" s="58"/>
      <c r="T561" s="58"/>
      <c r="U561" s="58"/>
      <c r="V561" s="58"/>
      <c r="W561" s="58"/>
      <c r="X561" s="58"/>
      <c r="Y561" s="58"/>
      <c r="Z561" s="58"/>
    </row>
    <row r="562" ht="15.75" customHeight="1">
      <c r="A562" s="86"/>
      <c r="B562" s="86"/>
      <c r="C562" s="86"/>
      <c r="D562" s="86"/>
      <c r="E562" s="86"/>
      <c r="F562" s="58"/>
      <c r="G562" s="58"/>
      <c r="H562" s="58"/>
      <c r="I562" s="58"/>
      <c r="J562" s="58"/>
      <c r="K562" s="58"/>
      <c r="L562" s="58"/>
      <c r="M562" s="58"/>
      <c r="N562" s="58"/>
      <c r="O562" s="58"/>
      <c r="P562" s="58"/>
      <c r="Q562" s="58"/>
      <c r="R562" s="58"/>
      <c r="S562" s="58"/>
      <c r="T562" s="58"/>
      <c r="U562" s="58"/>
      <c r="V562" s="58"/>
      <c r="W562" s="58"/>
      <c r="X562" s="58"/>
      <c r="Y562" s="58"/>
      <c r="Z562" s="58"/>
    </row>
    <row r="563" ht="15.75" customHeight="1">
      <c r="A563" s="86"/>
      <c r="B563" s="86"/>
      <c r="C563" s="86"/>
      <c r="D563" s="86"/>
      <c r="E563" s="86"/>
      <c r="F563" s="58"/>
      <c r="G563" s="58"/>
      <c r="H563" s="58"/>
      <c r="I563" s="58"/>
      <c r="J563" s="58"/>
      <c r="K563" s="58"/>
      <c r="L563" s="58"/>
      <c r="M563" s="58"/>
      <c r="N563" s="58"/>
      <c r="O563" s="58"/>
      <c r="P563" s="58"/>
      <c r="Q563" s="58"/>
      <c r="R563" s="58"/>
      <c r="S563" s="58"/>
      <c r="T563" s="58"/>
      <c r="U563" s="58"/>
      <c r="V563" s="58"/>
      <c r="W563" s="58"/>
      <c r="X563" s="58"/>
      <c r="Y563" s="58"/>
      <c r="Z563" s="58"/>
    </row>
    <row r="564" ht="15.75" customHeight="1">
      <c r="A564" s="86"/>
      <c r="B564" s="86"/>
      <c r="C564" s="86"/>
      <c r="D564" s="86"/>
      <c r="E564" s="86"/>
      <c r="F564" s="58"/>
      <c r="G564" s="58"/>
      <c r="H564" s="58"/>
      <c r="I564" s="58"/>
      <c r="J564" s="58"/>
      <c r="K564" s="58"/>
      <c r="L564" s="58"/>
      <c r="M564" s="58"/>
      <c r="N564" s="58"/>
      <c r="O564" s="58"/>
      <c r="P564" s="58"/>
      <c r="Q564" s="58"/>
      <c r="R564" s="58"/>
      <c r="S564" s="58"/>
      <c r="T564" s="58"/>
      <c r="U564" s="58"/>
      <c r="V564" s="58"/>
      <c r="W564" s="58"/>
      <c r="X564" s="58"/>
      <c r="Y564" s="58"/>
      <c r="Z564" s="58"/>
    </row>
    <row r="565" ht="15.75" customHeight="1">
      <c r="A565" s="86"/>
      <c r="B565" s="86"/>
      <c r="C565" s="86"/>
      <c r="D565" s="86"/>
      <c r="E565" s="86"/>
      <c r="F565" s="58"/>
      <c r="G565" s="58"/>
      <c r="H565" s="58"/>
      <c r="I565" s="58"/>
      <c r="J565" s="58"/>
      <c r="K565" s="58"/>
      <c r="L565" s="58"/>
      <c r="M565" s="58"/>
      <c r="N565" s="58"/>
      <c r="O565" s="58"/>
      <c r="P565" s="58"/>
      <c r="Q565" s="58"/>
      <c r="R565" s="58"/>
      <c r="S565" s="58"/>
      <c r="T565" s="58"/>
      <c r="U565" s="58"/>
      <c r="V565" s="58"/>
      <c r="W565" s="58"/>
      <c r="X565" s="58"/>
      <c r="Y565" s="58"/>
      <c r="Z565" s="58"/>
    </row>
    <row r="566" ht="15.75" customHeight="1">
      <c r="A566" s="86"/>
      <c r="B566" s="86"/>
      <c r="C566" s="86"/>
      <c r="D566" s="86"/>
      <c r="E566" s="86"/>
      <c r="F566" s="58"/>
      <c r="G566" s="58"/>
      <c r="H566" s="58"/>
      <c r="I566" s="58"/>
      <c r="J566" s="58"/>
      <c r="K566" s="58"/>
      <c r="L566" s="58"/>
      <c r="M566" s="58"/>
      <c r="N566" s="58"/>
      <c r="O566" s="58"/>
      <c r="P566" s="58"/>
      <c r="Q566" s="58"/>
      <c r="R566" s="58"/>
      <c r="S566" s="58"/>
      <c r="T566" s="58"/>
      <c r="U566" s="58"/>
      <c r="V566" s="58"/>
      <c r="W566" s="58"/>
      <c r="X566" s="58"/>
      <c r="Y566" s="58"/>
      <c r="Z566" s="58"/>
    </row>
    <row r="567" ht="15.75" customHeight="1">
      <c r="A567" s="86"/>
      <c r="B567" s="86"/>
      <c r="C567" s="86"/>
      <c r="D567" s="86"/>
      <c r="E567" s="86"/>
      <c r="F567" s="58"/>
      <c r="G567" s="58"/>
      <c r="H567" s="58"/>
      <c r="I567" s="58"/>
      <c r="J567" s="58"/>
      <c r="K567" s="58"/>
      <c r="L567" s="58"/>
      <c r="M567" s="58"/>
      <c r="N567" s="58"/>
      <c r="O567" s="58"/>
      <c r="P567" s="58"/>
      <c r="Q567" s="58"/>
      <c r="R567" s="58"/>
      <c r="S567" s="58"/>
      <c r="T567" s="58"/>
      <c r="U567" s="58"/>
      <c r="V567" s="58"/>
      <c r="W567" s="58"/>
      <c r="X567" s="58"/>
      <c r="Y567" s="58"/>
      <c r="Z567" s="58"/>
    </row>
    <row r="568" ht="15.75" customHeight="1">
      <c r="A568" s="86"/>
      <c r="B568" s="86"/>
      <c r="C568" s="86"/>
      <c r="D568" s="86"/>
      <c r="E568" s="86"/>
      <c r="F568" s="58"/>
      <c r="G568" s="58"/>
      <c r="H568" s="58"/>
      <c r="I568" s="58"/>
      <c r="J568" s="58"/>
      <c r="K568" s="58"/>
      <c r="L568" s="58"/>
      <c r="M568" s="58"/>
      <c r="N568" s="58"/>
      <c r="O568" s="58"/>
      <c r="P568" s="58"/>
      <c r="Q568" s="58"/>
      <c r="R568" s="58"/>
      <c r="S568" s="58"/>
      <c r="T568" s="58"/>
      <c r="U568" s="58"/>
      <c r="V568" s="58"/>
      <c r="W568" s="58"/>
      <c r="X568" s="58"/>
      <c r="Y568" s="58"/>
      <c r="Z568" s="58"/>
    </row>
    <row r="569" ht="15.75" customHeight="1">
      <c r="A569" s="86"/>
      <c r="B569" s="86"/>
      <c r="C569" s="86"/>
      <c r="D569" s="86"/>
      <c r="E569" s="86"/>
      <c r="F569" s="58"/>
      <c r="G569" s="58"/>
      <c r="H569" s="58"/>
      <c r="I569" s="58"/>
      <c r="J569" s="58"/>
      <c r="K569" s="58"/>
      <c r="L569" s="58"/>
      <c r="M569" s="58"/>
      <c r="N569" s="58"/>
      <c r="O569" s="58"/>
      <c r="P569" s="58"/>
      <c r="Q569" s="58"/>
      <c r="R569" s="58"/>
      <c r="S569" s="58"/>
      <c r="T569" s="58"/>
      <c r="U569" s="58"/>
      <c r="V569" s="58"/>
      <c r="W569" s="58"/>
      <c r="X569" s="58"/>
      <c r="Y569" s="58"/>
      <c r="Z569" s="58"/>
    </row>
    <row r="570" ht="15.75" customHeight="1">
      <c r="A570" s="86"/>
      <c r="B570" s="86"/>
      <c r="C570" s="86"/>
      <c r="D570" s="86"/>
      <c r="E570" s="86"/>
      <c r="F570" s="58"/>
      <c r="G570" s="58"/>
      <c r="H570" s="58"/>
      <c r="I570" s="58"/>
      <c r="J570" s="58"/>
      <c r="K570" s="58"/>
      <c r="L570" s="58"/>
      <c r="M570" s="58"/>
      <c r="N570" s="58"/>
      <c r="O570" s="58"/>
      <c r="P570" s="58"/>
      <c r="Q570" s="58"/>
      <c r="R570" s="58"/>
      <c r="S570" s="58"/>
      <c r="T570" s="58"/>
      <c r="U570" s="58"/>
      <c r="V570" s="58"/>
      <c r="W570" s="58"/>
      <c r="X570" s="58"/>
      <c r="Y570" s="58"/>
      <c r="Z570" s="58"/>
    </row>
    <row r="571" ht="15.75" customHeight="1">
      <c r="A571" s="86"/>
      <c r="B571" s="86"/>
      <c r="C571" s="86"/>
      <c r="D571" s="86"/>
      <c r="E571" s="86"/>
      <c r="F571" s="58"/>
      <c r="G571" s="58"/>
      <c r="H571" s="58"/>
      <c r="I571" s="58"/>
      <c r="J571" s="58"/>
      <c r="K571" s="58"/>
      <c r="L571" s="58"/>
      <c r="M571" s="58"/>
      <c r="N571" s="58"/>
      <c r="O571" s="58"/>
      <c r="P571" s="58"/>
      <c r="Q571" s="58"/>
      <c r="R571" s="58"/>
      <c r="S571" s="58"/>
      <c r="T571" s="58"/>
      <c r="U571" s="58"/>
      <c r="V571" s="58"/>
      <c r="W571" s="58"/>
      <c r="X571" s="58"/>
      <c r="Y571" s="58"/>
      <c r="Z571" s="58"/>
    </row>
    <row r="572" ht="15.75" customHeight="1">
      <c r="A572" s="86"/>
      <c r="B572" s="86"/>
      <c r="C572" s="86"/>
      <c r="D572" s="86"/>
      <c r="E572" s="86"/>
      <c r="F572" s="58"/>
      <c r="G572" s="58"/>
      <c r="H572" s="58"/>
      <c r="I572" s="58"/>
      <c r="J572" s="58"/>
      <c r="K572" s="58"/>
      <c r="L572" s="58"/>
      <c r="M572" s="58"/>
      <c r="N572" s="58"/>
      <c r="O572" s="58"/>
      <c r="P572" s="58"/>
      <c r="Q572" s="58"/>
      <c r="R572" s="58"/>
      <c r="S572" s="58"/>
      <c r="T572" s="58"/>
      <c r="U572" s="58"/>
      <c r="V572" s="58"/>
      <c r="W572" s="58"/>
      <c r="X572" s="58"/>
      <c r="Y572" s="58"/>
      <c r="Z572" s="58"/>
    </row>
    <row r="573" ht="15.75" customHeight="1">
      <c r="A573" s="86"/>
      <c r="B573" s="86"/>
      <c r="C573" s="86"/>
      <c r="D573" s="86"/>
      <c r="E573" s="86"/>
      <c r="F573" s="58"/>
      <c r="G573" s="58"/>
      <c r="H573" s="58"/>
      <c r="I573" s="58"/>
      <c r="J573" s="58"/>
      <c r="K573" s="58"/>
      <c r="L573" s="58"/>
      <c r="M573" s="58"/>
      <c r="N573" s="58"/>
      <c r="O573" s="58"/>
      <c r="P573" s="58"/>
      <c r="Q573" s="58"/>
      <c r="R573" s="58"/>
      <c r="S573" s="58"/>
      <c r="T573" s="58"/>
      <c r="U573" s="58"/>
      <c r="V573" s="58"/>
      <c r="W573" s="58"/>
      <c r="X573" s="58"/>
      <c r="Y573" s="58"/>
      <c r="Z573" s="58"/>
    </row>
    <row r="574" ht="15.75" customHeight="1">
      <c r="A574" s="86"/>
      <c r="B574" s="86"/>
      <c r="C574" s="86"/>
      <c r="D574" s="86"/>
      <c r="E574" s="86"/>
      <c r="F574" s="58"/>
      <c r="G574" s="58"/>
      <c r="H574" s="58"/>
      <c r="I574" s="58"/>
      <c r="J574" s="58"/>
      <c r="K574" s="58"/>
      <c r="L574" s="58"/>
      <c r="M574" s="58"/>
      <c r="N574" s="58"/>
      <c r="O574" s="58"/>
      <c r="P574" s="58"/>
      <c r="Q574" s="58"/>
      <c r="R574" s="58"/>
      <c r="S574" s="58"/>
      <c r="T574" s="58"/>
      <c r="U574" s="58"/>
      <c r="V574" s="58"/>
      <c r="W574" s="58"/>
      <c r="X574" s="58"/>
      <c r="Y574" s="58"/>
      <c r="Z574" s="58"/>
    </row>
    <row r="575" ht="15.75" customHeight="1">
      <c r="A575" s="86"/>
      <c r="B575" s="86"/>
      <c r="C575" s="86"/>
      <c r="D575" s="86"/>
      <c r="E575" s="86"/>
      <c r="F575" s="58"/>
      <c r="G575" s="58"/>
      <c r="H575" s="58"/>
      <c r="I575" s="58"/>
      <c r="J575" s="58"/>
      <c r="K575" s="58"/>
      <c r="L575" s="58"/>
      <c r="M575" s="58"/>
      <c r="N575" s="58"/>
      <c r="O575" s="58"/>
      <c r="P575" s="58"/>
      <c r="Q575" s="58"/>
      <c r="R575" s="58"/>
      <c r="S575" s="58"/>
      <c r="T575" s="58"/>
      <c r="U575" s="58"/>
      <c r="V575" s="58"/>
      <c r="W575" s="58"/>
      <c r="X575" s="58"/>
      <c r="Y575" s="58"/>
      <c r="Z575" s="58"/>
    </row>
    <row r="576" ht="15.75" customHeight="1">
      <c r="A576" s="86"/>
      <c r="B576" s="86"/>
      <c r="C576" s="86"/>
      <c r="D576" s="86"/>
      <c r="E576" s="86"/>
      <c r="F576" s="58"/>
      <c r="G576" s="58"/>
      <c r="H576" s="58"/>
      <c r="I576" s="58"/>
      <c r="J576" s="58"/>
      <c r="K576" s="58"/>
      <c r="L576" s="58"/>
      <c r="M576" s="58"/>
      <c r="N576" s="58"/>
      <c r="O576" s="58"/>
      <c r="P576" s="58"/>
      <c r="Q576" s="58"/>
      <c r="R576" s="58"/>
      <c r="S576" s="58"/>
      <c r="T576" s="58"/>
      <c r="U576" s="58"/>
      <c r="V576" s="58"/>
      <c r="W576" s="58"/>
      <c r="X576" s="58"/>
      <c r="Y576" s="58"/>
      <c r="Z576" s="58"/>
    </row>
    <row r="577" ht="15.75" customHeight="1">
      <c r="A577" s="86"/>
      <c r="B577" s="86"/>
      <c r="C577" s="86"/>
      <c r="D577" s="86"/>
      <c r="E577" s="86"/>
      <c r="F577" s="58"/>
      <c r="G577" s="58"/>
      <c r="H577" s="58"/>
      <c r="I577" s="58"/>
      <c r="J577" s="58"/>
      <c r="K577" s="58"/>
      <c r="L577" s="58"/>
      <c r="M577" s="58"/>
      <c r="N577" s="58"/>
      <c r="O577" s="58"/>
      <c r="P577" s="58"/>
      <c r="Q577" s="58"/>
      <c r="R577" s="58"/>
      <c r="S577" s="58"/>
      <c r="T577" s="58"/>
      <c r="U577" s="58"/>
      <c r="V577" s="58"/>
      <c r="W577" s="58"/>
      <c r="X577" s="58"/>
      <c r="Y577" s="58"/>
      <c r="Z577" s="58"/>
    </row>
    <row r="578" ht="15.75" customHeight="1">
      <c r="A578" s="86"/>
      <c r="B578" s="86"/>
      <c r="C578" s="86"/>
      <c r="D578" s="86"/>
      <c r="E578" s="86"/>
      <c r="F578" s="58"/>
      <c r="G578" s="58"/>
      <c r="H578" s="58"/>
      <c r="I578" s="58"/>
      <c r="J578" s="58"/>
      <c r="K578" s="58"/>
      <c r="L578" s="58"/>
      <c r="M578" s="58"/>
      <c r="N578" s="58"/>
      <c r="O578" s="58"/>
      <c r="P578" s="58"/>
      <c r="Q578" s="58"/>
      <c r="R578" s="58"/>
      <c r="S578" s="58"/>
      <c r="T578" s="58"/>
      <c r="U578" s="58"/>
      <c r="V578" s="58"/>
      <c r="W578" s="58"/>
      <c r="X578" s="58"/>
      <c r="Y578" s="58"/>
      <c r="Z578" s="58"/>
    </row>
    <row r="579" ht="15.75" customHeight="1">
      <c r="A579" s="86"/>
      <c r="B579" s="86"/>
      <c r="C579" s="86"/>
      <c r="D579" s="86"/>
      <c r="E579" s="86"/>
      <c r="F579" s="58"/>
      <c r="G579" s="58"/>
      <c r="H579" s="58"/>
      <c r="I579" s="58"/>
      <c r="J579" s="58"/>
      <c r="K579" s="58"/>
      <c r="L579" s="58"/>
      <c r="M579" s="58"/>
      <c r="N579" s="58"/>
      <c r="O579" s="58"/>
      <c r="P579" s="58"/>
      <c r="Q579" s="58"/>
      <c r="R579" s="58"/>
      <c r="S579" s="58"/>
      <c r="T579" s="58"/>
      <c r="U579" s="58"/>
      <c r="V579" s="58"/>
      <c r="W579" s="58"/>
      <c r="X579" s="58"/>
      <c r="Y579" s="58"/>
      <c r="Z579" s="58"/>
    </row>
    <row r="580" ht="15.75" customHeight="1">
      <c r="A580" s="86"/>
      <c r="B580" s="86"/>
      <c r="C580" s="86"/>
      <c r="D580" s="86"/>
      <c r="E580" s="86"/>
      <c r="F580" s="58"/>
      <c r="G580" s="58"/>
      <c r="H580" s="58"/>
      <c r="I580" s="58"/>
      <c r="J580" s="58"/>
      <c r="K580" s="58"/>
      <c r="L580" s="58"/>
      <c r="M580" s="58"/>
      <c r="N580" s="58"/>
      <c r="O580" s="58"/>
      <c r="P580" s="58"/>
      <c r="Q580" s="58"/>
      <c r="R580" s="58"/>
      <c r="S580" s="58"/>
      <c r="T580" s="58"/>
      <c r="U580" s="58"/>
      <c r="V580" s="58"/>
      <c r="W580" s="58"/>
      <c r="X580" s="58"/>
      <c r="Y580" s="58"/>
      <c r="Z580" s="58"/>
    </row>
    <row r="581" ht="15.75" customHeight="1">
      <c r="A581" s="86"/>
      <c r="B581" s="86"/>
      <c r="C581" s="86"/>
      <c r="D581" s="86"/>
      <c r="E581" s="86"/>
      <c r="F581" s="58"/>
      <c r="G581" s="58"/>
      <c r="H581" s="58"/>
      <c r="I581" s="58"/>
      <c r="J581" s="58"/>
      <c r="K581" s="58"/>
      <c r="L581" s="58"/>
      <c r="M581" s="58"/>
      <c r="N581" s="58"/>
      <c r="O581" s="58"/>
      <c r="P581" s="58"/>
      <c r="Q581" s="58"/>
      <c r="R581" s="58"/>
      <c r="S581" s="58"/>
      <c r="T581" s="58"/>
      <c r="U581" s="58"/>
      <c r="V581" s="58"/>
      <c r="W581" s="58"/>
      <c r="X581" s="58"/>
      <c r="Y581" s="58"/>
      <c r="Z581" s="58"/>
    </row>
    <row r="582" ht="15.75" customHeight="1">
      <c r="A582" s="86"/>
      <c r="B582" s="86"/>
      <c r="C582" s="86"/>
      <c r="D582" s="86"/>
      <c r="E582" s="86"/>
      <c r="F582" s="58"/>
      <c r="G582" s="58"/>
      <c r="H582" s="58"/>
      <c r="I582" s="58"/>
      <c r="J582" s="58"/>
      <c r="K582" s="58"/>
      <c r="L582" s="58"/>
      <c r="M582" s="58"/>
      <c r="N582" s="58"/>
      <c r="O582" s="58"/>
      <c r="P582" s="58"/>
      <c r="Q582" s="58"/>
      <c r="R582" s="58"/>
      <c r="S582" s="58"/>
      <c r="T582" s="58"/>
      <c r="U582" s="58"/>
      <c r="V582" s="58"/>
      <c r="W582" s="58"/>
      <c r="X582" s="58"/>
      <c r="Y582" s="58"/>
      <c r="Z582" s="58"/>
    </row>
    <row r="583" ht="15.75" customHeight="1">
      <c r="A583" s="86"/>
      <c r="B583" s="86"/>
      <c r="C583" s="86"/>
      <c r="D583" s="86"/>
      <c r="E583" s="86"/>
      <c r="F583" s="58"/>
      <c r="G583" s="58"/>
      <c r="H583" s="58"/>
      <c r="I583" s="58"/>
      <c r="J583" s="58"/>
      <c r="K583" s="58"/>
      <c r="L583" s="58"/>
      <c r="M583" s="58"/>
      <c r="N583" s="58"/>
      <c r="O583" s="58"/>
      <c r="P583" s="58"/>
      <c r="Q583" s="58"/>
      <c r="R583" s="58"/>
      <c r="S583" s="58"/>
      <c r="T583" s="58"/>
      <c r="U583" s="58"/>
      <c r="V583" s="58"/>
      <c r="W583" s="58"/>
      <c r="X583" s="58"/>
      <c r="Y583" s="58"/>
      <c r="Z583" s="58"/>
    </row>
    <row r="584" ht="15.75" customHeight="1">
      <c r="A584" s="86"/>
      <c r="B584" s="86"/>
      <c r="C584" s="86"/>
      <c r="D584" s="86"/>
      <c r="E584" s="86"/>
      <c r="F584" s="58"/>
      <c r="G584" s="58"/>
      <c r="H584" s="58"/>
      <c r="I584" s="58"/>
      <c r="J584" s="58"/>
      <c r="K584" s="58"/>
      <c r="L584" s="58"/>
      <c r="M584" s="58"/>
      <c r="N584" s="58"/>
      <c r="O584" s="58"/>
      <c r="P584" s="58"/>
      <c r="Q584" s="58"/>
      <c r="R584" s="58"/>
      <c r="S584" s="58"/>
      <c r="T584" s="58"/>
      <c r="U584" s="58"/>
      <c r="V584" s="58"/>
      <c r="W584" s="58"/>
      <c r="X584" s="58"/>
      <c r="Y584" s="58"/>
      <c r="Z584" s="58"/>
    </row>
    <row r="585" ht="15.75" customHeight="1">
      <c r="A585" s="86"/>
      <c r="B585" s="86"/>
      <c r="C585" s="86"/>
      <c r="D585" s="86"/>
      <c r="E585" s="86"/>
      <c r="F585" s="58"/>
      <c r="G585" s="58"/>
      <c r="H585" s="58"/>
      <c r="I585" s="58"/>
      <c r="J585" s="58"/>
      <c r="K585" s="58"/>
      <c r="L585" s="58"/>
      <c r="M585" s="58"/>
      <c r="N585" s="58"/>
      <c r="O585" s="58"/>
      <c r="P585" s="58"/>
      <c r="Q585" s="58"/>
      <c r="R585" s="58"/>
      <c r="S585" s="58"/>
      <c r="T585" s="58"/>
      <c r="U585" s="58"/>
      <c r="V585" s="58"/>
      <c r="W585" s="58"/>
      <c r="X585" s="58"/>
      <c r="Y585" s="58"/>
      <c r="Z585" s="58"/>
    </row>
    <row r="586" ht="15.75" customHeight="1">
      <c r="A586" s="86"/>
      <c r="B586" s="86"/>
      <c r="C586" s="86"/>
      <c r="D586" s="86"/>
      <c r="E586" s="86"/>
      <c r="F586" s="58"/>
      <c r="G586" s="58"/>
      <c r="H586" s="58"/>
      <c r="I586" s="58"/>
      <c r="J586" s="58"/>
      <c r="K586" s="58"/>
      <c r="L586" s="58"/>
      <c r="M586" s="58"/>
      <c r="N586" s="58"/>
      <c r="O586" s="58"/>
      <c r="P586" s="58"/>
      <c r="Q586" s="58"/>
      <c r="R586" s="58"/>
      <c r="S586" s="58"/>
      <c r="T586" s="58"/>
      <c r="U586" s="58"/>
      <c r="V586" s="58"/>
      <c r="W586" s="58"/>
      <c r="X586" s="58"/>
      <c r="Y586" s="58"/>
      <c r="Z586" s="58"/>
    </row>
    <row r="587" ht="15.75" customHeight="1">
      <c r="A587" s="86"/>
      <c r="B587" s="86"/>
      <c r="C587" s="86"/>
      <c r="D587" s="86"/>
      <c r="E587" s="86"/>
      <c r="F587" s="58"/>
      <c r="G587" s="58"/>
      <c r="H587" s="58"/>
      <c r="I587" s="58"/>
      <c r="J587" s="58"/>
      <c r="K587" s="58"/>
      <c r="L587" s="58"/>
      <c r="M587" s="58"/>
      <c r="N587" s="58"/>
      <c r="O587" s="58"/>
      <c r="P587" s="58"/>
      <c r="Q587" s="58"/>
      <c r="R587" s="58"/>
      <c r="S587" s="58"/>
      <c r="T587" s="58"/>
      <c r="U587" s="58"/>
      <c r="V587" s="58"/>
      <c r="W587" s="58"/>
      <c r="X587" s="58"/>
      <c r="Y587" s="58"/>
      <c r="Z587" s="58"/>
    </row>
    <row r="588" ht="15.75" customHeight="1">
      <c r="A588" s="86"/>
      <c r="B588" s="86"/>
      <c r="C588" s="86"/>
      <c r="D588" s="86"/>
      <c r="E588" s="86"/>
      <c r="F588" s="58"/>
      <c r="G588" s="58"/>
      <c r="H588" s="58"/>
      <c r="I588" s="58"/>
      <c r="J588" s="58"/>
      <c r="K588" s="58"/>
      <c r="L588" s="58"/>
      <c r="M588" s="58"/>
      <c r="N588" s="58"/>
      <c r="O588" s="58"/>
      <c r="P588" s="58"/>
      <c r="Q588" s="58"/>
      <c r="R588" s="58"/>
      <c r="S588" s="58"/>
      <c r="T588" s="58"/>
      <c r="U588" s="58"/>
      <c r="V588" s="58"/>
      <c r="W588" s="58"/>
      <c r="X588" s="58"/>
      <c r="Y588" s="58"/>
      <c r="Z588" s="58"/>
    </row>
    <row r="589" ht="15.75" customHeight="1">
      <c r="A589" s="86"/>
      <c r="B589" s="86"/>
      <c r="C589" s="86"/>
      <c r="D589" s="86"/>
      <c r="E589" s="86"/>
      <c r="F589" s="58"/>
      <c r="G589" s="58"/>
      <c r="H589" s="58"/>
      <c r="I589" s="58"/>
      <c r="J589" s="58"/>
      <c r="K589" s="58"/>
      <c r="L589" s="58"/>
      <c r="M589" s="58"/>
      <c r="N589" s="58"/>
      <c r="O589" s="58"/>
      <c r="P589" s="58"/>
      <c r="Q589" s="58"/>
      <c r="R589" s="58"/>
      <c r="S589" s="58"/>
      <c r="T589" s="58"/>
      <c r="U589" s="58"/>
      <c r="V589" s="58"/>
      <c r="W589" s="58"/>
      <c r="X589" s="58"/>
      <c r="Y589" s="58"/>
      <c r="Z589" s="58"/>
    </row>
    <row r="590" ht="15.75" customHeight="1">
      <c r="A590" s="86"/>
      <c r="B590" s="86"/>
      <c r="C590" s="86"/>
      <c r="D590" s="86"/>
      <c r="E590" s="86"/>
      <c r="F590" s="58"/>
      <c r="G590" s="58"/>
      <c r="H590" s="58"/>
      <c r="I590" s="58"/>
      <c r="J590" s="58"/>
      <c r="K590" s="58"/>
      <c r="L590" s="58"/>
      <c r="M590" s="58"/>
      <c r="N590" s="58"/>
      <c r="O590" s="58"/>
      <c r="P590" s="58"/>
      <c r="Q590" s="58"/>
      <c r="R590" s="58"/>
      <c r="S590" s="58"/>
      <c r="T590" s="58"/>
      <c r="U590" s="58"/>
      <c r="V590" s="58"/>
      <c r="W590" s="58"/>
      <c r="X590" s="58"/>
      <c r="Y590" s="58"/>
      <c r="Z590" s="58"/>
    </row>
    <row r="591" ht="15.75" customHeight="1">
      <c r="A591" s="86"/>
      <c r="B591" s="86"/>
      <c r="C591" s="86"/>
      <c r="D591" s="86"/>
      <c r="E591" s="86"/>
      <c r="F591" s="58"/>
      <c r="G591" s="58"/>
      <c r="H591" s="58"/>
      <c r="I591" s="58"/>
      <c r="J591" s="58"/>
      <c r="K591" s="58"/>
      <c r="L591" s="58"/>
      <c r="M591" s="58"/>
      <c r="N591" s="58"/>
      <c r="O591" s="58"/>
      <c r="P591" s="58"/>
      <c r="Q591" s="58"/>
      <c r="R591" s="58"/>
      <c r="S591" s="58"/>
      <c r="T591" s="58"/>
      <c r="U591" s="58"/>
      <c r="V591" s="58"/>
      <c r="W591" s="58"/>
      <c r="X591" s="58"/>
      <c r="Y591" s="58"/>
      <c r="Z591" s="58"/>
    </row>
    <row r="592" ht="15.75" customHeight="1">
      <c r="A592" s="86"/>
      <c r="B592" s="86"/>
      <c r="C592" s="86"/>
      <c r="D592" s="86"/>
      <c r="E592" s="86"/>
      <c r="F592" s="58"/>
      <c r="G592" s="58"/>
      <c r="H592" s="58"/>
      <c r="I592" s="58"/>
      <c r="J592" s="58"/>
      <c r="K592" s="58"/>
      <c r="L592" s="58"/>
      <c r="M592" s="58"/>
      <c r="N592" s="58"/>
      <c r="O592" s="58"/>
      <c r="P592" s="58"/>
      <c r="Q592" s="58"/>
      <c r="R592" s="58"/>
      <c r="S592" s="58"/>
      <c r="T592" s="58"/>
      <c r="U592" s="58"/>
      <c r="V592" s="58"/>
      <c r="W592" s="58"/>
      <c r="X592" s="58"/>
      <c r="Y592" s="58"/>
      <c r="Z592" s="58"/>
    </row>
    <row r="593" ht="15.75" customHeight="1">
      <c r="A593" s="86"/>
      <c r="B593" s="86"/>
      <c r="C593" s="86"/>
      <c r="D593" s="86"/>
      <c r="E593" s="86"/>
      <c r="F593" s="58"/>
      <c r="G593" s="58"/>
      <c r="H593" s="58"/>
      <c r="I593" s="58"/>
      <c r="J593" s="58"/>
      <c r="K593" s="58"/>
      <c r="L593" s="58"/>
      <c r="M593" s="58"/>
      <c r="N593" s="58"/>
      <c r="O593" s="58"/>
      <c r="P593" s="58"/>
      <c r="Q593" s="58"/>
      <c r="R593" s="58"/>
      <c r="S593" s="58"/>
      <c r="T593" s="58"/>
      <c r="U593" s="58"/>
      <c r="V593" s="58"/>
      <c r="W593" s="58"/>
      <c r="X593" s="58"/>
      <c r="Y593" s="58"/>
      <c r="Z593" s="58"/>
    </row>
    <row r="594" ht="15.75" customHeight="1">
      <c r="A594" s="86"/>
      <c r="B594" s="86"/>
      <c r="C594" s="86"/>
      <c r="D594" s="86"/>
      <c r="E594" s="86"/>
      <c r="F594" s="58"/>
      <c r="G594" s="58"/>
      <c r="H594" s="58"/>
      <c r="I594" s="58"/>
      <c r="J594" s="58"/>
      <c r="K594" s="58"/>
      <c r="L594" s="58"/>
      <c r="M594" s="58"/>
      <c r="N594" s="58"/>
      <c r="O594" s="58"/>
      <c r="P594" s="58"/>
      <c r="Q594" s="58"/>
      <c r="R594" s="58"/>
      <c r="S594" s="58"/>
      <c r="T594" s="58"/>
      <c r="U594" s="58"/>
      <c r="V594" s="58"/>
      <c r="W594" s="58"/>
      <c r="X594" s="58"/>
      <c r="Y594" s="58"/>
      <c r="Z594" s="58"/>
    </row>
    <row r="595" ht="15.75" customHeight="1">
      <c r="A595" s="86"/>
      <c r="B595" s="86"/>
      <c r="C595" s="86"/>
      <c r="D595" s="86"/>
      <c r="E595" s="86"/>
      <c r="F595" s="58"/>
      <c r="G595" s="58"/>
      <c r="H595" s="58"/>
      <c r="I595" s="58"/>
      <c r="J595" s="58"/>
      <c r="K595" s="58"/>
      <c r="L595" s="58"/>
      <c r="M595" s="58"/>
      <c r="N595" s="58"/>
      <c r="O595" s="58"/>
      <c r="P595" s="58"/>
      <c r="Q595" s="58"/>
      <c r="R595" s="58"/>
      <c r="S595" s="58"/>
      <c r="T595" s="58"/>
      <c r="U595" s="58"/>
      <c r="V595" s="58"/>
      <c r="W595" s="58"/>
      <c r="X595" s="58"/>
      <c r="Y595" s="58"/>
      <c r="Z595" s="58"/>
    </row>
    <row r="596" ht="15.75" customHeight="1">
      <c r="A596" s="86"/>
      <c r="B596" s="86"/>
      <c r="C596" s="86"/>
      <c r="D596" s="86"/>
      <c r="E596" s="86"/>
      <c r="F596" s="58"/>
      <c r="G596" s="58"/>
      <c r="H596" s="58"/>
      <c r="I596" s="58"/>
      <c r="J596" s="58"/>
      <c r="K596" s="58"/>
      <c r="L596" s="58"/>
      <c r="M596" s="58"/>
      <c r="N596" s="58"/>
      <c r="O596" s="58"/>
      <c r="P596" s="58"/>
      <c r="Q596" s="58"/>
      <c r="R596" s="58"/>
      <c r="S596" s="58"/>
      <c r="T596" s="58"/>
      <c r="U596" s="58"/>
      <c r="V596" s="58"/>
      <c r="W596" s="58"/>
      <c r="X596" s="58"/>
      <c r="Y596" s="58"/>
      <c r="Z596" s="58"/>
    </row>
    <row r="597" ht="15.75" customHeight="1">
      <c r="A597" s="86"/>
      <c r="B597" s="86"/>
      <c r="C597" s="86"/>
      <c r="D597" s="86"/>
      <c r="E597" s="86"/>
      <c r="F597" s="58"/>
      <c r="G597" s="58"/>
      <c r="H597" s="58"/>
      <c r="I597" s="58"/>
      <c r="J597" s="58"/>
      <c r="K597" s="58"/>
      <c r="L597" s="58"/>
      <c r="M597" s="58"/>
      <c r="N597" s="58"/>
      <c r="O597" s="58"/>
      <c r="P597" s="58"/>
      <c r="Q597" s="58"/>
      <c r="R597" s="58"/>
      <c r="S597" s="58"/>
      <c r="T597" s="58"/>
      <c r="U597" s="58"/>
      <c r="V597" s="58"/>
      <c r="W597" s="58"/>
      <c r="X597" s="58"/>
      <c r="Y597" s="58"/>
      <c r="Z597" s="58"/>
    </row>
    <row r="598" ht="15.75" customHeight="1">
      <c r="A598" s="86"/>
      <c r="B598" s="86"/>
      <c r="C598" s="86"/>
      <c r="D598" s="86"/>
      <c r="E598" s="86"/>
      <c r="F598" s="58"/>
      <c r="G598" s="58"/>
      <c r="H598" s="58"/>
      <c r="I598" s="58"/>
      <c r="J598" s="58"/>
      <c r="K598" s="58"/>
      <c r="L598" s="58"/>
      <c r="M598" s="58"/>
      <c r="N598" s="58"/>
      <c r="O598" s="58"/>
      <c r="P598" s="58"/>
      <c r="Q598" s="58"/>
      <c r="R598" s="58"/>
      <c r="S598" s="58"/>
      <c r="T598" s="58"/>
      <c r="U598" s="58"/>
      <c r="V598" s="58"/>
      <c r="W598" s="58"/>
      <c r="X598" s="58"/>
      <c r="Y598" s="58"/>
      <c r="Z598" s="58"/>
    </row>
    <row r="599" ht="15.75" customHeight="1">
      <c r="A599" s="86"/>
      <c r="B599" s="86"/>
      <c r="C599" s="86"/>
      <c r="D599" s="86"/>
      <c r="E599" s="86"/>
      <c r="F599" s="58"/>
      <c r="G599" s="58"/>
      <c r="H599" s="58"/>
      <c r="I599" s="58"/>
      <c r="J599" s="58"/>
      <c r="K599" s="58"/>
      <c r="L599" s="58"/>
      <c r="M599" s="58"/>
      <c r="N599" s="58"/>
      <c r="O599" s="58"/>
      <c r="P599" s="58"/>
      <c r="Q599" s="58"/>
      <c r="R599" s="58"/>
      <c r="S599" s="58"/>
      <c r="T599" s="58"/>
      <c r="U599" s="58"/>
      <c r="V599" s="58"/>
      <c r="W599" s="58"/>
      <c r="X599" s="58"/>
      <c r="Y599" s="58"/>
      <c r="Z599" s="58"/>
    </row>
    <row r="600" ht="15.75" customHeight="1">
      <c r="A600" s="86"/>
      <c r="B600" s="86"/>
      <c r="C600" s="86"/>
      <c r="D600" s="86"/>
      <c r="E600" s="86"/>
      <c r="F600" s="58"/>
      <c r="G600" s="58"/>
      <c r="H600" s="58"/>
      <c r="I600" s="58"/>
      <c r="J600" s="58"/>
      <c r="K600" s="58"/>
      <c r="L600" s="58"/>
      <c r="M600" s="58"/>
      <c r="N600" s="58"/>
      <c r="O600" s="58"/>
      <c r="P600" s="58"/>
      <c r="Q600" s="58"/>
      <c r="R600" s="58"/>
      <c r="S600" s="58"/>
      <c r="T600" s="58"/>
      <c r="U600" s="58"/>
      <c r="V600" s="58"/>
      <c r="W600" s="58"/>
      <c r="X600" s="58"/>
      <c r="Y600" s="58"/>
      <c r="Z600" s="58"/>
    </row>
    <row r="601" ht="15.75" customHeight="1">
      <c r="A601" s="86"/>
      <c r="B601" s="86"/>
      <c r="C601" s="86"/>
      <c r="D601" s="86"/>
      <c r="E601" s="86"/>
      <c r="F601" s="58"/>
      <c r="G601" s="58"/>
      <c r="H601" s="58"/>
      <c r="I601" s="58"/>
      <c r="J601" s="58"/>
      <c r="K601" s="58"/>
      <c r="L601" s="58"/>
      <c r="M601" s="58"/>
      <c r="N601" s="58"/>
      <c r="O601" s="58"/>
      <c r="P601" s="58"/>
      <c r="Q601" s="58"/>
      <c r="R601" s="58"/>
      <c r="S601" s="58"/>
      <c r="T601" s="58"/>
      <c r="U601" s="58"/>
      <c r="V601" s="58"/>
      <c r="W601" s="58"/>
      <c r="X601" s="58"/>
      <c r="Y601" s="58"/>
      <c r="Z601" s="58"/>
    </row>
    <row r="602" ht="15.75" customHeight="1">
      <c r="A602" s="86"/>
      <c r="B602" s="86"/>
      <c r="C602" s="86"/>
      <c r="D602" s="86"/>
      <c r="E602" s="86"/>
      <c r="F602" s="58"/>
      <c r="G602" s="58"/>
      <c r="H602" s="58"/>
      <c r="I602" s="58"/>
      <c r="J602" s="58"/>
      <c r="K602" s="58"/>
      <c r="L602" s="58"/>
      <c r="M602" s="58"/>
      <c r="N602" s="58"/>
      <c r="O602" s="58"/>
      <c r="P602" s="58"/>
      <c r="Q602" s="58"/>
      <c r="R602" s="58"/>
      <c r="S602" s="58"/>
      <c r="T602" s="58"/>
      <c r="U602" s="58"/>
      <c r="V602" s="58"/>
      <c r="W602" s="58"/>
      <c r="X602" s="58"/>
      <c r="Y602" s="58"/>
      <c r="Z602" s="58"/>
    </row>
    <row r="603" ht="15.75" customHeight="1">
      <c r="A603" s="86"/>
      <c r="B603" s="86"/>
      <c r="C603" s="86"/>
      <c r="D603" s="86"/>
      <c r="E603" s="86"/>
      <c r="F603" s="58"/>
      <c r="G603" s="58"/>
      <c r="H603" s="58"/>
      <c r="I603" s="58"/>
      <c r="J603" s="58"/>
      <c r="K603" s="58"/>
      <c r="L603" s="58"/>
      <c r="M603" s="58"/>
      <c r="N603" s="58"/>
      <c r="O603" s="58"/>
      <c r="P603" s="58"/>
      <c r="Q603" s="58"/>
      <c r="R603" s="58"/>
      <c r="S603" s="58"/>
      <c r="T603" s="58"/>
      <c r="U603" s="58"/>
      <c r="V603" s="58"/>
      <c r="W603" s="58"/>
      <c r="X603" s="58"/>
      <c r="Y603" s="58"/>
      <c r="Z603" s="58"/>
    </row>
    <row r="604" ht="15.75" customHeight="1">
      <c r="A604" s="86"/>
      <c r="B604" s="86"/>
      <c r="C604" s="86"/>
      <c r="D604" s="86"/>
      <c r="E604" s="86"/>
      <c r="F604" s="58"/>
      <c r="G604" s="58"/>
      <c r="H604" s="58"/>
      <c r="I604" s="58"/>
      <c r="J604" s="58"/>
      <c r="K604" s="58"/>
      <c r="L604" s="58"/>
      <c r="M604" s="58"/>
      <c r="N604" s="58"/>
      <c r="O604" s="58"/>
      <c r="P604" s="58"/>
      <c r="Q604" s="58"/>
      <c r="R604" s="58"/>
      <c r="S604" s="58"/>
      <c r="T604" s="58"/>
      <c r="U604" s="58"/>
      <c r="V604" s="58"/>
      <c r="W604" s="58"/>
      <c r="X604" s="58"/>
      <c r="Y604" s="58"/>
      <c r="Z604" s="58"/>
    </row>
    <row r="605" ht="15.75" customHeight="1">
      <c r="A605" s="86"/>
      <c r="B605" s="86"/>
      <c r="C605" s="86"/>
      <c r="D605" s="86"/>
      <c r="E605" s="86"/>
      <c r="F605" s="58"/>
      <c r="G605" s="58"/>
      <c r="H605" s="58"/>
      <c r="I605" s="58"/>
      <c r="J605" s="58"/>
      <c r="K605" s="58"/>
      <c r="L605" s="58"/>
      <c r="M605" s="58"/>
      <c r="N605" s="58"/>
      <c r="O605" s="58"/>
      <c r="P605" s="58"/>
      <c r="Q605" s="58"/>
      <c r="R605" s="58"/>
      <c r="S605" s="58"/>
      <c r="T605" s="58"/>
      <c r="U605" s="58"/>
      <c r="V605" s="58"/>
      <c r="W605" s="58"/>
      <c r="X605" s="58"/>
      <c r="Y605" s="58"/>
      <c r="Z605" s="58"/>
    </row>
    <row r="606" ht="15.75" customHeight="1">
      <c r="A606" s="86"/>
      <c r="B606" s="86"/>
      <c r="C606" s="86"/>
      <c r="D606" s="86"/>
      <c r="E606" s="86"/>
      <c r="F606" s="58"/>
      <c r="G606" s="58"/>
      <c r="H606" s="58"/>
      <c r="I606" s="58"/>
      <c r="J606" s="58"/>
      <c r="K606" s="58"/>
      <c r="L606" s="58"/>
      <c r="M606" s="58"/>
      <c r="N606" s="58"/>
      <c r="O606" s="58"/>
      <c r="P606" s="58"/>
      <c r="Q606" s="58"/>
      <c r="R606" s="58"/>
      <c r="S606" s="58"/>
      <c r="T606" s="58"/>
      <c r="U606" s="58"/>
      <c r="V606" s="58"/>
      <c r="W606" s="58"/>
      <c r="X606" s="58"/>
      <c r="Y606" s="58"/>
      <c r="Z606" s="58"/>
    </row>
    <row r="607" ht="15.75" customHeight="1">
      <c r="A607" s="86"/>
      <c r="B607" s="86"/>
      <c r="C607" s="86"/>
      <c r="D607" s="86"/>
      <c r="E607" s="86"/>
      <c r="F607" s="58"/>
      <c r="G607" s="58"/>
      <c r="H607" s="58"/>
      <c r="I607" s="58"/>
      <c r="J607" s="58"/>
      <c r="K607" s="58"/>
      <c r="L607" s="58"/>
      <c r="M607" s="58"/>
      <c r="N607" s="58"/>
      <c r="O607" s="58"/>
      <c r="P607" s="58"/>
      <c r="Q607" s="58"/>
      <c r="R607" s="58"/>
      <c r="S607" s="58"/>
      <c r="T607" s="58"/>
      <c r="U607" s="58"/>
      <c r="V607" s="58"/>
      <c r="W607" s="58"/>
      <c r="X607" s="58"/>
      <c r="Y607" s="58"/>
      <c r="Z607" s="58"/>
    </row>
    <row r="608" ht="15.75" customHeight="1">
      <c r="A608" s="86"/>
      <c r="B608" s="86"/>
      <c r="C608" s="86"/>
      <c r="D608" s="86"/>
      <c r="E608" s="86"/>
      <c r="F608" s="58"/>
      <c r="G608" s="58"/>
      <c r="H608" s="58"/>
      <c r="I608" s="58"/>
      <c r="J608" s="58"/>
      <c r="K608" s="58"/>
      <c r="L608" s="58"/>
      <c r="M608" s="58"/>
      <c r="N608" s="58"/>
      <c r="O608" s="58"/>
      <c r="P608" s="58"/>
      <c r="Q608" s="58"/>
      <c r="R608" s="58"/>
      <c r="S608" s="58"/>
      <c r="T608" s="58"/>
      <c r="U608" s="58"/>
      <c r="V608" s="58"/>
      <c r="W608" s="58"/>
      <c r="X608" s="58"/>
      <c r="Y608" s="58"/>
      <c r="Z608" s="58"/>
    </row>
    <row r="609" ht="15.75" customHeight="1">
      <c r="A609" s="86"/>
      <c r="B609" s="86"/>
      <c r="C609" s="86"/>
      <c r="D609" s="86"/>
      <c r="E609" s="86"/>
      <c r="F609" s="58"/>
      <c r="G609" s="58"/>
      <c r="H609" s="58"/>
      <c r="I609" s="58"/>
      <c r="J609" s="58"/>
      <c r="K609" s="58"/>
      <c r="L609" s="58"/>
      <c r="M609" s="58"/>
      <c r="N609" s="58"/>
      <c r="O609" s="58"/>
      <c r="P609" s="58"/>
      <c r="Q609" s="58"/>
      <c r="R609" s="58"/>
      <c r="S609" s="58"/>
      <c r="T609" s="58"/>
      <c r="U609" s="58"/>
      <c r="V609" s="58"/>
      <c r="W609" s="58"/>
      <c r="X609" s="58"/>
      <c r="Y609" s="58"/>
      <c r="Z609" s="58"/>
    </row>
    <row r="610" ht="15.75" customHeight="1">
      <c r="A610" s="86"/>
      <c r="B610" s="86"/>
      <c r="C610" s="86"/>
      <c r="D610" s="86"/>
      <c r="E610" s="86"/>
      <c r="F610" s="58"/>
      <c r="G610" s="58"/>
      <c r="H610" s="58"/>
      <c r="I610" s="58"/>
      <c r="J610" s="58"/>
      <c r="K610" s="58"/>
      <c r="L610" s="58"/>
      <c r="M610" s="58"/>
      <c r="N610" s="58"/>
      <c r="O610" s="58"/>
      <c r="P610" s="58"/>
      <c r="Q610" s="58"/>
      <c r="R610" s="58"/>
      <c r="S610" s="58"/>
      <c r="T610" s="58"/>
      <c r="U610" s="58"/>
      <c r="V610" s="58"/>
      <c r="W610" s="58"/>
      <c r="X610" s="58"/>
      <c r="Y610" s="58"/>
      <c r="Z610" s="58"/>
    </row>
    <row r="611" ht="15.75" customHeight="1">
      <c r="A611" s="86"/>
      <c r="B611" s="86"/>
      <c r="C611" s="86"/>
      <c r="D611" s="86"/>
      <c r="E611" s="86"/>
      <c r="F611" s="58"/>
      <c r="G611" s="58"/>
      <c r="H611" s="58"/>
      <c r="I611" s="58"/>
      <c r="J611" s="58"/>
      <c r="K611" s="58"/>
      <c r="L611" s="58"/>
      <c r="M611" s="58"/>
      <c r="N611" s="58"/>
      <c r="O611" s="58"/>
      <c r="P611" s="58"/>
      <c r="Q611" s="58"/>
      <c r="R611" s="58"/>
      <c r="S611" s="58"/>
      <c r="T611" s="58"/>
      <c r="U611" s="58"/>
      <c r="V611" s="58"/>
      <c r="W611" s="58"/>
      <c r="X611" s="58"/>
      <c r="Y611" s="58"/>
      <c r="Z611" s="58"/>
    </row>
    <row r="612" ht="15.75" customHeight="1">
      <c r="A612" s="86"/>
      <c r="B612" s="86"/>
      <c r="C612" s="86"/>
      <c r="D612" s="86"/>
      <c r="E612" s="86"/>
      <c r="F612" s="58"/>
      <c r="G612" s="58"/>
      <c r="H612" s="58"/>
      <c r="I612" s="58"/>
      <c r="J612" s="58"/>
      <c r="K612" s="58"/>
      <c r="L612" s="58"/>
      <c r="M612" s="58"/>
      <c r="N612" s="58"/>
      <c r="O612" s="58"/>
      <c r="P612" s="58"/>
      <c r="Q612" s="58"/>
      <c r="R612" s="58"/>
      <c r="S612" s="58"/>
      <c r="T612" s="58"/>
      <c r="U612" s="58"/>
      <c r="V612" s="58"/>
      <c r="W612" s="58"/>
      <c r="X612" s="58"/>
      <c r="Y612" s="58"/>
      <c r="Z612" s="58"/>
    </row>
    <row r="613" ht="15.75" customHeight="1">
      <c r="A613" s="86"/>
      <c r="B613" s="86"/>
      <c r="C613" s="86"/>
      <c r="D613" s="86"/>
      <c r="E613" s="86"/>
      <c r="F613" s="58"/>
      <c r="G613" s="58"/>
      <c r="H613" s="58"/>
      <c r="I613" s="58"/>
      <c r="J613" s="58"/>
      <c r="K613" s="58"/>
      <c r="L613" s="58"/>
      <c r="M613" s="58"/>
      <c r="N613" s="58"/>
      <c r="O613" s="58"/>
      <c r="P613" s="58"/>
      <c r="Q613" s="58"/>
      <c r="R613" s="58"/>
      <c r="S613" s="58"/>
      <c r="T613" s="58"/>
      <c r="U613" s="58"/>
      <c r="V613" s="58"/>
      <c r="W613" s="58"/>
      <c r="X613" s="58"/>
      <c r="Y613" s="58"/>
      <c r="Z613" s="58"/>
    </row>
    <row r="614" ht="15.75" customHeight="1">
      <c r="A614" s="86"/>
      <c r="B614" s="86"/>
      <c r="C614" s="86"/>
      <c r="D614" s="86"/>
      <c r="E614" s="86"/>
      <c r="F614" s="58"/>
      <c r="G614" s="58"/>
      <c r="H614" s="58"/>
      <c r="I614" s="58"/>
      <c r="J614" s="58"/>
      <c r="K614" s="58"/>
      <c r="L614" s="58"/>
      <c r="M614" s="58"/>
      <c r="N614" s="58"/>
      <c r="O614" s="58"/>
      <c r="P614" s="58"/>
      <c r="Q614" s="58"/>
      <c r="R614" s="58"/>
      <c r="S614" s="58"/>
      <c r="T614" s="58"/>
      <c r="U614" s="58"/>
      <c r="V614" s="58"/>
      <c r="W614" s="58"/>
      <c r="X614" s="58"/>
      <c r="Y614" s="58"/>
      <c r="Z614" s="58"/>
    </row>
    <row r="615" ht="15.75" customHeight="1">
      <c r="A615" s="86"/>
      <c r="B615" s="86"/>
      <c r="C615" s="86"/>
      <c r="D615" s="86"/>
      <c r="E615" s="86"/>
      <c r="F615" s="58"/>
      <c r="G615" s="58"/>
      <c r="H615" s="58"/>
      <c r="I615" s="58"/>
      <c r="J615" s="58"/>
      <c r="K615" s="58"/>
      <c r="L615" s="58"/>
      <c r="M615" s="58"/>
      <c r="N615" s="58"/>
      <c r="O615" s="58"/>
      <c r="P615" s="58"/>
      <c r="Q615" s="58"/>
      <c r="R615" s="58"/>
      <c r="S615" s="58"/>
      <c r="T615" s="58"/>
      <c r="U615" s="58"/>
      <c r="V615" s="58"/>
      <c r="W615" s="58"/>
      <c r="X615" s="58"/>
      <c r="Y615" s="58"/>
      <c r="Z615" s="58"/>
    </row>
    <row r="616" ht="15.75" customHeight="1">
      <c r="A616" s="86"/>
      <c r="B616" s="86"/>
      <c r="C616" s="86"/>
      <c r="D616" s="86"/>
      <c r="E616" s="86"/>
      <c r="F616" s="58"/>
      <c r="G616" s="58"/>
      <c r="H616" s="58"/>
      <c r="I616" s="58"/>
      <c r="J616" s="58"/>
      <c r="K616" s="58"/>
      <c r="L616" s="58"/>
      <c r="M616" s="58"/>
      <c r="N616" s="58"/>
      <c r="O616" s="58"/>
      <c r="P616" s="58"/>
      <c r="Q616" s="58"/>
      <c r="R616" s="58"/>
      <c r="S616" s="58"/>
      <c r="T616" s="58"/>
      <c r="U616" s="58"/>
      <c r="V616" s="58"/>
      <c r="W616" s="58"/>
      <c r="X616" s="58"/>
      <c r="Y616" s="58"/>
      <c r="Z616" s="58"/>
    </row>
    <row r="617" ht="15.75" customHeight="1">
      <c r="A617" s="86"/>
      <c r="B617" s="86"/>
      <c r="C617" s="86"/>
      <c r="D617" s="86"/>
      <c r="E617" s="86"/>
      <c r="F617" s="58"/>
      <c r="G617" s="58"/>
      <c r="H617" s="58"/>
      <c r="I617" s="58"/>
      <c r="J617" s="58"/>
      <c r="K617" s="58"/>
      <c r="L617" s="58"/>
      <c r="M617" s="58"/>
      <c r="N617" s="58"/>
      <c r="O617" s="58"/>
      <c r="P617" s="58"/>
      <c r="Q617" s="58"/>
      <c r="R617" s="58"/>
      <c r="S617" s="58"/>
      <c r="T617" s="58"/>
      <c r="U617" s="58"/>
      <c r="V617" s="58"/>
      <c r="W617" s="58"/>
      <c r="X617" s="58"/>
      <c r="Y617" s="58"/>
      <c r="Z617" s="58"/>
    </row>
    <row r="618" ht="15.75" customHeight="1">
      <c r="A618" s="86"/>
      <c r="B618" s="86"/>
      <c r="C618" s="86"/>
      <c r="D618" s="86"/>
      <c r="E618" s="86"/>
      <c r="F618" s="58"/>
      <c r="G618" s="58"/>
      <c r="H618" s="58"/>
      <c r="I618" s="58"/>
      <c r="J618" s="58"/>
      <c r="K618" s="58"/>
      <c r="L618" s="58"/>
      <c r="M618" s="58"/>
      <c r="N618" s="58"/>
      <c r="O618" s="58"/>
      <c r="P618" s="58"/>
      <c r="Q618" s="58"/>
      <c r="R618" s="58"/>
      <c r="S618" s="58"/>
      <c r="T618" s="58"/>
      <c r="U618" s="58"/>
      <c r="V618" s="58"/>
      <c r="W618" s="58"/>
      <c r="X618" s="58"/>
      <c r="Y618" s="58"/>
      <c r="Z618" s="58"/>
    </row>
    <row r="619" ht="15.75" customHeight="1">
      <c r="A619" s="86"/>
      <c r="B619" s="86"/>
      <c r="C619" s="86"/>
      <c r="D619" s="86"/>
      <c r="E619" s="86"/>
      <c r="F619" s="58"/>
      <c r="G619" s="58"/>
      <c r="H619" s="58"/>
      <c r="I619" s="58"/>
      <c r="J619" s="58"/>
      <c r="K619" s="58"/>
      <c r="L619" s="58"/>
      <c r="M619" s="58"/>
      <c r="N619" s="58"/>
      <c r="O619" s="58"/>
      <c r="P619" s="58"/>
      <c r="Q619" s="58"/>
      <c r="R619" s="58"/>
      <c r="S619" s="58"/>
      <c r="T619" s="58"/>
      <c r="U619" s="58"/>
      <c r="V619" s="58"/>
      <c r="W619" s="58"/>
      <c r="X619" s="58"/>
      <c r="Y619" s="58"/>
      <c r="Z619" s="58"/>
    </row>
    <row r="620" ht="15.75" customHeight="1">
      <c r="A620" s="86"/>
      <c r="B620" s="86"/>
      <c r="C620" s="86"/>
      <c r="D620" s="86"/>
      <c r="E620" s="86"/>
      <c r="F620" s="58"/>
      <c r="G620" s="58"/>
      <c r="H620" s="58"/>
      <c r="I620" s="58"/>
      <c r="J620" s="58"/>
      <c r="K620" s="58"/>
      <c r="L620" s="58"/>
      <c r="M620" s="58"/>
      <c r="N620" s="58"/>
      <c r="O620" s="58"/>
      <c r="P620" s="58"/>
      <c r="Q620" s="58"/>
      <c r="R620" s="58"/>
      <c r="S620" s="58"/>
      <c r="T620" s="58"/>
      <c r="U620" s="58"/>
      <c r="V620" s="58"/>
      <c r="W620" s="58"/>
      <c r="X620" s="58"/>
      <c r="Y620" s="58"/>
      <c r="Z620" s="58"/>
    </row>
    <row r="621" ht="15.75" customHeight="1">
      <c r="A621" s="86"/>
      <c r="B621" s="86"/>
      <c r="C621" s="86"/>
      <c r="D621" s="86"/>
      <c r="E621" s="86"/>
      <c r="F621" s="58"/>
      <c r="G621" s="58"/>
      <c r="H621" s="58"/>
      <c r="I621" s="58"/>
      <c r="J621" s="58"/>
      <c r="K621" s="58"/>
      <c r="L621" s="58"/>
      <c r="M621" s="58"/>
      <c r="N621" s="58"/>
      <c r="O621" s="58"/>
      <c r="P621" s="58"/>
      <c r="Q621" s="58"/>
      <c r="R621" s="58"/>
      <c r="S621" s="58"/>
      <c r="T621" s="58"/>
      <c r="U621" s="58"/>
      <c r="V621" s="58"/>
      <c r="W621" s="58"/>
      <c r="X621" s="58"/>
      <c r="Y621" s="58"/>
      <c r="Z621" s="58"/>
    </row>
    <row r="622" ht="15.75" customHeight="1">
      <c r="A622" s="86"/>
      <c r="B622" s="86"/>
      <c r="C622" s="86"/>
      <c r="D622" s="86"/>
      <c r="E622" s="86"/>
      <c r="F622" s="58"/>
      <c r="G622" s="58"/>
      <c r="H622" s="58"/>
      <c r="I622" s="58"/>
      <c r="J622" s="58"/>
      <c r="K622" s="58"/>
      <c r="L622" s="58"/>
      <c r="M622" s="58"/>
      <c r="N622" s="58"/>
      <c r="O622" s="58"/>
      <c r="P622" s="58"/>
      <c r="Q622" s="58"/>
      <c r="R622" s="58"/>
      <c r="S622" s="58"/>
      <c r="T622" s="58"/>
      <c r="U622" s="58"/>
      <c r="V622" s="58"/>
      <c r="W622" s="58"/>
      <c r="X622" s="58"/>
      <c r="Y622" s="58"/>
      <c r="Z622" s="58"/>
    </row>
    <row r="623" ht="15.75" customHeight="1">
      <c r="A623" s="86"/>
      <c r="B623" s="86"/>
      <c r="C623" s="86"/>
      <c r="D623" s="86"/>
      <c r="E623" s="86"/>
      <c r="F623" s="58"/>
      <c r="G623" s="58"/>
      <c r="H623" s="58"/>
      <c r="I623" s="58"/>
      <c r="J623" s="58"/>
      <c r="K623" s="58"/>
      <c r="L623" s="58"/>
      <c r="M623" s="58"/>
      <c r="N623" s="58"/>
      <c r="O623" s="58"/>
      <c r="P623" s="58"/>
      <c r="Q623" s="58"/>
      <c r="R623" s="58"/>
      <c r="S623" s="58"/>
      <c r="T623" s="58"/>
      <c r="U623" s="58"/>
      <c r="V623" s="58"/>
      <c r="W623" s="58"/>
      <c r="X623" s="58"/>
      <c r="Y623" s="58"/>
      <c r="Z623" s="58"/>
    </row>
    <row r="624" ht="15.75" customHeight="1">
      <c r="A624" s="86"/>
      <c r="B624" s="86"/>
      <c r="C624" s="86"/>
      <c r="D624" s="86"/>
      <c r="E624" s="86"/>
      <c r="F624" s="58"/>
      <c r="G624" s="58"/>
      <c r="H624" s="58"/>
      <c r="I624" s="58"/>
      <c r="J624" s="58"/>
      <c r="K624" s="58"/>
      <c r="L624" s="58"/>
      <c r="M624" s="58"/>
      <c r="N624" s="58"/>
      <c r="O624" s="58"/>
      <c r="P624" s="58"/>
      <c r="Q624" s="58"/>
      <c r="R624" s="58"/>
      <c r="S624" s="58"/>
      <c r="T624" s="58"/>
      <c r="U624" s="58"/>
      <c r="V624" s="58"/>
      <c r="W624" s="58"/>
      <c r="X624" s="58"/>
      <c r="Y624" s="58"/>
      <c r="Z624" s="58"/>
    </row>
    <row r="625" ht="15.75" customHeight="1">
      <c r="A625" s="86"/>
      <c r="B625" s="86"/>
      <c r="C625" s="86"/>
      <c r="D625" s="86"/>
      <c r="E625" s="86"/>
      <c r="F625" s="58"/>
      <c r="G625" s="58"/>
      <c r="H625" s="58"/>
      <c r="I625" s="58"/>
      <c r="J625" s="58"/>
      <c r="K625" s="58"/>
      <c r="L625" s="58"/>
      <c r="M625" s="58"/>
      <c r="N625" s="58"/>
      <c r="O625" s="58"/>
      <c r="P625" s="58"/>
      <c r="Q625" s="58"/>
      <c r="R625" s="58"/>
      <c r="S625" s="58"/>
      <c r="T625" s="58"/>
      <c r="U625" s="58"/>
      <c r="V625" s="58"/>
      <c r="W625" s="58"/>
      <c r="X625" s="58"/>
      <c r="Y625" s="58"/>
      <c r="Z625" s="58"/>
    </row>
    <row r="626" ht="15.75" customHeight="1">
      <c r="A626" s="86"/>
      <c r="B626" s="86"/>
      <c r="C626" s="86"/>
      <c r="D626" s="86"/>
      <c r="E626" s="86"/>
      <c r="F626" s="58"/>
      <c r="G626" s="58"/>
      <c r="H626" s="58"/>
      <c r="I626" s="58"/>
      <c r="J626" s="58"/>
      <c r="K626" s="58"/>
      <c r="L626" s="58"/>
      <c r="M626" s="58"/>
      <c r="N626" s="58"/>
      <c r="O626" s="58"/>
      <c r="P626" s="58"/>
      <c r="Q626" s="58"/>
      <c r="R626" s="58"/>
      <c r="S626" s="58"/>
      <c r="T626" s="58"/>
      <c r="U626" s="58"/>
      <c r="V626" s="58"/>
      <c r="W626" s="58"/>
      <c r="X626" s="58"/>
      <c r="Y626" s="58"/>
      <c r="Z626" s="58"/>
    </row>
    <row r="627" ht="15.75" customHeight="1">
      <c r="A627" s="86"/>
      <c r="B627" s="86"/>
      <c r="C627" s="86"/>
      <c r="D627" s="86"/>
      <c r="E627" s="86"/>
      <c r="F627" s="58"/>
      <c r="G627" s="58"/>
      <c r="H627" s="58"/>
      <c r="I627" s="58"/>
      <c r="J627" s="58"/>
      <c r="K627" s="58"/>
      <c r="L627" s="58"/>
      <c r="M627" s="58"/>
      <c r="N627" s="58"/>
      <c r="O627" s="58"/>
      <c r="P627" s="58"/>
      <c r="Q627" s="58"/>
      <c r="R627" s="58"/>
      <c r="S627" s="58"/>
      <c r="T627" s="58"/>
      <c r="U627" s="58"/>
      <c r="V627" s="58"/>
      <c r="W627" s="58"/>
      <c r="X627" s="58"/>
      <c r="Y627" s="58"/>
      <c r="Z627" s="58"/>
    </row>
    <row r="628" ht="15.75" customHeight="1">
      <c r="A628" s="86"/>
      <c r="B628" s="86"/>
      <c r="C628" s="86"/>
      <c r="D628" s="86"/>
      <c r="E628" s="86"/>
      <c r="F628" s="58"/>
      <c r="G628" s="58"/>
      <c r="H628" s="58"/>
      <c r="I628" s="58"/>
      <c r="J628" s="58"/>
      <c r="K628" s="58"/>
      <c r="L628" s="58"/>
      <c r="M628" s="58"/>
      <c r="N628" s="58"/>
      <c r="O628" s="58"/>
      <c r="P628" s="58"/>
      <c r="Q628" s="58"/>
      <c r="R628" s="58"/>
      <c r="S628" s="58"/>
      <c r="T628" s="58"/>
      <c r="U628" s="58"/>
      <c r="V628" s="58"/>
      <c r="W628" s="58"/>
      <c r="X628" s="58"/>
      <c r="Y628" s="58"/>
      <c r="Z628" s="58"/>
    </row>
    <row r="629" ht="15.75" customHeight="1">
      <c r="A629" s="86"/>
      <c r="B629" s="86"/>
      <c r="C629" s="86"/>
      <c r="D629" s="86"/>
      <c r="E629" s="86"/>
      <c r="F629" s="58"/>
      <c r="G629" s="58"/>
      <c r="H629" s="58"/>
      <c r="I629" s="58"/>
      <c r="J629" s="58"/>
      <c r="K629" s="58"/>
      <c r="L629" s="58"/>
      <c r="M629" s="58"/>
      <c r="N629" s="58"/>
      <c r="O629" s="58"/>
      <c r="P629" s="58"/>
      <c r="Q629" s="58"/>
      <c r="R629" s="58"/>
      <c r="S629" s="58"/>
      <c r="T629" s="58"/>
      <c r="U629" s="58"/>
      <c r="V629" s="58"/>
      <c r="W629" s="58"/>
      <c r="X629" s="58"/>
      <c r="Y629" s="58"/>
      <c r="Z629" s="58"/>
    </row>
    <row r="630" ht="15.75" customHeight="1">
      <c r="A630" s="86"/>
      <c r="B630" s="86"/>
      <c r="C630" s="86"/>
      <c r="D630" s="86"/>
      <c r="E630" s="86"/>
      <c r="F630" s="58"/>
      <c r="G630" s="58"/>
      <c r="H630" s="58"/>
      <c r="I630" s="58"/>
      <c r="J630" s="58"/>
      <c r="K630" s="58"/>
      <c r="L630" s="58"/>
      <c r="M630" s="58"/>
      <c r="N630" s="58"/>
      <c r="O630" s="58"/>
      <c r="P630" s="58"/>
      <c r="Q630" s="58"/>
      <c r="R630" s="58"/>
      <c r="S630" s="58"/>
      <c r="T630" s="58"/>
      <c r="U630" s="58"/>
      <c r="V630" s="58"/>
      <c r="W630" s="58"/>
      <c r="X630" s="58"/>
      <c r="Y630" s="58"/>
      <c r="Z630" s="58"/>
    </row>
    <row r="631" ht="15.75" customHeight="1">
      <c r="A631" s="86"/>
      <c r="B631" s="86"/>
      <c r="C631" s="86"/>
      <c r="D631" s="86"/>
      <c r="E631" s="86"/>
      <c r="F631" s="58"/>
      <c r="G631" s="58"/>
      <c r="H631" s="58"/>
      <c r="I631" s="58"/>
      <c r="J631" s="58"/>
      <c r="K631" s="58"/>
      <c r="L631" s="58"/>
      <c r="M631" s="58"/>
      <c r="N631" s="58"/>
      <c r="O631" s="58"/>
      <c r="P631" s="58"/>
      <c r="Q631" s="58"/>
      <c r="R631" s="58"/>
      <c r="S631" s="58"/>
      <c r="T631" s="58"/>
      <c r="U631" s="58"/>
      <c r="V631" s="58"/>
      <c r="W631" s="58"/>
      <c r="X631" s="58"/>
      <c r="Y631" s="58"/>
      <c r="Z631" s="58"/>
    </row>
    <row r="632" ht="15.75" customHeight="1">
      <c r="A632" s="86"/>
      <c r="B632" s="86"/>
      <c r="C632" s="86"/>
      <c r="D632" s="86"/>
      <c r="E632" s="86"/>
      <c r="F632" s="58"/>
      <c r="G632" s="58"/>
      <c r="H632" s="58"/>
      <c r="I632" s="58"/>
      <c r="J632" s="58"/>
      <c r="K632" s="58"/>
      <c r="L632" s="58"/>
      <c r="M632" s="58"/>
      <c r="N632" s="58"/>
      <c r="O632" s="58"/>
      <c r="P632" s="58"/>
      <c r="Q632" s="58"/>
      <c r="R632" s="58"/>
      <c r="S632" s="58"/>
      <c r="T632" s="58"/>
      <c r="U632" s="58"/>
      <c r="V632" s="58"/>
      <c r="W632" s="58"/>
      <c r="X632" s="58"/>
      <c r="Y632" s="58"/>
      <c r="Z632" s="58"/>
    </row>
    <row r="633" ht="15.75" customHeight="1">
      <c r="A633" s="86"/>
      <c r="B633" s="86"/>
      <c r="C633" s="86"/>
      <c r="D633" s="86"/>
      <c r="E633" s="86"/>
      <c r="F633" s="58"/>
      <c r="G633" s="58"/>
      <c r="H633" s="58"/>
      <c r="I633" s="58"/>
      <c r="J633" s="58"/>
      <c r="K633" s="58"/>
      <c r="L633" s="58"/>
      <c r="M633" s="58"/>
      <c r="N633" s="58"/>
      <c r="O633" s="58"/>
      <c r="P633" s="58"/>
      <c r="Q633" s="58"/>
      <c r="R633" s="58"/>
      <c r="S633" s="58"/>
      <c r="T633" s="58"/>
      <c r="U633" s="58"/>
      <c r="V633" s="58"/>
      <c r="W633" s="58"/>
      <c r="X633" s="58"/>
      <c r="Y633" s="58"/>
      <c r="Z633" s="58"/>
    </row>
    <row r="634" ht="15.75" customHeight="1">
      <c r="A634" s="86"/>
      <c r="B634" s="86"/>
      <c r="C634" s="86"/>
      <c r="D634" s="86"/>
      <c r="E634" s="86"/>
      <c r="F634" s="58"/>
      <c r="G634" s="58"/>
      <c r="H634" s="58"/>
      <c r="I634" s="58"/>
      <c r="J634" s="58"/>
      <c r="K634" s="58"/>
      <c r="L634" s="58"/>
      <c r="M634" s="58"/>
      <c r="N634" s="58"/>
      <c r="O634" s="58"/>
      <c r="P634" s="58"/>
      <c r="Q634" s="58"/>
      <c r="R634" s="58"/>
      <c r="S634" s="58"/>
      <c r="T634" s="58"/>
      <c r="U634" s="58"/>
      <c r="V634" s="58"/>
      <c r="W634" s="58"/>
      <c r="X634" s="58"/>
      <c r="Y634" s="58"/>
      <c r="Z634" s="58"/>
    </row>
    <row r="635" ht="15.75" customHeight="1">
      <c r="A635" s="86"/>
      <c r="B635" s="86"/>
      <c r="C635" s="86"/>
      <c r="D635" s="86"/>
      <c r="E635" s="86"/>
      <c r="F635" s="58"/>
      <c r="G635" s="58"/>
      <c r="H635" s="58"/>
      <c r="I635" s="58"/>
      <c r="J635" s="58"/>
      <c r="K635" s="58"/>
      <c r="L635" s="58"/>
      <c r="M635" s="58"/>
      <c r="N635" s="58"/>
      <c r="O635" s="58"/>
      <c r="P635" s="58"/>
      <c r="Q635" s="58"/>
      <c r="R635" s="58"/>
      <c r="S635" s="58"/>
      <c r="T635" s="58"/>
      <c r="U635" s="58"/>
      <c r="V635" s="58"/>
      <c r="W635" s="58"/>
      <c r="X635" s="58"/>
      <c r="Y635" s="58"/>
      <c r="Z635" s="58"/>
    </row>
    <row r="636" ht="15.75" customHeight="1">
      <c r="A636" s="86"/>
      <c r="B636" s="86"/>
      <c r="C636" s="86"/>
      <c r="D636" s="86"/>
      <c r="E636" s="86"/>
      <c r="F636" s="58"/>
      <c r="G636" s="58"/>
      <c r="H636" s="58"/>
      <c r="I636" s="58"/>
      <c r="J636" s="58"/>
      <c r="K636" s="58"/>
      <c r="L636" s="58"/>
      <c r="M636" s="58"/>
      <c r="N636" s="58"/>
      <c r="O636" s="58"/>
      <c r="P636" s="58"/>
      <c r="Q636" s="58"/>
      <c r="R636" s="58"/>
      <c r="S636" s="58"/>
      <c r="T636" s="58"/>
      <c r="U636" s="58"/>
      <c r="V636" s="58"/>
      <c r="W636" s="58"/>
      <c r="X636" s="58"/>
      <c r="Y636" s="58"/>
      <c r="Z636" s="58"/>
    </row>
    <row r="637" ht="15.75" customHeight="1">
      <c r="A637" s="86"/>
      <c r="B637" s="86"/>
      <c r="C637" s="86"/>
      <c r="D637" s="86"/>
      <c r="E637" s="86"/>
      <c r="F637" s="58"/>
      <c r="G637" s="58"/>
      <c r="H637" s="58"/>
      <c r="I637" s="58"/>
      <c r="J637" s="58"/>
      <c r="K637" s="58"/>
      <c r="L637" s="58"/>
      <c r="M637" s="58"/>
      <c r="N637" s="58"/>
      <c r="O637" s="58"/>
      <c r="P637" s="58"/>
      <c r="Q637" s="58"/>
      <c r="R637" s="58"/>
      <c r="S637" s="58"/>
      <c r="T637" s="58"/>
      <c r="U637" s="58"/>
      <c r="V637" s="58"/>
      <c r="W637" s="58"/>
      <c r="X637" s="58"/>
      <c r="Y637" s="58"/>
      <c r="Z637" s="58"/>
    </row>
    <row r="638" ht="15.75" customHeight="1">
      <c r="A638" s="86"/>
      <c r="B638" s="86"/>
      <c r="C638" s="86"/>
      <c r="D638" s="86"/>
      <c r="E638" s="86"/>
      <c r="F638" s="58"/>
      <c r="G638" s="58"/>
      <c r="H638" s="58"/>
      <c r="I638" s="58"/>
      <c r="J638" s="58"/>
      <c r="K638" s="58"/>
      <c r="L638" s="58"/>
      <c r="M638" s="58"/>
      <c r="N638" s="58"/>
      <c r="O638" s="58"/>
      <c r="P638" s="58"/>
      <c r="Q638" s="58"/>
      <c r="R638" s="58"/>
      <c r="S638" s="58"/>
      <c r="T638" s="58"/>
      <c r="U638" s="58"/>
      <c r="V638" s="58"/>
      <c r="W638" s="58"/>
      <c r="X638" s="58"/>
      <c r="Y638" s="58"/>
      <c r="Z638" s="58"/>
    </row>
    <row r="639" ht="15.75" customHeight="1">
      <c r="A639" s="86"/>
      <c r="B639" s="86"/>
      <c r="C639" s="86"/>
      <c r="D639" s="86"/>
      <c r="E639" s="86"/>
      <c r="F639" s="58"/>
      <c r="G639" s="58"/>
      <c r="H639" s="58"/>
      <c r="I639" s="58"/>
      <c r="J639" s="58"/>
      <c r="K639" s="58"/>
      <c r="L639" s="58"/>
      <c r="M639" s="58"/>
      <c r="N639" s="58"/>
      <c r="O639" s="58"/>
      <c r="P639" s="58"/>
      <c r="Q639" s="58"/>
      <c r="R639" s="58"/>
      <c r="S639" s="58"/>
      <c r="T639" s="58"/>
      <c r="U639" s="58"/>
      <c r="V639" s="58"/>
      <c r="W639" s="58"/>
      <c r="X639" s="58"/>
      <c r="Y639" s="58"/>
      <c r="Z639" s="58"/>
    </row>
    <row r="640" ht="15.75" customHeight="1">
      <c r="A640" s="86"/>
      <c r="B640" s="86"/>
      <c r="C640" s="86"/>
      <c r="D640" s="86"/>
      <c r="E640" s="86"/>
      <c r="F640" s="58"/>
      <c r="G640" s="58"/>
      <c r="H640" s="58"/>
      <c r="I640" s="58"/>
      <c r="J640" s="58"/>
      <c r="K640" s="58"/>
      <c r="L640" s="58"/>
      <c r="M640" s="58"/>
      <c r="N640" s="58"/>
      <c r="O640" s="58"/>
      <c r="P640" s="58"/>
      <c r="Q640" s="58"/>
      <c r="R640" s="58"/>
      <c r="S640" s="58"/>
      <c r="T640" s="58"/>
      <c r="U640" s="58"/>
      <c r="V640" s="58"/>
      <c r="W640" s="58"/>
      <c r="X640" s="58"/>
      <c r="Y640" s="58"/>
      <c r="Z640" s="58"/>
    </row>
    <row r="641" ht="15.75" customHeight="1">
      <c r="A641" s="86"/>
      <c r="B641" s="86"/>
      <c r="C641" s="86"/>
      <c r="D641" s="86"/>
      <c r="E641" s="86"/>
      <c r="F641" s="58"/>
      <c r="G641" s="58"/>
      <c r="H641" s="58"/>
      <c r="I641" s="58"/>
      <c r="J641" s="58"/>
      <c r="K641" s="58"/>
      <c r="L641" s="58"/>
      <c r="M641" s="58"/>
      <c r="N641" s="58"/>
      <c r="O641" s="58"/>
      <c r="P641" s="58"/>
      <c r="Q641" s="58"/>
      <c r="R641" s="58"/>
      <c r="S641" s="58"/>
      <c r="T641" s="58"/>
      <c r="U641" s="58"/>
      <c r="V641" s="58"/>
      <c r="W641" s="58"/>
      <c r="X641" s="58"/>
      <c r="Y641" s="58"/>
      <c r="Z641" s="58"/>
    </row>
    <row r="642" ht="15.75" customHeight="1">
      <c r="A642" s="86"/>
      <c r="B642" s="86"/>
      <c r="C642" s="86"/>
      <c r="D642" s="86"/>
      <c r="E642" s="86"/>
      <c r="F642" s="58"/>
      <c r="G642" s="58"/>
      <c r="H642" s="58"/>
      <c r="I642" s="58"/>
      <c r="J642" s="58"/>
      <c r="K642" s="58"/>
      <c r="L642" s="58"/>
      <c r="M642" s="58"/>
      <c r="N642" s="58"/>
      <c r="O642" s="58"/>
      <c r="P642" s="58"/>
      <c r="Q642" s="58"/>
      <c r="R642" s="58"/>
      <c r="S642" s="58"/>
      <c r="T642" s="58"/>
      <c r="U642" s="58"/>
      <c r="V642" s="58"/>
      <c r="W642" s="58"/>
      <c r="X642" s="58"/>
      <c r="Y642" s="58"/>
      <c r="Z642" s="58"/>
    </row>
    <row r="643" ht="15.75" customHeight="1">
      <c r="A643" s="86"/>
      <c r="B643" s="86"/>
      <c r="C643" s="86"/>
      <c r="D643" s="86"/>
      <c r="E643" s="86"/>
      <c r="F643" s="58"/>
      <c r="G643" s="58"/>
      <c r="H643" s="58"/>
      <c r="I643" s="58"/>
      <c r="J643" s="58"/>
      <c r="K643" s="58"/>
      <c r="L643" s="58"/>
      <c r="M643" s="58"/>
      <c r="N643" s="58"/>
      <c r="O643" s="58"/>
      <c r="P643" s="58"/>
      <c r="Q643" s="58"/>
      <c r="R643" s="58"/>
      <c r="S643" s="58"/>
      <c r="T643" s="58"/>
      <c r="U643" s="58"/>
      <c r="V643" s="58"/>
      <c r="W643" s="58"/>
      <c r="X643" s="58"/>
      <c r="Y643" s="58"/>
      <c r="Z643" s="58"/>
    </row>
    <row r="644" ht="15.75" customHeight="1">
      <c r="A644" s="86"/>
      <c r="B644" s="86"/>
      <c r="C644" s="86"/>
      <c r="D644" s="86"/>
      <c r="E644" s="86"/>
      <c r="F644" s="58"/>
      <c r="G644" s="58"/>
      <c r="H644" s="58"/>
      <c r="I644" s="58"/>
      <c r="J644" s="58"/>
      <c r="K644" s="58"/>
      <c r="L644" s="58"/>
      <c r="M644" s="58"/>
      <c r="N644" s="58"/>
      <c r="O644" s="58"/>
      <c r="P644" s="58"/>
      <c r="Q644" s="58"/>
      <c r="R644" s="58"/>
      <c r="S644" s="58"/>
      <c r="T644" s="58"/>
      <c r="U644" s="58"/>
      <c r="V644" s="58"/>
      <c r="W644" s="58"/>
      <c r="X644" s="58"/>
      <c r="Y644" s="58"/>
      <c r="Z644" s="58"/>
    </row>
    <row r="645" ht="15.75" customHeight="1">
      <c r="A645" s="86"/>
      <c r="B645" s="86"/>
      <c r="C645" s="86"/>
      <c r="D645" s="86"/>
      <c r="E645" s="86"/>
      <c r="F645" s="58"/>
      <c r="G645" s="58"/>
      <c r="H645" s="58"/>
      <c r="I645" s="58"/>
      <c r="J645" s="58"/>
      <c r="K645" s="58"/>
      <c r="L645" s="58"/>
      <c r="M645" s="58"/>
      <c r="N645" s="58"/>
      <c r="O645" s="58"/>
      <c r="P645" s="58"/>
      <c r="Q645" s="58"/>
      <c r="R645" s="58"/>
      <c r="S645" s="58"/>
      <c r="T645" s="58"/>
      <c r="U645" s="58"/>
      <c r="V645" s="58"/>
      <c r="W645" s="58"/>
      <c r="X645" s="58"/>
      <c r="Y645" s="58"/>
      <c r="Z645" s="58"/>
    </row>
    <row r="646" ht="15.75" customHeight="1">
      <c r="A646" s="86"/>
      <c r="B646" s="86"/>
      <c r="C646" s="86"/>
      <c r="D646" s="86"/>
      <c r="E646" s="86"/>
      <c r="F646" s="58"/>
      <c r="G646" s="58"/>
      <c r="H646" s="58"/>
      <c r="I646" s="58"/>
      <c r="J646" s="58"/>
      <c r="K646" s="58"/>
      <c r="L646" s="58"/>
      <c r="M646" s="58"/>
      <c r="N646" s="58"/>
      <c r="O646" s="58"/>
      <c r="P646" s="58"/>
      <c r="Q646" s="58"/>
      <c r="R646" s="58"/>
      <c r="S646" s="58"/>
      <c r="T646" s="58"/>
      <c r="U646" s="58"/>
      <c r="V646" s="58"/>
      <c r="W646" s="58"/>
      <c r="X646" s="58"/>
      <c r="Y646" s="58"/>
      <c r="Z646" s="58"/>
    </row>
    <row r="647" ht="15.75" customHeight="1">
      <c r="A647" s="86"/>
      <c r="B647" s="86"/>
      <c r="C647" s="86"/>
      <c r="D647" s="86"/>
      <c r="E647" s="86"/>
      <c r="F647" s="58"/>
      <c r="G647" s="58"/>
      <c r="H647" s="58"/>
      <c r="I647" s="58"/>
      <c r="J647" s="58"/>
      <c r="K647" s="58"/>
      <c r="L647" s="58"/>
      <c r="M647" s="58"/>
      <c r="N647" s="58"/>
      <c r="O647" s="58"/>
      <c r="P647" s="58"/>
      <c r="Q647" s="58"/>
      <c r="R647" s="58"/>
      <c r="S647" s="58"/>
      <c r="T647" s="58"/>
      <c r="U647" s="58"/>
      <c r="V647" s="58"/>
      <c r="W647" s="58"/>
      <c r="X647" s="58"/>
      <c r="Y647" s="58"/>
      <c r="Z647" s="58"/>
    </row>
    <row r="648" ht="15.75" customHeight="1">
      <c r="A648" s="86"/>
      <c r="B648" s="86"/>
      <c r="C648" s="86"/>
      <c r="D648" s="86"/>
      <c r="E648" s="86"/>
      <c r="F648" s="58"/>
      <c r="G648" s="58"/>
      <c r="H648" s="58"/>
      <c r="I648" s="58"/>
      <c r="J648" s="58"/>
      <c r="K648" s="58"/>
      <c r="L648" s="58"/>
      <c r="M648" s="58"/>
      <c r="N648" s="58"/>
      <c r="O648" s="58"/>
      <c r="P648" s="58"/>
      <c r="Q648" s="58"/>
      <c r="R648" s="58"/>
      <c r="S648" s="58"/>
      <c r="T648" s="58"/>
      <c r="U648" s="58"/>
      <c r="V648" s="58"/>
      <c r="W648" s="58"/>
      <c r="X648" s="58"/>
      <c r="Y648" s="58"/>
      <c r="Z648" s="58"/>
    </row>
    <row r="649" ht="15.75" customHeight="1">
      <c r="A649" s="86"/>
      <c r="B649" s="86"/>
      <c r="C649" s="86"/>
      <c r="D649" s="86"/>
      <c r="E649" s="86"/>
      <c r="F649" s="58"/>
      <c r="G649" s="58"/>
      <c r="H649" s="58"/>
      <c r="I649" s="58"/>
      <c r="J649" s="58"/>
      <c r="K649" s="58"/>
      <c r="L649" s="58"/>
      <c r="M649" s="58"/>
      <c r="N649" s="58"/>
      <c r="O649" s="58"/>
      <c r="P649" s="58"/>
      <c r="Q649" s="58"/>
      <c r="R649" s="58"/>
      <c r="S649" s="58"/>
      <c r="T649" s="58"/>
      <c r="U649" s="58"/>
      <c r="V649" s="58"/>
      <c r="W649" s="58"/>
      <c r="X649" s="58"/>
      <c r="Y649" s="58"/>
      <c r="Z649" s="58"/>
    </row>
    <row r="650" ht="15.75" customHeight="1">
      <c r="A650" s="86"/>
      <c r="B650" s="86"/>
      <c r="C650" s="86"/>
      <c r="D650" s="86"/>
      <c r="E650" s="86"/>
      <c r="F650" s="58"/>
      <c r="G650" s="58"/>
      <c r="H650" s="58"/>
      <c r="I650" s="58"/>
      <c r="J650" s="58"/>
      <c r="K650" s="58"/>
      <c r="L650" s="58"/>
      <c r="M650" s="58"/>
      <c r="N650" s="58"/>
      <c r="O650" s="58"/>
      <c r="P650" s="58"/>
      <c r="Q650" s="58"/>
      <c r="R650" s="58"/>
      <c r="S650" s="58"/>
      <c r="T650" s="58"/>
      <c r="U650" s="58"/>
      <c r="V650" s="58"/>
      <c r="W650" s="58"/>
      <c r="X650" s="58"/>
      <c r="Y650" s="58"/>
      <c r="Z650" s="58"/>
    </row>
    <row r="651" ht="15.75" customHeight="1">
      <c r="A651" s="86"/>
      <c r="B651" s="86"/>
      <c r="C651" s="86"/>
      <c r="D651" s="86"/>
      <c r="E651" s="86"/>
      <c r="F651" s="58"/>
      <c r="G651" s="58"/>
      <c r="H651" s="58"/>
      <c r="I651" s="58"/>
      <c r="J651" s="58"/>
      <c r="K651" s="58"/>
      <c r="L651" s="58"/>
      <c r="M651" s="58"/>
      <c r="N651" s="58"/>
      <c r="O651" s="58"/>
      <c r="P651" s="58"/>
      <c r="Q651" s="58"/>
      <c r="R651" s="58"/>
      <c r="S651" s="58"/>
      <c r="T651" s="58"/>
      <c r="U651" s="58"/>
      <c r="V651" s="58"/>
      <c r="W651" s="58"/>
      <c r="X651" s="58"/>
      <c r="Y651" s="58"/>
      <c r="Z651" s="58"/>
    </row>
    <row r="652" ht="15.75" customHeight="1">
      <c r="A652" s="86"/>
      <c r="B652" s="86"/>
      <c r="C652" s="86"/>
      <c r="D652" s="86"/>
      <c r="E652" s="86"/>
      <c r="F652" s="58"/>
      <c r="G652" s="58"/>
      <c r="H652" s="58"/>
      <c r="I652" s="58"/>
      <c r="J652" s="58"/>
      <c r="K652" s="58"/>
      <c r="L652" s="58"/>
      <c r="M652" s="58"/>
      <c r="N652" s="58"/>
      <c r="O652" s="58"/>
      <c r="P652" s="58"/>
      <c r="Q652" s="58"/>
      <c r="R652" s="58"/>
      <c r="S652" s="58"/>
      <c r="T652" s="58"/>
      <c r="U652" s="58"/>
      <c r="V652" s="58"/>
      <c r="W652" s="58"/>
      <c r="X652" s="58"/>
      <c r="Y652" s="58"/>
      <c r="Z652" s="58"/>
    </row>
    <row r="653" ht="15.75" customHeight="1">
      <c r="A653" s="86"/>
      <c r="B653" s="86"/>
      <c r="C653" s="86"/>
      <c r="D653" s="86"/>
      <c r="E653" s="86"/>
      <c r="F653" s="58"/>
      <c r="G653" s="58"/>
      <c r="H653" s="58"/>
      <c r="I653" s="58"/>
      <c r="J653" s="58"/>
      <c r="K653" s="58"/>
      <c r="L653" s="58"/>
      <c r="M653" s="58"/>
      <c r="N653" s="58"/>
      <c r="O653" s="58"/>
      <c r="P653" s="58"/>
      <c r="Q653" s="58"/>
      <c r="R653" s="58"/>
      <c r="S653" s="58"/>
      <c r="T653" s="58"/>
      <c r="U653" s="58"/>
      <c r="V653" s="58"/>
      <c r="W653" s="58"/>
      <c r="X653" s="58"/>
      <c r="Y653" s="58"/>
      <c r="Z653" s="58"/>
    </row>
    <row r="654" ht="15.75" customHeight="1">
      <c r="A654" s="86"/>
      <c r="B654" s="86"/>
      <c r="C654" s="86"/>
      <c r="D654" s="86"/>
      <c r="E654" s="86"/>
      <c r="F654" s="58"/>
      <c r="G654" s="58"/>
      <c r="H654" s="58"/>
      <c r="I654" s="58"/>
      <c r="J654" s="58"/>
      <c r="K654" s="58"/>
      <c r="L654" s="58"/>
      <c r="M654" s="58"/>
      <c r="N654" s="58"/>
      <c r="O654" s="58"/>
      <c r="P654" s="58"/>
      <c r="Q654" s="58"/>
      <c r="R654" s="58"/>
      <c r="S654" s="58"/>
      <c r="T654" s="58"/>
      <c r="U654" s="58"/>
      <c r="V654" s="58"/>
      <c r="W654" s="58"/>
      <c r="X654" s="58"/>
      <c r="Y654" s="58"/>
      <c r="Z654" s="58"/>
    </row>
    <row r="655" ht="15.75" customHeight="1">
      <c r="A655" s="86"/>
      <c r="B655" s="86"/>
      <c r="C655" s="86"/>
      <c r="D655" s="86"/>
      <c r="E655" s="86"/>
      <c r="F655" s="58"/>
      <c r="G655" s="58"/>
      <c r="H655" s="58"/>
      <c r="I655" s="58"/>
      <c r="J655" s="58"/>
      <c r="K655" s="58"/>
      <c r="L655" s="58"/>
      <c r="M655" s="58"/>
      <c r="N655" s="58"/>
      <c r="O655" s="58"/>
      <c r="P655" s="58"/>
      <c r="Q655" s="58"/>
      <c r="R655" s="58"/>
      <c r="S655" s="58"/>
      <c r="T655" s="58"/>
      <c r="U655" s="58"/>
      <c r="V655" s="58"/>
      <c r="W655" s="58"/>
      <c r="X655" s="58"/>
      <c r="Y655" s="58"/>
      <c r="Z655" s="58"/>
    </row>
    <row r="656" ht="15.75" customHeight="1">
      <c r="A656" s="86"/>
      <c r="B656" s="86"/>
      <c r="C656" s="86"/>
      <c r="D656" s="86"/>
      <c r="E656" s="86"/>
      <c r="F656" s="58"/>
      <c r="G656" s="58"/>
      <c r="H656" s="58"/>
      <c r="I656" s="58"/>
      <c r="J656" s="58"/>
      <c r="K656" s="58"/>
      <c r="L656" s="58"/>
      <c r="M656" s="58"/>
      <c r="N656" s="58"/>
      <c r="O656" s="58"/>
      <c r="P656" s="58"/>
      <c r="Q656" s="58"/>
      <c r="R656" s="58"/>
      <c r="S656" s="58"/>
      <c r="T656" s="58"/>
      <c r="U656" s="58"/>
      <c r="V656" s="58"/>
      <c r="W656" s="58"/>
      <c r="X656" s="58"/>
      <c r="Y656" s="58"/>
      <c r="Z656" s="58"/>
    </row>
    <row r="657" ht="15.75" customHeight="1">
      <c r="A657" s="86"/>
      <c r="B657" s="86"/>
      <c r="C657" s="86"/>
      <c r="D657" s="86"/>
      <c r="E657" s="86"/>
      <c r="F657" s="58"/>
      <c r="G657" s="58"/>
      <c r="H657" s="58"/>
      <c r="I657" s="58"/>
      <c r="J657" s="58"/>
      <c r="K657" s="58"/>
      <c r="L657" s="58"/>
      <c r="M657" s="58"/>
      <c r="N657" s="58"/>
      <c r="O657" s="58"/>
      <c r="P657" s="58"/>
      <c r="Q657" s="58"/>
      <c r="R657" s="58"/>
      <c r="S657" s="58"/>
      <c r="T657" s="58"/>
      <c r="U657" s="58"/>
      <c r="V657" s="58"/>
      <c r="W657" s="58"/>
      <c r="X657" s="58"/>
      <c r="Y657" s="58"/>
      <c r="Z657" s="58"/>
    </row>
    <row r="658" ht="15.75" customHeight="1">
      <c r="A658" s="86"/>
      <c r="B658" s="86"/>
      <c r="C658" s="86"/>
      <c r="D658" s="86"/>
      <c r="E658" s="86"/>
      <c r="F658" s="58"/>
      <c r="G658" s="58"/>
      <c r="H658" s="58"/>
      <c r="I658" s="58"/>
      <c r="J658" s="58"/>
      <c r="K658" s="58"/>
      <c r="L658" s="58"/>
      <c r="M658" s="58"/>
      <c r="N658" s="58"/>
      <c r="O658" s="58"/>
      <c r="P658" s="58"/>
      <c r="Q658" s="58"/>
      <c r="R658" s="58"/>
      <c r="S658" s="58"/>
      <c r="T658" s="58"/>
      <c r="U658" s="58"/>
      <c r="V658" s="58"/>
      <c r="W658" s="58"/>
      <c r="X658" s="58"/>
      <c r="Y658" s="58"/>
      <c r="Z658" s="58"/>
    </row>
    <row r="659" ht="15.75" customHeight="1">
      <c r="A659" s="86"/>
      <c r="B659" s="86"/>
      <c r="C659" s="86"/>
      <c r="D659" s="86"/>
      <c r="E659" s="86"/>
      <c r="F659" s="58"/>
      <c r="G659" s="58"/>
      <c r="H659" s="58"/>
      <c r="I659" s="58"/>
      <c r="J659" s="58"/>
      <c r="K659" s="58"/>
      <c r="L659" s="58"/>
      <c r="M659" s="58"/>
      <c r="N659" s="58"/>
      <c r="O659" s="58"/>
      <c r="P659" s="58"/>
      <c r="Q659" s="58"/>
      <c r="R659" s="58"/>
      <c r="S659" s="58"/>
      <c r="T659" s="58"/>
      <c r="U659" s="58"/>
      <c r="V659" s="58"/>
      <c r="W659" s="58"/>
      <c r="X659" s="58"/>
      <c r="Y659" s="58"/>
      <c r="Z659" s="58"/>
    </row>
    <row r="660" ht="15.75" customHeight="1">
      <c r="A660" s="86"/>
      <c r="B660" s="86"/>
      <c r="C660" s="86"/>
      <c r="D660" s="86"/>
      <c r="E660" s="86"/>
      <c r="F660" s="58"/>
      <c r="G660" s="58"/>
      <c r="H660" s="58"/>
      <c r="I660" s="58"/>
      <c r="J660" s="58"/>
      <c r="K660" s="58"/>
      <c r="L660" s="58"/>
      <c r="M660" s="58"/>
      <c r="N660" s="58"/>
      <c r="O660" s="58"/>
      <c r="P660" s="58"/>
      <c r="Q660" s="58"/>
      <c r="R660" s="58"/>
      <c r="S660" s="58"/>
      <c r="T660" s="58"/>
      <c r="U660" s="58"/>
      <c r="V660" s="58"/>
      <c r="W660" s="58"/>
      <c r="X660" s="58"/>
      <c r="Y660" s="58"/>
      <c r="Z660" s="58"/>
    </row>
    <row r="661" ht="15.75" customHeight="1">
      <c r="A661" s="86"/>
      <c r="B661" s="86"/>
      <c r="C661" s="86"/>
      <c r="D661" s="86"/>
      <c r="E661" s="86"/>
      <c r="F661" s="58"/>
      <c r="G661" s="58"/>
      <c r="H661" s="58"/>
      <c r="I661" s="58"/>
      <c r="J661" s="58"/>
      <c r="K661" s="58"/>
      <c r="L661" s="58"/>
      <c r="M661" s="58"/>
      <c r="N661" s="58"/>
      <c r="O661" s="58"/>
      <c r="P661" s="58"/>
      <c r="Q661" s="58"/>
      <c r="R661" s="58"/>
      <c r="S661" s="58"/>
      <c r="T661" s="58"/>
      <c r="U661" s="58"/>
      <c r="V661" s="58"/>
      <c r="W661" s="58"/>
      <c r="X661" s="58"/>
      <c r="Y661" s="58"/>
      <c r="Z661" s="58"/>
    </row>
    <row r="662" ht="15.75" customHeight="1">
      <c r="A662" s="86"/>
      <c r="B662" s="86"/>
      <c r="C662" s="86"/>
      <c r="D662" s="86"/>
      <c r="E662" s="86"/>
      <c r="F662" s="58"/>
      <c r="G662" s="58"/>
      <c r="H662" s="58"/>
      <c r="I662" s="58"/>
      <c r="J662" s="58"/>
      <c r="K662" s="58"/>
      <c r="L662" s="58"/>
      <c r="M662" s="58"/>
      <c r="N662" s="58"/>
      <c r="O662" s="58"/>
      <c r="P662" s="58"/>
      <c r="Q662" s="58"/>
      <c r="R662" s="58"/>
      <c r="S662" s="58"/>
      <c r="T662" s="58"/>
      <c r="U662" s="58"/>
      <c r="V662" s="58"/>
      <c r="W662" s="58"/>
      <c r="X662" s="58"/>
      <c r="Y662" s="58"/>
      <c r="Z662" s="58"/>
    </row>
    <row r="663" ht="15.75" customHeight="1">
      <c r="A663" s="86"/>
      <c r="B663" s="86"/>
      <c r="C663" s="86"/>
      <c r="D663" s="86"/>
      <c r="E663" s="86"/>
      <c r="F663" s="58"/>
      <c r="G663" s="58"/>
      <c r="H663" s="58"/>
      <c r="I663" s="58"/>
      <c r="J663" s="58"/>
      <c r="K663" s="58"/>
      <c r="L663" s="58"/>
      <c r="M663" s="58"/>
      <c r="N663" s="58"/>
      <c r="O663" s="58"/>
      <c r="P663" s="58"/>
      <c r="Q663" s="58"/>
      <c r="R663" s="58"/>
      <c r="S663" s="58"/>
      <c r="T663" s="58"/>
      <c r="U663" s="58"/>
      <c r="V663" s="58"/>
      <c r="W663" s="58"/>
      <c r="X663" s="58"/>
      <c r="Y663" s="58"/>
      <c r="Z663" s="58"/>
    </row>
    <row r="664" ht="15.75" customHeight="1">
      <c r="A664" s="86"/>
      <c r="B664" s="86"/>
      <c r="C664" s="86"/>
      <c r="D664" s="86"/>
      <c r="E664" s="86"/>
      <c r="F664" s="58"/>
      <c r="G664" s="58"/>
      <c r="H664" s="58"/>
      <c r="I664" s="58"/>
      <c r="J664" s="58"/>
      <c r="K664" s="58"/>
      <c r="L664" s="58"/>
      <c r="M664" s="58"/>
      <c r="N664" s="58"/>
      <c r="O664" s="58"/>
      <c r="P664" s="58"/>
      <c r="Q664" s="58"/>
      <c r="R664" s="58"/>
      <c r="S664" s="58"/>
      <c r="T664" s="58"/>
      <c r="U664" s="58"/>
      <c r="V664" s="58"/>
      <c r="W664" s="58"/>
      <c r="X664" s="58"/>
      <c r="Y664" s="58"/>
      <c r="Z664" s="58"/>
    </row>
    <row r="665" ht="15.75" customHeight="1">
      <c r="A665" s="86"/>
      <c r="B665" s="86"/>
      <c r="C665" s="86"/>
      <c r="D665" s="86"/>
      <c r="E665" s="86"/>
      <c r="F665" s="58"/>
      <c r="G665" s="58"/>
      <c r="H665" s="58"/>
      <c r="I665" s="58"/>
      <c r="J665" s="58"/>
      <c r="K665" s="58"/>
      <c r="L665" s="58"/>
      <c r="M665" s="58"/>
      <c r="N665" s="58"/>
      <c r="O665" s="58"/>
      <c r="P665" s="58"/>
      <c r="Q665" s="58"/>
      <c r="R665" s="58"/>
      <c r="S665" s="58"/>
      <c r="T665" s="58"/>
      <c r="U665" s="58"/>
      <c r="V665" s="58"/>
      <c r="W665" s="58"/>
      <c r="X665" s="58"/>
      <c r="Y665" s="58"/>
      <c r="Z665" s="58"/>
    </row>
    <row r="666" ht="15.75" customHeight="1">
      <c r="A666" s="86"/>
      <c r="B666" s="86"/>
      <c r="C666" s="86"/>
      <c r="D666" s="86"/>
      <c r="E666" s="86"/>
      <c r="F666" s="58"/>
      <c r="G666" s="58"/>
      <c r="H666" s="58"/>
      <c r="I666" s="58"/>
      <c r="J666" s="58"/>
      <c r="K666" s="58"/>
      <c r="L666" s="58"/>
      <c r="M666" s="58"/>
      <c r="N666" s="58"/>
      <c r="O666" s="58"/>
      <c r="P666" s="58"/>
      <c r="Q666" s="58"/>
      <c r="R666" s="58"/>
      <c r="S666" s="58"/>
      <c r="T666" s="58"/>
      <c r="U666" s="58"/>
      <c r="V666" s="58"/>
      <c r="W666" s="58"/>
      <c r="X666" s="58"/>
      <c r="Y666" s="58"/>
      <c r="Z666" s="58"/>
    </row>
    <row r="667" ht="15.75" customHeight="1">
      <c r="A667" s="86"/>
      <c r="B667" s="86"/>
      <c r="C667" s="86"/>
      <c r="D667" s="86"/>
      <c r="E667" s="86"/>
      <c r="F667" s="58"/>
      <c r="G667" s="58"/>
      <c r="H667" s="58"/>
      <c r="I667" s="58"/>
      <c r="J667" s="58"/>
      <c r="K667" s="58"/>
      <c r="L667" s="58"/>
      <c r="M667" s="58"/>
      <c r="N667" s="58"/>
      <c r="O667" s="58"/>
      <c r="P667" s="58"/>
      <c r="Q667" s="58"/>
      <c r="R667" s="58"/>
      <c r="S667" s="58"/>
      <c r="T667" s="58"/>
      <c r="U667" s="58"/>
      <c r="V667" s="58"/>
      <c r="W667" s="58"/>
      <c r="X667" s="58"/>
      <c r="Y667" s="58"/>
      <c r="Z667" s="58"/>
    </row>
    <row r="668" ht="15.75" customHeight="1">
      <c r="A668" s="86"/>
      <c r="B668" s="86"/>
      <c r="C668" s="86"/>
      <c r="D668" s="86"/>
      <c r="E668" s="86"/>
      <c r="F668" s="58"/>
      <c r="G668" s="58"/>
      <c r="H668" s="58"/>
      <c r="I668" s="58"/>
      <c r="J668" s="58"/>
      <c r="K668" s="58"/>
      <c r="L668" s="58"/>
      <c r="M668" s="58"/>
      <c r="N668" s="58"/>
      <c r="O668" s="58"/>
      <c r="P668" s="58"/>
      <c r="Q668" s="58"/>
      <c r="R668" s="58"/>
      <c r="S668" s="58"/>
      <c r="T668" s="58"/>
      <c r="U668" s="58"/>
      <c r="V668" s="58"/>
      <c r="W668" s="58"/>
      <c r="X668" s="58"/>
      <c r="Y668" s="58"/>
      <c r="Z668" s="58"/>
    </row>
    <row r="669" ht="15.75" customHeight="1">
      <c r="A669" s="86"/>
      <c r="B669" s="86"/>
      <c r="C669" s="86"/>
      <c r="D669" s="86"/>
      <c r="E669" s="86"/>
      <c r="F669" s="58"/>
      <c r="G669" s="58"/>
      <c r="H669" s="58"/>
      <c r="I669" s="58"/>
      <c r="J669" s="58"/>
      <c r="K669" s="58"/>
      <c r="L669" s="58"/>
      <c r="M669" s="58"/>
      <c r="N669" s="58"/>
      <c r="O669" s="58"/>
      <c r="P669" s="58"/>
      <c r="Q669" s="58"/>
      <c r="R669" s="58"/>
      <c r="S669" s="58"/>
      <c r="T669" s="58"/>
      <c r="U669" s="58"/>
      <c r="V669" s="58"/>
      <c r="W669" s="58"/>
      <c r="X669" s="58"/>
      <c r="Y669" s="58"/>
      <c r="Z669" s="58"/>
    </row>
    <row r="670" ht="15.75" customHeight="1">
      <c r="A670" s="86"/>
      <c r="B670" s="86"/>
      <c r="C670" s="86"/>
      <c r="D670" s="86"/>
      <c r="E670" s="86"/>
      <c r="F670" s="58"/>
      <c r="G670" s="58"/>
      <c r="H670" s="58"/>
      <c r="I670" s="58"/>
      <c r="J670" s="58"/>
      <c r="K670" s="58"/>
      <c r="L670" s="58"/>
      <c r="M670" s="58"/>
      <c r="N670" s="58"/>
      <c r="O670" s="58"/>
      <c r="P670" s="58"/>
      <c r="Q670" s="58"/>
      <c r="R670" s="58"/>
      <c r="S670" s="58"/>
      <c r="T670" s="58"/>
      <c r="U670" s="58"/>
      <c r="V670" s="58"/>
      <c r="W670" s="58"/>
      <c r="X670" s="58"/>
      <c r="Y670" s="58"/>
      <c r="Z670" s="58"/>
    </row>
    <row r="671" ht="15.75" customHeight="1">
      <c r="A671" s="86"/>
      <c r="B671" s="86"/>
      <c r="C671" s="86"/>
      <c r="D671" s="86"/>
      <c r="E671" s="86"/>
      <c r="F671" s="58"/>
      <c r="G671" s="58"/>
      <c r="H671" s="58"/>
      <c r="I671" s="58"/>
      <c r="J671" s="58"/>
      <c r="K671" s="58"/>
      <c r="L671" s="58"/>
      <c r="M671" s="58"/>
      <c r="N671" s="58"/>
      <c r="O671" s="58"/>
      <c r="P671" s="58"/>
      <c r="Q671" s="58"/>
      <c r="R671" s="58"/>
      <c r="S671" s="58"/>
      <c r="T671" s="58"/>
      <c r="U671" s="58"/>
      <c r="V671" s="58"/>
      <c r="W671" s="58"/>
      <c r="X671" s="58"/>
      <c r="Y671" s="58"/>
      <c r="Z671" s="58"/>
    </row>
    <row r="672" ht="15.75" customHeight="1">
      <c r="A672" s="86"/>
      <c r="B672" s="86"/>
      <c r="C672" s="86"/>
      <c r="D672" s="86"/>
      <c r="E672" s="86"/>
      <c r="F672" s="58"/>
      <c r="G672" s="58"/>
      <c r="H672" s="58"/>
      <c r="I672" s="58"/>
      <c r="J672" s="58"/>
      <c r="K672" s="58"/>
      <c r="L672" s="58"/>
      <c r="M672" s="58"/>
      <c r="N672" s="58"/>
      <c r="O672" s="58"/>
      <c r="P672" s="58"/>
      <c r="Q672" s="58"/>
      <c r="R672" s="58"/>
      <c r="S672" s="58"/>
      <c r="T672" s="58"/>
      <c r="U672" s="58"/>
      <c r="V672" s="58"/>
      <c r="W672" s="58"/>
      <c r="X672" s="58"/>
      <c r="Y672" s="58"/>
      <c r="Z672" s="58"/>
    </row>
    <row r="673" ht="15.75" customHeight="1">
      <c r="A673" s="86"/>
      <c r="B673" s="86"/>
      <c r="C673" s="86"/>
      <c r="D673" s="86"/>
      <c r="E673" s="86"/>
      <c r="F673" s="58"/>
      <c r="G673" s="58"/>
      <c r="H673" s="58"/>
      <c r="I673" s="58"/>
      <c r="J673" s="58"/>
      <c r="K673" s="58"/>
      <c r="L673" s="58"/>
      <c r="M673" s="58"/>
      <c r="N673" s="58"/>
      <c r="O673" s="58"/>
      <c r="P673" s="58"/>
      <c r="Q673" s="58"/>
      <c r="R673" s="58"/>
      <c r="S673" s="58"/>
      <c r="T673" s="58"/>
      <c r="U673" s="58"/>
      <c r="V673" s="58"/>
      <c r="W673" s="58"/>
      <c r="X673" s="58"/>
      <c r="Y673" s="58"/>
      <c r="Z673" s="58"/>
    </row>
    <row r="674" ht="15.75" customHeight="1">
      <c r="A674" s="86"/>
      <c r="B674" s="86"/>
      <c r="C674" s="86"/>
      <c r="D674" s="86"/>
      <c r="E674" s="86"/>
      <c r="F674" s="58"/>
      <c r="G674" s="58"/>
      <c r="H674" s="58"/>
      <c r="I674" s="58"/>
      <c r="J674" s="58"/>
      <c r="K674" s="58"/>
      <c r="L674" s="58"/>
      <c r="M674" s="58"/>
      <c r="N674" s="58"/>
      <c r="O674" s="58"/>
      <c r="P674" s="58"/>
      <c r="Q674" s="58"/>
      <c r="R674" s="58"/>
      <c r="S674" s="58"/>
      <c r="T674" s="58"/>
      <c r="U674" s="58"/>
      <c r="V674" s="58"/>
      <c r="W674" s="58"/>
      <c r="X674" s="58"/>
      <c r="Y674" s="58"/>
      <c r="Z674" s="58"/>
    </row>
    <row r="675" ht="15.75" customHeight="1">
      <c r="A675" s="86"/>
      <c r="B675" s="86"/>
      <c r="C675" s="86"/>
      <c r="D675" s="86"/>
      <c r="E675" s="86"/>
      <c r="F675" s="58"/>
      <c r="G675" s="58"/>
      <c r="H675" s="58"/>
      <c r="I675" s="58"/>
      <c r="J675" s="58"/>
      <c r="K675" s="58"/>
      <c r="L675" s="58"/>
      <c r="M675" s="58"/>
      <c r="N675" s="58"/>
      <c r="O675" s="58"/>
      <c r="P675" s="58"/>
      <c r="Q675" s="58"/>
      <c r="R675" s="58"/>
      <c r="S675" s="58"/>
      <c r="T675" s="58"/>
      <c r="U675" s="58"/>
      <c r="V675" s="58"/>
      <c r="W675" s="58"/>
      <c r="X675" s="58"/>
      <c r="Y675" s="58"/>
      <c r="Z675" s="58"/>
    </row>
    <row r="676" ht="15.75" customHeight="1">
      <c r="A676" s="86"/>
      <c r="B676" s="86"/>
      <c r="C676" s="86"/>
      <c r="D676" s="86"/>
      <c r="E676" s="86"/>
      <c r="F676" s="58"/>
      <c r="G676" s="58"/>
      <c r="H676" s="58"/>
      <c r="I676" s="58"/>
      <c r="J676" s="58"/>
      <c r="K676" s="58"/>
      <c r="L676" s="58"/>
      <c r="M676" s="58"/>
      <c r="N676" s="58"/>
      <c r="O676" s="58"/>
      <c r="P676" s="58"/>
      <c r="Q676" s="58"/>
      <c r="R676" s="58"/>
      <c r="S676" s="58"/>
      <c r="T676" s="58"/>
      <c r="U676" s="58"/>
      <c r="V676" s="58"/>
      <c r="W676" s="58"/>
      <c r="X676" s="58"/>
      <c r="Y676" s="58"/>
      <c r="Z676" s="58"/>
    </row>
    <row r="677" ht="15.75" customHeight="1">
      <c r="A677" s="86"/>
      <c r="B677" s="86"/>
      <c r="C677" s="86"/>
      <c r="D677" s="86"/>
      <c r="E677" s="86"/>
      <c r="F677" s="58"/>
      <c r="G677" s="58"/>
      <c r="H677" s="58"/>
      <c r="I677" s="58"/>
      <c r="J677" s="58"/>
      <c r="K677" s="58"/>
      <c r="L677" s="58"/>
      <c r="M677" s="58"/>
      <c r="N677" s="58"/>
      <c r="O677" s="58"/>
      <c r="P677" s="58"/>
      <c r="Q677" s="58"/>
      <c r="R677" s="58"/>
      <c r="S677" s="58"/>
      <c r="T677" s="58"/>
      <c r="U677" s="58"/>
      <c r="V677" s="58"/>
      <c r="W677" s="58"/>
      <c r="X677" s="58"/>
      <c r="Y677" s="58"/>
      <c r="Z677" s="58"/>
    </row>
    <row r="678" ht="15.75" customHeight="1">
      <c r="A678" s="86"/>
      <c r="B678" s="86"/>
      <c r="C678" s="86"/>
      <c r="D678" s="86"/>
      <c r="E678" s="86"/>
      <c r="F678" s="58"/>
      <c r="G678" s="58"/>
      <c r="H678" s="58"/>
      <c r="I678" s="58"/>
      <c r="J678" s="58"/>
      <c r="K678" s="58"/>
      <c r="L678" s="58"/>
      <c r="M678" s="58"/>
      <c r="N678" s="58"/>
      <c r="O678" s="58"/>
      <c r="P678" s="58"/>
      <c r="Q678" s="58"/>
      <c r="R678" s="58"/>
      <c r="S678" s="58"/>
      <c r="T678" s="58"/>
      <c r="U678" s="58"/>
      <c r="V678" s="58"/>
      <c r="W678" s="58"/>
      <c r="X678" s="58"/>
      <c r="Y678" s="58"/>
      <c r="Z678" s="58"/>
    </row>
    <row r="679" ht="15.75" customHeight="1">
      <c r="A679" s="86"/>
      <c r="B679" s="86"/>
      <c r="C679" s="86"/>
      <c r="D679" s="86"/>
      <c r="E679" s="86"/>
      <c r="F679" s="58"/>
      <c r="G679" s="58"/>
      <c r="H679" s="58"/>
      <c r="I679" s="58"/>
      <c r="J679" s="58"/>
      <c r="K679" s="58"/>
      <c r="L679" s="58"/>
      <c r="M679" s="58"/>
      <c r="N679" s="58"/>
      <c r="O679" s="58"/>
      <c r="P679" s="58"/>
      <c r="Q679" s="58"/>
      <c r="R679" s="58"/>
      <c r="S679" s="58"/>
      <c r="T679" s="58"/>
      <c r="U679" s="58"/>
      <c r="V679" s="58"/>
      <c r="W679" s="58"/>
      <c r="X679" s="58"/>
      <c r="Y679" s="58"/>
      <c r="Z679" s="58"/>
    </row>
    <row r="680" ht="15.75" customHeight="1">
      <c r="A680" s="86"/>
      <c r="B680" s="86"/>
      <c r="C680" s="86"/>
      <c r="D680" s="86"/>
      <c r="E680" s="86"/>
      <c r="F680" s="58"/>
      <c r="G680" s="58"/>
      <c r="H680" s="58"/>
      <c r="I680" s="58"/>
      <c r="J680" s="58"/>
      <c r="K680" s="58"/>
      <c r="L680" s="58"/>
      <c r="M680" s="58"/>
      <c r="N680" s="58"/>
      <c r="O680" s="58"/>
      <c r="P680" s="58"/>
      <c r="Q680" s="58"/>
      <c r="R680" s="58"/>
      <c r="S680" s="58"/>
      <c r="T680" s="58"/>
      <c r="U680" s="58"/>
      <c r="V680" s="58"/>
      <c r="W680" s="58"/>
      <c r="X680" s="58"/>
      <c r="Y680" s="58"/>
      <c r="Z680" s="58"/>
    </row>
    <row r="681" ht="15.75" customHeight="1">
      <c r="A681" s="86"/>
      <c r="B681" s="86"/>
      <c r="C681" s="86"/>
      <c r="D681" s="86"/>
      <c r="E681" s="86"/>
      <c r="F681" s="58"/>
      <c r="G681" s="58"/>
      <c r="H681" s="58"/>
      <c r="I681" s="58"/>
      <c r="J681" s="58"/>
      <c r="K681" s="58"/>
      <c r="L681" s="58"/>
      <c r="M681" s="58"/>
      <c r="N681" s="58"/>
      <c r="O681" s="58"/>
      <c r="P681" s="58"/>
      <c r="Q681" s="58"/>
      <c r="R681" s="58"/>
      <c r="S681" s="58"/>
      <c r="T681" s="58"/>
      <c r="U681" s="58"/>
      <c r="V681" s="58"/>
      <c r="W681" s="58"/>
      <c r="X681" s="58"/>
      <c r="Y681" s="58"/>
      <c r="Z681" s="58"/>
    </row>
    <row r="682" ht="15.75" customHeight="1">
      <c r="A682" s="86"/>
      <c r="B682" s="86"/>
      <c r="C682" s="86"/>
      <c r="D682" s="86"/>
      <c r="E682" s="86"/>
      <c r="F682" s="58"/>
      <c r="G682" s="58"/>
      <c r="H682" s="58"/>
      <c r="I682" s="58"/>
      <c r="J682" s="58"/>
      <c r="K682" s="58"/>
      <c r="L682" s="58"/>
      <c r="M682" s="58"/>
      <c r="N682" s="58"/>
      <c r="O682" s="58"/>
      <c r="P682" s="58"/>
      <c r="Q682" s="58"/>
      <c r="R682" s="58"/>
      <c r="S682" s="58"/>
      <c r="T682" s="58"/>
      <c r="U682" s="58"/>
      <c r="V682" s="58"/>
      <c r="W682" s="58"/>
      <c r="X682" s="58"/>
      <c r="Y682" s="58"/>
      <c r="Z682" s="58"/>
    </row>
    <row r="683" ht="15.75" customHeight="1">
      <c r="A683" s="86"/>
      <c r="B683" s="86"/>
      <c r="C683" s="86"/>
      <c r="D683" s="86"/>
      <c r="E683" s="86"/>
      <c r="F683" s="58"/>
      <c r="G683" s="58"/>
      <c r="H683" s="58"/>
      <c r="I683" s="58"/>
      <c r="J683" s="58"/>
      <c r="K683" s="58"/>
      <c r="L683" s="58"/>
      <c r="M683" s="58"/>
      <c r="N683" s="58"/>
      <c r="O683" s="58"/>
      <c r="P683" s="58"/>
      <c r="Q683" s="58"/>
      <c r="R683" s="58"/>
      <c r="S683" s="58"/>
      <c r="T683" s="58"/>
      <c r="U683" s="58"/>
      <c r="V683" s="58"/>
      <c r="W683" s="58"/>
      <c r="X683" s="58"/>
      <c r="Y683" s="58"/>
      <c r="Z683" s="58"/>
    </row>
    <row r="684" ht="15.75" customHeight="1">
      <c r="A684" s="86"/>
      <c r="B684" s="86"/>
      <c r="C684" s="86"/>
      <c r="D684" s="86"/>
      <c r="E684" s="86"/>
      <c r="F684" s="58"/>
      <c r="G684" s="58"/>
      <c r="H684" s="58"/>
      <c r="I684" s="58"/>
      <c r="J684" s="58"/>
      <c r="K684" s="58"/>
      <c r="L684" s="58"/>
      <c r="M684" s="58"/>
      <c r="N684" s="58"/>
      <c r="O684" s="58"/>
      <c r="P684" s="58"/>
      <c r="Q684" s="58"/>
      <c r="R684" s="58"/>
      <c r="S684" s="58"/>
      <c r="T684" s="58"/>
      <c r="U684" s="58"/>
      <c r="V684" s="58"/>
      <c r="W684" s="58"/>
      <c r="X684" s="58"/>
      <c r="Y684" s="58"/>
      <c r="Z684" s="58"/>
    </row>
    <row r="685" ht="15.75" customHeight="1">
      <c r="A685" s="86"/>
      <c r="B685" s="86"/>
      <c r="C685" s="86"/>
      <c r="D685" s="86"/>
      <c r="E685" s="86"/>
      <c r="F685" s="58"/>
      <c r="G685" s="58"/>
      <c r="H685" s="58"/>
      <c r="I685" s="58"/>
      <c r="J685" s="58"/>
      <c r="K685" s="58"/>
      <c r="L685" s="58"/>
      <c r="M685" s="58"/>
      <c r="N685" s="58"/>
      <c r="O685" s="58"/>
      <c r="P685" s="58"/>
      <c r="Q685" s="58"/>
      <c r="R685" s="58"/>
      <c r="S685" s="58"/>
      <c r="T685" s="58"/>
      <c r="U685" s="58"/>
      <c r="V685" s="58"/>
      <c r="W685" s="58"/>
      <c r="X685" s="58"/>
      <c r="Y685" s="58"/>
      <c r="Z685" s="58"/>
    </row>
    <row r="686" ht="15.75" customHeight="1">
      <c r="A686" s="86"/>
      <c r="B686" s="86"/>
      <c r="C686" s="86"/>
      <c r="D686" s="86"/>
      <c r="E686" s="86"/>
      <c r="F686" s="58"/>
      <c r="G686" s="58"/>
      <c r="H686" s="58"/>
      <c r="I686" s="58"/>
      <c r="J686" s="58"/>
      <c r="K686" s="58"/>
      <c r="L686" s="58"/>
      <c r="M686" s="58"/>
      <c r="N686" s="58"/>
      <c r="O686" s="58"/>
      <c r="P686" s="58"/>
      <c r="Q686" s="58"/>
      <c r="R686" s="58"/>
      <c r="S686" s="58"/>
      <c r="T686" s="58"/>
      <c r="U686" s="58"/>
      <c r="V686" s="58"/>
      <c r="W686" s="58"/>
      <c r="X686" s="58"/>
      <c r="Y686" s="58"/>
      <c r="Z686" s="58"/>
    </row>
    <row r="687" ht="15.75" customHeight="1">
      <c r="A687" s="86"/>
      <c r="B687" s="86"/>
      <c r="C687" s="86"/>
      <c r="D687" s="86"/>
      <c r="E687" s="86"/>
      <c r="F687" s="58"/>
      <c r="G687" s="58"/>
      <c r="H687" s="58"/>
      <c r="I687" s="58"/>
      <c r="J687" s="58"/>
      <c r="K687" s="58"/>
      <c r="L687" s="58"/>
      <c r="M687" s="58"/>
      <c r="N687" s="58"/>
      <c r="O687" s="58"/>
      <c r="P687" s="58"/>
      <c r="Q687" s="58"/>
      <c r="R687" s="58"/>
      <c r="S687" s="58"/>
      <c r="T687" s="58"/>
      <c r="U687" s="58"/>
      <c r="V687" s="58"/>
      <c r="W687" s="58"/>
      <c r="X687" s="58"/>
      <c r="Y687" s="58"/>
      <c r="Z687" s="58"/>
    </row>
    <row r="688" ht="15.75" customHeight="1">
      <c r="A688" s="86"/>
      <c r="B688" s="86"/>
      <c r="C688" s="86"/>
      <c r="D688" s="86"/>
      <c r="E688" s="86"/>
      <c r="F688" s="58"/>
      <c r="G688" s="58"/>
      <c r="H688" s="58"/>
      <c r="I688" s="58"/>
      <c r="J688" s="58"/>
      <c r="K688" s="58"/>
      <c r="L688" s="58"/>
      <c r="M688" s="58"/>
      <c r="N688" s="58"/>
      <c r="O688" s="58"/>
      <c r="P688" s="58"/>
      <c r="Q688" s="58"/>
      <c r="R688" s="58"/>
      <c r="S688" s="58"/>
      <c r="T688" s="58"/>
      <c r="U688" s="58"/>
      <c r="V688" s="58"/>
      <c r="W688" s="58"/>
      <c r="X688" s="58"/>
      <c r="Y688" s="58"/>
      <c r="Z688" s="58"/>
    </row>
    <row r="689" ht="15.75" customHeight="1">
      <c r="A689" s="86"/>
      <c r="B689" s="86"/>
      <c r="C689" s="86"/>
      <c r="D689" s="86"/>
      <c r="E689" s="86"/>
      <c r="F689" s="58"/>
      <c r="G689" s="58"/>
      <c r="H689" s="58"/>
      <c r="I689" s="58"/>
      <c r="J689" s="58"/>
      <c r="K689" s="58"/>
      <c r="L689" s="58"/>
      <c r="M689" s="58"/>
      <c r="N689" s="58"/>
      <c r="O689" s="58"/>
      <c r="P689" s="58"/>
      <c r="Q689" s="58"/>
      <c r="R689" s="58"/>
      <c r="S689" s="58"/>
      <c r="T689" s="58"/>
      <c r="U689" s="58"/>
      <c r="V689" s="58"/>
      <c r="W689" s="58"/>
      <c r="X689" s="58"/>
      <c r="Y689" s="58"/>
      <c r="Z689" s="58"/>
    </row>
    <row r="690" ht="15.75" customHeight="1">
      <c r="A690" s="86"/>
      <c r="B690" s="86"/>
      <c r="C690" s="86"/>
      <c r="D690" s="86"/>
      <c r="E690" s="86"/>
      <c r="F690" s="58"/>
      <c r="G690" s="58"/>
      <c r="H690" s="58"/>
      <c r="I690" s="58"/>
      <c r="J690" s="58"/>
      <c r="K690" s="58"/>
      <c r="L690" s="58"/>
      <c r="M690" s="58"/>
      <c r="N690" s="58"/>
      <c r="O690" s="58"/>
      <c r="P690" s="58"/>
      <c r="Q690" s="58"/>
      <c r="R690" s="58"/>
      <c r="S690" s="58"/>
      <c r="T690" s="58"/>
      <c r="U690" s="58"/>
      <c r="V690" s="58"/>
      <c r="W690" s="58"/>
      <c r="X690" s="58"/>
      <c r="Y690" s="58"/>
      <c r="Z690" s="58"/>
    </row>
    <row r="691" ht="15.75" customHeight="1">
      <c r="A691" s="86"/>
      <c r="B691" s="86"/>
      <c r="C691" s="86"/>
      <c r="D691" s="86"/>
      <c r="E691" s="86"/>
      <c r="F691" s="58"/>
      <c r="G691" s="58"/>
      <c r="H691" s="58"/>
      <c r="I691" s="58"/>
      <c r="J691" s="58"/>
      <c r="K691" s="58"/>
      <c r="L691" s="58"/>
      <c r="M691" s="58"/>
      <c r="N691" s="58"/>
      <c r="O691" s="58"/>
      <c r="P691" s="58"/>
      <c r="Q691" s="58"/>
      <c r="R691" s="58"/>
      <c r="S691" s="58"/>
      <c r="T691" s="58"/>
      <c r="U691" s="58"/>
      <c r="V691" s="58"/>
      <c r="W691" s="58"/>
      <c r="X691" s="58"/>
      <c r="Y691" s="58"/>
      <c r="Z691" s="58"/>
    </row>
    <row r="692" ht="15.75" customHeight="1">
      <c r="A692" s="86"/>
      <c r="B692" s="86"/>
      <c r="C692" s="86"/>
      <c r="D692" s="86"/>
      <c r="E692" s="86"/>
      <c r="F692" s="58"/>
      <c r="G692" s="58"/>
      <c r="H692" s="58"/>
      <c r="I692" s="58"/>
      <c r="J692" s="58"/>
      <c r="K692" s="58"/>
      <c r="L692" s="58"/>
      <c r="M692" s="58"/>
      <c r="N692" s="58"/>
      <c r="O692" s="58"/>
      <c r="P692" s="58"/>
      <c r="Q692" s="58"/>
      <c r="R692" s="58"/>
      <c r="S692" s="58"/>
      <c r="T692" s="58"/>
      <c r="U692" s="58"/>
      <c r="V692" s="58"/>
      <c r="W692" s="58"/>
      <c r="X692" s="58"/>
      <c r="Y692" s="58"/>
      <c r="Z692" s="58"/>
    </row>
    <row r="693" ht="15.75" customHeight="1">
      <c r="A693" s="86"/>
      <c r="B693" s="86"/>
      <c r="C693" s="86"/>
      <c r="D693" s="86"/>
      <c r="E693" s="86"/>
      <c r="F693" s="58"/>
      <c r="G693" s="58"/>
      <c r="H693" s="58"/>
      <c r="I693" s="58"/>
      <c r="J693" s="58"/>
      <c r="K693" s="58"/>
      <c r="L693" s="58"/>
      <c r="M693" s="58"/>
      <c r="N693" s="58"/>
      <c r="O693" s="58"/>
      <c r="P693" s="58"/>
      <c r="Q693" s="58"/>
      <c r="R693" s="58"/>
      <c r="S693" s="58"/>
      <c r="T693" s="58"/>
      <c r="U693" s="58"/>
      <c r="V693" s="58"/>
      <c r="W693" s="58"/>
      <c r="X693" s="58"/>
      <c r="Y693" s="58"/>
      <c r="Z693" s="58"/>
    </row>
    <row r="694" ht="15.75" customHeight="1">
      <c r="A694" s="86"/>
      <c r="B694" s="86"/>
      <c r="C694" s="86"/>
      <c r="D694" s="86"/>
      <c r="E694" s="86"/>
      <c r="F694" s="58"/>
      <c r="G694" s="58"/>
      <c r="H694" s="58"/>
      <c r="I694" s="58"/>
      <c r="J694" s="58"/>
      <c r="K694" s="58"/>
      <c r="L694" s="58"/>
      <c r="M694" s="58"/>
      <c r="N694" s="58"/>
      <c r="O694" s="58"/>
      <c r="P694" s="58"/>
      <c r="Q694" s="58"/>
      <c r="R694" s="58"/>
      <c r="S694" s="58"/>
      <c r="T694" s="58"/>
      <c r="U694" s="58"/>
      <c r="V694" s="58"/>
      <c r="W694" s="58"/>
      <c r="X694" s="58"/>
      <c r="Y694" s="58"/>
      <c r="Z694" s="58"/>
    </row>
    <row r="695" ht="15.75" customHeight="1">
      <c r="A695" s="86"/>
      <c r="B695" s="86"/>
      <c r="C695" s="86"/>
      <c r="D695" s="86"/>
      <c r="E695" s="86"/>
      <c r="F695" s="58"/>
      <c r="G695" s="58"/>
      <c r="H695" s="58"/>
      <c r="I695" s="58"/>
      <c r="J695" s="58"/>
      <c r="K695" s="58"/>
      <c r="L695" s="58"/>
      <c r="M695" s="58"/>
      <c r="N695" s="58"/>
      <c r="O695" s="58"/>
      <c r="P695" s="58"/>
      <c r="Q695" s="58"/>
      <c r="R695" s="58"/>
      <c r="S695" s="58"/>
      <c r="T695" s="58"/>
      <c r="U695" s="58"/>
      <c r="V695" s="58"/>
      <c r="W695" s="58"/>
      <c r="X695" s="58"/>
      <c r="Y695" s="58"/>
      <c r="Z695" s="58"/>
    </row>
    <row r="696" ht="15.75" customHeight="1">
      <c r="A696" s="86"/>
      <c r="B696" s="86"/>
      <c r="C696" s="86"/>
      <c r="D696" s="86"/>
      <c r="E696" s="86"/>
      <c r="F696" s="58"/>
      <c r="G696" s="58"/>
      <c r="H696" s="58"/>
      <c r="I696" s="58"/>
      <c r="J696" s="58"/>
      <c r="K696" s="58"/>
      <c r="L696" s="58"/>
      <c r="M696" s="58"/>
      <c r="N696" s="58"/>
      <c r="O696" s="58"/>
      <c r="P696" s="58"/>
      <c r="Q696" s="58"/>
      <c r="R696" s="58"/>
      <c r="S696" s="58"/>
      <c r="T696" s="58"/>
      <c r="U696" s="58"/>
      <c r="V696" s="58"/>
      <c r="W696" s="58"/>
      <c r="X696" s="58"/>
      <c r="Y696" s="58"/>
      <c r="Z696" s="58"/>
    </row>
    <row r="697" ht="15.75" customHeight="1">
      <c r="A697" s="86"/>
      <c r="B697" s="86"/>
      <c r="C697" s="86"/>
      <c r="D697" s="86"/>
      <c r="E697" s="86"/>
      <c r="F697" s="58"/>
      <c r="G697" s="58"/>
      <c r="H697" s="58"/>
      <c r="I697" s="58"/>
      <c r="J697" s="58"/>
      <c r="K697" s="58"/>
      <c r="L697" s="58"/>
      <c r="M697" s="58"/>
      <c r="N697" s="58"/>
      <c r="O697" s="58"/>
      <c r="P697" s="58"/>
      <c r="Q697" s="58"/>
      <c r="R697" s="58"/>
      <c r="S697" s="58"/>
      <c r="T697" s="58"/>
      <c r="U697" s="58"/>
      <c r="V697" s="58"/>
      <c r="W697" s="58"/>
      <c r="X697" s="58"/>
      <c r="Y697" s="58"/>
      <c r="Z697" s="58"/>
    </row>
    <row r="698" ht="15.75" customHeight="1">
      <c r="A698" s="86"/>
      <c r="B698" s="86"/>
      <c r="C698" s="86"/>
      <c r="D698" s="86"/>
      <c r="E698" s="86"/>
      <c r="F698" s="58"/>
      <c r="G698" s="58"/>
      <c r="H698" s="58"/>
      <c r="I698" s="58"/>
      <c r="J698" s="58"/>
      <c r="K698" s="58"/>
      <c r="L698" s="58"/>
      <c r="M698" s="58"/>
      <c r="N698" s="58"/>
      <c r="O698" s="58"/>
      <c r="P698" s="58"/>
      <c r="Q698" s="58"/>
      <c r="R698" s="58"/>
      <c r="S698" s="58"/>
      <c r="T698" s="58"/>
      <c r="U698" s="58"/>
      <c r="V698" s="58"/>
      <c r="W698" s="58"/>
      <c r="X698" s="58"/>
      <c r="Y698" s="58"/>
      <c r="Z698" s="58"/>
    </row>
    <row r="699" ht="15.75" customHeight="1">
      <c r="A699" s="86"/>
      <c r="B699" s="86"/>
      <c r="C699" s="86"/>
      <c r="D699" s="86"/>
      <c r="E699" s="86"/>
      <c r="F699" s="58"/>
      <c r="G699" s="58"/>
      <c r="H699" s="58"/>
      <c r="I699" s="58"/>
      <c r="J699" s="58"/>
      <c r="K699" s="58"/>
      <c r="L699" s="58"/>
      <c r="M699" s="58"/>
      <c r="N699" s="58"/>
      <c r="O699" s="58"/>
      <c r="P699" s="58"/>
      <c r="Q699" s="58"/>
      <c r="R699" s="58"/>
      <c r="S699" s="58"/>
      <c r="T699" s="58"/>
      <c r="U699" s="58"/>
      <c r="V699" s="58"/>
      <c r="W699" s="58"/>
      <c r="X699" s="58"/>
      <c r="Y699" s="58"/>
      <c r="Z699" s="58"/>
    </row>
    <row r="700" ht="15.75" customHeight="1">
      <c r="A700" s="86"/>
      <c r="B700" s="86"/>
      <c r="C700" s="86"/>
      <c r="D700" s="86"/>
      <c r="E700" s="86"/>
      <c r="F700" s="58"/>
      <c r="G700" s="58"/>
      <c r="H700" s="58"/>
      <c r="I700" s="58"/>
      <c r="J700" s="58"/>
      <c r="K700" s="58"/>
      <c r="L700" s="58"/>
      <c r="M700" s="58"/>
      <c r="N700" s="58"/>
      <c r="O700" s="58"/>
      <c r="P700" s="58"/>
      <c r="Q700" s="58"/>
      <c r="R700" s="58"/>
      <c r="S700" s="58"/>
      <c r="T700" s="58"/>
      <c r="U700" s="58"/>
      <c r="V700" s="58"/>
      <c r="W700" s="58"/>
      <c r="X700" s="58"/>
      <c r="Y700" s="58"/>
      <c r="Z700" s="58"/>
    </row>
    <row r="701" ht="15.75" customHeight="1">
      <c r="A701" s="86"/>
      <c r="B701" s="86"/>
      <c r="C701" s="86"/>
      <c r="D701" s="86"/>
      <c r="E701" s="86"/>
      <c r="F701" s="58"/>
      <c r="G701" s="58"/>
      <c r="H701" s="58"/>
      <c r="I701" s="58"/>
      <c r="J701" s="58"/>
      <c r="K701" s="58"/>
      <c r="L701" s="58"/>
      <c r="M701" s="58"/>
      <c r="N701" s="58"/>
      <c r="O701" s="58"/>
      <c r="P701" s="58"/>
      <c r="Q701" s="58"/>
      <c r="R701" s="58"/>
      <c r="S701" s="58"/>
      <c r="T701" s="58"/>
      <c r="U701" s="58"/>
      <c r="V701" s="58"/>
      <c r="W701" s="58"/>
      <c r="X701" s="58"/>
      <c r="Y701" s="58"/>
      <c r="Z701" s="58"/>
    </row>
    <row r="702" ht="15.75" customHeight="1">
      <c r="A702" s="86"/>
      <c r="B702" s="86"/>
      <c r="C702" s="86"/>
      <c r="D702" s="86"/>
      <c r="E702" s="86"/>
      <c r="F702" s="58"/>
      <c r="G702" s="58"/>
      <c r="H702" s="58"/>
      <c r="I702" s="58"/>
      <c r="J702" s="58"/>
      <c r="K702" s="58"/>
      <c r="L702" s="58"/>
      <c r="M702" s="58"/>
      <c r="N702" s="58"/>
      <c r="O702" s="58"/>
      <c r="P702" s="58"/>
      <c r="Q702" s="58"/>
      <c r="R702" s="58"/>
      <c r="S702" s="58"/>
      <c r="T702" s="58"/>
      <c r="U702" s="58"/>
      <c r="V702" s="58"/>
      <c r="W702" s="58"/>
      <c r="X702" s="58"/>
      <c r="Y702" s="58"/>
      <c r="Z702" s="58"/>
    </row>
    <row r="703" ht="15.75" customHeight="1">
      <c r="A703" s="86"/>
      <c r="B703" s="86"/>
      <c r="C703" s="86"/>
      <c r="D703" s="86"/>
      <c r="E703" s="86"/>
      <c r="F703" s="58"/>
      <c r="G703" s="58"/>
      <c r="H703" s="58"/>
      <c r="I703" s="58"/>
      <c r="J703" s="58"/>
      <c r="K703" s="58"/>
      <c r="L703" s="58"/>
      <c r="M703" s="58"/>
      <c r="N703" s="58"/>
      <c r="O703" s="58"/>
      <c r="P703" s="58"/>
      <c r="Q703" s="58"/>
      <c r="R703" s="58"/>
      <c r="S703" s="58"/>
      <c r="T703" s="58"/>
      <c r="U703" s="58"/>
      <c r="V703" s="58"/>
      <c r="W703" s="58"/>
      <c r="X703" s="58"/>
      <c r="Y703" s="58"/>
      <c r="Z703" s="58"/>
    </row>
    <row r="704" ht="15.75" customHeight="1">
      <c r="A704" s="86"/>
      <c r="B704" s="86"/>
      <c r="C704" s="86"/>
      <c r="D704" s="86"/>
      <c r="E704" s="86"/>
      <c r="F704" s="58"/>
      <c r="G704" s="58"/>
      <c r="H704" s="58"/>
      <c r="I704" s="58"/>
      <c r="J704" s="58"/>
      <c r="K704" s="58"/>
      <c r="L704" s="58"/>
      <c r="M704" s="58"/>
      <c r="N704" s="58"/>
      <c r="O704" s="58"/>
      <c r="P704" s="58"/>
      <c r="Q704" s="58"/>
      <c r="R704" s="58"/>
      <c r="S704" s="58"/>
      <c r="T704" s="58"/>
      <c r="U704" s="58"/>
      <c r="V704" s="58"/>
      <c r="W704" s="58"/>
      <c r="X704" s="58"/>
      <c r="Y704" s="58"/>
      <c r="Z704" s="58"/>
    </row>
    <row r="705" ht="15.75" customHeight="1">
      <c r="A705" s="86"/>
      <c r="B705" s="86"/>
      <c r="C705" s="86"/>
      <c r="D705" s="86"/>
      <c r="E705" s="86"/>
      <c r="F705" s="58"/>
      <c r="G705" s="58"/>
      <c r="H705" s="58"/>
      <c r="I705" s="58"/>
      <c r="J705" s="58"/>
      <c r="K705" s="58"/>
      <c r="L705" s="58"/>
      <c r="M705" s="58"/>
      <c r="N705" s="58"/>
      <c r="O705" s="58"/>
      <c r="P705" s="58"/>
      <c r="Q705" s="58"/>
      <c r="R705" s="58"/>
      <c r="S705" s="58"/>
      <c r="T705" s="58"/>
      <c r="U705" s="58"/>
      <c r="V705" s="58"/>
      <c r="W705" s="58"/>
      <c r="X705" s="58"/>
      <c r="Y705" s="58"/>
      <c r="Z705" s="58"/>
    </row>
    <row r="706" ht="15.75" customHeight="1">
      <c r="A706" s="86"/>
      <c r="B706" s="86"/>
      <c r="C706" s="86"/>
      <c r="D706" s="86"/>
      <c r="E706" s="86"/>
      <c r="F706" s="58"/>
      <c r="G706" s="58"/>
      <c r="H706" s="58"/>
      <c r="I706" s="58"/>
      <c r="J706" s="58"/>
      <c r="K706" s="58"/>
      <c r="L706" s="58"/>
      <c r="M706" s="58"/>
      <c r="N706" s="58"/>
      <c r="O706" s="58"/>
      <c r="P706" s="58"/>
      <c r="Q706" s="58"/>
      <c r="R706" s="58"/>
      <c r="S706" s="58"/>
      <c r="T706" s="58"/>
      <c r="U706" s="58"/>
      <c r="V706" s="58"/>
      <c r="W706" s="58"/>
      <c r="X706" s="58"/>
      <c r="Y706" s="58"/>
      <c r="Z706" s="58"/>
    </row>
    <row r="707" ht="15.75" customHeight="1">
      <c r="A707" s="86"/>
      <c r="B707" s="86"/>
      <c r="C707" s="86"/>
      <c r="D707" s="86"/>
      <c r="E707" s="86"/>
      <c r="F707" s="58"/>
      <c r="G707" s="58"/>
      <c r="H707" s="58"/>
      <c r="I707" s="58"/>
      <c r="J707" s="58"/>
      <c r="K707" s="58"/>
      <c r="L707" s="58"/>
      <c r="M707" s="58"/>
      <c r="N707" s="58"/>
      <c r="O707" s="58"/>
      <c r="P707" s="58"/>
      <c r="Q707" s="58"/>
      <c r="R707" s="58"/>
      <c r="S707" s="58"/>
      <c r="T707" s="58"/>
      <c r="U707" s="58"/>
      <c r="V707" s="58"/>
      <c r="W707" s="58"/>
      <c r="X707" s="58"/>
      <c r="Y707" s="58"/>
      <c r="Z707" s="58"/>
    </row>
    <row r="708" ht="15.75" customHeight="1">
      <c r="A708" s="86"/>
      <c r="B708" s="86"/>
      <c r="C708" s="86"/>
      <c r="D708" s="86"/>
      <c r="E708" s="86"/>
      <c r="F708" s="58"/>
      <c r="G708" s="58"/>
      <c r="H708" s="58"/>
      <c r="I708" s="58"/>
      <c r="J708" s="58"/>
      <c r="K708" s="58"/>
      <c r="L708" s="58"/>
      <c r="M708" s="58"/>
      <c r="N708" s="58"/>
      <c r="O708" s="58"/>
      <c r="P708" s="58"/>
      <c r="Q708" s="58"/>
      <c r="R708" s="58"/>
      <c r="S708" s="58"/>
      <c r="T708" s="58"/>
      <c r="U708" s="58"/>
      <c r="V708" s="58"/>
      <c r="W708" s="58"/>
      <c r="X708" s="58"/>
      <c r="Y708" s="58"/>
      <c r="Z708" s="58"/>
    </row>
    <row r="709" ht="15.75" customHeight="1">
      <c r="A709" s="86"/>
      <c r="B709" s="86"/>
      <c r="C709" s="86"/>
      <c r="D709" s="86"/>
      <c r="E709" s="86"/>
      <c r="F709" s="58"/>
      <c r="G709" s="58"/>
      <c r="H709" s="58"/>
      <c r="I709" s="58"/>
      <c r="J709" s="58"/>
      <c r="K709" s="58"/>
      <c r="L709" s="58"/>
      <c r="M709" s="58"/>
      <c r="N709" s="58"/>
      <c r="O709" s="58"/>
      <c r="P709" s="58"/>
      <c r="Q709" s="58"/>
      <c r="R709" s="58"/>
      <c r="S709" s="58"/>
      <c r="T709" s="58"/>
      <c r="U709" s="58"/>
      <c r="V709" s="58"/>
      <c r="W709" s="58"/>
      <c r="X709" s="58"/>
      <c r="Y709" s="58"/>
      <c r="Z709" s="58"/>
    </row>
    <row r="710" ht="15.75" customHeight="1">
      <c r="A710" s="86"/>
      <c r="B710" s="86"/>
      <c r="C710" s="86"/>
      <c r="D710" s="86"/>
      <c r="E710" s="86"/>
      <c r="F710" s="58"/>
      <c r="G710" s="58"/>
      <c r="H710" s="58"/>
      <c r="I710" s="58"/>
      <c r="J710" s="58"/>
      <c r="K710" s="58"/>
      <c r="L710" s="58"/>
      <c r="M710" s="58"/>
      <c r="N710" s="58"/>
      <c r="O710" s="58"/>
      <c r="P710" s="58"/>
      <c r="Q710" s="58"/>
      <c r="R710" s="58"/>
      <c r="S710" s="58"/>
      <c r="T710" s="58"/>
      <c r="U710" s="58"/>
      <c r="V710" s="58"/>
      <c r="W710" s="58"/>
      <c r="X710" s="58"/>
      <c r="Y710" s="58"/>
      <c r="Z710" s="58"/>
    </row>
    <row r="711" ht="15.75" customHeight="1">
      <c r="A711" s="86"/>
      <c r="B711" s="86"/>
      <c r="C711" s="86"/>
      <c r="D711" s="86"/>
      <c r="E711" s="86"/>
      <c r="F711" s="58"/>
      <c r="G711" s="58"/>
      <c r="H711" s="58"/>
      <c r="I711" s="58"/>
      <c r="J711" s="58"/>
      <c r="K711" s="58"/>
      <c r="L711" s="58"/>
      <c r="M711" s="58"/>
      <c r="N711" s="58"/>
      <c r="O711" s="58"/>
      <c r="P711" s="58"/>
      <c r="Q711" s="58"/>
      <c r="R711" s="58"/>
      <c r="S711" s="58"/>
      <c r="T711" s="58"/>
      <c r="U711" s="58"/>
      <c r="V711" s="58"/>
      <c r="W711" s="58"/>
      <c r="X711" s="58"/>
      <c r="Y711" s="58"/>
      <c r="Z711" s="58"/>
    </row>
    <row r="712" ht="15.75" customHeight="1">
      <c r="A712" s="86"/>
      <c r="B712" s="86"/>
      <c r="C712" s="86"/>
      <c r="D712" s="86"/>
      <c r="E712" s="86"/>
      <c r="F712" s="58"/>
      <c r="G712" s="58"/>
      <c r="H712" s="58"/>
      <c r="I712" s="58"/>
      <c r="J712" s="58"/>
      <c r="K712" s="58"/>
      <c r="L712" s="58"/>
      <c r="M712" s="58"/>
      <c r="N712" s="58"/>
      <c r="O712" s="58"/>
      <c r="P712" s="58"/>
      <c r="Q712" s="58"/>
      <c r="R712" s="58"/>
      <c r="S712" s="58"/>
      <c r="T712" s="58"/>
      <c r="U712" s="58"/>
      <c r="V712" s="58"/>
      <c r="W712" s="58"/>
      <c r="X712" s="58"/>
      <c r="Y712" s="58"/>
      <c r="Z712" s="58"/>
    </row>
    <row r="713" ht="15.75" customHeight="1">
      <c r="A713" s="86"/>
      <c r="B713" s="86"/>
      <c r="C713" s="86"/>
      <c r="D713" s="86"/>
      <c r="E713" s="86"/>
      <c r="F713" s="58"/>
      <c r="G713" s="58"/>
      <c r="H713" s="58"/>
      <c r="I713" s="58"/>
      <c r="J713" s="58"/>
      <c r="K713" s="58"/>
      <c r="L713" s="58"/>
      <c r="M713" s="58"/>
      <c r="N713" s="58"/>
      <c r="O713" s="58"/>
      <c r="P713" s="58"/>
      <c r="Q713" s="58"/>
      <c r="R713" s="58"/>
      <c r="S713" s="58"/>
      <c r="T713" s="58"/>
      <c r="U713" s="58"/>
      <c r="V713" s="58"/>
      <c r="W713" s="58"/>
      <c r="X713" s="58"/>
      <c r="Y713" s="58"/>
      <c r="Z713" s="58"/>
    </row>
    <row r="714" ht="15.75" customHeight="1">
      <c r="A714" s="86"/>
      <c r="B714" s="86"/>
      <c r="C714" s="86"/>
      <c r="D714" s="86"/>
      <c r="E714" s="86"/>
      <c r="F714" s="58"/>
      <c r="G714" s="58"/>
      <c r="H714" s="58"/>
      <c r="I714" s="58"/>
      <c r="J714" s="58"/>
      <c r="K714" s="58"/>
      <c r="L714" s="58"/>
      <c r="M714" s="58"/>
      <c r="N714" s="58"/>
      <c r="O714" s="58"/>
      <c r="P714" s="58"/>
      <c r="Q714" s="58"/>
      <c r="R714" s="58"/>
      <c r="S714" s="58"/>
      <c r="T714" s="58"/>
      <c r="U714" s="58"/>
      <c r="V714" s="58"/>
      <c r="W714" s="58"/>
      <c r="X714" s="58"/>
      <c r="Y714" s="58"/>
      <c r="Z714" s="58"/>
    </row>
    <row r="715" ht="15.75" customHeight="1">
      <c r="A715" s="86"/>
      <c r="B715" s="86"/>
      <c r="C715" s="86"/>
      <c r="D715" s="86"/>
      <c r="E715" s="86"/>
      <c r="F715" s="58"/>
      <c r="G715" s="58"/>
      <c r="H715" s="58"/>
      <c r="I715" s="58"/>
      <c r="J715" s="58"/>
      <c r="K715" s="58"/>
      <c r="L715" s="58"/>
      <c r="M715" s="58"/>
      <c r="N715" s="58"/>
      <c r="O715" s="58"/>
      <c r="P715" s="58"/>
      <c r="Q715" s="58"/>
      <c r="R715" s="58"/>
      <c r="S715" s="58"/>
      <c r="T715" s="58"/>
      <c r="U715" s="58"/>
      <c r="V715" s="58"/>
      <c r="W715" s="58"/>
      <c r="X715" s="58"/>
      <c r="Y715" s="58"/>
      <c r="Z715" s="58"/>
    </row>
    <row r="716" ht="15.75" customHeight="1">
      <c r="A716" s="86"/>
      <c r="B716" s="86"/>
      <c r="C716" s="86"/>
      <c r="D716" s="86"/>
      <c r="E716" s="86"/>
      <c r="F716" s="58"/>
      <c r="G716" s="58"/>
      <c r="H716" s="58"/>
      <c r="I716" s="58"/>
      <c r="J716" s="58"/>
      <c r="K716" s="58"/>
      <c r="L716" s="58"/>
      <c r="M716" s="58"/>
      <c r="N716" s="58"/>
      <c r="O716" s="58"/>
      <c r="P716" s="58"/>
      <c r="Q716" s="58"/>
      <c r="R716" s="58"/>
      <c r="S716" s="58"/>
      <c r="T716" s="58"/>
      <c r="U716" s="58"/>
      <c r="V716" s="58"/>
      <c r="W716" s="58"/>
      <c r="X716" s="58"/>
      <c r="Y716" s="58"/>
      <c r="Z716" s="58"/>
    </row>
    <row r="717" ht="15.75" customHeight="1">
      <c r="A717" s="86"/>
      <c r="B717" s="86"/>
      <c r="C717" s="86"/>
      <c r="D717" s="86"/>
      <c r="E717" s="86"/>
      <c r="F717" s="58"/>
      <c r="G717" s="58"/>
      <c r="H717" s="58"/>
      <c r="I717" s="58"/>
      <c r="J717" s="58"/>
      <c r="K717" s="58"/>
      <c r="L717" s="58"/>
      <c r="M717" s="58"/>
      <c r="N717" s="58"/>
      <c r="O717" s="58"/>
      <c r="P717" s="58"/>
      <c r="Q717" s="58"/>
      <c r="R717" s="58"/>
      <c r="S717" s="58"/>
      <c r="T717" s="58"/>
      <c r="U717" s="58"/>
      <c r="V717" s="58"/>
      <c r="W717" s="58"/>
      <c r="X717" s="58"/>
      <c r="Y717" s="58"/>
      <c r="Z717" s="58"/>
    </row>
    <row r="718" ht="15.75" customHeight="1">
      <c r="A718" s="86"/>
      <c r="B718" s="86"/>
      <c r="C718" s="86"/>
      <c r="D718" s="86"/>
      <c r="E718" s="86"/>
      <c r="F718" s="58"/>
      <c r="G718" s="58"/>
      <c r="H718" s="58"/>
      <c r="I718" s="58"/>
      <c r="J718" s="58"/>
      <c r="K718" s="58"/>
      <c r="L718" s="58"/>
      <c r="M718" s="58"/>
      <c r="N718" s="58"/>
      <c r="O718" s="58"/>
      <c r="P718" s="58"/>
      <c r="Q718" s="58"/>
      <c r="R718" s="58"/>
      <c r="S718" s="58"/>
      <c r="T718" s="58"/>
      <c r="U718" s="58"/>
      <c r="V718" s="58"/>
      <c r="W718" s="58"/>
      <c r="X718" s="58"/>
      <c r="Y718" s="58"/>
      <c r="Z718" s="58"/>
    </row>
    <row r="719" ht="15.75" customHeight="1">
      <c r="A719" s="86"/>
      <c r="B719" s="86"/>
      <c r="C719" s="86"/>
      <c r="D719" s="86"/>
      <c r="E719" s="86"/>
      <c r="F719" s="58"/>
      <c r="G719" s="58"/>
      <c r="H719" s="58"/>
      <c r="I719" s="58"/>
      <c r="J719" s="58"/>
      <c r="K719" s="58"/>
      <c r="L719" s="58"/>
      <c r="M719" s="58"/>
      <c r="N719" s="58"/>
      <c r="O719" s="58"/>
      <c r="P719" s="58"/>
      <c r="Q719" s="58"/>
      <c r="R719" s="58"/>
      <c r="S719" s="58"/>
      <c r="T719" s="58"/>
      <c r="U719" s="58"/>
      <c r="V719" s="58"/>
      <c r="W719" s="58"/>
      <c r="X719" s="58"/>
      <c r="Y719" s="58"/>
      <c r="Z719" s="58"/>
    </row>
    <row r="720" ht="15.75" customHeight="1">
      <c r="A720" s="86"/>
      <c r="B720" s="86"/>
      <c r="C720" s="86"/>
      <c r="D720" s="86"/>
      <c r="E720" s="86"/>
      <c r="F720" s="58"/>
      <c r="G720" s="58"/>
      <c r="H720" s="58"/>
      <c r="I720" s="58"/>
      <c r="J720" s="58"/>
      <c r="K720" s="58"/>
      <c r="L720" s="58"/>
      <c r="M720" s="58"/>
      <c r="N720" s="58"/>
      <c r="O720" s="58"/>
      <c r="P720" s="58"/>
      <c r="Q720" s="58"/>
      <c r="R720" s="58"/>
      <c r="S720" s="58"/>
      <c r="T720" s="58"/>
      <c r="U720" s="58"/>
      <c r="V720" s="58"/>
      <c r="W720" s="58"/>
      <c r="X720" s="58"/>
      <c r="Y720" s="58"/>
      <c r="Z720" s="58"/>
    </row>
    <row r="721" ht="15.75" customHeight="1">
      <c r="A721" s="86"/>
      <c r="B721" s="86"/>
      <c r="C721" s="86"/>
      <c r="D721" s="86"/>
      <c r="E721" s="86"/>
      <c r="F721" s="58"/>
      <c r="G721" s="58"/>
      <c r="H721" s="58"/>
      <c r="I721" s="58"/>
      <c r="J721" s="58"/>
      <c r="K721" s="58"/>
      <c r="L721" s="58"/>
      <c r="M721" s="58"/>
      <c r="N721" s="58"/>
      <c r="O721" s="58"/>
      <c r="P721" s="58"/>
      <c r="Q721" s="58"/>
      <c r="R721" s="58"/>
      <c r="S721" s="58"/>
      <c r="T721" s="58"/>
      <c r="U721" s="58"/>
      <c r="V721" s="58"/>
      <c r="W721" s="58"/>
      <c r="X721" s="58"/>
      <c r="Y721" s="58"/>
      <c r="Z721" s="58"/>
    </row>
    <row r="722" ht="15.75" customHeight="1">
      <c r="A722" s="86"/>
      <c r="B722" s="86"/>
      <c r="C722" s="86"/>
      <c r="D722" s="86"/>
      <c r="E722" s="86"/>
      <c r="F722" s="58"/>
      <c r="G722" s="58"/>
      <c r="H722" s="58"/>
      <c r="I722" s="58"/>
      <c r="J722" s="58"/>
      <c r="K722" s="58"/>
      <c r="L722" s="58"/>
      <c r="M722" s="58"/>
      <c r="N722" s="58"/>
      <c r="O722" s="58"/>
      <c r="P722" s="58"/>
      <c r="Q722" s="58"/>
      <c r="R722" s="58"/>
      <c r="S722" s="58"/>
      <c r="T722" s="58"/>
      <c r="U722" s="58"/>
      <c r="V722" s="58"/>
      <c r="W722" s="58"/>
      <c r="X722" s="58"/>
      <c r="Y722" s="58"/>
      <c r="Z722" s="58"/>
    </row>
    <row r="723" ht="15.75" customHeight="1">
      <c r="A723" s="86"/>
      <c r="B723" s="86"/>
      <c r="C723" s="86"/>
      <c r="D723" s="86"/>
      <c r="E723" s="86"/>
      <c r="F723" s="58"/>
      <c r="G723" s="58"/>
      <c r="H723" s="58"/>
      <c r="I723" s="58"/>
      <c r="J723" s="58"/>
      <c r="K723" s="58"/>
      <c r="L723" s="58"/>
      <c r="M723" s="58"/>
      <c r="N723" s="58"/>
      <c r="O723" s="58"/>
      <c r="P723" s="58"/>
      <c r="Q723" s="58"/>
      <c r="R723" s="58"/>
      <c r="S723" s="58"/>
      <c r="T723" s="58"/>
      <c r="U723" s="58"/>
      <c r="V723" s="58"/>
      <c r="W723" s="58"/>
      <c r="X723" s="58"/>
      <c r="Y723" s="58"/>
      <c r="Z723" s="58"/>
    </row>
    <row r="724" ht="15.75" customHeight="1">
      <c r="A724" s="86"/>
      <c r="B724" s="86"/>
      <c r="C724" s="86"/>
      <c r="D724" s="86"/>
      <c r="E724" s="86"/>
      <c r="F724" s="58"/>
      <c r="G724" s="58"/>
      <c r="H724" s="58"/>
      <c r="I724" s="58"/>
      <c r="J724" s="58"/>
      <c r="K724" s="58"/>
      <c r="L724" s="58"/>
      <c r="M724" s="58"/>
      <c r="N724" s="58"/>
      <c r="O724" s="58"/>
      <c r="P724" s="58"/>
      <c r="Q724" s="58"/>
      <c r="R724" s="58"/>
      <c r="S724" s="58"/>
      <c r="T724" s="58"/>
      <c r="U724" s="58"/>
      <c r="V724" s="58"/>
      <c r="W724" s="58"/>
      <c r="X724" s="58"/>
      <c r="Y724" s="58"/>
      <c r="Z724" s="58"/>
    </row>
    <row r="725" ht="15.75" customHeight="1">
      <c r="A725" s="86"/>
      <c r="B725" s="86"/>
      <c r="C725" s="86"/>
      <c r="D725" s="86"/>
      <c r="E725" s="86"/>
      <c r="F725" s="58"/>
      <c r="G725" s="58"/>
      <c r="H725" s="58"/>
      <c r="I725" s="58"/>
      <c r="J725" s="58"/>
      <c r="K725" s="58"/>
      <c r="L725" s="58"/>
      <c r="M725" s="58"/>
      <c r="N725" s="58"/>
      <c r="O725" s="58"/>
      <c r="P725" s="58"/>
      <c r="Q725" s="58"/>
      <c r="R725" s="58"/>
      <c r="S725" s="58"/>
      <c r="T725" s="58"/>
      <c r="U725" s="58"/>
      <c r="V725" s="58"/>
      <c r="W725" s="58"/>
      <c r="X725" s="58"/>
      <c r="Y725" s="58"/>
      <c r="Z725" s="58"/>
    </row>
    <row r="726" ht="15.75" customHeight="1">
      <c r="A726" s="86"/>
      <c r="B726" s="86"/>
      <c r="C726" s="86"/>
      <c r="D726" s="86"/>
      <c r="E726" s="86"/>
      <c r="F726" s="58"/>
      <c r="G726" s="58"/>
      <c r="H726" s="58"/>
      <c r="I726" s="58"/>
      <c r="J726" s="58"/>
      <c r="K726" s="58"/>
      <c r="L726" s="58"/>
      <c r="M726" s="58"/>
      <c r="N726" s="58"/>
      <c r="O726" s="58"/>
      <c r="P726" s="58"/>
      <c r="Q726" s="58"/>
      <c r="R726" s="58"/>
      <c r="S726" s="58"/>
      <c r="T726" s="58"/>
      <c r="U726" s="58"/>
      <c r="V726" s="58"/>
      <c r="W726" s="58"/>
      <c r="X726" s="58"/>
      <c r="Y726" s="58"/>
      <c r="Z726" s="58"/>
    </row>
    <row r="727" ht="15.75" customHeight="1">
      <c r="A727" s="86"/>
      <c r="B727" s="86"/>
      <c r="C727" s="86"/>
      <c r="D727" s="86"/>
      <c r="E727" s="86"/>
      <c r="F727" s="58"/>
      <c r="G727" s="58"/>
      <c r="H727" s="58"/>
      <c r="I727" s="58"/>
      <c r="J727" s="58"/>
      <c r="K727" s="58"/>
      <c r="L727" s="58"/>
      <c r="M727" s="58"/>
      <c r="N727" s="58"/>
      <c r="O727" s="58"/>
      <c r="P727" s="58"/>
      <c r="Q727" s="58"/>
      <c r="R727" s="58"/>
      <c r="S727" s="58"/>
      <c r="T727" s="58"/>
      <c r="U727" s="58"/>
      <c r="V727" s="58"/>
      <c r="W727" s="58"/>
      <c r="X727" s="58"/>
      <c r="Y727" s="58"/>
      <c r="Z727" s="58"/>
    </row>
    <row r="728" ht="15.75" customHeight="1">
      <c r="A728" s="86"/>
      <c r="B728" s="86"/>
      <c r="C728" s="86"/>
      <c r="D728" s="86"/>
      <c r="E728" s="86"/>
      <c r="F728" s="58"/>
      <c r="G728" s="58"/>
      <c r="H728" s="58"/>
      <c r="I728" s="58"/>
      <c r="J728" s="58"/>
      <c r="K728" s="58"/>
      <c r="L728" s="58"/>
      <c r="M728" s="58"/>
      <c r="N728" s="58"/>
      <c r="O728" s="58"/>
      <c r="P728" s="58"/>
      <c r="Q728" s="58"/>
      <c r="R728" s="58"/>
      <c r="S728" s="58"/>
      <c r="T728" s="58"/>
      <c r="U728" s="58"/>
      <c r="V728" s="58"/>
      <c r="W728" s="58"/>
      <c r="X728" s="58"/>
      <c r="Y728" s="58"/>
      <c r="Z728" s="58"/>
    </row>
    <row r="729" ht="15.75" customHeight="1">
      <c r="A729" s="86"/>
      <c r="B729" s="86"/>
      <c r="C729" s="86"/>
      <c r="D729" s="86"/>
      <c r="E729" s="86"/>
      <c r="F729" s="58"/>
      <c r="G729" s="58"/>
      <c r="H729" s="58"/>
      <c r="I729" s="58"/>
      <c r="J729" s="58"/>
      <c r="K729" s="58"/>
      <c r="L729" s="58"/>
      <c r="M729" s="58"/>
      <c r="N729" s="58"/>
      <c r="O729" s="58"/>
      <c r="P729" s="58"/>
      <c r="Q729" s="58"/>
      <c r="R729" s="58"/>
      <c r="S729" s="58"/>
      <c r="T729" s="58"/>
      <c r="U729" s="58"/>
      <c r="V729" s="58"/>
      <c r="W729" s="58"/>
      <c r="X729" s="58"/>
      <c r="Y729" s="58"/>
      <c r="Z729" s="58"/>
    </row>
    <row r="730" ht="15.75" customHeight="1">
      <c r="A730" s="86"/>
      <c r="B730" s="86"/>
      <c r="C730" s="86"/>
      <c r="D730" s="86"/>
      <c r="E730" s="86"/>
      <c r="F730" s="58"/>
      <c r="G730" s="58"/>
      <c r="H730" s="58"/>
      <c r="I730" s="58"/>
      <c r="J730" s="58"/>
      <c r="K730" s="58"/>
      <c r="L730" s="58"/>
      <c r="M730" s="58"/>
      <c r="N730" s="58"/>
      <c r="O730" s="58"/>
      <c r="P730" s="58"/>
      <c r="Q730" s="58"/>
      <c r="R730" s="58"/>
      <c r="S730" s="58"/>
      <c r="T730" s="58"/>
      <c r="U730" s="58"/>
      <c r="V730" s="58"/>
      <c r="W730" s="58"/>
      <c r="X730" s="58"/>
      <c r="Y730" s="58"/>
      <c r="Z730" s="58"/>
    </row>
    <row r="731" ht="15.75" customHeight="1">
      <c r="A731" s="86"/>
      <c r="B731" s="86"/>
      <c r="C731" s="86"/>
      <c r="D731" s="86"/>
      <c r="E731" s="86"/>
      <c r="F731" s="58"/>
      <c r="G731" s="58"/>
      <c r="H731" s="58"/>
      <c r="I731" s="58"/>
      <c r="J731" s="58"/>
      <c r="K731" s="58"/>
      <c r="L731" s="58"/>
      <c r="M731" s="58"/>
      <c r="N731" s="58"/>
      <c r="O731" s="58"/>
      <c r="P731" s="58"/>
      <c r="Q731" s="58"/>
      <c r="R731" s="58"/>
      <c r="S731" s="58"/>
      <c r="T731" s="58"/>
      <c r="U731" s="58"/>
      <c r="V731" s="58"/>
      <c r="W731" s="58"/>
      <c r="X731" s="58"/>
      <c r="Y731" s="58"/>
      <c r="Z731" s="58"/>
    </row>
    <row r="732" ht="15.75" customHeight="1">
      <c r="A732" s="86"/>
      <c r="B732" s="86"/>
      <c r="C732" s="86"/>
      <c r="D732" s="86"/>
      <c r="E732" s="86"/>
      <c r="F732" s="58"/>
      <c r="G732" s="58"/>
      <c r="H732" s="58"/>
      <c r="I732" s="58"/>
      <c r="J732" s="58"/>
      <c r="K732" s="58"/>
      <c r="L732" s="58"/>
      <c r="M732" s="58"/>
      <c r="N732" s="58"/>
      <c r="O732" s="58"/>
      <c r="P732" s="58"/>
      <c r="Q732" s="58"/>
      <c r="R732" s="58"/>
      <c r="S732" s="58"/>
      <c r="T732" s="58"/>
      <c r="U732" s="58"/>
      <c r="V732" s="58"/>
      <c r="W732" s="58"/>
      <c r="X732" s="58"/>
      <c r="Y732" s="58"/>
      <c r="Z732" s="58"/>
    </row>
    <row r="733" ht="15.75" customHeight="1">
      <c r="A733" s="86"/>
      <c r="B733" s="86"/>
      <c r="C733" s="86"/>
      <c r="D733" s="86"/>
      <c r="E733" s="86"/>
      <c r="F733" s="58"/>
      <c r="G733" s="58"/>
      <c r="H733" s="58"/>
      <c r="I733" s="58"/>
      <c r="J733" s="58"/>
      <c r="K733" s="58"/>
      <c r="L733" s="58"/>
      <c r="M733" s="58"/>
      <c r="N733" s="58"/>
      <c r="O733" s="58"/>
      <c r="P733" s="58"/>
      <c r="Q733" s="58"/>
      <c r="R733" s="58"/>
      <c r="S733" s="58"/>
      <c r="T733" s="58"/>
      <c r="U733" s="58"/>
      <c r="V733" s="58"/>
      <c r="W733" s="58"/>
      <c r="X733" s="58"/>
      <c r="Y733" s="58"/>
      <c r="Z733" s="58"/>
    </row>
    <row r="734" ht="15.75" customHeight="1">
      <c r="A734" s="86"/>
      <c r="B734" s="86"/>
      <c r="C734" s="86"/>
      <c r="D734" s="86"/>
      <c r="E734" s="86"/>
      <c r="F734" s="58"/>
      <c r="G734" s="58"/>
      <c r="H734" s="58"/>
      <c r="I734" s="58"/>
      <c r="J734" s="58"/>
      <c r="K734" s="58"/>
      <c r="L734" s="58"/>
      <c r="M734" s="58"/>
      <c r="N734" s="58"/>
      <c r="O734" s="58"/>
      <c r="P734" s="58"/>
      <c r="Q734" s="58"/>
      <c r="R734" s="58"/>
      <c r="S734" s="58"/>
      <c r="T734" s="58"/>
      <c r="U734" s="58"/>
      <c r="V734" s="58"/>
      <c r="W734" s="58"/>
      <c r="X734" s="58"/>
      <c r="Y734" s="58"/>
      <c r="Z734" s="58"/>
    </row>
    <row r="735" ht="15.75" customHeight="1">
      <c r="A735" s="86"/>
      <c r="B735" s="86"/>
      <c r="C735" s="86"/>
      <c r="D735" s="86"/>
      <c r="E735" s="86"/>
      <c r="F735" s="58"/>
      <c r="G735" s="58"/>
      <c r="H735" s="58"/>
      <c r="I735" s="58"/>
      <c r="J735" s="58"/>
      <c r="K735" s="58"/>
      <c r="L735" s="58"/>
      <c r="M735" s="58"/>
      <c r="N735" s="58"/>
      <c r="O735" s="58"/>
      <c r="P735" s="58"/>
      <c r="Q735" s="58"/>
      <c r="R735" s="58"/>
      <c r="S735" s="58"/>
      <c r="T735" s="58"/>
      <c r="U735" s="58"/>
      <c r="V735" s="58"/>
      <c r="W735" s="58"/>
      <c r="X735" s="58"/>
      <c r="Y735" s="58"/>
      <c r="Z735" s="58"/>
    </row>
    <row r="736" ht="15.75" customHeight="1">
      <c r="A736" s="86"/>
      <c r="B736" s="86"/>
      <c r="C736" s="86"/>
      <c r="D736" s="86"/>
      <c r="E736" s="86"/>
      <c r="F736" s="58"/>
      <c r="G736" s="58"/>
      <c r="H736" s="58"/>
      <c r="I736" s="58"/>
      <c r="J736" s="58"/>
      <c r="K736" s="58"/>
      <c r="L736" s="58"/>
      <c r="M736" s="58"/>
      <c r="N736" s="58"/>
      <c r="O736" s="58"/>
      <c r="P736" s="58"/>
      <c r="Q736" s="58"/>
      <c r="R736" s="58"/>
      <c r="S736" s="58"/>
      <c r="T736" s="58"/>
      <c r="U736" s="58"/>
      <c r="V736" s="58"/>
      <c r="W736" s="58"/>
      <c r="X736" s="58"/>
      <c r="Y736" s="58"/>
      <c r="Z736" s="58"/>
    </row>
    <row r="737" ht="15.75" customHeight="1">
      <c r="A737" s="86"/>
      <c r="B737" s="86"/>
      <c r="C737" s="86"/>
      <c r="D737" s="86"/>
      <c r="E737" s="86"/>
      <c r="F737" s="58"/>
      <c r="G737" s="58"/>
      <c r="H737" s="58"/>
      <c r="I737" s="58"/>
      <c r="J737" s="58"/>
      <c r="K737" s="58"/>
      <c r="L737" s="58"/>
      <c r="M737" s="58"/>
      <c r="N737" s="58"/>
      <c r="O737" s="58"/>
      <c r="P737" s="58"/>
      <c r="Q737" s="58"/>
      <c r="R737" s="58"/>
      <c r="S737" s="58"/>
      <c r="T737" s="58"/>
      <c r="U737" s="58"/>
      <c r="V737" s="58"/>
      <c r="W737" s="58"/>
      <c r="X737" s="58"/>
      <c r="Y737" s="58"/>
      <c r="Z737" s="58"/>
    </row>
    <row r="738" ht="15.75" customHeight="1">
      <c r="A738" s="86"/>
      <c r="B738" s="86"/>
      <c r="C738" s="86"/>
      <c r="D738" s="86"/>
      <c r="E738" s="86"/>
      <c r="F738" s="58"/>
      <c r="G738" s="58"/>
      <c r="H738" s="58"/>
      <c r="I738" s="58"/>
      <c r="J738" s="58"/>
      <c r="K738" s="58"/>
      <c r="L738" s="58"/>
      <c r="M738" s="58"/>
      <c r="N738" s="58"/>
      <c r="O738" s="58"/>
      <c r="P738" s="58"/>
      <c r="Q738" s="58"/>
      <c r="R738" s="58"/>
      <c r="S738" s="58"/>
      <c r="T738" s="58"/>
      <c r="U738" s="58"/>
      <c r="V738" s="58"/>
      <c r="W738" s="58"/>
      <c r="X738" s="58"/>
      <c r="Y738" s="58"/>
      <c r="Z738" s="58"/>
    </row>
    <row r="739" ht="15.75" customHeight="1">
      <c r="A739" s="86"/>
      <c r="B739" s="86"/>
      <c r="C739" s="86"/>
      <c r="D739" s="86"/>
      <c r="E739" s="86"/>
      <c r="F739" s="58"/>
      <c r="G739" s="58"/>
      <c r="H739" s="58"/>
      <c r="I739" s="58"/>
      <c r="J739" s="58"/>
      <c r="K739" s="58"/>
      <c r="L739" s="58"/>
      <c r="M739" s="58"/>
      <c r="N739" s="58"/>
      <c r="O739" s="58"/>
      <c r="P739" s="58"/>
      <c r="Q739" s="58"/>
      <c r="R739" s="58"/>
      <c r="S739" s="58"/>
      <c r="T739" s="58"/>
      <c r="U739" s="58"/>
      <c r="V739" s="58"/>
      <c r="W739" s="58"/>
      <c r="X739" s="58"/>
      <c r="Y739" s="58"/>
      <c r="Z739" s="58"/>
    </row>
    <row r="740" ht="15.75" customHeight="1">
      <c r="A740" s="86"/>
      <c r="B740" s="86"/>
      <c r="C740" s="86"/>
      <c r="D740" s="86"/>
      <c r="E740" s="86"/>
      <c r="F740" s="58"/>
      <c r="G740" s="58"/>
      <c r="H740" s="58"/>
      <c r="I740" s="58"/>
      <c r="J740" s="58"/>
      <c r="K740" s="58"/>
      <c r="L740" s="58"/>
      <c r="M740" s="58"/>
      <c r="N740" s="58"/>
      <c r="O740" s="58"/>
      <c r="P740" s="58"/>
      <c r="Q740" s="58"/>
      <c r="R740" s="58"/>
      <c r="S740" s="58"/>
      <c r="T740" s="58"/>
      <c r="U740" s="58"/>
      <c r="V740" s="58"/>
      <c r="W740" s="58"/>
      <c r="X740" s="58"/>
      <c r="Y740" s="58"/>
      <c r="Z740" s="58"/>
    </row>
    <row r="741" ht="15.75" customHeight="1">
      <c r="A741" s="86"/>
      <c r="B741" s="86"/>
      <c r="C741" s="86"/>
      <c r="D741" s="86"/>
      <c r="E741" s="86"/>
      <c r="F741" s="58"/>
      <c r="G741" s="58"/>
      <c r="H741" s="58"/>
      <c r="I741" s="58"/>
      <c r="J741" s="58"/>
      <c r="K741" s="58"/>
      <c r="L741" s="58"/>
      <c r="M741" s="58"/>
      <c r="N741" s="58"/>
      <c r="O741" s="58"/>
      <c r="P741" s="58"/>
      <c r="Q741" s="58"/>
      <c r="R741" s="58"/>
      <c r="S741" s="58"/>
      <c r="T741" s="58"/>
      <c r="U741" s="58"/>
      <c r="V741" s="58"/>
      <c r="W741" s="58"/>
      <c r="X741" s="58"/>
      <c r="Y741" s="58"/>
      <c r="Z741" s="58"/>
    </row>
    <row r="742" ht="15.75" customHeight="1">
      <c r="A742" s="86"/>
      <c r="B742" s="86"/>
      <c r="C742" s="86"/>
      <c r="D742" s="86"/>
      <c r="E742" s="86"/>
      <c r="F742" s="58"/>
      <c r="G742" s="58"/>
      <c r="H742" s="58"/>
      <c r="I742" s="58"/>
      <c r="J742" s="58"/>
      <c r="K742" s="58"/>
      <c r="L742" s="58"/>
      <c r="M742" s="58"/>
      <c r="N742" s="58"/>
      <c r="O742" s="58"/>
      <c r="P742" s="58"/>
      <c r="Q742" s="58"/>
      <c r="R742" s="58"/>
      <c r="S742" s="58"/>
      <c r="T742" s="58"/>
      <c r="U742" s="58"/>
      <c r="V742" s="58"/>
      <c r="W742" s="58"/>
      <c r="X742" s="58"/>
      <c r="Y742" s="58"/>
      <c r="Z742" s="58"/>
    </row>
    <row r="743" ht="15.75" customHeight="1">
      <c r="A743" s="86"/>
      <c r="B743" s="86"/>
      <c r="C743" s="86"/>
      <c r="D743" s="86"/>
      <c r="E743" s="86"/>
      <c r="F743" s="58"/>
      <c r="G743" s="58"/>
      <c r="H743" s="58"/>
      <c r="I743" s="58"/>
      <c r="J743" s="58"/>
      <c r="K743" s="58"/>
      <c r="L743" s="58"/>
      <c r="M743" s="58"/>
      <c r="N743" s="58"/>
      <c r="O743" s="58"/>
      <c r="P743" s="58"/>
      <c r="Q743" s="58"/>
      <c r="R743" s="58"/>
      <c r="S743" s="58"/>
      <c r="T743" s="58"/>
      <c r="U743" s="58"/>
      <c r="V743" s="58"/>
      <c r="W743" s="58"/>
      <c r="X743" s="58"/>
      <c r="Y743" s="58"/>
      <c r="Z743" s="58"/>
    </row>
    <row r="744" ht="15.75" customHeight="1">
      <c r="A744" s="86"/>
      <c r="B744" s="86"/>
      <c r="C744" s="86"/>
      <c r="D744" s="86"/>
      <c r="E744" s="86"/>
      <c r="F744" s="58"/>
      <c r="G744" s="58"/>
      <c r="H744" s="58"/>
      <c r="I744" s="58"/>
      <c r="J744" s="58"/>
      <c r="K744" s="58"/>
      <c r="L744" s="58"/>
      <c r="M744" s="58"/>
      <c r="N744" s="58"/>
      <c r="O744" s="58"/>
      <c r="P744" s="58"/>
      <c r="Q744" s="58"/>
      <c r="R744" s="58"/>
      <c r="S744" s="58"/>
      <c r="T744" s="58"/>
      <c r="U744" s="58"/>
      <c r="V744" s="58"/>
      <c r="W744" s="58"/>
      <c r="X744" s="58"/>
      <c r="Y744" s="58"/>
      <c r="Z744" s="58"/>
    </row>
    <row r="745" ht="15.75" customHeight="1">
      <c r="A745" s="86"/>
      <c r="B745" s="86"/>
      <c r="C745" s="86"/>
      <c r="D745" s="86"/>
      <c r="E745" s="86"/>
      <c r="F745" s="58"/>
      <c r="G745" s="58"/>
      <c r="H745" s="58"/>
      <c r="I745" s="58"/>
      <c r="J745" s="58"/>
      <c r="K745" s="58"/>
      <c r="L745" s="58"/>
      <c r="M745" s="58"/>
      <c r="N745" s="58"/>
      <c r="O745" s="58"/>
      <c r="P745" s="58"/>
      <c r="Q745" s="58"/>
      <c r="R745" s="58"/>
      <c r="S745" s="58"/>
      <c r="T745" s="58"/>
      <c r="U745" s="58"/>
      <c r="V745" s="58"/>
      <c r="W745" s="58"/>
      <c r="X745" s="58"/>
      <c r="Y745" s="58"/>
      <c r="Z745" s="58"/>
    </row>
    <row r="746" ht="15.75" customHeight="1">
      <c r="A746" s="86"/>
      <c r="B746" s="86"/>
      <c r="C746" s="86"/>
      <c r="D746" s="86"/>
      <c r="E746" s="86"/>
      <c r="F746" s="58"/>
      <c r="G746" s="58"/>
      <c r="H746" s="58"/>
      <c r="I746" s="58"/>
      <c r="J746" s="58"/>
      <c r="K746" s="58"/>
      <c r="L746" s="58"/>
      <c r="M746" s="58"/>
      <c r="N746" s="58"/>
      <c r="O746" s="58"/>
      <c r="P746" s="58"/>
      <c r="Q746" s="58"/>
      <c r="R746" s="58"/>
      <c r="S746" s="58"/>
      <c r="T746" s="58"/>
      <c r="U746" s="58"/>
      <c r="V746" s="58"/>
      <c r="W746" s="58"/>
      <c r="X746" s="58"/>
      <c r="Y746" s="58"/>
      <c r="Z746" s="58"/>
    </row>
    <row r="747" ht="15.75" customHeight="1">
      <c r="A747" s="86"/>
      <c r="B747" s="86"/>
      <c r="C747" s="86"/>
      <c r="D747" s="86"/>
      <c r="E747" s="86"/>
      <c r="F747" s="58"/>
      <c r="G747" s="58"/>
      <c r="H747" s="58"/>
      <c r="I747" s="58"/>
      <c r="J747" s="58"/>
      <c r="K747" s="58"/>
      <c r="L747" s="58"/>
      <c r="M747" s="58"/>
      <c r="N747" s="58"/>
      <c r="O747" s="58"/>
      <c r="P747" s="58"/>
      <c r="Q747" s="58"/>
      <c r="R747" s="58"/>
      <c r="S747" s="58"/>
      <c r="T747" s="58"/>
      <c r="U747" s="58"/>
      <c r="V747" s="58"/>
      <c r="W747" s="58"/>
      <c r="X747" s="58"/>
      <c r="Y747" s="58"/>
      <c r="Z747" s="58"/>
    </row>
    <row r="748" ht="15.75" customHeight="1">
      <c r="A748" s="86"/>
      <c r="B748" s="86"/>
      <c r="C748" s="86"/>
      <c r="D748" s="86"/>
      <c r="E748" s="86"/>
      <c r="F748" s="58"/>
      <c r="G748" s="58"/>
      <c r="H748" s="58"/>
      <c r="I748" s="58"/>
      <c r="J748" s="58"/>
      <c r="K748" s="58"/>
      <c r="L748" s="58"/>
      <c r="M748" s="58"/>
      <c r="N748" s="58"/>
      <c r="O748" s="58"/>
      <c r="P748" s="58"/>
      <c r="Q748" s="58"/>
      <c r="R748" s="58"/>
      <c r="S748" s="58"/>
      <c r="T748" s="58"/>
      <c r="U748" s="58"/>
      <c r="V748" s="58"/>
      <c r="W748" s="58"/>
      <c r="X748" s="58"/>
      <c r="Y748" s="58"/>
      <c r="Z748" s="58"/>
    </row>
    <row r="749" ht="15.75" customHeight="1">
      <c r="A749" s="86"/>
      <c r="B749" s="86"/>
      <c r="C749" s="86"/>
      <c r="D749" s="86"/>
      <c r="E749" s="86"/>
      <c r="F749" s="58"/>
      <c r="G749" s="58"/>
      <c r="H749" s="58"/>
      <c r="I749" s="58"/>
      <c r="J749" s="58"/>
      <c r="K749" s="58"/>
      <c r="L749" s="58"/>
      <c r="M749" s="58"/>
      <c r="N749" s="58"/>
      <c r="O749" s="58"/>
      <c r="P749" s="58"/>
      <c r="Q749" s="58"/>
      <c r="R749" s="58"/>
      <c r="S749" s="58"/>
      <c r="T749" s="58"/>
      <c r="U749" s="58"/>
      <c r="V749" s="58"/>
      <c r="W749" s="58"/>
      <c r="X749" s="58"/>
      <c r="Y749" s="58"/>
      <c r="Z749" s="58"/>
    </row>
    <row r="750" ht="15.75" customHeight="1">
      <c r="A750" s="86"/>
      <c r="B750" s="86"/>
      <c r="C750" s="86"/>
      <c r="D750" s="86"/>
      <c r="E750" s="86"/>
      <c r="F750" s="58"/>
      <c r="G750" s="58"/>
      <c r="H750" s="58"/>
      <c r="I750" s="58"/>
      <c r="J750" s="58"/>
      <c r="K750" s="58"/>
      <c r="L750" s="58"/>
      <c r="M750" s="58"/>
      <c r="N750" s="58"/>
      <c r="O750" s="58"/>
      <c r="P750" s="58"/>
      <c r="Q750" s="58"/>
      <c r="R750" s="58"/>
      <c r="S750" s="58"/>
      <c r="T750" s="58"/>
      <c r="U750" s="58"/>
      <c r="V750" s="58"/>
      <c r="W750" s="58"/>
      <c r="X750" s="58"/>
      <c r="Y750" s="58"/>
      <c r="Z750" s="58"/>
    </row>
    <row r="751" ht="15.75" customHeight="1">
      <c r="A751" s="86"/>
      <c r="B751" s="86"/>
      <c r="C751" s="86"/>
      <c r="D751" s="86"/>
      <c r="E751" s="86"/>
      <c r="F751" s="58"/>
      <c r="G751" s="58"/>
      <c r="H751" s="58"/>
      <c r="I751" s="58"/>
      <c r="J751" s="58"/>
      <c r="K751" s="58"/>
      <c r="L751" s="58"/>
      <c r="M751" s="58"/>
      <c r="N751" s="58"/>
      <c r="O751" s="58"/>
      <c r="P751" s="58"/>
      <c r="Q751" s="58"/>
      <c r="R751" s="58"/>
      <c r="S751" s="58"/>
      <c r="T751" s="58"/>
      <c r="U751" s="58"/>
      <c r="V751" s="58"/>
      <c r="W751" s="58"/>
      <c r="X751" s="58"/>
      <c r="Y751" s="58"/>
      <c r="Z751" s="58"/>
    </row>
    <row r="752" ht="15.75" customHeight="1">
      <c r="A752" s="86"/>
      <c r="B752" s="86"/>
      <c r="C752" s="86"/>
      <c r="D752" s="86"/>
      <c r="E752" s="86"/>
      <c r="F752" s="58"/>
      <c r="G752" s="58"/>
      <c r="H752" s="58"/>
      <c r="I752" s="58"/>
      <c r="J752" s="58"/>
      <c r="K752" s="58"/>
      <c r="L752" s="58"/>
      <c r="M752" s="58"/>
      <c r="N752" s="58"/>
      <c r="O752" s="58"/>
      <c r="P752" s="58"/>
      <c r="Q752" s="58"/>
      <c r="R752" s="58"/>
      <c r="S752" s="58"/>
      <c r="T752" s="58"/>
      <c r="U752" s="58"/>
      <c r="V752" s="58"/>
      <c r="W752" s="58"/>
      <c r="X752" s="58"/>
      <c r="Y752" s="58"/>
      <c r="Z752" s="58"/>
    </row>
    <row r="753" ht="15.75" customHeight="1">
      <c r="A753" s="86"/>
      <c r="B753" s="86"/>
      <c r="C753" s="86"/>
      <c r="D753" s="86"/>
      <c r="E753" s="86"/>
      <c r="F753" s="58"/>
      <c r="G753" s="58"/>
      <c r="H753" s="58"/>
      <c r="I753" s="58"/>
      <c r="J753" s="58"/>
      <c r="K753" s="58"/>
      <c r="L753" s="58"/>
      <c r="M753" s="58"/>
      <c r="N753" s="58"/>
      <c r="O753" s="58"/>
      <c r="P753" s="58"/>
      <c r="Q753" s="58"/>
      <c r="R753" s="58"/>
      <c r="S753" s="58"/>
      <c r="T753" s="58"/>
      <c r="U753" s="58"/>
      <c r="V753" s="58"/>
      <c r="W753" s="58"/>
      <c r="X753" s="58"/>
      <c r="Y753" s="58"/>
      <c r="Z753" s="58"/>
    </row>
    <row r="754" ht="15.75" customHeight="1">
      <c r="A754" s="86"/>
      <c r="B754" s="86"/>
      <c r="C754" s="86"/>
      <c r="D754" s="86"/>
      <c r="E754" s="86"/>
      <c r="F754" s="58"/>
      <c r="G754" s="58"/>
      <c r="H754" s="58"/>
      <c r="I754" s="58"/>
      <c r="J754" s="58"/>
      <c r="K754" s="58"/>
      <c r="L754" s="58"/>
      <c r="M754" s="58"/>
      <c r="N754" s="58"/>
      <c r="O754" s="58"/>
      <c r="P754" s="58"/>
      <c r="Q754" s="58"/>
      <c r="R754" s="58"/>
      <c r="S754" s="58"/>
      <c r="T754" s="58"/>
      <c r="U754" s="58"/>
      <c r="V754" s="58"/>
      <c r="W754" s="58"/>
      <c r="X754" s="58"/>
      <c r="Y754" s="58"/>
      <c r="Z754" s="58"/>
    </row>
    <row r="755" ht="15.75" customHeight="1">
      <c r="A755" s="86"/>
      <c r="B755" s="86"/>
      <c r="C755" s="86"/>
      <c r="D755" s="86"/>
      <c r="E755" s="86"/>
      <c r="F755" s="58"/>
      <c r="G755" s="58"/>
      <c r="H755" s="58"/>
      <c r="I755" s="58"/>
      <c r="J755" s="58"/>
      <c r="K755" s="58"/>
      <c r="L755" s="58"/>
      <c r="M755" s="58"/>
      <c r="N755" s="58"/>
      <c r="O755" s="58"/>
      <c r="P755" s="58"/>
      <c r="Q755" s="58"/>
      <c r="R755" s="58"/>
      <c r="S755" s="58"/>
      <c r="T755" s="58"/>
      <c r="U755" s="58"/>
      <c r="V755" s="58"/>
      <c r="W755" s="58"/>
      <c r="X755" s="58"/>
      <c r="Y755" s="58"/>
      <c r="Z755" s="58"/>
    </row>
    <row r="756" ht="15.75" customHeight="1">
      <c r="A756" s="86"/>
      <c r="B756" s="86"/>
      <c r="C756" s="86"/>
      <c r="D756" s="86"/>
      <c r="E756" s="86"/>
      <c r="F756" s="58"/>
      <c r="G756" s="58"/>
      <c r="H756" s="58"/>
      <c r="I756" s="58"/>
      <c r="J756" s="58"/>
      <c r="K756" s="58"/>
      <c r="L756" s="58"/>
      <c r="M756" s="58"/>
      <c r="N756" s="58"/>
      <c r="O756" s="58"/>
      <c r="P756" s="58"/>
      <c r="Q756" s="58"/>
      <c r="R756" s="58"/>
      <c r="S756" s="58"/>
      <c r="T756" s="58"/>
      <c r="U756" s="58"/>
      <c r="V756" s="58"/>
      <c r="W756" s="58"/>
      <c r="X756" s="58"/>
      <c r="Y756" s="58"/>
      <c r="Z756" s="58"/>
    </row>
    <row r="757" ht="15.75" customHeight="1">
      <c r="A757" s="86"/>
      <c r="B757" s="86"/>
      <c r="C757" s="86"/>
      <c r="D757" s="86"/>
      <c r="E757" s="86"/>
      <c r="F757" s="58"/>
      <c r="G757" s="58"/>
      <c r="H757" s="58"/>
      <c r="I757" s="58"/>
      <c r="J757" s="58"/>
      <c r="K757" s="58"/>
      <c r="L757" s="58"/>
      <c r="M757" s="58"/>
      <c r="N757" s="58"/>
      <c r="O757" s="58"/>
      <c r="P757" s="58"/>
      <c r="Q757" s="58"/>
      <c r="R757" s="58"/>
      <c r="S757" s="58"/>
      <c r="T757" s="58"/>
      <c r="U757" s="58"/>
      <c r="V757" s="58"/>
      <c r="W757" s="58"/>
      <c r="X757" s="58"/>
      <c r="Y757" s="58"/>
      <c r="Z757" s="58"/>
    </row>
    <row r="758" ht="15.75" customHeight="1">
      <c r="A758" s="86"/>
      <c r="B758" s="86"/>
      <c r="C758" s="86"/>
      <c r="D758" s="86"/>
      <c r="E758" s="86"/>
      <c r="F758" s="58"/>
      <c r="G758" s="58"/>
      <c r="H758" s="58"/>
      <c r="I758" s="58"/>
      <c r="J758" s="58"/>
      <c r="K758" s="58"/>
      <c r="L758" s="58"/>
      <c r="M758" s="58"/>
      <c r="N758" s="58"/>
      <c r="O758" s="58"/>
      <c r="P758" s="58"/>
      <c r="Q758" s="58"/>
      <c r="R758" s="58"/>
      <c r="S758" s="58"/>
      <c r="T758" s="58"/>
      <c r="U758" s="58"/>
      <c r="V758" s="58"/>
      <c r="W758" s="58"/>
      <c r="X758" s="58"/>
      <c r="Y758" s="58"/>
      <c r="Z758" s="58"/>
    </row>
    <row r="759" ht="15.75" customHeight="1">
      <c r="A759" s="86"/>
      <c r="B759" s="86"/>
      <c r="C759" s="86"/>
      <c r="D759" s="86"/>
      <c r="E759" s="86"/>
      <c r="F759" s="58"/>
      <c r="G759" s="58"/>
      <c r="H759" s="58"/>
      <c r="I759" s="58"/>
      <c r="J759" s="58"/>
      <c r="K759" s="58"/>
      <c r="L759" s="58"/>
      <c r="M759" s="58"/>
      <c r="N759" s="58"/>
      <c r="O759" s="58"/>
      <c r="P759" s="58"/>
      <c r="Q759" s="58"/>
      <c r="R759" s="58"/>
      <c r="S759" s="58"/>
      <c r="T759" s="58"/>
      <c r="U759" s="58"/>
      <c r="V759" s="58"/>
      <c r="W759" s="58"/>
      <c r="X759" s="58"/>
      <c r="Y759" s="58"/>
      <c r="Z759" s="58"/>
    </row>
    <row r="760" ht="15.75" customHeight="1">
      <c r="A760" s="86"/>
      <c r="B760" s="86"/>
      <c r="C760" s="86"/>
      <c r="D760" s="86"/>
      <c r="E760" s="86"/>
      <c r="F760" s="58"/>
      <c r="G760" s="58"/>
      <c r="H760" s="58"/>
      <c r="I760" s="58"/>
      <c r="J760" s="58"/>
      <c r="K760" s="58"/>
      <c r="L760" s="58"/>
      <c r="M760" s="58"/>
      <c r="N760" s="58"/>
      <c r="O760" s="58"/>
      <c r="P760" s="58"/>
      <c r="Q760" s="58"/>
      <c r="R760" s="58"/>
      <c r="S760" s="58"/>
      <c r="T760" s="58"/>
      <c r="U760" s="58"/>
      <c r="V760" s="58"/>
      <c r="W760" s="58"/>
      <c r="X760" s="58"/>
      <c r="Y760" s="58"/>
      <c r="Z760" s="58"/>
    </row>
    <row r="761" ht="15.75" customHeight="1">
      <c r="A761" s="86"/>
      <c r="B761" s="86"/>
      <c r="C761" s="86"/>
      <c r="D761" s="86"/>
      <c r="E761" s="86"/>
      <c r="F761" s="58"/>
      <c r="G761" s="58"/>
      <c r="H761" s="58"/>
      <c r="I761" s="58"/>
      <c r="J761" s="58"/>
      <c r="K761" s="58"/>
      <c r="L761" s="58"/>
      <c r="M761" s="58"/>
      <c r="N761" s="58"/>
      <c r="O761" s="58"/>
      <c r="P761" s="58"/>
      <c r="Q761" s="58"/>
      <c r="R761" s="58"/>
      <c r="S761" s="58"/>
      <c r="T761" s="58"/>
      <c r="U761" s="58"/>
      <c r="V761" s="58"/>
      <c r="W761" s="58"/>
      <c r="X761" s="58"/>
      <c r="Y761" s="58"/>
      <c r="Z761" s="58"/>
    </row>
    <row r="762" ht="15.75" customHeight="1">
      <c r="A762" s="86"/>
      <c r="B762" s="86"/>
      <c r="C762" s="86"/>
      <c r="D762" s="86"/>
      <c r="E762" s="86"/>
      <c r="F762" s="58"/>
      <c r="G762" s="58"/>
      <c r="H762" s="58"/>
      <c r="I762" s="58"/>
      <c r="J762" s="58"/>
      <c r="K762" s="58"/>
      <c r="L762" s="58"/>
      <c r="M762" s="58"/>
      <c r="N762" s="58"/>
      <c r="O762" s="58"/>
      <c r="P762" s="58"/>
      <c r="Q762" s="58"/>
      <c r="R762" s="58"/>
      <c r="S762" s="58"/>
      <c r="T762" s="58"/>
      <c r="U762" s="58"/>
      <c r="V762" s="58"/>
      <c r="W762" s="58"/>
      <c r="X762" s="58"/>
      <c r="Y762" s="58"/>
      <c r="Z762" s="58"/>
    </row>
    <row r="763" ht="15.75" customHeight="1">
      <c r="A763" s="86"/>
      <c r="B763" s="86"/>
      <c r="C763" s="86"/>
      <c r="D763" s="86"/>
      <c r="E763" s="86"/>
      <c r="F763" s="58"/>
      <c r="G763" s="58"/>
      <c r="H763" s="58"/>
      <c r="I763" s="58"/>
      <c r="J763" s="58"/>
      <c r="K763" s="58"/>
      <c r="L763" s="58"/>
      <c r="M763" s="58"/>
      <c r="N763" s="58"/>
      <c r="O763" s="58"/>
      <c r="P763" s="58"/>
      <c r="Q763" s="58"/>
      <c r="R763" s="58"/>
      <c r="S763" s="58"/>
      <c r="T763" s="58"/>
      <c r="U763" s="58"/>
      <c r="V763" s="58"/>
      <c r="W763" s="58"/>
      <c r="X763" s="58"/>
      <c r="Y763" s="58"/>
      <c r="Z763" s="58"/>
    </row>
    <row r="764" ht="15.75" customHeight="1">
      <c r="A764" s="86"/>
      <c r="B764" s="86"/>
      <c r="C764" s="86"/>
      <c r="D764" s="86"/>
      <c r="E764" s="86"/>
      <c r="F764" s="58"/>
      <c r="G764" s="58"/>
      <c r="H764" s="58"/>
      <c r="I764" s="58"/>
      <c r="J764" s="58"/>
      <c r="K764" s="58"/>
      <c r="L764" s="58"/>
      <c r="M764" s="58"/>
      <c r="N764" s="58"/>
      <c r="O764" s="58"/>
      <c r="P764" s="58"/>
      <c r="Q764" s="58"/>
      <c r="R764" s="58"/>
      <c r="S764" s="58"/>
      <c r="T764" s="58"/>
      <c r="U764" s="58"/>
      <c r="V764" s="58"/>
      <c r="W764" s="58"/>
      <c r="X764" s="58"/>
      <c r="Y764" s="58"/>
      <c r="Z764" s="58"/>
    </row>
    <row r="765" ht="15.75" customHeight="1">
      <c r="A765" s="86"/>
      <c r="B765" s="86"/>
      <c r="C765" s="86"/>
      <c r="D765" s="86"/>
      <c r="E765" s="86"/>
      <c r="F765" s="58"/>
      <c r="G765" s="58"/>
      <c r="H765" s="58"/>
      <c r="I765" s="58"/>
      <c r="J765" s="58"/>
      <c r="K765" s="58"/>
      <c r="L765" s="58"/>
      <c r="M765" s="58"/>
      <c r="N765" s="58"/>
      <c r="O765" s="58"/>
      <c r="P765" s="58"/>
      <c r="Q765" s="58"/>
      <c r="R765" s="58"/>
      <c r="S765" s="58"/>
      <c r="T765" s="58"/>
      <c r="U765" s="58"/>
      <c r="V765" s="58"/>
      <c r="W765" s="58"/>
      <c r="X765" s="58"/>
      <c r="Y765" s="58"/>
      <c r="Z765" s="58"/>
    </row>
    <row r="766" ht="15.75" customHeight="1">
      <c r="A766" s="86"/>
      <c r="B766" s="86"/>
      <c r="C766" s="86"/>
      <c r="D766" s="86"/>
      <c r="E766" s="86"/>
      <c r="F766" s="58"/>
      <c r="G766" s="58"/>
      <c r="H766" s="58"/>
      <c r="I766" s="58"/>
      <c r="J766" s="58"/>
      <c r="K766" s="58"/>
      <c r="L766" s="58"/>
      <c r="M766" s="58"/>
      <c r="N766" s="58"/>
      <c r="O766" s="58"/>
      <c r="P766" s="58"/>
      <c r="Q766" s="58"/>
      <c r="R766" s="58"/>
      <c r="S766" s="58"/>
      <c r="T766" s="58"/>
      <c r="U766" s="58"/>
      <c r="V766" s="58"/>
      <c r="W766" s="58"/>
      <c r="X766" s="58"/>
      <c r="Y766" s="58"/>
      <c r="Z766" s="58"/>
    </row>
    <row r="767" ht="15.75" customHeight="1">
      <c r="A767" s="86"/>
      <c r="B767" s="86"/>
      <c r="C767" s="86"/>
      <c r="D767" s="86"/>
      <c r="E767" s="86"/>
      <c r="F767" s="58"/>
      <c r="G767" s="58"/>
      <c r="H767" s="58"/>
      <c r="I767" s="58"/>
      <c r="J767" s="58"/>
      <c r="K767" s="58"/>
      <c r="L767" s="58"/>
      <c r="M767" s="58"/>
      <c r="N767" s="58"/>
      <c r="O767" s="58"/>
      <c r="P767" s="58"/>
      <c r="Q767" s="58"/>
      <c r="R767" s="58"/>
      <c r="S767" s="58"/>
      <c r="T767" s="58"/>
      <c r="U767" s="58"/>
      <c r="V767" s="58"/>
      <c r="W767" s="58"/>
      <c r="X767" s="58"/>
      <c r="Y767" s="58"/>
      <c r="Z767" s="58"/>
    </row>
    <row r="768" ht="15.75" customHeight="1">
      <c r="A768" s="86"/>
      <c r="B768" s="86"/>
      <c r="C768" s="86"/>
      <c r="D768" s="86"/>
      <c r="E768" s="86"/>
      <c r="F768" s="58"/>
      <c r="G768" s="58"/>
      <c r="H768" s="58"/>
      <c r="I768" s="58"/>
      <c r="J768" s="58"/>
      <c r="K768" s="58"/>
      <c r="L768" s="58"/>
      <c r="M768" s="58"/>
      <c r="N768" s="58"/>
      <c r="O768" s="58"/>
      <c r="P768" s="58"/>
      <c r="Q768" s="58"/>
      <c r="R768" s="58"/>
      <c r="S768" s="58"/>
      <c r="T768" s="58"/>
      <c r="U768" s="58"/>
      <c r="V768" s="58"/>
      <c r="W768" s="58"/>
      <c r="X768" s="58"/>
      <c r="Y768" s="58"/>
      <c r="Z768" s="58"/>
    </row>
    <row r="769" ht="15.75" customHeight="1">
      <c r="A769" s="86"/>
      <c r="B769" s="86"/>
      <c r="C769" s="86"/>
      <c r="D769" s="86"/>
      <c r="E769" s="86"/>
      <c r="F769" s="58"/>
      <c r="G769" s="58"/>
      <c r="H769" s="58"/>
      <c r="I769" s="58"/>
      <c r="J769" s="58"/>
      <c r="K769" s="58"/>
      <c r="L769" s="58"/>
      <c r="M769" s="58"/>
      <c r="N769" s="58"/>
      <c r="O769" s="58"/>
      <c r="P769" s="58"/>
      <c r="Q769" s="58"/>
      <c r="R769" s="58"/>
      <c r="S769" s="58"/>
      <c r="T769" s="58"/>
      <c r="U769" s="58"/>
      <c r="V769" s="58"/>
      <c r="W769" s="58"/>
      <c r="X769" s="58"/>
      <c r="Y769" s="58"/>
      <c r="Z769" s="58"/>
    </row>
    <row r="770" ht="15.75" customHeight="1">
      <c r="A770" s="86"/>
      <c r="B770" s="86"/>
      <c r="C770" s="86"/>
      <c r="D770" s="86"/>
      <c r="E770" s="86"/>
      <c r="F770" s="58"/>
      <c r="G770" s="58"/>
      <c r="H770" s="58"/>
      <c r="I770" s="58"/>
      <c r="J770" s="58"/>
      <c r="K770" s="58"/>
      <c r="L770" s="58"/>
      <c r="M770" s="58"/>
      <c r="N770" s="58"/>
      <c r="O770" s="58"/>
      <c r="P770" s="58"/>
      <c r="Q770" s="58"/>
      <c r="R770" s="58"/>
      <c r="S770" s="58"/>
      <c r="T770" s="58"/>
      <c r="U770" s="58"/>
      <c r="V770" s="58"/>
      <c r="W770" s="58"/>
      <c r="X770" s="58"/>
      <c r="Y770" s="58"/>
      <c r="Z770" s="58"/>
    </row>
    <row r="771" ht="15.75" customHeight="1">
      <c r="A771" s="86"/>
      <c r="B771" s="86"/>
      <c r="C771" s="86"/>
      <c r="D771" s="86"/>
      <c r="E771" s="86"/>
      <c r="F771" s="58"/>
      <c r="G771" s="58"/>
      <c r="H771" s="58"/>
      <c r="I771" s="58"/>
      <c r="J771" s="58"/>
      <c r="K771" s="58"/>
      <c r="L771" s="58"/>
      <c r="M771" s="58"/>
      <c r="N771" s="58"/>
      <c r="O771" s="58"/>
      <c r="P771" s="58"/>
      <c r="Q771" s="58"/>
      <c r="R771" s="58"/>
      <c r="S771" s="58"/>
      <c r="T771" s="58"/>
      <c r="U771" s="58"/>
      <c r="V771" s="58"/>
      <c r="W771" s="58"/>
      <c r="X771" s="58"/>
      <c r="Y771" s="58"/>
      <c r="Z771" s="58"/>
    </row>
    <row r="772" ht="15.75" customHeight="1">
      <c r="A772" s="86"/>
      <c r="B772" s="86"/>
      <c r="C772" s="86"/>
      <c r="D772" s="86"/>
      <c r="E772" s="86"/>
      <c r="F772" s="58"/>
      <c r="G772" s="58"/>
      <c r="H772" s="58"/>
      <c r="I772" s="58"/>
      <c r="J772" s="58"/>
      <c r="K772" s="58"/>
      <c r="L772" s="58"/>
      <c r="M772" s="58"/>
      <c r="N772" s="58"/>
      <c r="O772" s="58"/>
      <c r="P772" s="58"/>
      <c r="Q772" s="58"/>
      <c r="R772" s="58"/>
      <c r="S772" s="58"/>
      <c r="T772" s="58"/>
      <c r="U772" s="58"/>
      <c r="V772" s="58"/>
      <c r="W772" s="58"/>
      <c r="X772" s="58"/>
      <c r="Y772" s="58"/>
      <c r="Z772" s="58"/>
    </row>
    <row r="773" ht="15.75" customHeight="1">
      <c r="A773" s="86"/>
      <c r="B773" s="86"/>
      <c r="C773" s="86"/>
      <c r="D773" s="86"/>
      <c r="E773" s="86"/>
      <c r="F773" s="58"/>
      <c r="G773" s="58"/>
      <c r="H773" s="58"/>
      <c r="I773" s="58"/>
      <c r="J773" s="58"/>
      <c r="K773" s="58"/>
      <c r="L773" s="58"/>
      <c r="M773" s="58"/>
      <c r="N773" s="58"/>
      <c r="O773" s="58"/>
      <c r="P773" s="58"/>
      <c r="Q773" s="58"/>
      <c r="R773" s="58"/>
      <c r="S773" s="58"/>
      <c r="T773" s="58"/>
      <c r="U773" s="58"/>
      <c r="V773" s="58"/>
      <c r="W773" s="58"/>
      <c r="X773" s="58"/>
      <c r="Y773" s="58"/>
      <c r="Z773" s="58"/>
    </row>
    <row r="774" ht="15.75" customHeight="1">
      <c r="A774" s="86"/>
      <c r="B774" s="86"/>
      <c r="C774" s="86"/>
      <c r="D774" s="86"/>
      <c r="E774" s="86"/>
      <c r="F774" s="58"/>
      <c r="G774" s="58"/>
      <c r="H774" s="58"/>
      <c r="I774" s="58"/>
      <c r="J774" s="58"/>
      <c r="K774" s="58"/>
      <c r="L774" s="58"/>
      <c r="M774" s="58"/>
      <c r="N774" s="58"/>
      <c r="O774" s="58"/>
      <c r="P774" s="58"/>
      <c r="Q774" s="58"/>
      <c r="R774" s="58"/>
      <c r="S774" s="58"/>
      <c r="T774" s="58"/>
      <c r="U774" s="58"/>
      <c r="V774" s="58"/>
      <c r="W774" s="58"/>
      <c r="X774" s="58"/>
      <c r="Y774" s="58"/>
      <c r="Z774" s="58"/>
    </row>
    <row r="775" ht="15.75" customHeight="1">
      <c r="A775" s="86"/>
      <c r="B775" s="86"/>
      <c r="C775" s="86"/>
      <c r="D775" s="86"/>
      <c r="E775" s="86"/>
      <c r="F775" s="58"/>
      <c r="G775" s="58"/>
      <c r="H775" s="58"/>
      <c r="I775" s="58"/>
      <c r="J775" s="58"/>
      <c r="K775" s="58"/>
      <c r="L775" s="58"/>
      <c r="M775" s="58"/>
      <c r="N775" s="58"/>
      <c r="O775" s="58"/>
      <c r="P775" s="58"/>
      <c r="Q775" s="58"/>
      <c r="R775" s="58"/>
      <c r="S775" s="58"/>
      <c r="T775" s="58"/>
      <c r="U775" s="58"/>
      <c r="V775" s="58"/>
      <c r="W775" s="58"/>
      <c r="X775" s="58"/>
      <c r="Y775" s="58"/>
      <c r="Z775" s="58"/>
    </row>
    <row r="776" ht="15.75" customHeight="1">
      <c r="A776" s="86"/>
      <c r="B776" s="86"/>
      <c r="C776" s="86"/>
      <c r="D776" s="86"/>
      <c r="E776" s="86"/>
      <c r="F776" s="58"/>
      <c r="G776" s="58"/>
      <c r="H776" s="58"/>
      <c r="I776" s="58"/>
      <c r="J776" s="58"/>
      <c r="K776" s="58"/>
      <c r="L776" s="58"/>
      <c r="M776" s="58"/>
      <c r="N776" s="58"/>
      <c r="O776" s="58"/>
      <c r="P776" s="58"/>
      <c r="Q776" s="58"/>
      <c r="R776" s="58"/>
      <c r="S776" s="58"/>
      <c r="T776" s="58"/>
      <c r="U776" s="58"/>
      <c r="V776" s="58"/>
      <c r="W776" s="58"/>
      <c r="X776" s="58"/>
      <c r="Y776" s="58"/>
      <c r="Z776" s="58"/>
    </row>
    <row r="777" ht="15.75" customHeight="1">
      <c r="A777" s="86"/>
      <c r="B777" s="86"/>
      <c r="C777" s="86"/>
      <c r="D777" s="86"/>
      <c r="E777" s="86"/>
      <c r="F777" s="58"/>
      <c r="G777" s="58"/>
      <c r="H777" s="58"/>
      <c r="I777" s="58"/>
      <c r="J777" s="58"/>
      <c r="K777" s="58"/>
      <c r="L777" s="58"/>
      <c r="M777" s="58"/>
      <c r="N777" s="58"/>
      <c r="O777" s="58"/>
      <c r="P777" s="58"/>
      <c r="Q777" s="58"/>
      <c r="R777" s="58"/>
      <c r="S777" s="58"/>
      <c r="T777" s="58"/>
      <c r="U777" s="58"/>
      <c r="V777" s="58"/>
      <c r="W777" s="58"/>
      <c r="X777" s="58"/>
      <c r="Y777" s="58"/>
      <c r="Z777" s="58"/>
    </row>
    <row r="778" ht="15.75" customHeight="1">
      <c r="A778" s="86"/>
      <c r="B778" s="86"/>
      <c r="C778" s="86"/>
      <c r="D778" s="86"/>
      <c r="E778" s="86"/>
      <c r="F778" s="58"/>
      <c r="G778" s="58"/>
      <c r="H778" s="58"/>
      <c r="I778" s="58"/>
      <c r="J778" s="58"/>
      <c r="K778" s="58"/>
      <c r="L778" s="58"/>
      <c r="M778" s="58"/>
      <c r="N778" s="58"/>
      <c r="O778" s="58"/>
      <c r="P778" s="58"/>
      <c r="Q778" s="58"/>
      <c r="R778" s="58"/>
      <c r="S778" s="58"/>
      <c r="T778" s="58"/>
      <c r="U778" s="58"/>
      <c r="V778" s="58"/>
      <c r="W778" s="58"/>
      <c r="X778" s="58"/>
      <c r="Y778" s="58"/>
      <c r="Z778" s="58"/>
    </row>
    <row r="779" ht="15.75" customHeight="1">
      <c r="A779" s="86"/>
      <c r="B779" s="86"/>
      <c r="C779" s="86"/>
      <c r="D779" s="86"/>
      <c r="E779" s="86"/>
      <c r="F779" s="58"/>
      <c r="G779" s="58"/>
      <c r="H779" s="58"/>
      <c r="I779" s="58"/>
      <c r="J779" s="58"/>
      <c r="K779" s="58"/>
      <c r="L779" s="58"/>
      <c r="M779" s="58"/>
      <c r="N779" s="58"/>
      <c r="O779" s="58"/>
      <c r="P779" s="58"/>
      <c r="Q779" s="58"/>
      <c r="R779" s="58"/>
      <c r="S779" s="58"/>
      <c r="T779" s="58"/>
      <c r="U779" s="58"/>
      <c r="V779" s="58"/>
      <c r="W779" s="58"/>
      <c r="X779" s="58"/>
      <c r="Y779" s="58"/>
      <c r="Z779" s="58"/>
    </row>
    <row r="780" ht="15.75" customHeight="1">
      <c r="A780" s="86"/>
      <c r="B780" s="86"/>
      <c r="C780" s="86"/>
      <c r="D780" s="86"/>
      <c r="E780" s="86"/>
      <c r="F780" s="58"/>
      <c r="G780" s="58"/>
      <c r="H780" s="58"/>
      <c r="I780" s="58"/>
      <c r="J780" s="58"/>
      <c r="K780" s="58"/>
      <c r="L780" s="58"/>
      <c r="M780" s="58"/>
      <c r="N780" s="58"/>
      <c r="O780" s="58"/>
      <c r="P780" s="58"/>
      <c r="Q780" s="58"/>
      <c r="R780" s="58"/>
      <c r="S780" s="58"/>
      <c r="T780" s="58"/>
      <c r="U780" s="58"/>
      <c r="V780" s="58"/>
      <c r="W780" s="58"/>
      <c r="X780" s="58"/>
      <c r="Y780" s="58"/>
      <c r="Z780" s="58"/>
    </row>
    <row r="781" ht="15.75" customHeight="1">
      <c r="A781" s="86"/>
      <c r="B781" s="86"/>
      <c r="C781" s="86"/>
      <c r="D781" s="86"/>
      <c r="E781" s="86"/>
      <c r="F781" s="58"/>
      <c r="G781" s="58"/>
      <c r="H781" s="58"/>
      <c r="I781" s="58"/>
      <c r="J781" s="58"/>
      <c r="K781" s="58"/>
      <c r="L781" s="58"/>
      <c r="M781" s="58"/>
      <c r="N781" s="58"/>
      <c r="O781" s="58"/>
      <c r="P781" s="58"/>
      <c r="Q781" s="58"/>
      <c r="R781" s="58"/>
      <c r="S781" s="58"/>
      <c r="T781" s="58"/>
      <c r="U781" s="58"/>
      <c r="V781" s="58"/>
      <c r="W781" s="58"/>
      <c r="X781" s="58"/>
      <c r="Y781" s="58"/>
      <c r="Z781" s="58"/>
    </row>
    <row r="782" ht="15.75" customHeight="1">
      <c r="A782" s="86"/>
      <c r="B782" s="86"/>
      <c r="C782" s="86"/>
      <c r="D782" s="86"/>
      <c r="E782" s="86"/>
      <c r="F782" s="58"/>
      <c r="G782" s="58"/>
      <c r="H782" s="58"/>
      <c r="I782" s="58"/>
      <c r="J782" s="58"/>
      <c r="K782" s="58"/>
      <c r="L782" s="58"/>
      <c r="M782" s="58"/>
      <c r="N782" s="58"/>
      <c r="O782" s="58"/>
      <c r="P782" s="58"/>
      <c r="Q782" s="58"/>
      <c r="R782" s="58"/>
      <c r="S782" s="58"/>
      <c r="T782" s="58"/>
      <c r="U782" s="58"/>
      <c r="V782" s="58"/>
      <c r="W782" s="58"/>
      <c r="X782" s="58"/>
      <c r="Y782" s="58"/>
      <c r="Z782" s="58"/>
    </row>
    <row r="783" ht="15.75" customHeight="1">
      <c r="A783" s="86"/>
      <c r="B783" s="86"/>
      <c r="C783" s="86"/>
      <c r="D783" s="86"/>
      <c r="E783" s="86"/>
      <c r="F783" s="58"/>
      <c r="G783" s="58"/>
      <c r="H783" s="58"/>
      <c r="I783" s="58"/>
      <c r="J783" s="58"/>
      <c r="K783" s="58"/>
      <c r="L783" s="58"/>
      <c r="M783" s="58"/>
      <c r="N783" s="58"/>
      <c r="O783" s="58"/>
      <c r="P783" s="58"/>
      <c r="Q783" s="58"/>
      <c r="R783" s="58"/>
      <c r="S783" s="58"/>
      <c r="T783" s="58"/>
      <c r="U783" s="58"/>
      <c r="V783" s="58"/>
      <c r="W783" s="58"/>
      <c r="X783" s="58"/>
      <c r="Y783" s="58"/>
      <c r="Z783" s="58"/>
    </row>
    <row r="784" ht="15.75" customHeight="1">
      <c r="A784" s="86"/>
      <c r="B784" s="86"/>
      <c r="C784" s="86"/>
      <c r="D784" s="86"/>
      <c r="E784" s="86"/>
      <c r="F784" s="58"/>
      <c r="G784" s="58"/>
      <c r="H784" s="58"/>
      <c r="I784" s="58"/>
      <c r="J784" s="58"/>
      <c r="K784" s="58"/>
      <c r="L784" s="58"/>
      <c r="M784" s="58"/>
      <c r="N784" s="58"/>
      <c r="O784" s="58"/>
      <c r="P784" s="58"/>
      <c r="Q784" s="58"/>
      <c r="R784" s="58"/>
      <c r="S784" s="58"/>
      <c r="T784" s="58"/>
      <c r="U784" s="58"/>
      <c r="V784" s="58"/>
      <c r="W784" s="58"/>
      <c r="X784" s="58"/>
      <c r="Y784" s="58"/>
      <c r="Z784" s="58"/>
    </row>
    <row r="785" ht="15.75" customHeight="1">
      <c r="A785" s="86"/>
      <c r="B785" s="86"/>
      <c r="C785" s="86"/>
      <c r="D785" s="86"/>
      <c r="E785" s="86"/>
      <c r="F785" s="58"/>
      <c r="G785" s="58"/>
      <c r="H785" s="58"/>
      <c r="I785" s="58"/>
      <c r="J785" s="58"/>
      <c r="K785" s="58"/>
      <c r="L785" s="58"/>
      <c r="M785" s="58"/>
      <c r="N785" s="58"/>
      <c r="O785" s="58"/>
      <c r="P785" s="58"/>
      <c r="Q785" s="58"/>
      <c r="R785" s="58"/>
      <c r="S785" s="58"/>
      <c r="T785" s="58"/>
      <c r="U785" s="58"/>
      <c r="V785" s="58"/>
      <c r="W785" s="58"/>
      <c r="X785" s="58"/>
      <c r="Y785" s="58"/>
      <c r="Z785" s="58"/>
    </row>
    <row r="786" ht="15.75" customHeight="1">
      <c r="A786" s="86"/>
      <c r="B786" s="86"/>
      <c r="C786" s="86"/>
      <c r="D786" s="86"/>
      <c r="E786" s="86"/>
      <c r="F786" s="58"/>
      <c r="G786" s="58"/>
      <c r="H786" s="58"/>
      <c r="I786" s="58"/>
      <c r="J786" s="58"/>
      <c r="K786" s="58"/>
      <c r="L786" s="58"/>
      <c r="M786" s="58"/>
      <c r="N786" s="58"/>
      <c r="O786" s="58"/>
      <c r="P786" s="58"/>
      <c r="Q786" s="58"/>
      <c r="R786" s="58"/>
      <c r="S786" s="58"/>
      <c r="T786" s="58"/>
      <c r="U786" s="58"/>
      <c r="V786" s="58"/>
      <c r="W786" s="58"/>
      <c r="X786" s="58"/>
      <c r="Y786" s="58"/>
      <c r="Z786" s="58"/>
    </row>
    <row r="787" ht="15.75" customHeight="1">
      <c r="A787" s="86"/>
      <c r="B787" s="86"/>
      <c r="C787" s="86"/>
      <c r="D787" s="86"/>
      <c r="E787" s="86"/>
      <c r="F787" s="58"/>
      <c r="G787" s="58"/>
      <c r="H787" s="58"/>
      <c r="I787" s="58"/>
      <c r="J787" s="58"/>
      <c r="K787" s="58"/>
      <c r="L787" s="58"/>
      <c r="M787" s="58"/>
      <c r="N787" s="58"/>
      <c r="O787" s="58"/>
      <c r="P787" s="58"/>
      <c r="Q787" s="58"/>
      <c r="R787" s="58"/>
      <c r="S787" s="58"/>
      <c r="T787" s="58"/>
      <c r="U787" s="58"/>
      <c r="V787" s="58"/>
      <c r="W787" s="58"/>
      <c r="X787" s="58"/>
      <c r="Y787" s="58"/>
      <c r="Z787" s="58"/>
    </row>
    <row r="788" ht="15.75" customHeight="1">
      <c r="A788" s="86"/>
      <c r="B788" s="86"/>
      <c r="C788" s="86"/>
      <c r="D788" s="86"/>
      <c r="E788" s="86"/>
      <c r="F788" s="58"/>
      <c r="G788" s="58"/>
      <c r="H788" s="58"/>
      <c r="I788" s="58"/>
      <c r="J788" s="58"/>
      <c r="K788" s="58"/>
      <c r="L788" s="58"/>
      <c r="M788" s="58"/>
      <c r="N788" s="58"/>
      <c r="O788" s="58"/>
      <c r="P788" s="58"/>
      <c r="Q788" s="58"/>
      <c r="R788" s="58"/>
      <c r="S788" s="58"/>
      <c r="T788" s="58"/>
      <c r="U788" s="58"/>
      <c r="V788" s="58"/>
      <c r="W788" s="58"/>
      <c r="X788" s="58"/>
      <c r="Y788" s="58"/>
      <c r="Z788" s="58"/>
    </row>
    <row r="789" ht="15.75" customHeight="1">
      <c r="A789" s="86"/>
      <c r="B789" s="86"/>
      <c r="C789" s="86"/>
      <c r="D789" s="86"/>
      <c r="E789" s="86"/>
      <c r="F789" s="58"/>
      <c r="G789" s="58"/>
      <c r="H789" s="58"/>
      <c r="I789" s="58"/>
      <c r="J789" s="58"/>
      <c r="K789" s="58"/>
      <c r="L789" s="58"/>
      <c r="M789" s="58"/>
      <c r="N789" s="58"/>
      <c r="O789" s="58"/>
      <c r="P789" s="58"/>
      <c r="Q789" s="58"/>
      <c r="R789" s="58"/>
      <c r="S789" s="58"/>
      <c r="T789" s="58"/>
      <c r="U789" s="58"/>
      <c r="V789" s="58"/>
      <c r="W789" s="58"/>
      <c r="X789" s="58"/>
      <c r="Y789" s="58"/>
      <c r="Z789" s="58"/>
    </row>
    <row r="790" ht="15.75" customHeight="1">
      <c r="A790" s="86"/>
      <c r="B790" s="86"/>
      <c r="C790" s="86"/>
      <c r="D790" s="86"/>
      <c r="E790" s="86"/>
      <c r="F790" s="58"/>
      <c r="G790" s="58"/>
      <c r="H790" s="58"/>
      <c r="I790" s="58"/>
      <c r="J790" s="58"/>
      <c r="K790" s="58"/>
      <c r="L790" s="58"/>
      <c r="M790" s="58"/>
      <c r="N790" s="58"/>
      <c r="O790" s="58"/>
      <c r="P790" s="58"/>
      <c r="Q790" s="58"/>
      <c r="R790" s="58"/>
      <c r="S790" s="58"/>
      <c r="T790" s="58"/>
      <c r="U790" s="58"/>
      <c r="V790" s="58"/>
      <c r="W790" s="58"/>
      <c r="X790" s="58"/>
      <c r="Y790" s="58"/>
      <c r="Z790" s="58"/>
    </row>
    <row r="791" ht="15.75" customHeight="1">
      <c r="A791" s="86"/>
      <c r="B791" s="86"/>
      <c r="C791" s="86"/>
      <c r="D791" s="86"/>
      <c r="E791" s="86"/>
      <c r="F791" s="58"/>
      <c r="G791" s="58"/>
      <c r="H791" s="58"/>
      <c r="I791" s="58"/>
      <c r="J791" s="58"/>
      <c r="K791" s="58"/>
      <c r="L791" s="58"/>
      <c r="M791" s="58"/>
      <c r="N791" s="58"/>
      <c r="O791" s="58"/>
      <c r="P791" s="58"/>
      <c r="Q791" s="58"/>
      <c r="R791" s="58"/>
      <c r="S791" s="58"/>
      <c r="T791" s="58"/>
      <c r="U791" s="58"/>
      <c r="V791" s="58"/>
      <c r="W791" s="58"/>
      <c r="X791" s="58"/>
      <c r="Y791" s="58"/>
      <c r="Z791" s="58"/>
    </row>
    <row r="792" ht="15.75" customHeight="1">
      <c r="A792" s="86"/>
      <c r="B792" s="86"/>
      <c r="C792" s="86"/>
      <c r="D792" s="86"/>
      <c r="E792" s="86"/>
      <c r="F792" s="58"/>
      <c r="G792" s="58"/>
      <c r="H792" s="58"/>
      <c r="I792" s="58"/>
      <c r="J792" s="58"/>
      <c r="K792" s="58"/>
      <c r="L792" s="58"/>
      <c r="M792" s="58"/>
      <c r="N792" s="58"/>
      <c r="O792" s="58"/>
      <c r="P792" s="58"/>
      <c r="Q792" s="58"/>
      <c r="R792" s="58"/>
      <c r="S792" s="58"/>
      <c r="T792" s="58"/>
      <c r="U792" s="58"/>
      <c r="V792" s="58"/>
      <c r="W792" s="58"/>
      <c r="X792" s="58"/>
      <c r="Y792" s="58"/>
      <c r="Z792" s="58"/>
    </row>
    <row r="793" ht="15.75" customHeight="1">
      <c r="A793" s="86"/>
      <c r="B793" s="86"/>
      <c r="C793" s="86"/>
      <c r="D793" s="86"/>
      <c r="E793" s="86"/>
      <c r="F793" s="58"/>
      <c r="G793" s="58"/>
      <c r="H793" s="58"/>
      <c r="I793" s="58"/>
      <c r="J793" s="58"/>
      <c r="K793" s="58"/>
      <c r="L793" s="58"/>
      <c r="M793" s="58"/>
      <c r="N793" s="58"/>
      <c r="O793" s="58"/>
      <c r="P793" s="58"/>
      <c r="Q793" s="58"/>
      <c r="R793" s="58"/>
      <c r="S793" s="58"/>
      <c r="T793" s="58"/>
      <c r="U793" s="58"/>
      <c r="V793" s="58"/>
      <c r="W793" s="58"/>
      <c r="X793" s="58"/>
      <c r="Y793" s="58"/>
      <c r="Z793" s="58"/>
    </row>
    <row r="794" ht="15.75" customHeight="1">
      <c r="A794" s="86"/>
      <c r="B794" s="86"/>
      <c r="C794" s="86"/>
      <c r="D794" s="86"/>
      <c r="E794" s="86"/>
      <c r="F794" s="58"/>
      <c r="G794" s="58"/>
      <c r="H794" s="58"/>
      <c r="I794" s="58"/>
      <c r="J794" s="58"/>
      <c r="K794" s="58"/>
      <c r="L794" s="58"/>
      <c r="M794" s="58"/>
      <c r="N794" s="58"/>
      <c r="O794" s="58"/>
      <c r="P794" s="58"/>
      <c r="Q794" s="58"/>
      <c r="R794" s="58"/>
      <c r="S794" s="58"/>
      <c r="T794" s="58"/>
      <c r="U794" s="58"/>
      <c r="V794" s="58"/>
      <c r="W794" s="58"/>
      <c r="X794" s="58"/>
      <c r="Y794" s="58"/>
      <c r="Z794" s="58"/>
    </row>
    <row r="795" ht="15.75" customHeight="1">
      <c r="A795" s="86"/>
      <c r="B795" s="86"/>
      <c r="C795" s="86"/>
      <c r="D795" s="86"/>
      <c r="E795" s="86"/>
      <c r="F795" s="58"/>
      <c r="G795" s="58"/>
      <c r="H795" s="58"/>
      <c r="I795" s="58"/>
      <c r="J795" s="58"/>
      <c r="K795" s="58"/>
      <c r="L795" s="58"/>
      <c r="M795" s="58"/>
      <c r="N795" s="58"/>
      <c r="O795" s="58"/>
      <c r="P795" s="58"/>
      <c r="Q795" s="58"/>
      <c r="R795" s="58"/>
      <c r="S795" s="58"/>
      <c r="T795" s="58"/>
      <c r="U795" s="58"/>
      <c r="V795" s="58"/>
      <c r="W795" s="58"/>
      <c r="X795" s="58"/>
      <c r="Y795" s="58"/>
      <c r="Z795" s="58"/>
    </row>
    <row r="796" ht="15.75" customHeight="1">
      <c r="A796" s="86"/>
      <c r="B796" s="86"/>
      <c r="C796" s="86"/>
      <c r="D796" s="86"/>
      <c r="E796" s="86"/>
      <c r="F796" s="58"/>
      <c r="G796" s="58"/>
      <c r="H796" s="58"/>
      <c r="I796" s="58"/>
      <c r="J796" s="58"/>
      <c r="K796" s="58"/>
      <c r="L796" s="58"/>
      <c r="M796" s="58"/>
      <c r="N796" s="58"/>
      <c r="O796" s="58"/>
      <c r="P796" s="58"/>
      <c r="Q796" s="58"/>
      <c r="R796" s="58"/>
      <c r="S796" s="58"/>
      <c r="T796" s="58"/>
      <c r="U796" s="58"/>
      <c r="V796" s="58"/>
      <c r="W796" s="58"/>
      <c r="X796" s="58"/>
      <c r="Y796" s="58"/>
      <c r="Z796" s="58"/>
    </row>
    <row r="797" ht="15.75" customHeight="1">
      <c r="A797" s="86"/>
      <c r="B797" s="86"/>
      <c r="C797" s="86"/>
      <c r="D797" s="86"/>
      <c r="E797" s="86"/>
      <c r="F797" s="58"/>
      <c r="G797" s="58"/>
      <c r="H797" s="58"/>
      <c r="I797" s="58"/>
      <c r="J797" s="58"/>
      <c r="K797" s="58"/>
      <c r="L797" s="58"/>
      <c r="M797" s="58"/>
      <c r="N797" s="58"/>
      <c r="O797" s="58"/>
      <c r="P797" s="58"/>
      <c r="Q797" s="58"/>
      <c r="R797" s="58"/>
      <c r="S797" s="58"/>
      <c r="T797" s="58"/>
      <c r="U797" s="58"/>
      <c r="V797" s="58"/>
      <c r="W797" s="58"/>
      <c r="X797" s="58"/>
      <c r="Y797" s="58"/>
      <c r="Z797" s="58"/>
    </row>
    <row r="798" ht="15.75" customHeight="1">
      <c r="A798" s="86"/>
      <c r="B798" s="86"/>
      <c r="C798" s="86"/>
      <c r="D798" s="86"/>
      <c r="E798" s="86"/>
      <c r="F798" s="58"/>
      <c r="G798" s="58"/>
      <c r="H798" s="58"/>
      <c r="I798" s="58"/>
      <c r="J798" s="58"/>
      <c r="K798" s="58"/>
      <c r="L798" s="58"/>
      <c r="M798" s="58"/>
      <c r="N798" s="58"/>
      <c r="O798" s="58"/>
      <c r="P798" s="58"/>
      <c r="Q798" s="58"/>
      <c r="R798" s="58"/>
      <c r="S798" s="58"/>
      <c r="T798" s="58"/>
      <c r="U798" s="58"/>
      <c r="V798" s="58"/>
      <c r="W798" s="58"/>
      <c r="X798" s="58"/>
      <c r="Y798" s="58"/>
      <c r="Z798" s="58"/>
    </row>
    <row r="799" ht="15.75" customHeight="1">
      <c r="A799" s="86"/>
      <c r="B799" s="86"/>
      <c r="C799" s="86"/>
      <c r="D799" s="86"/>
      <c r="E799" s="86"/>
      <c r="F799" s="58"/>
      <c r="G799" s="58"/>
      <c r="H799" s="58"/>
      <c r="I799" s="58"/>
      <c r="J799" s="58"/>
      <c r="K799" s="58"/>
      <c r="L799" s="58"/>
      <c r="M799" s="58"/>
      <c r="N799" s="58"/>
      <c r="O799" s="58"/>
      <c r="P799" s="58"/>
      <c r="Q799" s="58"/>
      <c r="R799" s="58"/>
      <c r="S799" s="58"/>
      <c r="T799" s="58"/>
      <c r="U799" s="58"/>
      <c r="V799" s="58"/>
      <c r="W799" s="58"/>
      <c r="X799" s="58"/>
      <c r="Y799" s="58"/>
      <c r="Z799" s="58"/>
    </row>
    <row r="800" ht="15.75" customHeight="1">
      <c r="A800" s="86"/>
      <c r="B800" s="86"/>
      <c r="C800" s="86"/>
      <c r="D800" s="86"/>
      <c r="E800" s="86"/>
      <c r="F800" s="58"/>
      <c r="G800" s="58"/>
      <c r="H800" s="58"/>
      <c r="I800" s="58"/>
      <c r="J800" s="58"/>
      <c r="K800" s="58"/>
      <c r="L800" s="58"/>
      <c r="M800" s="58"/>
      <c r="N800" s="58"/>
      <c r="O800" s="58"/>
      <c r="P800" s="58"/>
      <c r="Q800" s="58"/>
      <c r="R800" s="58"/>
      <c r="S800" s="58"/>
      <c r="T800" s="58"/>
      <c r="U800" s="58"/>
      <c r="V800" s="58"/>
      <c r="W800" s="58"/>
      <c r="X800" s="58"/>
      <c r="Y800" s="58"/>
      <c r="Z800" s="58"/>
    </row>
    <row r="801" ht="15.75" customHeight="1">
      <c r="A801" s="86"/>
      <c r="B801" s="86"/>
      <c r="C801" s="86"/>
      <c r="D801" s="86"/>
      <c r="E801" s="86"/>
      <c r="F801" s="58"/>
      <c r="G801" s="58"/>
      <c r="H801" s="58"/>
      <c r="I801" s="58"/>
      <c r="J801" s="58"/>
      <c r="K801" s="58"/>
      <c r="L801" s="58"/>
      <c r="M801" s="58"/>
      <c r="N801" s="58"/>
      <c r="O801" s="58"/>
      <c r="P801" s="58"/>
      <c r="Q801" s="58"/>
      <c r="R801" s="58"/>
      <c r="S801" s="58"/>
      <c r="T801" s="58"/>
      <c r="U801" s="58"/>
      <c r="V801" s="58"/>
      <c r="W801" s="58"/>
      <c r="X801" s="58"/>
      <c r="Y801" s="58"/>
      <c r="Z801" s="58"/>
    </row>
    <row r="802" ht="15.75" customHeight="1">
      <c r="A802" s="86"/>
      <c r="B802" s="86"/>
      <c r="C802" s="86"/>
      <c r="D802" s="86"/>
      <c r="E802" s="86"/>
      <c r="F802" s="58"/>
      <c r="G802" s="58"/>
      <c r="H802" s="58"/>
      <c r="I802" s="58"/>
      <c r="J802" s="58"/>
      <c r="K802" s="58"/>
      <c r="L802" s="58"/>
      <c r="M802" s="58"/>
      <c r="N802" s="58"/>
      <c r="O802" s="58"/>
      <c r="P802" s="58"/>
      <c r="Q802" s="58"/>
      <c r="R802" s="58"/>
      <c r="S802" s="58"/>
      <c r="T802" s="58"/>
      <c r="U802" s="58"/>
      <c r="V802" s="58"/>
      <c r="W802" s="58"/>
      <c r="X802" s="58"/>
      <c r="Y802" s="58"/>
      <c r="Z802" s="58"/>
    </row>
    <row r="803" ht="15.75" customHeight="1">
      <c r="A803" s="86"/>
      <c r="B803" s="86"/>
      <c r="C803" s="86"/>
      <c r="D803" s="86"/>
      <c r="E803" s="86"/>
      <c r="F803" s="58"/>
      <c r="G803" s="58"/>
      <c r="H803" s="58"/>
      <c r="I803" s="58"/>
      <c r="J803" s="58"/>
      <c r="K803" s="58"/>
      <c r="L803" s="58"/>
      <c r="M803" s="58"/>
      <c r="N803" s="58"/>
      <c r="O803" s="58"/>
      <c r="P803" s="58"/>
      <c r="Q803" s="58"/>
      <c r="R803" s="58"/>
      <c r="S803" s="58"/>
      <c r="T803" s="58"/>
      <c r="U803" s="58"/>
      <c r="V803" s="58"/>
      <c r="W803" s="58"/>
      <c r="X803" s="58"/>
      <c r="Y803" s="58"/>
      <c r="Z803" s="58"/>
    </row>
    <row r="804" ht="15.75" customHeight="1">
      <c r="A804" s="86"/>
      <c r="B804" s="86"/>
      <c r="C804" s="86"/>
      <c r="D804" s="86"/>
      <c r="E804" s="86"/>
      <c r="F804" s="58"/>
      <c r="G804" s="58"/>
      <c r="H804" s="58"/>
      <c r="I804" s="58"/>
      <c r="J804" s="58"/>
      <c r="K804" s="58"/>
      <c r="L804" s="58"/>
      <c r="M804" s="58"/>
      <c r="N804" s="58"/>
      <c r="O804" s="58"/>
      <c r="P804" s="58"/>
      <c r="Q804" s="58"/>
      <c r="R804" s="58"/>
      <c r="S804" s="58"/>
      <c r="T804" s="58"/>
      <c r="U804" s="58"/>
      <c r="V804" s="58"/>
      <c r="W804" s="58"/>
      <c r="X804" s="58"/>
      <c r="Y804" s="58"/>
      <c r="Z804" s="58"/>
    </row>
    <row r="805" ht="15.75" customHeight="1">
      <c r="A805" s="86"/>
      <c r="B805" s="86"/>
      <c r="C805" s="86"/>
      <c r="D805" s="86"/>
      <c r="E805" s="86"/>
      <c r="F805" s="58"/>
      <c r="G805" s="58"/>
      <c r="H805" s="58"/>
      <c r="I805" s="58"/>
      <c r="J805" s="58"/>
      <c r="K805" s="58"/>
      <c r="L805" s="58"/>
      <c r="M805" s="58"/>
      <c r="N805" s="58"/>
      <c r="O805" s="58"/>
      <c r="P805" s="58"/>
      <c r="Q805" s="58"/>
      <c r="R805" s="58"/>
      <c r="S805" s="58"/>
      <c r="T805" s="58"/>
      <c r="U805" s="58"/>
      <c r="V805" s="58"/>
      <c r="W805" s="58"/>
      <c r="X805" s="58"/>
      <c r="Y805" s="58"/>
      <c r="Z805" s="58"/>
    </row>
    <row r="806" ht="15.75" customHeight="1">
      <c r="A806" s="86"/>
      <c r="B806" s="86"/>
      <c r="C806" s="86"/>
      <c r="D806" s="86"/>
      <c r="E806" s="86"/>
      <c r="F806" s="58"/>
      <c r="G806" s="58"/>
      <c r="H806" s="58"/>
      <c r="I806" s="58"/>
      <c r="J806" s="58"/>
      <c r="K806" s="58"/>
      <c r="L806" s="58"/>
      <c r="M806" s="58"/>
      <c r="N806" s="58"/>
      <c r="O806" s="58"/>
      <c r="P806" s="58"/>
      <c r="Q806" s="58"/>
      <c r="R806" s="58"/>
      <c r="S806" s="58"/>
      <c r="T806" s="58"/>
      <c r="U806" s="58"/>
      <c r="V806" s="58"/>
      <c r="W806" s="58"/>
      <c r="X806" s="58"/>
      <c r="Y806" s="58"/>
      <c r="Z806" s="58"/>
    </row>
    <row r="807" ht="15.75" customHeight="1">
      <c r="A807" s="86"/>
      <c r="B807" s="86"/>
      <c r="C807" s="86"/>
      <c r="D807" s="86"/>
      <c r="E807" s="86"/>
      <c r="F807" s="58"/>
      <c r="G807" s="58"/>
      <c r="H807" s="58"/>
      <c r="I807" s="58"/>
      <c r="J807" s="58"/>
      <c r="K807" s="58"/>
      <c r="L807" s="58"/>
      <c r="M807" s="58"/>
      <c r="N807" s="58"/>
      <c r="O807" s="58"/>
      <c r="P807" s="58"/>
      <c r="Q807" s="58"/>
      <c r="R807" s="58"/>
      <c r="S807" s="58"/>
      <c r="T807" s="58"/>
      <c r="U807" s="58"/>
      <c r="V807" s="58"/>
      <c r="W807" s="58"/>
      <c r="X807" s="58"/>
      <c r="Y807" s="58"/>
      <c r="Z807" s="58"/>
    </row>
    <row r="808" ht="15.75" customHeight="1">
      <c r="A808" s="86"/>
      <c r="B808" s="86"/>
      <c r="C808" s="86"/>
      <c r="D808" s="86"/>
      <c r="E808" s="86"/>
      <c r="F808" s="58"/>
      <c r="G808" s="58"/>
      <c r="H808" s="58"/>
      <c r="I808" s="58"/>
      <c r="J808" s="58"/>
      <c r="K808" s="58"/>
      <c r="L808" s="58"/>
      <c r="M808" s="58"/>
      <c r="N808" s="58"/>
      <c r="O808" s="58"/>
      <c r="P808" s="58"/>
      <c r="Q808" s="58"/>
      <c r="R808" s="58"/>
      <c r="S808" s="58"/>
      <c r="T808" s="58"/>
      <c r="U808" s="58"/>
      <c r="V808" s="58"/>
      <c r="W808" s="58"/>
      <c r="X808" s="58"/>
      <c r="Y808" s="58"/>
      <c r="Z808" s="58"/>
    </row>
    <row r="809" ht="15.75" customHeight="1">
      <c r="A809" s="86"/>
      <c r="B809" s="86"/>
      <c r="C809" s="86"/>
      <c r="D809" s="86"/>
      <c r="E809" s="86"/>
      <c r="F809" s="58"/>
      <c r="G809" s="58"/>
      <c r="H809" s="58"/>
      <c r="I809" s="58"/>
      <c r="J809" s="58"/>
      <c r="K809" s="58"/>
      <c r="L809" s="58"/>
      <c r="M809" s="58"/>
      <c r="N809" s="58"/>
      <c r="O809" s="58"/>
      <c r="P809" s="58"/>
      <c r="Q809" s="58"/>
      <c r="R809" s="58"/>
      <c r="S809" s="58"/>
      <c r="T809" s="58"/>
      <c r="U809" s="58"/>
      <c r="V809" s="58"/>
      <c r="W809" s="58"/>
      <c r="X809" s="58"/>
      <c r="Y809" s="58"/>
      <c r="Z809" s="58"/>
    </row>
    <row r="810" ht="15.75" customHeight="1">
      <c r="A810" s="86"/>
      <c r="B810" s="86"/>
      <c r="C810" s="86"/>
      <c r="D810" s="86"/>
      <c r="E810" s="86"/>
      <c r="F810" s="58"/>
      <c r="G810" s="58"/>
      <c r="H810" s="58"/>
      <c r="I810" s="58"/>
      <c r="J810" s="58"/>
      <c r="K810" s="58"/>
      <c r="L810" s="58"/>
      <c r="M810" s="58"/>
      <c r="N810" s="58"/>
      <c r="O810" s="58"/>
      <c r="P810" s="58"/>
      <c r="Q810" s="58"/>
      <c r="R810" s="58"/>
      <c r="S810" s="58"/>
      <c r="T810" s="58"/>
      <c r="U810" s="58"/>
      <c r="V810" s="58"/>
      <c r="W810" s="58"/>
      <c r="X810" s="58"/>
      <c r="Y810" s="58"/>
      <c r="Z810" s="58"/>
    </row>
    <row r="811" ht="15.75" customHeight="1">
      <c r="A811" s="86"/>
      <c r="B811" s="86"/>
      <c r="C811" s="86"/>
      <c r="D811" s="86"/>
      <c r="E811" s="86"/>
      <c r="F811" s="58"/>
      <c r="G811" s="58"/>
      <c r="H811" s="58"/>
      <c r="I811" s="58"/>
      <c r="J811" s="58"/>
      <c r="K811" s="58"/>
      <c r="L811" s="58"/>
      <c r="M811" s="58"/>
      <c r="N811" s="58"/>
      <c r="O811" s="58"/>
      <c r="P811" s="58"/>
      <c r="Q811" s="58"/>
      <c r="R811" s="58"/>
      <c r="S811" s="58"/>
      <c r="T811" s="58"/>
      <c r="U811" s="58"/>
      <c r="V811" s="58"/>
      <c r="W811" s="58"/>
      <c r="X811" s="58"/>
      <c r="Y811" s="58"/>
      <c r="Z811" s="58"/>
    </row>
    <row r="812" ht="15.75" customHeight="1">
      <c r="A812" s="86"/>
      <c r="B812" s="86"/>
      <c r="C812" s="86"/>
      <c r="D812" s="86"/>
      <c r="E812" s="86"/>
      <c r="F812" s="58"/>
      <c r="G812" s="58"/>
      <c r="H812" s="58"/>
      <c r="I812" s="58"/>
      <c r="J812" s="58"/>
      <c r="K812" s="58"/>
      <c r="L812" s="58"/>
      <c r="M812" s="58"/>
      <c r="N812" s="58"/>
      <c r="O812" s="58"/>
      <c r="P812" s="58"/>
      <c r="Q812" s="58"/>
      <c r="R812" s="58"/>
      <c r="S812" s="58"/>
      <c r="T812" s="58"/>
      <c r="U812" s="58"/>
      <c r="V812" s="58"/>
      <c r="W812" s="58"/>
      <c r="X812" s="58"/>
      <c r="Y812" s="58"/>
      <c r="Z812" s="58"/>
    </row>
    <row r="813" ht="15.75" customHeight="1">
      <c r="A813" s="86"/>
      <c r="B813" s="86"/>
      <c r="C813" s="86"/>
      <c r="D813" s="86"/>
      <c r="E813" s="86"/>
      <c r="F813" s="58"/>
      <c r="G813" s="58"/>
      <c r="H813" s="58"/>
      <c r="I813" s="58"/>
      <c r="J813" s="58"/>
      <c r="K813" s="58"/>
      <c r="L813" s="58"/>
      <c r="M813" s="58"/>
      <c r="N813" s="58"/>
      <c r="O813" s="58"/>
      <c r="P813" s="58"/>
      <c r="Q813" s="58"/>
      <c r="R813" s="58"/>
      <c r="S813" s="58"/>
      <c r="T813" s="58"/>
      <c r="U813" s="58"/>
      <c r="V813" s="58"/>
      <c r="W813" s="58"/>
      <c r="X813" s="58"/>
      <c r="Y813" s="58"/>
      <c r="Z813" s="58"/>
    </row>
    <row r="814" ht="15.75" customHeight="1">
      <c r="A814" s="86"/>
      <c r="B814" s="86"/>
      <c r="C814" s="86"/>
      <c r="D814" s="86"/>
      <c r="E814" s="86"/>
      <c r="F814" s="58"/>
      <c r="G814" s="58"/>
      <c r="H814" s="58"/>
      <c r="I814" s="58"/>
      <c r="J814" s="58"/>
      <c r="K814" s="58"/>
      <c r="L814" s="58"/>
      <c r="M814" s="58"/>
      <c r="N814" s="58"/>
      <c r="O814" s="58"/>
      <c r="P814" s="58"/>
      <c r="Q814" s="58"/>
      <c r="R814" s="58"/>
      <c r="S814" s="58"/>
      <c r="T814" s="58"/>
      <c r="U814" s="58"/>
      <c r="V814" s="58"/>
      <c r="W814" s="58"/>
      <c r="X814" s="58"/>
      <c r="Y814" s="58"/>
      <c r="Z814" s="58"/>
    </row>
    <row r="815" ht="15.75" customHeight="1">
      <c r="A815" s="86"/>
      <c r="B815" s="86"/>
      <c r="C815" s="86"/>
      <c r="D815" s="86"/>
      <c r="E815" s="86"/>
      <c r="F815" s="58"/>
      <c r="G815" s="58"/>
      <c r="H815" s="58"/>
      <c r="I815" s="58"/>
      <c r="J815" s="58"/>
      <c r="K815" s="58"/>
      <c r="L815" s="58"/>
      <c r="M815" s="58"/>
      <c r="N815" s="58"/>
      <c r="O815" s="58"/>
      <c r="P815" s="58"/>
      <c r="Q815" s="58"/>
      <c r="R815" s="58"/>
      <c r="S815" s="58"/>
      <c r="T815" s="58"/>
      <c r="U815" s="58"/>
      <c r="V815" s="58"/>
      <c r="W815" s="58"/>
      <c r="X815" s="58"/>
      <c r="Y815" s="58"/>
      <c r="Z815" s="58"/>
    </row>
    <row r="816" ht="15.75" customHeight="1">
      <c r="A816" s="86"/>
      <c r="B816" s="86"/>
      <c r="C816" s="86"/>
      <c r="D816" s="86"/>
      <c r="E816" s="86"/>
      <c r="F816" s="58"/>
      <c r="G816" s="58"/>
      <c r="H816" s="58"/>
      <c r="I816" s="58"/>
      <c r="J816" s="58"/>
      <c r="K816" s="58"/>
      <c r="L816" s="58"/>
      <c r="M816" s="58"/>
      <c r="N816" s="58"/>
      <c r="O816" s="58"/>
      <c r="P816" s="58"/>
      <c r="Q816" s="58"/>
      <c r="R816" s="58"/>
      <c r="S816" s="58"/>
      <c r="T816" s="58"/>
      <c r="U816" s="58"/>
      <c r="V816" s="58"/>
      <c r="W816" s="58"/>
      <c r="X816" s="58"/>
      <c r="Y816" s="58"/>
      <c r="Z816" s="58"/>
    </row>
    <row r="817" ht="15.75" customHeight="1">
      <c r="A817" s="86"/>
      <c r="B817" s="86"/>
      <c r="C817" s="86"/>
      <c r="D817" s="86"/>
      <c r="E817" s="86"/>
      <c r="F817" s="58"/>
      <c r="G817" s="58"/>
      <c r="H817" s="58"/>
      <c r="I817" s="58"/>
      <c r="J817" s="58"/>
      <c r="K817" s="58"/>
      <c r="L817" s="58"/>
      <c r="M817" s="58"/>
      <c r="N817" s="58"/>
      <c r="O817" s="58"/>
      <c r="P817" s="58"/>
      <c r="Q817" s="58"/>
      <c r="R817" s="58"/>
      <c r="S817" s="58"/>
      <c r="T817" s="58"/>
      <c r="U817" s="58"/>
      <c r="V817" s="58"/>
      <c r="W817" s="58"/>
      <c r="X817" s="58"/>
      <c r="Y817" s="58"/>
      <c r="Z817" s="58"/>
    </row>
    <row r="818" ht="15.75" customHeight="1">
      <c r="A818" s="86"/>
      <c r="B818" s="86"/>
      <c r="C818" s="86"/>
      <c r="D818" s="86"/>
      <c r="E818" s="86"/>
      <c r="F818" s="58"/>
      <c r="G818" s="58"/>
      <c r="H818" s="58"/>
      <c r="I818" s="58"/>
      <c r="J818" s="58"/>
      <c r="K818" s="58"/>
      <c r="L818" s="58"/>
      <c r="M818" s="58"/>
      <c r="N818" s="58"/>
      <c r="O818" s="58"/>
      <c r="P818" s="58"/>
      <c r="Q818" s="58"/>
      <c r="R818" s="58"/>
      <c r="S818" s="58"/>
      <c r="T818" s="58"/>
      <c r="U818" s="58"/>
      <c r="V818" s="58"/>
      <c r="W818" s="58"/>
      <c r="X818" s="58"/>
      <c r="Y818" s="58"/>
      <c r="Z818" s="58"/>
    </row>
    <row r="819" ht="15.75" customHeight="1">
      <c r="A819" s="86"/>
      <c r="B819" s="86"/>
      <c r="C819" s="86"/>
      <c r="D819" s="86"/>
      <c r="E819" s="86"/>
      <c r="F819" s="58"/>
      <c r="G819" s="58"/>
      <c r="H819" s="58"/>
      <c r="I819" s="58"/>
      <c r="J819" s="58"/>
      <c r="K819" s="58"/>
      <c r="L819" s="58"/>
      <c r="M819" s="58"/>
      <c r="N819" s="58"/>
      <c r="O819" s="58"/>
      <c r="P819" s="58"/>
      <c r="Q819" s="58"/>
      <c r="R819" s="58"/>
      <c r="S819" s="58"/>
      <c r="T819" s="58"/>
      <c r="U819" s="58"/>
      <c r="V819" s="58"/>
      <c r="W819" s="58"/>
      <c r="X819" s="58"/>
      <c r="Y819" s="58"/>
      <c r="Z819" s="58"/>
    </row>
    <row r="820" ht="15.75" customHeight="1">
      <c r="A820" s="86"/>
      <c r="B820" s="86"/>
      <c r="C820" s="86"/>
      <c r="D820" s="86"/>
      <c r="E820" s="86"/>
      <c r="F820" s="58"/>
      <c r="G820" s="58"/>
      <c r="H820" s="58"/>
      <c r="I820" s="58"/>
      <c r="J820" s="58"/>
      <c r="K820" s="58"/>
      <c r="L820" s="58"/>
      <c r="M820" s="58"/>
      <c r="N820" s="58"/>
      <c r="O820" s="58"/>
      <c r="P820" s="58"/>
      <c r="Q820" s="58"/>
      <c r="R820" s="58"/>
      <c r="S820" s="58"/>
      <c r="T820" s="58"/>
      <c r="U820" s="58"/>
      <c r="V820" s="58"/>
      <c r="W820" s="58"/>
      <c r="X820" s="58"/>
      <c r="Y820" s="58"/>
      <c r="Z820" s="58"/>
    </row>
    <row r="821" ht="15.75" customHeight="1">
      <c r="A821" s="86"/>
      <c r="B821" s="86"/>
      <c r="C821" s="86"/>
      <c r="D821" s="86"/>
      <c r="E821" s="86"/>
      <c r="F821" s="58"/>
      <c r="G821" s="58"/>
      <c r="H821" s="58"/>
      <c r="I821" s="58"/>
      <c r="J821" s="58"/>
      <c r="K821" s="58"/>
      <c r="L821" s="58"/>
      <c r="M821" s="58"/>
      <c r="N821" s="58"/>
      <c r="O821" s="58"/>
      <c r="P821" s="58"/>
      <c r="Q821" s="58"/>
      <c r="R821" s="58"/>
      <c r="S821" s="58"/>
      <c r="T821" s="58"/>
      <c r="U821" s="58"/>
      <c r="V821" s="58"/>
      <c r="W821" s="58"/>
      <c r="X821" s="58"/>
      <c r="Y821" s="58"/>
      <c r="Z821" s="58"/>
    </row>
    <row r="822" ht="15.75" customHeight="1">
      <c r="A822" s="86"/>
      <c r="B822" s="86"/>
      <c r="C822" s="86"/>
      <c r="D822" s="86"/>
      <c r="E822" s="86"/>
      <c r="F822" s="58"/>
      <c r="G822" s="58"/>
      <c r="H822" s="58"/>
      <c r="I822" s="58"/>
      <c r="J822" s="58"/>
      <c r="K822" s="58"/>
      <c r="L822" s="58"/>
      <c r="M822" s="58"/>
      <c r="N822" s="58"/>
      <c r="O822" s="58"/>
      <c r="P822" s="58"/>
      <c r="Q822" s="58"/>
      <c r="R822" s="58"/>
      <c r="S822" s="58"/>
      <c r="T822" s="58"/>
      <c r="U822" s="58"/>
      <c r="V822" s="58"/>
      <c r="W822" s="58"/>
      <c r="X822" s="58"/>
      <c r="Y822" s="58"/>
      <c r="Z822" s="58"/>
    </row>
    <row r="823" ht="15.75" customHeight="1">
      <c r="A823" s="86"/>
      <c r="B823" s="86"/>
      <c r="C823" s="86"/>
      <c r="D823" s="86"/>
      <c r="E823" s="86"/>
      <c r="F823" s="58"/>
      <c r="G823" s="58"/>
      <c r="H823" s="58"/>
      <c r="I823" s="58"/>
      <c r="J823" s="58"/>
      <c r="K823" s="58"/>
      <c r="L823" s="58"/>
      <c r="M823" s="58"/>
      <c r="N823" s="58"/>
      <c r="O823" s="58"/>
      <c r="P823" s="58"/>
      <c r="Q823" s="58"/>
      <c r="R823" s="58"/>
      <c r="S823" s="58"/>
      <c r="T823" s="58"/>
      <c r="U823" s="58"/>
      <c r="V823" s="58"/>
      <c r="W823" s="58"/>
      <c r="X823" s="58"/>
      <c r="Y823" s="58"/>
      <c r="Z823" s="58"/>
    </row>
    <row r="824" ht="15.75" customHeight="1">
      <c r="A824" s="86"/>
      <c r="B824" s="86"/>
      <c r="C824" s="86"/>
      <c r="D824" s="86"/>
      <c r="E824" s="86"/>
      <c r="F824" s="58"/>
      <c r="G824" s="58"/>
      <c r="H824" s="58"/>
      <c r="I824" s="58"/>
      <c r="J824" s="58"/>
      <c r="K824" s="58"/>
      <c r="L824" s="58"/>
      <c r="M824" s="58"/>
      <c r="N824" s="58"/>
      <c r="O824" s="58"/>
      <c r="P824" s="58"/>
      <c r="Q824" s="58"/>
      <c r="R824" s="58"/>
      <c r="S824" s="58"/>
      <c r="T824" s="58"/>
      <c r="U824" s="58"/>
      <c r="V824" s="58"/>
      <c r="W824" s="58"/>
      <c r="X824" s="58"/>
      <c r="Y824" s="58"/>
      <c r="Z824" s="58"/>
    </row>
    <row r="825" ht="15.75" customHeight="1">
      <c r="A825" s="86"/>
      <c r="B825" s="86"/>
      <c r="C825" s="86"/>
      <c r="D825" s="86"/>
      <c r="E825" s="86"/>
      <c r="F825" s="58"/>
      <c r="G825" s="58"/>
      <c r="H825" s="58"/>
      <c r="I825" s="58"/>
      <c r="J825" s="58"/>
      <c r="K825" s="58"/>
      <c r="L825" s="58"/>
      <c r="M825" s="58"/>
      <c r="N825" s="58"/>
      <c r="O825" s="58"/>
      <c r="P825" s="58"/>
      <c r="Q825" s="58"/>
      <c r="R825" s="58"/>
      <c r="S825" s="58"/>
      <c r="T825" s="58"/>
      <c r="U825" s="58"/>
      <c r="V825" s="58"/>
      <c r="W825" s="58"/>
      <c r="X825" s="58"/>
      <c r="Y825" s="58"/>
      <c r="Z825" s="58"/>
    </row>
    <row r="826" ht="15.75" customHeight="1">
      <c r="A826" s="86"/>
      <c r="B826" s="86"/>
      <c r="C826" s="86"/>
      <c r="D826" s="86"/>
      <c r="E826" s="86"/>
      <c r="F826" s="58"/>
      <c r="G826" s="58"/>
      <c r="H826" s="58"/>
      <c r="I826" s="58"/>
      <c r="J826" s="58"/>
      <c r="K826" s="58"/>
      <c r="L826" s="58"/>
      <c r="M826" s="58"/>
      <c r="N826" s="58"/>
      <c r="O826" s="58"/>
      <c r="P826" s="58"/>
      <c r="Q826" s="58"/>
      <c r="R826" s="58"/>
      <c r="S826" s="58"/>
      <c r="T826" s="58"/>
      <c r="U826" s="58"/>
      <c r="V826" s="58"/>
      <c r="W826" s="58"/>
      <c r="X826" s="58"/>
      <c r="Y826" s="58"/>
      <c r="Z826" s="58"/>
    </row>
    <row r="827" ht="15.75" customHeight="1">
      <c r="A827" s="86"/>
      <c r="B827" s="86"/>
      <c r="C827" s="86"/>
      <c r="D827" s="86"/>
      <c r="E827" s="86"/>
      <c r="F827" s="58"/>
      <c r="G827" s="58"/>
      <c r="H827" s="58"/>
      <c r="I827" s="58"/>
      <c r="J827" s="58"/>
      <c r="K827" s="58"/>
      <c r="L827" s="58"/>
      <c r="M827" s="58"/>
      <c r="N827" s="58"/>
      <c r="O827" s="58"/>
      <c r="P827" s="58"/>
      <c r="Q827" s="58"/>
      <c r="R827" s="58"/>
      <c r="S827" s="58"/>
      <c r="T827" s="58"/>
      <c r="U827" s="58"/>
      <c r="V827" s="58"/>
      <c r="W827" s="58"/>
      <c r="X827" s="58"/>
      <c r="Y827" s="58"/>
      <c r="Z827" s="58"/>
    </row>
    <row r="828" ht="15.75" customHeight="1">
      <c r="A828" s="86"/>
      <c r="B828" s="86"/>
      <c r="C828" s="86"/>
      <c r="D828" s="86"/>
      <c r="E828" s="86"/>
      <c r="F828" s="58"/>
      <c r="G828" s="58"/>
      <c r="H828" s="58"/>
      <c r="I828" s="58"/>
      <c r="J828" s="58"/>
      <c r="K828" s="58"/>
      <c r="L828" s="58"/>
      <c r="M828" s="58"/>
      <c r="N828" s="58"/>
      <c r="O828" s="58"/>
      <c r="P828" s="58"/>
      <c r="Q828" s="58"/>
      <c r="R828" s="58"/>
      <c r="S828" s="58"/>
      <c r="T828" s="58"/>
      <c r="U828" s="58"/>
      <c r="V828" s="58"/>
      <c r="W828" s="58"/>
      <c r="X828" s="58"/>
      <c r="Y828" s="58"/>
      <c r="Z828" s="58"/>
    </row>
    <row r="829" ht="15.75" customHeight="1">
      <c r="A829" s="86"/>
      <c r="B829" s="86"/>
      <c r="C829" s="86"/>
      <c r="D829" s="86"/>
      <c r="E829" s="86"/>
      <c r="F829" s="58"/>
      <c r="G829" s="58"/>
      <c r="H829" s="58"/>
      <c r="I829" s="58"/>
      <c r="J829" s="58"/>
      <c r="K829" s="58"/>
      <c r="L829" s="58"/>
      <c r="M829" s="58"/>
      <c r="N829" s="58"/>
      <c r="O829" s="58"/>
      <c r="P829" s="58"/>
      <c r="Q829" s="58"/>
      <c r="R829" s="58"/>
      <c r="S829" s="58"/>
      <c r="T829" s="58"/>
      <c r="U829" s="58"/>
      <c r="V829" s="58"/>
      <c r="W829" s="58"/>
      <c r="X829" s="58"/>
      <c r="Y829" s="58"/>
      <c r="Z829" s="58"/>
    </row>
    <row r="830" ht="15.75" customHeight="1">
      <c r="A830" s="86"/>
      <c r="B830" s="86"/>
      <c r="C830" s="86"/>
      <c r="D830" s="86"/>
      <c r="E830" s="86"/>
      <c r="F830" s="58"/>
      <c r="G830" s="58"/>
      <c r="H830" s="58"/>
      <c r="I830" s="58"/>
      <c r="J830" s="58"/>
      <c r="K830" s="58"/>
      <c r="L830" s="58"/>
      <c r="M830" s="58"/>
      <c r="N830" s="58"/>
      <c r="O830" s="58"/>
      <c r="P830" s="58"/>
      <c r="Q830" s="58"/>
      <c r="R830" s="58"/>
      <c r="S830" s="58"/>
      <c r="T830" s="58"/>
      <c r="U830" s="58"/>
      <c r="V830" s="58"/>
      <c r="W830" s="58"/>
      <c r="X830" s="58"/>
      <c r="Y830" s="58"/>
      <c r="Z830" s="58"/>
    </row>
    <row r="831" ht="15.75" customHeight="1">
      <c r="A831" s="86"/>
      <c r="B831" s="86"/>
      <c r="C831" s="86"/>
      <c r="D831" s="86"/>
      <c r="E831" s="86"/>
      <c r="F831" s="58"/>
      <c r="G831" s="58"/>
      <c r="H831" s="58"/>
      <c r="I831" s="58"/>
      <c r="J831" s="58"/>
      <c r="K831" s="58"/>
      <c r="L831" s="58"/>
      <c r="M831" s="58"/>
      <c r="N831" s="58"/>
      <c r="O831" s="58"/>
      <c r="P831" s="58"/>
      <c r="Q831" s="58"/>
      <c r="R831" s="58"/>
      <c r="S831" s="58"/>
      <c r="T831" s="58"/>
      <c r="U831" s="58"/>
      <c r="V831" s="58"/>
      <c r="W831" s="58"/>
      <c r="X831" s="58"/>
      <c r="Y831" s="58"/>
      <c r="Z831" s="58"/>
    </row>
    <row r="832" ht="15.75" customHeight="1">
      <c r="A832" s="86"/>
      <c r="B832" s="86"/>
      <c r="C832" s="86"/>
      <c r="D832" s="86"/>
      <c r="E832" s="86"/>
      <c r="F832" s="58"/>
      <c r="G832" s="58"/>
      <c r="H832" s="58"/>
      <c r="I832" s="58"/>
      <c r="J832" s="58"/>
      <c r="K832" s="58"/>
      <c r="L832" s="58"/>
      <c r="M832" s="58"/>
      <c r="N832" s="58"/>
      <c r="O832" s="58"/>
      <c r="P832" s="58"/>
      <c r="Q832" s="58"/>
      <c r="R832" s="58"/>
      <c r="S832" s="58"/>
      <c r="T832" s="58"/>
      <c r="U832" s="58"/>
      <c r="V832" s="58"/>
      <c r="W832" s="58"/>
      <c r="X832" s="58"/>
      <c r="Y832" s="58"/>
      <c r="Z832" s="58"/>
    </row>
    <row r="833" ht="15.75" customHeight="1">
      <c r="A833" s="86"/>
      <c r="B833" s="86"/>
      <c r="C833" s="86"/>
      <c r="D833" s="86"/>
      <c r="E833" s="86"/>
      <c r="F833" s="58"/>
      <c r="G833" s="58"/>
      <c r="H833" s="58"/>
      <c r="I833" s="58"/>
      <c r="J833" s="58"/>
      <c r="K833" s="58"/>
      <c r="L833" s="58"/>
      <c r="M833" s="58"/>
      <c r="N833" s="58"/>
      <c r="O833" s="58"/>
      <c r="P833" s="58"/>
      <c r="Q833" s="58"/>
      <c r="R833" s="58"/>
      <c r="S833" s="58"/>
      <c r="T833" s="58"/>
      <c r="U833" s="58"/>
      <c r="V833" s="58"/>
      <c r="W833" s="58"/>
      <c r="X833" s="58"/>
      <c r="Y833" s="58"/>
      <c r="Z833" s="58"/>
    </row>
    <row r="834" ht="15.75" customHeight="1">
      <c r="A834" s="86"/>
      <c r="B834" s="86"/>
      <c r="C834" s="86"/>
      <c r="D834" s="86"/>
      <c r="E834" s="86"/>
      <c r="F834" s="58"/>
      <c r="G834" s="58"/>
      <c r="H834" s="58"/>
      <c r="I834" s="58"/>
      <c r="J834" s="58"/>
      <c r="K834" s="58"/>
      <c r="L834" s="58"/>
      <c r="M834" s="58"/>
      <c r="N834" s="58"/>
      <c r="O834" s="58"/>
      <c r="P834" s="58"/>
      <c r="Q834" s="58"/>
      <c r="R834" s="58"/>
      <c r="S834" s="58"/>
      <c r="T834" s="58"/>
      <c r="U834" s="58"/>
      <c r="V834" s="58"/>
      <c r="W834" s="58"/>
      <c r="X834" s="58"/>
      <c r="Y834" s="58"/>
      <c r="Z834" s="58"/>
    </row>
    <row r="835" ht="15.75" customHeight="1">
      <c r="A835" s="86"/>
      <c r="B835" s="86"/>
      <c r="C835" s="86"/>
      <c r="D835" s="86"/>
      <c r="E835" s="86"/>
      <c r="F835" s="58"/>
      <c r="G835" s="58"/>
      <c r="H835" s="58"/>
      <c r="I835" s="58"/>
      <c r="J835" s="58"/>
      <c r="K835" s="58"/>
      <c r="L835" s="58"/>
      <c r="M835" s="58"/>
      <c r="N835" s="58"/>
      <c r="O835" s="58"/>
      <c r="P835" s="58"/>
      <c r="Q835" s="58"/>
      <c r="R835" s="58"/>
      <c r="S835" s="58"/>
      <c r="T835" s="58"/>
      <c r="U835" s="58"/>
      <c r="V835" s="58"/>
      <c r="W835" s="58"/>
      <c r="X835" s="58"/>
      <c r="Y835" s="58"/>
      <c r="Z835" s="58"/>
    </row>
    <row r="836" ht="15.75" customHeight="1">
      <c r="A836" s="86"/>
      <c r="B836" s="86"/>
      <c r="C836" s="86"/>
      <c r="D836" s="86"/>
      <c r="E836" s="86"/>
      <c r="F836" s="58"/>
      <c r="G836" s="58"/>
      <c r="H836" s="58"/>
      <c r="I836" s="58"/>
      <c r="J836" s="58"/>
      <c r="K836" s="58"/>
      <c r="L836" s="58"/>
      <c r="M836" s="58"/>
      <c r="N836" s="58"/>
      <c r="O836" s="58"/>
      <c r="P836" s="58"/>
      <c r="Q836" s="58"/>
      <c r="R836" s="58"/>
      <c r="S836" s="58"/>
      <c r="T836" s="58"/>
      <c r="U836" s="58"/>
      <c r="V836" s="58"/>
      <c r="W836" s="58"/>
      <c r="X836" s="58"/>
      <c r="Y836" s="58"/>
      <c r="Z836" s="58"/>
    </row>
    <row r="837" ht="15.75" customHeight="1">
      <c r="A837" s="86"/>
      <c r="B837" s="86"/>
      <c r="C837" s="86"/>
      <c r="D837" s="86"/>
      <c r="E837" s="86"/>
      <c r="F837" s="58"/>
      <c r="G837" s="58"/>
      <c r="H837" s="58"/>
      <c r="I837" s="58"/>
      <c r="J837" s="58"/>
      <c r="K837" s="58"/>
      <c r="L837" s="58"/>
      <c r="M837" s="58"/>
      <c r="N837" s="58"/>
      <c r="O837" s="58"/>
      <c r="P837" s="58"/>
      <c r="Q837" s="58"/>
      <c r="R837" s="58"/>
      <c r="S837" s="58"/>
      <c r="T837" s="58"/>
      <c r="U837" s="58"/>
      <c r="V837" s="58"/>
      <c r="W837" s="58"/>
      <c r="X837" s="58"/>
      <c r="Y837" s="58"/>
      <c r="Z837" s="58"/>
    </row>
    <row r="838" ht="15.75" customHeight="1">
      <c r="A838" s="86"/>
      <c r="B838" s="86"/>
      <c r="C838" s="86"/>
      <c r="D838" s="86"/>
      <c r="E838" s="86"/>
      <c r="F838" s="58"/>
      <c r="G838" s="58"/>
      <c r="H838" s="58"/>
      <c r="I838" s="58"/>
      <c r="J838" s="58"/>
      <c r="K838" s="58"/>
      <c r="L838" s="58"/>
      <c r="M838" s="58"/>
      <c r="N838" s="58"/>
      <c r="O838" s="58"/>
      <c r="P838" s="58"/>
      <c r="Q838" s="58"/>
      <c r="R838" s="58"/>
      <c r="S838" s="58"/>
      <c r="T838" s="58"/>
      <c r="U838" s="58"/>
      <c r="V838" s="58"/>
      <c r="W838" s="58"/>
      <c r="X838" s="58"/>
      <c r="Y838" s="58"/>
      <c r="Z838" s="58"/>
    </row>
    <row r="839" ht="15.75" customHeight="1">
      <c r="A839" s="86"/>
      <c r="B839" s="86"/>
      <c r="C839" s="86"/>
      <c r="D839" s="86"/>
      <c r="E839" s="86"/>
      <c r="F839" s="58"/>
      <c r="G839" s="58"/>
      <c r="H839" s="58"/>
      <c r="I839" s="58"/>
      <c r="J839" s="58"/>
      <c r="K839" s="58"/>
      <c r="L839" s="58"/>
      <c r="M839" s="58"/>
      <c r="N839" s="58"/>
      <c r="O839" s="58"/>
      <c r="P839" s="58"/>
      <c r="Q839" s="58"/>
      <c r="R839" s="58"/>
      <c r="S839" s="58"/>
      <c r="T839" s="58"/>
      <c r="U839" s="58"/>
      <c r="V839" s="58"/>
      <c r="W839" s="58"/>
      <c r="X839" s="58"/>
      <c r="Y839" s="58"/>
      <c r="Z839" s="58"/>
    </row>
    <row r="840" ht="15.75" customHeight="1">
      <c r="A840" s="86"/>
      <c r="B840" s="86"/>
      <c r="C840" s="86"/>
      <c r="D840" s="86"/>
      <c r="E840" s="86"/>
      <c r="F840" s="58"/>
      <c r="G840" s="58"/>
      <c r="H840" s="58"/>
      <c r="I840" s="58"/>
      <c r="J840" s="58"/>
      <c r="K840" s="58"/>
      <c r="L840" s="58"/>
      <c r="M840" s="58"/>
      <c r="N840" s="58"/>
      <c r="O840" s="58"/>
      <c r="P840" s="58"/>
      <c r="Q840" s="58"/>
      <c r="R840" s="58"/>
      <c r="S840" s="58"/>
      <c r="T840" s="58"/>
      <c r="U840" s="58"/>
      <c r="V840" s="58"/>
      <c r="W840" s="58"/>
      <c r="X840" s="58"/>
      <c r="Y840" s="58"/>
      <c r="Z840" s="58"/>
    </row>
    <row r="841" ht="15.75" customHeight="1">
      <c r="A841" s="86"/>
      <c r="B841" s="86"/>
      <c r="C841" s="86"/>
      <c r="D841" s="86"/>
      <c r="E841" s="86"/>
      <c r="F841" s="58"/>
      <c r="G841" s="58"/>
      <c r="H841" s="58"/>
      <c r="I841" s="58"/>
      <c r="J841" s="58"/>
      <c r="K841" s="58"/>
      <c r="L841" s="58"/>
      <c r="M841" s="58"/>
      <c r="N841" s="58"/>
      <c r="O841" s="58"/>
      <c r="P841" s="58"/>
      <c r="Q841" s="58"/>
      <c r="R841" s="58"/>
      <c r="S841" s="58"/>
      <c r="T841" s="58"/>
      <c r="U841" s="58"/>
      <c r="V841" s="58"/>
      <c r="W841" s="58"/>
      <c r="X841" s="58"/>
      <c r="Y841" s="58"/>
      <c r="Z841" s="58"/>
    </row>
    <row r="842" ht="15.75" customHeight="1">
      <c r="A842" s="86"/>
      <c r="B842" s="86"/>
      <c r="C842" s="86"/>
      <c r="D842" s="86"/>
      <c r="E842" s="86"/>
      <c r="F842" s="58"/>
      <c r="G842" s="58"/>
      <c r="H842" s="58"/>
      <c r="I842" s="58"/>
      <c r="J842" s="58"/>
      <c r="K842" s="58"/>
      <c r="L842" s="58"/>
      <c r="M842" s="58"/>
      <c r="N842" s="58"/>
      <c r="O842" s="58"/>
      <c r="P842" s="58"/>
      <c r="Q842" s="58"/>
      <c r="R842" s="58"/>
      <c r="S842" s="58"/>
      <c r="T842" s="58"/>
      <c r="U842" s="58"/>
      <c r="V842" s="58"/>
      <c r="W842" s="58"/>
      <c r="X842" s="58"/>
      <c r="Y842" s="58"/>
      <c r="Z842" s="58"/>
    </row>
    <row r="843" ht="15.75" customHeight="1">
      <c r="A843" s="86"/>
      <c r="B843" s="86"/>
      <c r="C843" s="86"/>
      <c r="D843" s="86"/>
      <c r="E843" s="86"/>
      <c r="F843" s="58"/>
      <c r="G843" s="58"/>
      <c r="H843" s="58"/>
      <c r="I843" s="58"/>
      <c r="J843" s="58"/>
      <c r="K843" s="58"/>
      <c r="L843" s="58"/>
      <c r="M843" s="58"/>
      <c r="N843" s="58"/>
      <c r="O843" s="58"/>
      <c r="P843" s="58"/>
      <c r="Q843" s="58"/>
      <c r="R843" s="58"/>
      <c r="S843" s="58"/>
      <c r="T843" s="58"/>
      <c r="U843" s="58"/>
      <c r="V843" s="58"/>
      <c r="W843" s="58"/>
      <c r="X843" s="58"/>
      <c r="Y843" s="58"/>
      <c r="Z843" s="58"/>
    </row>
    <row r="844" ht="15.75" customHeight="1">
      <c r="A844" s="86"/>
      <c r="B844" s="86"/>
      <c r="C844" s="86"/>
      <c r="D844" s="86"/>
      <c r="E844" s="86"/>
      <c r="F844" s="58"/>
      <c r="G844" s="58"/>
      <c r="H844" s="58"/>
      <c r="I844" s="58"/>
      <c r="J844" s="58"/>
      <c r="K844" s="58"/>
      <c r="L844" s="58"/>
      <c r="M844" s="58"/>
      <c r="N844" s="58"/>
      <c r="O844" s="58"/>
      <c r="P844" s="58"/>
      <c r="Q844" s="58"/>
      <c r="R844" s="58"/>
      <c r="S844" s="58"/>
      <c r="T844" s="58"/>
      <c r="U844" s="58"/>
      <c r="V844" s="58"/>
      <c r="W844" s="58"/>
      <c r="X844" s="58"/>
      <c r="Y844" s="58"/>
      <c r="Z844" s="58"/>
    </row>
    <row r="845" ht="15.75" customHeight="1">
      <c r="A845" s="86"/>
      <c r="B845" s="86"/>
      <c r="C845" s="86"/>
      <c r="D845" s="86"/>
      <c r="E845" s="86"/>
      <c r="F845" s="58"/>
      <c r="G845" s="58"/>
      <c r="H845" s="58"/>
      <c r="I845" s="58"/>
      <c r="J845" s="58"/>
      <c r="K845" s="58"/>
      <c r="L845" s="58"/>
      <c r="M845" s="58"/>
      <c r="N845" s="58"/>
      <c r="O845" s="58"/>
      <c r="P845" s="58"/>
      <c r="Q845" s="58"/>
      <c r="R845" s="58"/>
      <c r="S845" s="58"/>
      <c r="T845" s="58"/>
      <c r="U845" s="58"/>
      <c r="V845" s="58"/>
      <c r="W845" s="58"/>
      <c r="X845" s="58"/>
      <c r="Y845" s="58"/>
      <c r="Z845" s="58"/>
    </row>
    <row r="846" ht="15.75" customHeight="1">
      <c r="A846" s="86"/>
      <c r="B846" s="86"/>
      <c r="C846" s="86"/>
      <c r="D846" s="86"/>
      <c r="E846" s="86"/>
      <c r="F846" s="58"/>
      <c r="G846" s="58"/>
      <c r="H846" s="58"/>
      <c r="I846" s="58"/>
      <c r="J846" s="58"/>
      <c r="K846" s="58"/>
      <c r="L846" s="58"/>
      <c r="M846" s="58"/>
      <c r="N846" s="58"/>
      <c r="O846" s="58"/>
      <c r="P846" s="58"/>
      <c r="Q846" s="58"/>
      <c r="R846" s="58"/>
      <c r="S846" s="58"/>
      <c r="T846" s="58"/>
      <c r="U846" s="58"/>
      <c r="V846" s="58"/>
      <c r="W846" s="58"/>
      <c r="X846" s="58"/>
      <c r="Y846" s="58"/>
      <c r="Z846" s="58"/>
    </row>
    <row r="847" ht="15.75" customHeight="1">
      <c r="A847" s="86"/>
      <c r="B847" s="86"/>
      <c r="C847" s="86"/>
      <c r="D847" s="86"/>
      <c r="E847" s="86"/>
      <c r="F847" s="58"/>
      <c r="G847" s="58"/>
      <c r="H847" s="58"/>
      <c r="I847" s="58"/>
      <c r="J847" s="58"/>
      <c r="K847" s="58"/>
      <c r="L847" s="58"/>
      <c r="M847" s="58"/>
      <c r="N847" s="58"/>
      <c r="O847" s="58"/>
      <c r="P847" s="58"/>
      <c r="Q847" s="58"/>
      <c r="R847" s="58"/>
      <c r="S847" s="58"/>
      <c r="T847" s="58"/>
      <c r="U847" s="58"/>
      <c r="V847" s="58"/>
      <c r="W847" s="58"/>
      <c r="X847" s="58"/>
      <c r="Y847" s="58"/>
      <c r="Z847" s="58"/>
    </row>
    <row r="848" ht="15.75" customHeight="1">
      <c r="A848" s="86"/>
      <c r="B848" s="86"/>
      <c r="C848" s="86"/>
      <c r="D848" s="86"/>
      <c r="E848" s="86"/>
      <c r="F848" s="58"/>
      <c r="G848" s="58"/>
      <c r="H848" s="58"/>
      <c r="I848" s="58"/>
      <c r="J848" s="58"/>
      <c r="K848" s="58"/>
      <c r="L848" s="58"/>
      <c r="M848" s="58"/>
      <c r="N848" s="58"/>
      <c r="O848" s="58"/>
      <c r="P848" s="58"/>
      <c r="Q848" s="58"/>
      <c r="R848" s="58"/>
      <c r="S848" s="58"/>
      <c r="T848" s="58"/>
      <c r="U848" s="58"/>
      <c r="V848" s="58"/>
      <c r="W848" s="58"/>
      <c r="X848" s="58"/>
      <c r="Y848" s="58"/>
      <c r="Z848" s="58"/>
    </row>
    <row r="849" ht="15.75" customHeight="1">
      <c r="A849" s="86"/>
      <c r="B849" s="86"/>
      <c r="C849" s="86"/>
      <c r="D849" s="86"/>
      <c r="E849" s="86"/>
      <c r="F849" s="58"/>
      <c r="G849" s="58"/>
      <c r="H849" s="58"/>
      <c r="I849" s="58"/>
      <c r="J849" s="58"/>
      <c r="K849" s="58"/>
      <c r="L849" s="58"/>
      <c r="M849" s="58"/>
      <c r="N849" s="58"/>
      <c r="O849" s="58"/>
      <c r="P849" s="58"/>
      <c r="Q849" s="58"/>
      <c r="R849" s="58"/>
      <c r="S849" s="58"/>
      <c r="T849" s="58"/>
      <c r="U849" s="58"/>
      <c r="V849" s="58"/>
      <c r="W849" s="58"/>
      <c r="X849" s="58"/>
      <c r="Y849" s="58"/>
      <c r="Z849" s="58"/>
    </row>
    <row r="850" ht="15.75" customHeight="1">
      <c r="A850" s="86"/>
      <c r="B850" s="86"/>
      <c r="C850" s="86"/>
      <c r="D850" s="86"/>
      <c r="E850" s="86"/>
      <c r="F850" s="58"/>
      <c r="G850" s="58"/>
      <c r="H850" s="58"/>
      <c r="I850" s="58"/>
      <c r="J850" s="58"/>
      <c r="K850" s="58"/>
      <c r="L850" s="58"/>
      <c r="M850" s="58"/>
      <c r="N850" s="58"/>
      <c r="O850" s="58"/>
      <c r="P850" s="58"/>
      <c r="Q850" s="58"/>
      <c r="R850" s="58"/>
      <c r="S850" s="58"/>
      <c r="T850" s="58"/>
      <c r="U850" s="58"/>
      <c r="V850" s="58"/>
      <c r="W850" s="58"/>
      <c r="X850" s="58"/>
      <c r="Y850" s="58"/>
      <c r="Z850" s="58"/>
    </row>
    <row r="851" ht="15.75" customHeight="1">
      <c r="A851" s="86"/>
      <c r="B851" s="86"/>
      <c r="C851" s="86"/>
      <c r="D851" s="86"/>
      <c r="E851" s="86"/>
      <c r="F851" s="58"/>
      <c r="G851" s="58"/>
      <c r="H851" s="58"/>
      <c r="I851" s="58"/>
      <c r="J851" s="58"/>
      <c r="K851" s="58"/>
      <c r="L851" s="58"/>
      <c r="M851" s="58"/>
      <c r="N851" s="58"/>
      <c r="O851" s="58"/>
      <c r="P851" s="58"/>
      <c r="Q851" s="58"/>
      <c r="R851" s="58"/>
      <c r="S851" s="58"/>
      <c r="T851" s="58"/>
      <c r="U851" s="58"/>
      <c r="V851" s="58"/>
      <c r="W851" s="58"/>
      <c r="X851" s="58"/>
      <c r="Y851" s="58"/>
      <c r="Z851" s="58"/>
    </row>
    <row r="852" ht="15.75" customHeight="1">
      <c r="A852" s="86"/>
      <c r="B852" s="86"/>
      <c r="C852" s="86"/>
      <c r="D852" s="86"/>
      <c r="E852" s="86"/>
      <c r="F852" s="58"/>
      <c r="G852" s="58"/>
      <c r="H852" s="58"/>
      <c r="I852" s="58"/>
      <c r="J852" s="58"/>
      <c r="K852" s="58"/>
      <c r="L852" s="58"/>
      <c r="M852" s="58"/>
      <c r="N852" s="58"/>
      <c r="O852" s="58"/>
      <c r="P852" s="58"/>
      <c r="Q852" s="58"/>
      <c r="R852" s="58"/>
      <c r="S852" s="58"/>
      <c r="T852" s="58"/>
      <c r="U852" s="58"/>
      <c r="V852" s="58"/>
      <c r="W852" s="58"/>
      <c r="X852" s="58"/>
      <c r="Y852" s="58"/>
      <c r="Z852" s="58"/>
    </row>
    <row r="853" ht="15.75" customHeight="1">
      <c r="A853" s="86"/>
      <c r="B853" s="86"/>
      <c r="C853" s="86"/>
      <c r="D853" s="86"/>
      <c r="E853" s="86"/>
      <c r="F853" s="58"/>
      <c r="G853" s="58"/>
      <c r="H853" s="58"/>
      <c r="I853" s="58"/>
      <c r="J853" s="58"/>
      <c r="K853" s="58"/>
      <c r="L853" s="58"/>
      <c r="M853" s="58"/>
      <c r="N853" s="58"/>
      <c r="O853" s="58"/>
      <c r="P853" s="58"/>
      <c r="Q853" s="58"/>
      <c r="R853" s="58"/>
      <c r="S853" s="58"/>
      <c r="T853" s="58"/>
      <c r="U853" s="58"/>
      <c r="V853" s="58"/>
      <c r="W853" s="58"/>
      <c r="X853" s="58"/>
      <c r="Y853" s="58"/>
      <c r="Z853" s="58"/>
    </row>
    <row r="854" ht="15.75" customHeight="1">
      <c r="A854" s="86"/>
      <c r="B854" s="86"/>
      <c r="C854" s="86"/>
      <c r="D854" s="86"/>
      <c r="E854" s="86"/>
      <c r="F854" s="58"/>
      <c r="G854" s="58"/>
      <c r="H854" s="58"/>
      <c r="I854" s="58"/>
      <c r="J854" s="58"/>
      <c r="K854" s="58"/>
      <c r="L854" s="58"/>
      <c r="M854" s="58"/>
      <c r="N854" s="58"/>
      <c r="O854" s="58"/>
      <c r="P854" s="58"/>
      <c r="Q854" s="58"/>
      <c r="R854" s="58"/>
      <c r="S854" s="58"/>
      <c r="T854" s="58"/>
      <c r="U854" s="58"/>
      <c r="V854" s="58"/>
      <c r="W854" s="58"/>
      <c r="X854" s="58"/>
      <c r="Y854" s="58"/>
      <c r="Z854" s="58"/>
    </row>
    <row r="855" ht="15.75" customHeight="1">
      <c r="A855" s="86"/>
      <c r="B855" s="86"/>
      <c r="C855" s="86"/>
      <c r="D855" s="86"/>
      <c r="E855" s="86"/>
      <c r="F855" s="58"/>
      <c r="G855" s="58"/>
      <c r="H855" s="58"/>
      <c r="I855" s="58"/>
      <c r="J855" s="58"/>
      <c r="K855" s="58"/>
      <c r="L855" s="58"/>
      <c r="M855" s="58"/>
      <c r="N855" s="58"/>
      <c r="O855" s="58"/>
      <c r="P855" s="58"/>
      <c r="Q855" s="58"/>
      <c r="R855" s="58"/>
      <c r="S855" s="58"/>
      <c r="T855" s="58"/>
      <c r="U855" s="58"/>
      <c r="V855" s="58"/>
      <c r="W855" s="58"/>
      <c r="X855" s="58"/>
      <c r="Y855" s="58"/>
      <c r="Z855" s="58"/>
    </row>
    <row r="856" ht="15.75" customHeight="1">
      <c r="A856" s="86"/>
      <c r="B856" s="86"/>
      <c r="C856" s="86"/>
      <c r="D856" s="86"/>
      <c r="E856" s="86"/>
      <c r="F856" s="58"/>
      <c r="G856" s="58"/>
      <c r="H856" s="58"/>
      <c r="I856" s="58"/>
      <c r="J856" s="58"/>
      <c r="K856" s="58"/>
      <c r="L856" s="58"/>
      <c r="M856" s="58"/>
      <c r="N856" s="58"/>
      <c r="O856" s="58"/>
      <c r="P856" s="58"/>
      <c r="Q856" s="58"/>
      <c r="R856" s="58"/>
      <c r="S856" s="58"/>
      <c r="T856" s="58"/>
      <c r="U856" s="58"/>
      <c r="V856" s="58"/>
      <c r="W856" s="58"/>
      <c r="X856" s="58"/>
      <c r="Y856" s="58"/>
      <c r="Z856" s="58"/>
    </row>
    <row r="857" ht="15.75" customHeight="1">
      <c r="A857" s="86"/>
      <c r="B857" s="86"/>
      <c r="C857" s="86"/>
      <c r="D857" s="86"/>
      <c r="E857" s="86"/>
      <c r="F857" s="58"/>
      <c r="G857" s="58"/>
      <c r="H857" s="58"/>
      <c r="I857" s="58"/>
      <c r="J857" s="58"/>
      <c r="K857" s="58"/>
      <c r="L857" s="58"/>
      <c r="M857" s="58"/>
      <c r="N857" s="58"/>
      <c r="O857" s="58"/>
      <c r="P857" s="58"/>
      <c r="Q857" s="58"/>
      <c r="R857" s="58"/>
      <c r="S857" s="58"/>
      <c r="T857" s="58"/>
      <c r="U857" s="58"/>
      <c r="V857" s="58"/>
      <c r="W857" s="58"/>
      <c r="X857" s="58"/>
      <c r="Y857" s="58"/>
      <c r="Z857" s="58"/>
    </row>
    <row r="858" ht="15.75" customHeight="1">
      <c r="A858" s="86"/>
      <c r="B858" s="86"/>
      <c r="C858" s="86"/>
      <c r="D858" s="86"/>
      <c r="E858" s="86"/>
      <c r="F858" s="58"/>
      <c r="G858" s="58"/>
      <c r="H858" s="58"/>
      <c r="I858" s="58"/>
      <c r="J858" s="58"/>
      <c r="K858" s="58"/>
      <c r="L858" s="58"/>
      <c r="M858" s="58"/>
      <c r="N858" s="58"/>
      <c r="O858" s="58"/>
      <c r="P858" s="58"/>
      <c r="Q858" s="58"/>
      <c r="R858" s="58"/>
      <c r="S858" s="58"/>
      <c r="T858" s="58"/>
      <c r="U858" s="58"/>
      <c r="V858" s="58"/>
      <c r="W858" s="58"/>
      <c r="X858" s="58"/>
      <c r="Y858" s="58"/>
      <c r="Z858" s="58"/>
    </row>
    <row r="859" ht="15.75" customHeight="1">
      <c r="A859" s="86"/>
      <c r="B859" s="86"/>
      <c r="C859" s="86"/>
      <c r="D859" s="86"/>
      <c r="E859" s="86"/>
      <c r="F859" s="58"/>
      <c r="G859" s="58"/>
      <c r="H859" s="58"/>
      <c r="I859" s="58"/>
      <c r="J859" s="58"/>
      <c r="K859" s="58"/>
      <c r="L859" s="58"/>
      <c r="M859" s="58"/>
      <c r="N859" s="58"/>
      <c r="O859" s="58"/>
      <c r="P859" s="58"/>
      <c r="Q859" s="58"/>
      <c r="R859" s="58"/>
      <c r="S859" s="58"/>
      <c r="T859" s="58"/>
      <c r="U859" s="58"/>
      <c r="V859" s="58"/>
      <c r="W859" s="58"/>
      <c r="X859" s="58"/>
      <c r="Y859" s="58"/>
      <c r="Z859" s="58"/>
    </row>
    <row r="860" ht="15.75" customHeight="1">
      <c r="A860" s="86"/>
      <c r="B860" s="86"/>
      <c r="C860" s="86"/>
      <c r="D860" s="86"/>
      <c r="E860" s="86"/>
      <c r="F860" s="58"/>
      <c r="G860" s="58"/>
      <c r="H860" s="58"/>
      <c r="I860" s="58"/>
      <c r="J860" s="58"/>
      <c r="K860" s="58"/>
      <c r="L860" s="58"/>
      <c r="M860" s="58"/>
      <c r="N860" s="58"/>
      <c r="O860" s="58"/>
      <c r="P860" s="58"/>
      <c r="Q860" s="58"/>
      <c r="R860" s="58"/>
      <c r="S860" s="58"/>
      <c r="T860" s="58"/>
      <c r="U860" s="58"/>
      <c r="V860" s="58"/>
      <c r="W860" s="58"/>
      <c r="X860" s="58"/>
      <c r="Y860" s="58"/>
      <c r="Z860" s="58"/>
    </row>
    <row r="861" ht="15.75" customHeight="1">
      <c r="A861" s="86"/>
      <c r="B861" s="86"/>
      <c r="C861" s="86"/>
      <c r="D861" s="86"/>
      <c r="E861" s="86"/>
      <c r="F861" s="58"/>
      <c r="G861" s="58"/>
      <c r="H861" s="58"/>
      <c r="I861" s="58"/>
      <c r="J861" s="58"/>
      <c r="K861" s="58"/>
      <c r="L861" s="58"/>
      <c r="M861" s="58"/>
      <c r="N861" s="58"/>
      <c r="O861" s="58"/>
      <c r="P861" s="58"/>
      <c r="Q861" s="58"/>
      <c r="R861" s="58"/>
      <c r="S861" s="58"/>
      <c r="T861" s="58"/>
      <c r="U861" s="58"/>
      <c r="V861" s="58"/>
      <c r="W861" s="58"/>
      <c r="X861" s="58"/>
      <c r="Y861" s="58"/>
      <c r="Z861" s="58"/>
    </row>
    <row r="862" ht="15.75" customHeight="1">
      <c r="A862" s="86"/>
      <c r="B862" s="86"/>
      <c r="C862" s="86"/>
      <c r="D862" s="86"/>
      <c r="E862" s="86"/>
      <c r="F862" s="58"/>
      <c r="G862" s="58"/>
      <c r="H862" s="58"/>
      <c r="I862" s="58"/>
      <c r="J862" s="58"/>
      <c r="K862" s="58"/>
      <c r="L862" s="58"/>
      <c r="M862" s="58"/>
      <c r="N862" s="58"/>
      <c r="O862" s="58"/>
      <c r="P862" s="58"/>
      <c r="Q862" s="58"/>
      <c r="R862" s="58"/>
      <c r="S862" s="58"/>
      <c r="T862" s="58"/>
      <c r="U862" s="58"/>
      <c r="V862" s="58"/>
      <c r="W862" s="58"/>
      <c r="X862" s="58"/>
      <c r="Y862" s="58"/>
      <c r="Z862" s="58"/>
    </row>
    <row r="863" ht="15.75" customHeight="1">
      <c r="A863" s="86"/>
      <c r="B863" s="86"/>
      <c r="C863" s="86"/>
      <c r="D863" s="86"/>
      <c r="E863" s="86"/>
      <c r="F863" s="58"/>
      <c r="G863" s="58"/>
      <c r="H863" s="58"/>
      <c r="I863" s="58"/>
      <c r="J863" s="58"/>
      <c r="K863" s="58"/>
      <c r="L863" s="58"/>
      <c r="M863" s="58"/>
      <c r="N863" s="58"/>
      <c r="O863" s="58"/>
      <c r="P863" s="58"/>
      <c r="Q863" s="58"/>
      <c r="R863" s="58"/>
      <c r="S863" s="58"/>
      <c r="T863" s="58"/>
      <c r="U863" s="58"/>
      <c r="V863" s="58"/>
      <c r="W863" s="58"/>
      <c r="X863" s="58"/>
      <c r="Y863" s="58"/>
      <c r="Z863" s="58"/>
    </row>
    <row r="864" ht="15.75" customHeight="1">
      <c r="A864" s="86"/>
      <c r="B864" s="86"/>
      <c r="C864" s="86"/>
      <c r="D864" s="86"/>
      <c r="E864" s="86"/>
      <c r="F864" s="58"/>
      <c r="G864" s="58"/>
      <c r="H864" s="58"/>
      <c r="I864" s="58"/>
      <c r="J864" s="58"/>
      <c r="K864" s="58"/>
      <c r="L864" s="58"/>
      <c r="M864" s="58"/>
      <c r="N864" s="58"/>
      <c r="O864" s="58"/>
      <c r="P864" s="58"/>
      <c r="Q864" s="58"/>
      <c r="R864" s="58"/>
      <c r="S864" s="58"/>
      <c r="T864" s="58"/>
      <c r="U864" s="58"/>
      <c r="V864" s="58"/>
      <c r="W864" s="58"/>
      <c r="X864" s="58"/>
      <c r="Y864" s="58"/>
      <c r="Z864" s="58"/>
    </row>
    <row r="865" ht="15.75" customHeight="1">
      <c r="A865" s="86"/>
      <c r="B865" s="86"/>
      <c r="C865" s="86"/>
      <c r="D865" s="86"/>
      <c r="E865" s="86"/>
      <c r="F865" s="58"/>
      <c r="G865" s="58"/>
      <c r="H865" s="58"/>
      <c r="I865" s="58"/>
      <c r="J865" s="58"/>
      <c r="K865" s="58"/>
      <c r="L865" s="58"/>
      <c r="M865" s="58"/>
      <c r="N865" s="58"/>
      <c r="O865" s="58"/>
      <c r="P865" s="58"/>
      <c r="Q865" s="58"/>
      <c r="R865" s="58"/>
      <c r="S865" s="58"/>
      <c r="T865" s="58"/>
      <c r="U865" s="58"/>
      <c r="V865" s="58"/>
      <c r="W865" s="58"/>
      <c r="X865" s="58"/>
      <c r="Y865" s="58"/>
      <c r="Z865" s="58"/>
    </row>
    <row r="866" ht="15.75" customHeight="1">
      <c r="A866" s="86"/>
      <c r="B866" s="86"/>
      <c r="C866" s="86"/>
      <c r="D866" s="86"/>
      <c r="E866" s="86"/>
      <c r="F866" s="58"/>
      <c r="G866" s="58"/>
      <c r="H866" s="58"/>
      <c r="I866" s="58"/>
      <c r="J866" s="58"/>
      <c r="K866" s="58"/>
      <c r="L866" s="58"/>
      <c r="M866" s="58"/>
      <c r="N866" s="58"/>
      <c r="O866" s="58"/>
      <c r="P866" s="58"/>
      <c r="Q866" s="58"/>
      <c r="R866" s="58"/>
      <c r="S866" s="58"/>
      <c r="T866" s="58"/>
      <c r="U866" s="58"/>
      <c r="V866" s="58"/>
      <c r="W866" s="58"/>
      <c r="X866" s="58"/>
      <c r="Y866" s="58"/>
      <c r="Z866" s="58"/>
    </row>
    <row r="867" ht="15.75" customHeight="1">
      <c r="A867" s="86"/>
      <c r="B867" s="86"/>
      <c r="C867" s="86"/>
      <c r="D867" s="86"/>
      <c r="E867" s="86"/>
      <c r="F867" s="58"/>
      <c r="G867" s="58"/>
      <c r="H867" s="58"/>
      <c r="I867" s="58"/>
      <c r="J867" s="58"/>
      <c r="K867" s="58"/>
      <c r="L867" s="58"/>
      <c r="M867" s="58"/>
      <c r="N867" s="58"/>
      <c r="O867" s="58"/>
      <c r="P867" s="58"/>
      <c r="Q867" s="58"/>
      <c r="R867" s="58"/>
      <c r="S867" s="58"/>
      <c r="T867" s="58"/>
      <c r="U867" s="58"/>
      <c r="V867" s="58"/>
      <c r="W867" s="58"/>
      <c r="X867" s="58"/>
      <c r="Y867" s="58"/>
      <c r="Z867" s="58"/>
    </row>
    <row r="868" ht="15.75" customHeight="1">
      <c r="A868" s="86"/>
      <c r="B868" s="86"/>
      <c r="C868" s="86"/>
      <c r="D868" s="86"/>
      <c r="E868" s="86"/>
      <c r="F868" s="58"/>
      <c r="G868" s="58"/>
      <c r="H868" s="58"/>
      <c r="I868" s="58"/>
      <c r="J868" s="58"/>
      <c r="K868" s="58"/>
      <c r="L868" s="58"/>
      <c r="M868" s="58"/>
      <c r="N868" s="58"/>
      <c r="O868" s="58"/>
      <c r="P868" s="58"/>
      <c r="Q868" s="58"/>
      <c r="R868" s="58"/>
      <c r="S868" s="58"/>
      <c r="T868" s="58"/>
      <c r="U868" s="58"/>
      <c r="V868" s="58"/>
      <c r="W868" s="58"/>
      <c r="X868" s="58"/>
      <c r="Y868" s="58"/>
      <c r="Z868" s="58"/>
    </row>
    <row r="869" ht="15.75" customHeight="1">
      <c r="A869" s="86"/>
      <c r="B869" s="86"/>
      <c r="C869" s="86"/>
      <c r="D869" s="86"/>
      <c r="E869" s="86"/>
      <c r="F869" s="58"/>
      <c r="G869" s="58"/>
      <c r="H869" s="58"/>
      <c r="I869" s="58"/>
      <c r="J869" s="58"/>
      <c r="K869" s="58"/>
      <c r="L869" s="58"/>
      <c r="M869" s="58"/>
      <c r="N869" s="58"/>
      <c r="O869" s="58"/>
      <c r="P869" s="58"/>
      <c r="Q869" s="58"/>
      <c r="R869" s="58"/>
      <c r="S869" s="58"/>
      <c r="T869" s="58"/>
      <c r="U869" s="58"/>
      <c r="V869" s="58"/>
      <c r="W869" s="58"/>
      <c r="X869" s="58"/>
      <c r="Y869" s="58"/>
      <c r="Z869" s="58"/>
    </row>
    <row r="870" ht="15.75" customHeight="1">
      <c r="A870" s="86"/>
      <c r="B870" s="86"/>
      <c r="C870" s="86"/>
      <c r="D870" s="86"/>
      <c r="E870" s="86"/>
      <c r="F870" s="58"/>
      <c r="G870" s="58"/>
      <c r="H870" s="58"/>
      <c r="I870" s="58"/>
      <c r="J870" s="58"/>
      <c r="K870" s="58"/>
      <c r="L870" s="58"/>
      <c r="M870" s="58"/>
      <c r="N870" s="58"/>
      <c r="O870" s="58"/>
      <c r="P870" s="58"/>
      <c r="Q870" s="58"/>
      <c r="R870" s="58"/>
      <c r="S870" s="58"/>
      <c r="T870" s="58"/>
      <c r="U870" s="58"/>
      <c r="V870" s="58"/>
      <c r="W870" s="58"/>
      <c r="X870" s="58"/>
      <c r="Y870" s="58"/>
      <c r="Z870" s="58"/>
    </row>
    <row r="871" ht="15.75" customHeight="1">
      <c r="A871" s="86"/>
      <c r="B871" s="86"/>
      <c r="C871" s="86"/>
      <c r="D871" s="86"/>
      <c r="E871" s="86"/>
      <c r="F871" s="58"/>
      <c r="G871" s="58"/>
      <c r="H871" s="58"/>
      <c r="I871" s="58"/>
      <c r="J871" s="58"/>
      <c r="K871" s="58"/>
      <c r="L871" s="58"/>
      <c r="M871" s="58"/>
      <c r="N871" s="58"/>
      <c r="O871" s="58"/>
      <c r="P871" s="58"/>
      <c r="Q871" s="58"/>
      <c r="R871" s="58"/>
      <c r="S871" s="58"/>
      <c r="T871" s="58"/>
      <c r="U871" s="58"/>
      <c r="V871" s="58"/>
      <c r="W871" s="58"/>
      <c r="X871" s="58"/>
      <c r="Y871" s="58"/>
      <c r="Z871" s="58"/>
    </row>
    <row r="872" ht="15.75" customHeight="1">
      <c r="A872" s="86"/>
      <c r="B872" s="86"/>
      <c r="C872" s="86"/>
      <c r="D872" s="86"/>
      <c r="E872" s="86"/>
      <c r="F872" s="58"/>
      <c r="G872" s="58"/>
      <c r="H872" s="58"/>
      <c r="I872" s="58"/>
      <c r="J872" s="58"/>
      <c r="K872" s="58"/>
      <c r="L872" s="58"/>
      <c r="M872" s="58"/>
      <c r="N872" s="58"/>
      <c r="O872" s="58"/>
      <c r="P872" s="58"/>
      <c r="Q872" s="58"/>
      <c r="R872" s="58"/>
      <c r="S872" s="58"/>
      <c r="T872" s="58"/>
      <c r="U872" s="58"/>
      <c r="V872" s="58"/>
      <c r="W872" s="58"/>
      <c r="X872" s="58"/>
      <c r="Y872" s="58"/>
      <c r="Z872" s="58"/>
    </row>
    <row r="873" ht="15.75" customHeight="1">
      <c r="A873" s="86"/>
      <c r="B873" s="86"/>
      <c r="C873" s="86"/>
      <c r="D873" s="86"/>
      <c r="E873" s="86"/>
      <c r="F873" s="58"/>
      <c r="G873" s="58"/>
      <c r="H873" s="58"/>
      <c r="I873" s="58"/>
      <c r="J873" s="58"/>
      <c r="K873" s="58"/>
      <c r="L873" s="58"/>
      <c r="M873" s="58"/>
      <c r="N873" s="58"/>
      <c r="O873" s="58"/>
      <c r="P873" s="58"/>
      <c r="Q873" s="58"/>
      <c r="R873" s="58"/>
      <c r="S873" s="58"/>
      <c r="T873" s="58"/>
      <c r="U873" s="58"/>
      <c r="V873" s="58"/>
      <c r="W873" s="58"/>
      <c r="X873" s="58"/>
      <c r="Y873" s="58"/>
      <c r="Z873" s="58"/>
    </row>
    <row r="874" ht="15.75" customHeight="1">
      <c r="A874" s="86"/>
      <c r="B874" s="86"/>
      <c r="C874" s="86"/>
      <c r="D874" s="86"/>
      <c r="E874" s="86"/>
      <c r="F874" s="58"/>
      <c r="G874" s="58"/>
      <c r="H874" s="58"/>
      <c r="I874" s="58"/>
      <c r="J874" s="58"/>
      <c r="K874" s="58"/>
      <c r="L874" s="58"/>
      <c r="M874" s="58"/>
      <c r="N874" s="58"/>
      <c r="O874" s="58"/>
      <c r="P874" s="58"/>
      <c r="Q874" s="58"/>
      <c r="R874" s="58"/>
      <c r="S874" s="58"/>
      <c r="T874" s="58"/>
      <c r="U874" s="58"/>
      <c r="V874" s="58"/>
      <c r="W874" s="58"/>
      <c r="X874" s="58"/>
      <c r="Y874" s="58"/>
      <c r="Z874" s="58"/>
    </row>
    <row r="875" ht="15.75" customHeight="1">
      <c r="A875" s="86"/>
      <c r="B875" s="86"/>
      <c r="C875" s="86"/>
      <c r="D875" s="86"/>
      <c r="E875" s="86"/>
      <c r="F875" s="58"/>
      <c r="G875" s="58"/>
      <c r="H875" s="58"/>
      <c r="I875" s="58"/>
      <c r="J875" s="58"/>
      <c r="K875" s="58"/>
      <c r="L875" s="58"/>
      <c r="M875" s="58"/>
      <c r="N875" s="58"/>
      <c r="O875" s="58"/>
      <c r="P875" s="58"/>
      <c r="Q875" s="58"/>
      <c r="R875" s="58"/>
      <c r="S875" s="58"/>
      <c r="T875" s="58"/>
      <c r="U875" s="58"/>
      <c r="V875" s="58"/>
      <c r="W875" s="58"/>
      <c r="X875" s="58"/>
      <c r="Y875" s="58"/>
      <c r="Z875" s="58"/>
    </row>
    <row r="876" ht="15.75" customHeight="1">
      <c r="A876" s="86"/>
      <c r="B876" s="86"/>
      <c r="C876" s="86"/>
      <c r="D876" s="86"/>
      <c r="E876" s="86"/>
      <c r="F876" s="58"/>
      <c r="G876" s="58"/>
      <c r="H876" s="58"/>
      <c r="I876" s="58"/>
      <c r="J876" s="58"/>
      <c r="K876" s="58"/>
      <c r="L876" s="58"/>
      <c r="M876" s="58"/>
      <c r="N876" s="58"/>
      <c r="O876" s="58"/>
      <c r="P876" s="58"/>
      <c r="Q876" s="58"/>
      <c r="R876" s="58"/>
      <c r="S876" s="58"/>
      <c r="T876" s="58"/>
      <c r="U876" s="58"/>
      <c r="V876" s="58"/>
      <c r="W876" s="58"/>
      <c r="X876" s="58"/>
      <c r="Y876" s="58"/>
      <c r="Z876" s="58"/>
    </row>
    <row r="877" ht="15.75" customHeight="1">
      <c r="A877" s="86"/>
      <c r="B877" s="86"/>
      <c r="C877" s="86"/>
      <c r="D877" s="86"/>
      <c r="E877" s="86"/>
      <c r="F877" s="58"/>
      <c r="G877" s="58"/>
      <c r="H877" s="58"/>
      <c r="I877" s="58"/>
      <c r="J877" s="58"/>
      <c r="K877" s="58"/>
      <c r="L877" s="58"/>
      <c r="M877" s="58"/>
      <c r="N877" s="58"/>
      <c r="O877" s="58"/>
      <c r="P877" s="58"/>
      <c r="Q877" s="58"/>
      <c r="R877" s="58"/>
      <c r="S877" s="58"/>
      <c r="T877" s="58"/>
      <c r="U877" s="58"/>
      <c r="V877" s="58"/>
      <c r="W877" s="58"/>
      <c r="X877" s="58"/>
      <c r="Y877" s="58"/>
      <c r="Z877" s="58"/>
    </row>
    <row r="878" ht="15.75" customHeight="1">
      <c r="A878" s="86"/>
      <c r="B878" s="86"/>
      <c r="C878" s="86"/>
      <c r="D878" s="86"/>
      <c r="E878" s="86"/>
      <c r="F878" s="58"/>
      <c r="G878" s="58"/>
      <c r="H878" s="58"/>
      <c r="I878" s="58"/>
      <c r="J878" s="58"/>
      <c r="K878" s="58"/>
      <c r="L878" s="58"/>
      <c r="M878" s="58"/>
      <c r="N878" s="58"/>
      <c r="O878" s="58"/>
      <c r="P878" s="58"/>
      <c r="Q878" s="58"/>
      <c r="R878" s="58"/>
      <c r="S878" s="58"/>
      <c r="T878" s="58"/>
      <c r="U878" s="58"/>
      <c r="V878" s="58"/>
      <c r="W878" s="58"/>
      <c r="X878" s="58"/>
      <c r="Y878" s="58"/>
      <c r="Z878" s="58"/>
    </row>
    <row r="879" ht="15.75" customHeight="1">
      <c r="A879" s="86"/>
      <c r="B879" s="86"/>
      <c r="C879" s="86"/>
      <c r="D879" s="86"/>
      <c r="E879" s="86"/>
      <c r="F879" s="58"/>
      <c r="G879" s="58"/>
      <c r="H879" s="58"/>
      <c r="I879" s="58"/>
      <c r="J879" s="58"/>
      <c r="K879" s="58"/>
      <c r="L879" s="58"/>
      <c r="M879" s="58"/>
      <c r="N879" s="58"/>
      <c r="O879" s="58"/>
      <c r="P879" s="58"/>
      <c r="Q879" s="58"/>
      <c r="R879" s="58"/>
      <c r="S879" s="58"/>
      <c r="T879" s="58"/>
      <c r="U879" s="58"/>
      <c r="V879" s="58"/>
      <c r="W879" s="58"/>
      <c r="X879" s="58"/>
      <c r="Y879" s="58"/>
      <c r="Z879" s="58"/>
    </row>
    <row r="880" ht="15.75" customHeight="1">
      <c r="A880" s="86"/>
      <c r="B880" s="86"/>
      <c r="C880" s="86"/>
      <c r="D880" s="86"/>
      <c r="E880" s="86"/>
      <c r="F880" s="58"/>
      <c r="G880" s="58"/>
      <c r="H880" s="58"/>
      <c r="I880" s="58"/>
      <c r="J880" s="58"/>
      <c r="K880" s="58"/>
      <c r="L880" s="58"/>
      <c r="M880" s="58"/>
      <c r="N880" s="58"/>
      <c r="O880" s="58"/>
      <c r="P880" s="58"/>
      <c r="Q880" s="58"/>
      <c r="R880" s="58"/>
      <c r="S880" s="58"/>
      <c r="T880" s="58"/>
      <c r="U880" s="58"/>
      <c r="V880" s="58"/>
      <c r="W880" s="58"/>
      <c r="X880" s="58"/>
      <c r="Y880" s="58"/>
      <c r="Z880" s="58"/>
    </row>
    <row r="881" ht="15.75" customHeight="1">
      <c r="A881" s="86"/>
      <c r="B881" s="86"/>
      <c r="C881" s="86"/>
      <c r="D881" s="86"/>
      <c r="E881" s="86"/>
      <c r="F881" s="58"/>
      <c r="G881" s="58"/>
      <c r="H881" s="58"/>
      <c r="I881" s="58"/>
      <c r="J881" s="58"/>
      <c r="K881" s="58"/>
      <c r="L881" s="58"/>
      <c r="M881" s="58"/>
      <c r="N881" s="58"/>
      <c r="O881" s="58"/>
      <c r="P881" s="58"/>
      <c r="Q881" s="58"/>
      <c r="R881" s="58"/>
      <c r="S881" s="58"/>
      <c r="T881" s="58"/>
      <c r="U881" s="58"/>
      <c r="V881" s="58"/>
      <c r="W881" s="58"/>
      <c r="X881" s="58"/>
      <c r="Y881" s="58"/>
      <c r="Z881" s="58"/>
    </row>
    <row r="882" ht="15.75" customHeight="1">
      <c r="A882" s="86"/>
      <c r="B882" s="86"/>
      <c r="C882" s="86"/>
      <c r="D882" s="86"/>
      <c r="E882" s="86"/>
      <c r="F882" s="58"/>
      <c r="G882" s="58"/>
      <c r="H882" s="58"/>
      <c r="I882" s="58"/>
      <c r="J882" s="58"/>
      <c r="K882" s="58"/>
      <c r="L882" s="58"/>
      <c r="M882" s="58"/>
      <c r="N882" s="58"/>
      <c r="O882" s="58"/>
      <c r="P882" s="58"/>
      <c r="Q882" s="58"/>
      <c r="R882" s="58"/>
      <c r="S882" s="58"/>
      <c r="T882" s="58"/>
      <c r="U882" s="58"/>
      <c r="V882" s="58"/>
      <c r="W882" s="58"/>
      <c r="X882" s="58"/>
      <c r="Y882" s="58"/>
      <c r="Z882" s="58"/>
    </row>
    <row r="883" ht="15.75" customHeight="1">
      <c r="A883" s="86"/>
      <c r="B883" s="86"/>
      <c r="C883" s="86"/>
      <c r="D883" s="86"/>
      <c r="E883" s="86"/>
      <c r="F883" s="58"/>
      <c r="G883" s="58"/>
      <c r="H883" s="58"/>
      <c r="I883" s="58"/>
      <c r="J883" s="58"/>
      <c r="K883" s="58"/>
      <c r="L883" s="58"/>
      <c r="M883" s="58"/>
      <c r="N883" s="58"/>
      <c r="O883" s="58"/>
      <c r="P883" s="58"/>
      <c r="Q883" s="58"/>
      <c r="R883" s="58"/>
      <c r="S883" s="58"/>
      <c r="T883" s="58"/>
      <c r="U883" s="58"/>
      <c r="V883" s="58"/>
      <c r="W883" s="58"/>
      <c r="X883" s="58"/>
      <c r="Y883" s="58"/>
      <c r="Z883" s="58"/>
    </row>
    <row r="884" ht="15.75" customHeight="1">
      <c r="A884" s="86"/>
      <c r="B884" s="86"/>
      <c r="C884" s="86"/>
      <c r="D884" s="86"/>
      <c r="E884" s="86"/>
      <c r="F884" s="58"/>
      <c r="G884" s="58"/>
      <c r="H884" s="58"/>
      <c r="I884" s="58"/>
      <c r="J884" s="58"/>
      <c r="K884" s="58"/>
      <c r="L884" s="58"/>
      <c r="M884" s="58"/>
      <c r="N884" s="58"/>
      <c r="O884" s="58"/>
      <c r="P884" s="58"/>
      <c r="Q884" s="58"/>
      <c r="R884" s="58"/>
      <c r="S884" s="58"/>
      <c r="T884" s="58"/>
      <c r="U884" s="58"/>
      <c r="V884" s="58"/>
      <c r="W884" s="58"/>
      <c r="X884" s="58"/>
      <c r="Y884" s="58"/>
      <c r="Z884" s="58"/>
    </row>
    <row r="885" ht="15.75" customHeight="1">
      <c r="A885" s="86"/>
      <c r="B885" s="86"/>
      <c r="C885" s="86"/>
      <c r="D885" s="86"/>
      <c r="E885" s="86"/>
      <c r="F885" s="58"/>
      <c r="G885" s="58"/>
      <c r="H885" s="58"/>
      <c r="I885" s="58"/>
      <c r="J885" s="58"/>
      <c r="K885" s="58"/>
      <c r="L885" s="58"/>
      <c r="M885" s="58"/>
      <c r="N885" s="58"/>
      <c r="O885" s="58"/>
      <c r="P885" s="58"/>
      <c r="Q885" s="58"/>
      <c r="R885" s="58"/>
      <c r="S885" s="58"/>
      <c r="T885" s="58"/>
      <c r="U885" s="58"/>
      <c r="V885" s="58"/>
      <c r="W885" s="58"/>
      <c r="X885" s="58"/>
      <c r="Y885" s="58"/>
      <c r="Z885" s="58"/>
    </row>
    <row r="886" ht="15.75" customHeight="1">
      <c r="A886" s="86"/>
      <c r="B886" s="86"/>
      <c r="C886" s="86"/>
      <c r="D886" s="86"/>
      <c r="E886" s="86"/>
      <c r="F886" s="58"/>
      <c r="G886" s="58"/>
      <c r="H886" s="58"/>
      <c r="I886" s="58"/>
      <c r="J886" s="58"/>
      <c r="K886" s="58"/>
      <c r="L886" s="58"/>
      <c r="M886" s="58"/>
      <c r="N886" s="58"/>
      <c r="O886" s="58"/>
      <c r="P886" s="58"/>
      <c r="Q886" s="58"/>
      <c r="R886" s="58"/>
      <c r="S886" s="58"/>
      <c r="T886" s="58"/>
      <c r="U886" s="58"/>
      <c r="V886" s="58"/>
      <c r="W886" s="58"/>
      <c r="X886" s="58"/>
      <c r="Y886" s="58"/>
      <c r="Z886" s="58"/>
    </row>
    <row r="887" ht="15.75" customHeight="1">
      <c r="A887" s="86"/>
      <c r="B887" s="86"/>
      <c r="C887" s="86"/>
      <c r="D887" s="86"/>
      <c r="E887" s="86"/>
      <c r="F887" s="58"/>
      <c r="G887" s="58"/>
      <c r="H887" s="58"/>
      <c r="I887" s="58"/>
      <c r="J887" s="58"/>
      <c r="K887" s="58"/>
      <c r="L887" s="58"/>
      <c r="M887" s="58"/>
      <c r="N887" s="58"/>
      <c r="O887" s="58"/>
      <c r="P887" s="58"/>
      <c r="Q887" s="58"/>
      <c r="R887" s="58"/>
      <c r="S887" s="58"/>
      <c r="T887" s="58"/>
      <c r="U887" s="58"/>
      <c r="V887" s="58"/>
      <c r="W887" s="58"/>
      <c r="X887" s="58"/>
      <c r="Y887" s="58"/>
      <c r="Z887" s="58"/>
    </row>
    <row r="888" ht="15.75" customHeight="1">
      <c r="A888" s="86"/>
      <c r="B888" s="86"/>
      <c r="C888" s="86"/>
      <c r="D888" s="86"/>
      <c r="E888" s="86"/>
      <c r="F888" s="58"/>
      <c r="G888" s="58"/>
      <c r="H888" s="58"/>
      <c r="I888" s="58"/>
      <c r="J888" s="58"/>
      <c r="K888" s="58"/>
      <c r="L888" s="58"/>
      <c r="M888" s="58"/>
      <c r="N888" s="58"/>
      <c r="O888" s="58"/>
      <c r="P888" s="58"/>
      <c r="Q888" s="58"/>
      <c r="R888" s="58"/>
      <c r="S888" s="58"/>
      <c r="T888" s="58"/>
      <c r="U888" s="58"/>
      <c r="V888" s="58"/>
      <c r="W888" s="58"/>
      <c r="X888" s="58"/>
      <c r="Y888" s="58"/>
      <c r="Z888" s="58"/>
    </row>
    <row r="889" ht="15.75" customHeight="1">
      <c r="A889" s="86"/>
      <c r="B889" s="86"/>
      <c r="C889" s="86"/>
      <c r="D889" s="86"/>
      <c r="E889" s="86"/>
      <c r="F889" s="58"/>
      <c r="G889" s="58"/>
      <c r="H889" s="58"/>
      <c r="I889" s="58"/>
      <c r="J889" s="58"/>
      <c r="K889" s="58"/>
      <c r="L889" s="58"/>
      <c r="M889" s="58"/>
      <c r="N889" s="58"/>
      <c r="O889" s="58"/>
      <c r="P889" s="58"/>
      <c r="Q889" s="58"/>
      <c r="R889" s="58"/>
      <c r="S889" s="58"/>
      <c r="T889" s="58"/>
      <c r="U889" s="58"/>
      <c r="V889" s="58"/>
      <c r="W889" s="58"/>
      <c r="X889" s="58"/>
      <c r="Y889" s="58"/>
      <c r="Z889" s="58"/>
    </row>
    <row r="890" ht="15.75" customHeight="1">
      <c r="A890" s="86"/>
      <c r="B890" s="86"/>
      <c r="C890" s="86"/>
      <c r="D890" s="86"/>
      <c r="E890" s="86"/>
      <c r="F890" s="58"/>
      <c r="G890" s="58"/>
      <c r="H890" s="58"/>
      <c r="I890" s="58"/>
      <c r="J890" s="58"/>
      <c r="K890" s="58"/>
      <c r="L890" s="58"/>
      <c r="M890" s="58"/>
      <c r="N890" s="58"/>
      <c r="O890" s="58"/>
      <c r="P890" s="58"/>
      <c r="Q890" s="58"/>
      <c r="R890" s="58"/>
      <c r="S890" s="58"/>
      <c r="T890" s="58"/>
      <c r="U890" s="58"/>
      <c r="V890" s="58"/>
      <c r="W890" s="58"/>
      <c r="X890" s="58"/>
      <c r="Y890" s="58"/>
      <c r="Z890" s="58"/>
    </row>
    <row r="891" ht="15.75" customHeight="1">
      <c r="A891" s="86"/>
      <c r="B891" s="86"/>
      <c r="C891" s="86"/>
      <c r="D891" s="86"/>
      <c r="E891" s="86"/>
      <c r="F891" s="58"/>
      <c r="G891" s="58"/>
      <c r="H891" s="58"/>
      <c r="I891" s="58"/>
      <c r="J891" s="58"/>
      <c r="K891" s="58"/>
      <c r="L891" s="58"/>
      <c r="M891" s="58"/>
      <c r="N891" s="58"/>
      <c r="O891" s="58"/>
      <c r="P891" s="58"/>
      <c r="Q891" s="58"/>
      <c r="R891" s="58"/>
      <c r="S891" s="58"/>
      <c r="T891" s="58"/>
      <c r="U891" s="58"/>
      <c r="V891" s="58"/>
      <c r="W891" s="58"/>
      <c r="X891" s="58"/>
      <c r="Y891" s="58"/>
      <c r="Z891" s="58"/>
    </row>
    <row r="892" ht="15.75" customHeight="1">
      <c r="A892" s="86"/>
      <c r="B892" s="86"/>
      <c r="C892" s="86"/>
      <c r="D892" s="86"/>
      <c r="E892" s="86"/>
      <c r="F892" s="58"/>
      <c r="G892" s="58"/>
      <c r="H892" s="58"/>
      <c r="I892" s="58"/>
      <c r="J892" s="58"/>
      <c r="K892" s="58"/>
      <c r="L892" s="58"/>
      <c r="M892" s="58"/>
      <c r="N892" s="58"/>
      <c r="O892" s="58"/>
      <c r="P892" s="58"/>
      <c r="Q892" s="58"/>
      <c r="R892" s="58"/>
      <c r="S892" s="58"/>
      <c r="T892" s="58"/>
      <c r="U892" s="58"/>
      <c r="V892" s="58"/>
      <c r="W892" s="58"/>
      <c r="X892" s="58"/>
      <c r="Y892" s="58"/>
      <c r="Z892" s="58"/>
    </row>
    <row r="893" ht="15.75" customHeight="1">
      <c r="A893" s="86"/>
      <c r="B893" s="86"/>
      <c r="C893" s="86"/>
      <c r="D893" s="86"/>
      <c r="E893" s="86"/>
      <c r="F893" s="58"/>
      <c r="G893" s="58"/>
      <c r="H893" s="58"/>
      <c r="I893" s="58"/>
      <c r="J893" s="58"/>
      <c r="K893" s="58"/>
      <c r="L893" s="58"/>
      <c r="M893" s="58"/>
      <c r="N893" s="58"/>
      <c r="O893" s="58"/>
      <c r="P893" s="58"/>
      <c r="Q893" s="58"/>
      <c r="R893" s="58"/>
      <c r="S893" s="58"/>
      <c r="T893" s="58"/>
      <c r="U893" s="58"/>
      <c r="V893" s="58"/>
      <c r="W893" s="58"/>
      <c r="X893" s="58"/>
      <c r="Y893" s="58"/>
      <c r="Z893" s="58"/>
    </row>
    <row r="894" ht="15.75" customHeight="1">
      <c r="A894" s="86"/>
      <c r="B894" s="86"/>
      <c r="C894" s="86"/>
      <c r="D894" s="86"/>
      <c r="E894" s="86"/>
      <c r="F894" s="58"/>
      <c r="G894" s="58"/>
      <c r="H894" s="58"/>
      <c r="I894" s="58"/>
      <c r="J894" s="58"/>
      <c r="K894" s="58"/>
      <c r="L894" s="58"/>
      <c r="M894" s="58"/>
      <c r="N894" s="58"/>
      <c r="O894" s="58"/>
      <c r="P894" s="58"/>
      <c r="Q894" s="58"/>
      <c r="R894" s="58"/>
      <c r="S894" s="58"/>
      <c r="T894" s="58"/>
      <c r="U894" s="58"/>
      <c r="V894" s="58"/>
      <c r="W894" s="58"/>
      <c r="X894" s="58"/>
      <c r="Y894" s="58"/>
      <c r="Z894" s="58"/>
    </row>
    <row r="895" ht="15.75" customHeight="1">
      <c r="A895" s="86"/>
      <c r="B895" s="86"/>
      <c r="C895" s="86"/>
      <c r="D895" s="86"/>
      <c r="E895" s="86"/>
      <c r="F895" s="58"/>
      <c r="G895" s="58"/>
      <c r="H895" s="58"/>
      <c r="I895" s="58"/>
      <c r="J895" s="58"/>
      <c r="K895" s="58"/>
      <c r="L895" s="58"/>
      <c r="M895" s="58"/>
      <c r="N895" s="58"/>
      <c r="O895" s="58"/>
      <c r="P895" s="58"/>
      <c r="Q895" s="58"/>
      <c r="R895" s="58"/>
      <c r="S895" s="58"/>
      <c r="T895" s="58"/>
      <c r="U895" s="58"/>
      <c r="V895" s="58"/>
      <c r="W895" s="58"/>
      <c r="X895" s="58"/>
      <c r="Y895" s="58"/>
      <c r="Z895" s="58"/>
    </row>
    <row r="896" ht="15.75" customHeight="1">
      <c r="A896" s="86"/>
      <c r="B896" s="86"/>
      <c r="C896" s="86"/>
      <c r="D896" s="86"/>
      <c r="E896" s="86"/>
      <c r="F896" s="58"/>
      <c r="G896" s="58"/>
      <c r="H896" s="58"/>
      <c r="I896" s="58"/>
      <c r="J896" s="58"/>
      <c r="K896" s="58"/>
      <c r="L896" s="58"/>
      <c r="M896" s="58"/>
      <c r="N896" s="58"/>
      <c r="O896" s="58"/>
      <c r="P896" s="58"/>
      <c r="Q896" s="58"/>
      <c r="R896" s="58"/>
      <c r="S896" s="58"/>
      <c r="T896" s="58"/>
      <c r="U896" s="58"/>
      <c r="V896" s="58"/>
      <c r="W896" s="58"/>
      <c r="X896" s="58"/>
      <c r="Y896" s="58"/>
      <c r="Z896" s="58"/>
    </row>
    <row r="897" ht="15.75" customHeight="1">
      <c r="A897" s="86"/>
      <c r="B897" s="86"/>
      <c r="C897" s="86"/>
      <c r="D897" s="86"/>
      <c r="E897" s="86"/>
      <c r="F897" s="58"/>
      <c r="G897" s="58"/>
      <c r="H897" s="58"/>
      <c r="I897" s="58"/>
      <c r="J897" s="58"/>
      <c r="K897" s="58"/>
      <c r="L897" s="58"/>
      <c r="M897" s="58"/>
      <c r="N897" s="58"/>
      <c r="O897" s="58"/>
      <c r="P897" s="58"/>
      <c r="Q897" s="58"/>
      <c r="R897" s="58"/>
      <c r="S897" s="58"/>
      <c r="T897" s="58"/>
      <c r="U897" s="58"/>
      <c r="V897" s="58"/>
      <c r="W897" s="58"/>
      <c r="X897" s="58"/>
      <c r="Y897" s="58"/>
      <c r="Z897" s="58"/>
    </row>
    <row r="898" ht="15.75" customHeight="1">
      <c r="A898" s="86"/>
      <c r="B898" s="86"/>
      <c r="C898" s="86"/>
      <c r="D898" s="86"/>
      <c r="E898" s="86"/>
      <c r="F898" s="58"/>
      <c r="G898" s="58"/>
      <c r="H898" s="58"/>
      <c r="I898" s="58"/>
      <c r="J898" s="58"/>
      <c r="K898" s="58"/>
      <c r="L898" s="58"/>
      <c r="M898" s="58"/>
      <c r="N898" s="58"/>
      <c r="O898" s="58"/>
      <c r="P898" s="58"/>
      <c r="Q898" s="58"/>
      <c r="R898" s="58"/>
      <c r="S898" s="58"/>
      <c r="T898" s="58"/>
      <c r="U898" s="58"/>
      <c r="V898" s="58"/>
      <c r="W898" s="58"/>
      <c r="X898" s="58"/>
      <c r="Y898" s="58"/>
      <c r="Z898" s="58"/>
    </row>
    <row r="899" ht="15.75" customHeight="1">
      <c r="A899" s="86"/>
      <c r="B899" s="86"/>
      <c r="C899" s="86"/>
      <c r="D899" s="86"/>
      <c r="E899" s="86"/>
      <c r="F899" s="58"/>
      <c r="G899" s="58"/>
      <c r="H899" s="58"/>
      <c r="I899" s="58"/>
      <c r="J899" s="58"/>
      <c r="K899" s="58"/>
      <c r="L899" s="58"/>
      <c r="M899" s="58"/>
      <c r="N899" s="58"/>
      <c r="O899" s="58"/>
      <c r="P899" s="58"/>
      <c r="Q899" s="58"/>
      <c r="R899" s="58"/>
      <c r="S899" s="58"/>
      <c r="T899" s="58"/>
      <c r="U899" s="58"/>
      <c r="V899" s="58"/>
      <c r="W899" s="58"/>
      <c r="X899" s="58"/>
      <c r="Y899" s="58"/>
      <c r="Z899" s="58"/>
    </row>
    <row r="900" ht="15.75" customHeight="1">
      <c r="A900" s="86"/>
      <c r="B900" s="86"/>
      <c r="C900" s="86"/>
      <c r="D900" s="86"/>
      <c r="E900" s="86"/>
      <c r="F900" s="58"/>
      <c r="G900" s="58"/>
      <c r="H900" s="58"/>
      <c r="I900" s="58"/>
      <c r="J900" s="58"/>
      <c r="K900" s="58"/>
      <c r="L900" s="58"/>
      <c r="M900" s="58"/>
      <c r="N900" s="58"/>
      <c r="O900" s="58"/>
      <c r="P900" s="58"/>
      <c r="Q900" s="58"/>
      <c r="R900" s="58"/>
      <c r="S900" s="58"/>
      <c r="T900" s="58"/>
      <c r="U900" s="58"/>
      <c r="V900" s="58"/>
      <c r="W900" s="58"/>
      <c r="X900" s="58"/>
      <c r="Y900" s="58"/>
      <c r="Z900" s="58"/>
    </row>
    <row r="901" ht="15.75" customHeight="1">
      <c r="A901" s="86"/>
      <c r="B901" s="86"/>
      <c r="C901" s="86"/>
      <c r="D901" s="86"/>
      <c r="E901" s="86"/>
      <c r="F901" s="58"/>
      <c r="G901" s="58"/>
      <c r="H901" s="58"/>
      <c r="I901" s="58"/>
      <c r="J901" s="58"/>
      <c r="K901" s="58"/>
      <c r="L901" s="58"/>
      <c r="M901" s="58"/>
      <c r="N901" s="58"/>
      <c r="O901" s="58"/>
      <c r="P901" s="58"/>
      <c r="Q901" s="58"/>
      <c r="R901" s="58"/>
      <c r="S901" s="58"/>
      <c r="T901" s="58"/>
      <c r="U901" s="58"/>
      <c r="V901" s="58"/>
      <c r="W901" s="58"/>
      <c r="X901" s="58"/>
      <c r="Y901" s="58"/>
      <c r="Z901" s="58"/>
    </row>
    <row r="902" ht="15.75" customHeight="1">
      <c r="A902" s="86"/>
      <c r="B902" s="86"/>
      <c r="C902" s="86"/>
      <c r="D902" s="86"/>
      <c r="E902" s="86"/>
      <c r="F902" s="58"/>
      <c r="G902" s="58"/>
      <c r="H902" s="58"/>
      <c r="I902" s="58"/>
      <c r="J902" s="58"/>
      <c r="K902" s="58"/>
      <c r="L902" s="58"/>
      <c r="M902" s="58"/>
      <c r="N902" s="58"/>
      <c r="O902" s="58"/>
      <c r="P902" s="58"/>
      <c r="Q902" s="58"/>
      <c r="R902" s="58"/>
      <c r="S902" s="58"/>
      <c r="T902" s="58"/>
      <c r="U902" s="58"/>
      <c r="V902" s="58"/>
      <c r="W902" s="58"/>
      <c r="X902" s="58"/>
      <c r="Y902" s="58"/>
      <c r="Z902" s="58"/>
    </row>
    <row r="903" ht="15.75" customHeight="1">
      <c r="A903" s="86"/>
      <c r="B903" s="86"/>
      <c r="C903" s="86"/>
      <c r="D903" s="86"/>
      <c r="E903" s="86"/>
      <c r="F903" s="58"/>
      <c r="G903" s="58"/>
      <c r="H903" s="58"/>
      <c r="I903" s="58"/>
      <c r="J903" s="58"/>
      <c r="K903" s="58"/>
      <c r="L903" s="58"/>
      <c r="M903" s="58"/>
      <c r="N903" s="58"/>
      <c r="O903" s="58"/>
      <c r="P903" s="58"/>
      <c r="Q903" s="58"/>
      <c r="R903" s="58"/>
      <c r="S903" s="58"/>
      <c r="T903" s="58"/>
      <c r="U903" s="58"/>
      <c r="V903" s="58"/>
      <c r="W903" s="58"/>
      <c r="X903" s="58"/>
      <c r="Y903" s="58"/>
      <c r="Z903" s="58"/>
    </row>
    <row r="904" ht="15.75" customHeight="1">
      <c r="A904" s="86"/>
      <c r="B904" s="86"/>
      <c r="C904" s="86"/>
      <c r="D904" s="86"/>
      <c r="E904" s="86"/>
      <c r="F904" s="58"/>
      <c r="G904" s="58"/>
      <c r="H904" s="58"/>
      <c r="I904" s="58"/>
      <c r="J904" s="58"/>
      <c r="K904" s="58"/>
      <c r="L904" s="58"/>
      <c r="M904" s="58"/>
      <c r="N904" s="58"/>
      <c r="O904" s="58"/>
      <c r="P904" s="58"/>
      <c r="Q904" s="58"/>
      <c r="R904" s="58"/>
      <c r="S904" s="58"/>
      <c r="T904" s="58"/>
      <c r="U904" s="58"/>
      <c r="V904" s="58"/>
      <c r="W904" s="58"/>
      <c r="X904" s="58"/>
      <c r="Y904" s="58"/>
      <c r="Z904" s="58"/>
    </row>
    <row r="905" ht="15.75" customHeight="1">
      <c r="A905" s="86"/>
      <c r="B905" s="86"/>
      <c r="C905" s="86"/>
      <c r="D905" s="86"/>
      <c r="E905" s="86"/>
      <c r="F905" s="58"/>
      <c r="G905" s="58"/>
      <c r="H905" s="58"/>
      <c r="I905" s="58"/>
      <c r="J905" s="58"/>
      <c r="K905" s="58"/>
      <c r="L905" s="58"/>
      <c r="M905" s="58"/>
      <c r="N905" s="58"/>
      <c r="O905" s="58"/>
      <c r="P905" s="58"/>
      <c r="Q905" s="58"/>
      <c r="R905" s="58"/>
      <c r="S905" s="58"/>
      <c r="T905" s="58"/>
      <c r="U905" s="58"/>
      <c r="V905" s="58"/>
      <c r="W905" s="58"/>
      <c r="X905" s="58"/>
      <c r="Y905" s="58"/>
      <c r="Z905" s="58"/>
    </row>
    <row r="906" ht="15.75" customHeight="1">
      <c r="A906" s="86"/>
      <c r="B906" s="86"/>
      <c r="C906" s="86"/>
      <c r="D906" s="86"/>
      <c r="E906" s="86"/>
      <c r="F906" s="58"/>
      <c r="G906" s="58"/>
      <c r="H906" s="58"/>
      <c r="I906" s="58"/>
      <c r="J906" s="58"/>
      <c r="K906" s="58"/>
      <c r="L906" s="58"/>
      <c r="M906" s="58"/>
      <c r="N906" s="58"/>
      <c r="O906" s="58"/>
      <c r="P906" s="58"/>
      <c r="Q906" s="58"/>
      <c r="R906" s="58"/>
      <c r="S906" s="58"/>
      <c r="T906" s="58"/>
      <c r="U906" s="58"/>
      <c r="V906" s="58"/>
      <c r="W906" s="58"/>
      <c r="X906" s="58"/>
      <c r="Y906" s="58"/>
      <c r="Z906" s="58"/>
    </row>
    <row r="907" ht="15.75" customHeight="1">
      <c r="A907" s="86"/>
      <c r="B907" s="86"/>
      <c r="C907" s="86"/>
      <c r="D907" s="86"/>
      <c r="E907" s="86"/>
      <c r="F907" s="58"/>
      <c r="G907" s="58"/>
      <c r="H907" s="58"/>
      <c r="I907" s="58"/>
      <c r="J907" s="58"/>
      <c r="K907" s="58"/>
      <c r="L907" s="58"/>
      <c r="M907" s="58"/>
      <c r="N907" s="58"/>
      <c r="O907" s="58"/>
      <c r="P907" s="58"/>
      <c r="Q907" s="58"/>
      <c r="R907" s="58"/>
      <c r="S907" s="58"/>
      <c r="T907" s="58"/>
      <c r="U907" s="58"/>
      <c r="V907" s="58"/>
      <c r="W907" s="58"/>
      <c r="X907" s="58"/>
      <c r="Y907" s="58"/>
      <c r="Z907" s="58"/>
    </row>
    <row r="908" ht="15.75" customHeight="1">
      <c r="A908" s="86"/>
      <c r="B908" s="86"/>
      <c r="C908" s="86"/>
      <c r="D908" s="86"/>
      <c r="E908" s="86"/>
      <c r="F908" s="58"/>
      <c r="G908" s="58"/>
      <c r="H908" s="58"/>
      <c r="I908" s="58"/>
      <c r="J908" s="58"/>
      <c r="K908" s="58"/>
      <c r="L908" s="58"/>
      <c r="M908" s="58"/>
      <c r="N908" s="58"/>
      <c r="O908" s="58"/>
      <c r="P908" s="58"/>
      <c r="Q908" s="58"/>
      <c r="R908" s="58"/>
      <c r="S908" s="58"/>
      <c r="T908" s="58"/>
      <c r="U908" s="58"/>
      <c r="V908" s="58"/>
      <c r="W908" s="58"/>
      <c r="X908" s="58"/>
      <c r="Y908" s="58"/>
      <c r="Z908" s="58"/>
    </row>
    <row r="909" ht="15.75" customHeight="1">
      <c r="A909" s="86"/>
      <c r="B909" s="86"/>
      <c r="C909" s="86"/>
      <c r="D909" s="86"/>
      <c r="E909" s="86"/>
      <c r="F909" s="58"/>
      <c r="G909" s="58"/>
      <c r="H909" s="58"/>
      <c r="I909" s="58"/>
      <c r="J909" s="58"/>
      <c r="K909" s="58"/>
      <c r="L909" s="58"/>
      <c r="M909" s="58"/>
      <c r="N909" s="58"/>
      <c r="O909" s="58"/>
      <c r="P909" s="58"/>
      <c r="Q909" s="58"/>
      <c r="R909" s="58"/>
      <c r="S909" s="58"/>
      <c r="T909" s="58"/>
      <c r="U909" s="58"/>
      <c r="V909" s="58"/>
      <c r="W909" s="58"/>
      <c r="X909" s="58"/>
      <c r="Y909" s="58"/>
      <c r="Z909" s="58"/>
    </row>
    <row r="910" ht="15.75" customHeight="1">
      <c r="A910" s="86"/>
      <c r="B910" s="86"/>
      <c r="C910" s="86"/>
      <c r="D910" s="86"/>
      <c r="E910" s="86"/>
      <c r="F910" s="58"/>
      <c r="G910" s="58"/>
      <c r="H910" s="58"/>
      <c r="I910" s="58"/>
      <c r="J910" s="58"/>
      <c r="K910" s="58"/>
      <c r="L910" s="58"/>
      <c r="M910" s="58"/>
      <c r="N910" s="58"/>
      <c r="O910" s="58"/>
      <c r="P910" s="58"/>
      <c r="Q910" s="58"/>
      <c r="R910" s="58"/>
      <c r="S910" s="58"/>
      <c r="T910" s="58"/>
      <c r="U910" s="58"/>
      <c r="V910" s="58"/>
      <c r="W910" s="58"/>
      <c r="X910" s="58"/>
      <c r="Y910" s="58"/>
      <c r="Z910" s="58"/>
    </row>
    <row r="911" ht="15.75" customHeight="1">
      <c r="A911" s="86"/>
      <c r="B911" s="86"/>
      <c r="C911" s="86"/>
      <c r="D911" s="86"/>
      <c r="E911" s="86"/>
      <c r="F911" s="58"/>
      <c r="G911" s="58"/>
      <c r="H911" s="58"/>
      <c r="I911" s="58"/>
      <c r="J911" s="58"/>
      <c r="K911" s="58"/>
      <c r="L911" s="58"/>
      <c r="M911" s="58"/>
      <c r="N911" s="58"/>
      <c r="O911" s="58"/>
      <c r="P911" s="58"/>
      <c r="Q911" s="58"/>
      <c r="R911" s="58"/>
      <c r="S911" s="58"/>
      <c r="T911" s="58"/>
      <c r="U911" s="58"/>
      <c r="V911" s="58"/>
      <c r="W911" s="58"/>
      <c r="X911" s="58"/>
      <c r="Y911" s="58"/>
      <c r="Z911" s="58"/>
    </row>
    <row r="912" ht="15.75" customHeight="1">
      <c r="A912" s="86"/>
      <c r="B912" s="86"/>
      <c r="C912" s="86"/>
      <c r="D912" s="86"/>
      <c r="E912" s="86"/>
      <c r="F912" s="58"/>
      <c r="G912" s="58"/>
      <c r="H912" s="58"/>
      <c r="I912" s="58"/>
      <c r="J912" s="58"/>
      <c r="K912" s="58"/>
      <c r="L912" s="58"/>
      <c r="M912" s="58"/>
      <c r="N912" s="58"/>
      <c r="O912" s="58"/>
      <c r="P912" s="58"/>
      <c r="Q912" s="58"/>
      <c r="R912" s="58"/>
      <c r="S912" s="58"/>
      <c r="T912" s="58"/>
      <c r="U912" s="58"/>
      <c r="V912" s="58"/>
      <c r="W912" s="58"/>
      <c r="X912" s="58"/>
      <c r="Y912" s="58"/>
      <c r="Z912" s="58"/>
    </row>
    <row r="913" ht="15.75" customHeight="1">
      <c r="A913" s="86"/>
      <c r="B913" s="86"/>
      <c r="C913" s="86"/>
      <c r="D913" s="86"/>
      <c r="E913" s="86"/>
      <c r="F913" s="58"/>
      <c r="G913" s="58"/>
      <c r="H913" s="58"/>
      <c r="I913" s="58"/>
      <c r="J913" s="58"/>
      <c r="K913" s="58"/>
      <c r="L913" s="58"/>
      <c r="M913" s="58"/>
      <c r="N913" s="58"/>
      <c r="O913" s="58"/>
      <c r="P913" s="58"/>
      <c r="Q913" s="58"/>
      <c r="R913" s="58"/>
      <c r="S913" s="58"/>
      <c r="T913" s="58"/>
      <c r="U913" s="58"/>
      <c r="V913" s="58"/>
      <c r="W913" s="58"/>
      <c r="X913" s="58"/>
      <c r="Y913" s="58"/>
      <c r="Z913" s="58"/>
    </row>
    <row r="914" ht="15.75" customHeight="1">
      <c r="A914" s="86"/>
      <c r="B914" s="86"/>
      <c r="C914" s="86"/>
      <c r="D914" s="86"/>
      <c r="E914" s="86"/>
      <c r="F914" s="58"/>
      <c r="G914" s="58"/>
      <c r="H914" s="58"/>
      <c r="I914" s="58"/>
      <c r="J914" s="58"/>
      <c r="K914" s="58"/>
      <c r="L914" s="58"/>
      <c r="M914" s="58"/>
      <c r="N914" s="58"/>
      <c r="O914" s="58"/>
      <c r="P914" s="58"/>
      <c r="Q914" s="58"/>
      <c r="R914" s="58"/>
      <c r="S914" s="58"/>
      <c r="T914" s="58"/>
      <c r="U914" s="58"/>
      <c r="V914" s="58"/>
      <c r="W914" s="58"/>
      <c r="X914" s="58"/>
      <c r="Y914" s="58"/>
      <c r="Z914" s="58"/>
    </row>
    <row r="915" ht="15.75" customHeight="1">
      <c r="A915" s="86"/>
      <c r="B915" s="86"/>
      <c r="C915" s="86"/>
      <c r="D915" s="86"/>
      <c r="E915" s="86"/>
      <c r="F915" s="58"/>
      <c r="G915" s="58"/>
      <c r="H915" s="58"/>
      <c r="I915" s="58"/>
      <c r="J915" s="58"/>
      <c r="K915" s="58"/>
      <c r="L915" s="58"/>
      <c r="M915" s="58"/>
      <c r="N915" s="58"/>
      <c r="O915" s="58"/>
      <c r="P915" s="58"/>
      <c r="Q915" s="58"/>
      <c r="R915" s="58"/>
      <c r="S915" s="58"/>
      <c r="T915" s="58"/>
      <c r="U915" s="58"/>
      <c r="V915" s="58"/>
      <c r="W915" s="58"/>
      <c r="X915" s="58"/>
      <c r="Y915" s="58"/>
      <c r="Z915" s="58"/>
    </row>
    <row r="916" ht="15.75" customHeight="1">
      <c r="A916" s="86"/>
      <c r="B916" s="86"/>
      <c r="C916" s="86"/>
      <c r="D916" s="86"/>
      <c r="E916" s="86"/>
      <c r="F916" s="58"/>
      <c r="G916" s="58"/>
      <c r="H916" s="58"/>
      <c r="I916" s="58"/>
      <c r="J916" s="58"/>
      <c r="K916" s="58"/>
      <c r="L916" s="58"/>
      <c r="M916" s="58"/>
      <c r="N916" s="58"/>
      <c r="O916" s="58"/>
      <c r="P916" s="58"/>
      <c r="Q916" s="58"/>
      <c r="R916" s="58"/>
      <c r="S916" s="58"/>
      <c r="T916" s="58"/>
      <c r="U916" s="58"/>
      <c r="V916" s="58"/>
      <c r="W916" s="58"/>
      <c r="X916" s="58"/>
      <c r="Y916" s="58"/>
      <c r="Z916" s="58"/>
    </row>
    <row r="917" ht="15.75" customHeight="1">
      <c r="A917" s="86"/>
      <c r="B917" s="86"/>
      <c r="C917" s="86"/>
      <c r="D917" s="86"/>
      <c r="E917" s="86"/>
      <c r="F917" s="58"/>
      <c r="G917" s="58"/>
      <c r="H917" s="58"/>
      <c r="I917" s="58"/>
      <c r="J917" s="58"/>
      <c r="K917" s="58"/>
      <c r="L917" s="58"/>
      <c r="M917" s="58"/>
      <c r="N917" s="58"/>
      <c r="O917" s="58"/>
      <c r="P917" s="58"/>
      <c r="Q917" s="58"/>
      <c r="R917" s="58"/>
      <c r="S917" s="58"/>
      <c r="T917" s="58"/>
      <c r="U917" s="58"/>
      <c r="V917" s="58"/>
      <c r="W917" s="58"/>
      <c r="X917" s="58"/>
      <c r="Y917" s="58"/>
      <c r="Z917" s="58"/>
    </row>
    <row r="918" ht="15.75" customHeight="1">
      <c r="A918" s="86"/>
      <c r="B918" s="86"/>
      <c r="C918" s="86"/>
      <c r="D918" s="86"/>
      <c r="E918" s="86"/>
      <c r="F918" s="58"/>
      <c r="G918" s="58"/>
      <c r="H918" s="58"/>
      <c r="I918" s="58"/>
      <c r="J918" s="58"/>
      <c r="K918" s="58"/>
      <c r="L918" s="58"/>
      <c r="M918" s="58"/>
      <c r="N918" s="58"/>
      <c r="O918" s="58"/>
      <c r="P918" s="58"/>
      <c r="Q918" s="58"/>
      <c r="R918" s="58"/>
      <c r="S918" s="58"/>
      <c r="T918" s="58"/>
      <c r="U918" s="58"/>
      <c r="V918" s="58"/>
      <c r="W918" s="58"/>
      <c r="X918" s="58"/>
      <c r="Y918" s="58"/>
      <c r="Z918" s="58"/>
    </row>
    <row r="919" ht="15.75" customHeight="1">
      <c r="A919" s="86"/>
      <c r="B919" s="86"/>
      <c r="C919" s="86"/>
      <c r="D919" s="86"/>
      <c r="E919" s="86"/>
      <c r="F919" s="58"/>
      <c r="G919" s="58"/>
      <c r="H919" s="58"/>
      <c r="I919" s="58"/>
      <c r="J919" s="58"/>
      <c r="K919" s="58"/>
      <c r="L919" s="58"/>
      <c r="M919" s="58"/>
      <c r="N919" s="58"/>
      <c r="O919" s="58"/>
      <c r="P919" s="58"/>
      <c r="Q919" s="58"/>
      <c r="R919" s="58"/>
      <c r="S919" s="58"/>
      <c r="T919" s="58"/>
      <c r="U919" s="58"/>
      <c r="V919" s="58"/>
      <c r="W919" s="58"/>
      <c r="X919" s="58"/>
      <c r="Y919" s="58"/>
      <c r="Z919" s="58"/>
    </row>
    <row r="920" ht="15.75" customHeight="1">
      <c r="A920" s="86"/>
      <c r="B920" s="86"/>
      <c r="C920" s="86"/>
      <c r="D920" s="86"/>
      <c r="E920" s="86"/>
      <c r="F920" s="58"/>
      <c r="G920" s="58"/>
      <c r="H920" s="58"/>
      <c r="I920" s="58"/>
      <c r="J920" s="58"/>
      <c r="K920" s="58"/>
      <c r="L920" s="58"/>
      <c r="M920" s="58"/>
      <c r="N920" s="58"/>
      <c r="O920" s="58"/>
      <c r="P920" s="58"/>
      <c r="Q920" s="58"/>
      <c r="R920" s="58"/>
      <c r="S920" s="58"/>
      <c r="T920" s="58"/>
      <c r="U920" s="58"/>
      <c r="V920" s="58"/>
      <c r="W920" s="58"/>
      <c r="X920" s="58"/>
      <c r="Y920" s="58"/>
      <c r="Z920" s="58"/>
    </row>
    <row r="921" ht="15.75" customHeight="1">
      <c r="A921" s="86"/>
      <c r="B921" s="86"/>
      <c r="C921" s="86"/>
      <c r="D921" s="86"/>
      <c r="E921" s="86"/>
      <c r="F921" s="58"/>
      <c r="G921" s="58"/>
      <c r="H921" s="58"/>
      <c r="I921" s="58"/>
      <c r="J921" s="58"/>
      <c r="K921" s="58"/>
      <c r="L921" s="58"/>
      <c r="M921" s="58"/>
      <c r="N921" s="58"/>
      <c r="O921" s="58"/>
      <c r="P921" s="58"/>
      <c r="Q921" s="58"/>
      <c r="R921" s="58"/>
      <c r="S921" s="58"/>
      <c r="T921" s="58"/>
      <c r="U921" s="58"/>
      <c r="V921" s="58"/>
      <c r="W921" s="58"/>
      <c r="X921" s="58"/>
      <c r="Y921" s="58"/>
      <c r="Z921" s="58"/>
    </row>
    <row r="922" ht="15.75" customHeight="1">
      <c r="A922" s="86"/>
      <c r="B922" s="86"/>
      <c r="C922" s="86"/>
      <c r="D922" s="86"/>
      <c r="E922" s="86"/>
      <c r="F922" s="58"/>
      <c r="G922" s="58"/>
      <c r="H922" s="58"/>
      <c r="I922" s="58"/>
      <c r="J922" s="58"/>
      <c r="K922" s="58"/>
      <c r="L922" s="58"/>
      <c r="M922" s="58"/>
      <c r="N922" s="58"/>
      <c r="O922" s="58"/>
      <c r="P922" s="58"/>
      <c r="Q922" s="58"/>
      <c r="R922" s="58"/>
      <c r="S922" s="58"/>
      <c r="T922" s="58"/>
      <c r="U922" s="58"/>
      <c r="V922" s="58"/>
      <c r="W922" s="58"/>
      <c r="X922" s="58"/>
      <c r="Y922" s="58"/>
      <c r="Z922" s="58"/>
    </row>
    <row r="923" ht="15.75" customHeight="1">
      <c r="A923" s="86"/>
      <c r="B923" s="86"/>
      <c r="C923" s="86"/>
      <c r="D923" s="86"/>
      <c r="E923" s="86"/>
      <c r="F923" s="58"/>
      <c r="G923" s="58"/>
      <c r="H923" s="58"/>
      <c r="I923" s="58"/>
      <c r="J923" s="58"/>
      <c r="K923" s="58"/>
      <c r="L923" s="58"/>
      <c r="M923" s="58"/>
      <c r="N923" s="58"/>
      <c r="O923" s="58"/>
      <c r="P923" s="58"/>
      <c r="Q923" s="58"/>
      <c r="R923" s="58"/>
      <c r="S923" s="58"/>
      <c r="T923" s="58"/>
      <c r="U923" s="58"/>
      <c r="V923" s="58"/>
      <c r="W923" s="58"/>
      <c r="X923" s="58"/>
      <c r="Y923" s="58"/>
      <c r="Z923" s="58"/>
    </row>
    <row r="924" ht="15.75" customHeight="1">
      <c r="A924" s="86"/>
      <c r="B924" s="86"/>
      <c r="C924" s="86"/>
      <c r="D924" s="86"/>
      <c r="E924" s="86"/>
      <c r="F924" s="58"/>
      <c r="G924" s="58"/>
      <c r="H924" s="58"/>
      <c r="I924" s="58"/>
      <c r="J924" s="58"/>
      <c r="K924" s="58"/>
      <c r="L924" s="58"/>
      <c r="M924" s="58"/>
      <c r="N924" s="58"/>
      <c r="O924" s="58"/>
      <c r="P924" s="58"/>
      <c r="Q924" s="58"/>
      <c r="R924" s="58"/>
      <c r="S924" s="58"/>
      <c r="T924" s="58"/>
      <c r="U924" s="58"/>
      <c r="V924" s="58"/>
      <c r="W924" s="58"/>
      <c r="X924" s="58"/>
      <c r="Y924" s="58"/>
      <c r="Z924" s="58"/>
    </row>
    <row r="925" ht="15.75" customHeight="1">
      <c r="A925" s="86"/>
      <c r="B925" s="86"/>
      <c r="C925" s="86"/>
      <c r="D925" s="86"/>
      <c r="E925" s="86"/>
      <c r="F925" s="58"/>
      <c r="G925" s="58"/>
      <c r="H925" s="58"/>
      <c r="I925" s="58"/>
      <c r="J925" s="58"/>
      <c r="K925" s="58"/>
      <c r="L925" s="58"/>
      <c r="M925" s="58"/>
      <c r="N925" s="58"/>
      <c r="O925" s="58"/>
      <c r="P925" s="58"/>
      <c r="Q925" s="58"/>
      <c r="R925" s="58"/>
      <c r="S925" s="58"/>
      <c r="T925" s="58"/>
      <c r="U925" s="58"/>
      <c r="V925" s="58"/>
      <c r="W925" s="58"/>
      <c r="X925" s="58"/>
      <c r="Y925" s="58"/>
      <c r="Z925" s="58"/>
    </row>
    <row r="926" ht="15.75" customHeight="1">
      <c r="A926" s="86"/>
      <c r="B926" s="86"/>
      <c r="C926" s="86"/>
      <c r="D926" s="86"/>
      <c r="E926" s="86"/>
      <c r="F926" s="58"/>
      <c r="G926" s="58"/>
      <c r="H926" s="58"/>
      <c r="I926" s="58"/>
      <c r="J926" s="58"/>
      <c r="K926" s="58"/>
      <c r="L926" s="58"/>
      <c r="M926" s="58"/>
      <c r="N926" s="58"/>
      <c r="O926" s="58"/>
      <c r="P926" s="58"/>
      <c r="Q926" s="58"/>
      <c r="R926" s="58"/>
      <c r="S926" s="58"/>
      <c r="T926" s="58"/>
      <c r="U926" s="58"/>
      <c r="V926" s="58"/>
      <c r="W926" s="58"/>
      <c r="X926" s="58"/>
      <c r="Y926" s="58"/>
      <c r="Z926" s="58"/>
    </row>
    <row r="927" ht="15.75" customHeight="1">
      <c r="A927" s="86"/>
      <c r="B927" s="86"/>
      <c r="C927" s="86"/>
      <c r="D927" s="86"/>
      <c r="E927" s="86"/>
      <c r="F927" s="58"/>
      <c r="G927" s="58"/>
      <c r="H927" s="58"/>
      <c r="I927" s="58"/>
      <c r="J927" s="58"/>
      <c r="K927" s="58"/>
      <c r="L927" s="58"/>
      <c r="M927" s="58"/>
      <c r="N927" s="58"/>
      <c r="O927" s="58"/>
      <c r="P927" s="58"/>
      <c r="Q927" s="58"/>
      <c r="R927" s="58"/>
      <c r="S927" s="58"/>
      <c r="T927" s="58"/>
      <c r="U927" s="58"/>
      <c r="V927" s="58"/>
      <c r="W927" s="58"/>
      <c r="X927" s="58"/>
      <c r="Y927" s="58"/>
      <c r="Z927" s="58"/>
    </row>
    <row r="928" ht="15.75" customHeight="1">
      <c r="A928" s="86"/>
      <c r="B928" s="86"/>
      <c r="C928" s="86"/>
      <c r="D928" s="86"/>
      <c r="E928" s="86"/>
      <c r="F928" s="58"/>
      <c r="G928" s="58"/>
      <c r="H928" s="58"/>
      <c r="I928" s="58"/>
      <c r="J928" s="58"/>
      <c r="K928" s="58"/>
      <c r="L928" s="58"/>
      <c r="M928" s="58"/>
      <c r="N928" s="58"/>
      <c r="O928" s="58"/>
      <c r="P928" s="58"/>
      <c r="Q928" s="58"/>
      <c r="R928" s="58"/>
      <c r="S928" s="58"/>
      <c r="T928" s="58"/>
      <c r="U928" s="58"/>
      <c r="V928" s="58"/>
      <c r="W928" s="58"/>
      <c r="X928" s="58"/>
      <c r="Y928" s="58"/>
      <c r="Z928" s="58"/>
    </row>
    <row r="929" ht="15.75" customHeight="1">
      <c r="A929" s="86"/>
      <c r="B929" s="86"/>
      <c r="C929" s="86"/>
      <c r="D929" s="86"/>
      <c r="E929" s="86"/>
      <c r="F929" s="58"/>
      <c r="G929" s="58"/>
      <c r="H929" s="58"/>
      <c r="I929" s="58"/>
      <c r="J929" s="58"/>
      <c r="K929" s="58"/>
      <c r="L929" s="58"/>
      <c r="M929" s="58"/>
      <c r="N929" s="58"/>
      <c r="O929" s="58"/>
      <c r="P929" s="58"/>
      <c r="Q929" s="58"/>
      <c r="R929" s="58"/>
      <c r="S929" s="58"/>
      <c r="T929" s="58"/>
      <c r="U929" s="58"/>
      <c r="V929" s="58"/>
      <c r="W929" s="58"/>
      <c r="X929" s="58"/>
      <c r="Y929" s="58"/>
      <c r="Z929" s="58"/>
    </row>
    <row r="930" ht="15.75" customHeight="1">
      <c r="A930" s="86"/>
      <c r="B930" s="86"/>
      <c r="C930" s="86"/>
      <c r="D930" s="86"/>
      <c r="E930" s="86"/>
      <c r="F930" s="58"/>
      <c r="G930" s="58"/>
      <c r="H930" s="58"/>
      <c r="I930" s="58"/>
      <c r="J930" s="58"/>
      <c r="K930" s="58"/>
      <c r="L930" s="58"/>
      <c r="M930" s="58"/>
      <c r="N930" s="58"/>
      <c r="O930" s="58"/>
      <c r="P930" s="58"/>
      <c r="Q930" s="58"/>
      <c r="R930" s="58"/>
      <c r="S930" s="58"/>
      <c r="T930" s="58"/>
      <c r="U930" s="58"/>
      <c r="V930" s="58"/>
      <c r="W930" s="58"/>
      <c r="X930" s="58"/>
      <c r="Y930" s="58"/>
      <c r="Z930" s="58"/>
    </row>
    <row r="931" ht="15.75" customHeight="1">
      <c r="A931" s="86"/>
      <c r="B931" s="86"/>
      <c r="C931" s="86"/>
      <c r="D931" s="86"/>
      <c r="E931" s="86"/>
      <c r="F931" s="58"/>
      <c r="G931" s="58"/>
      <c r="H931" s="58"/>
      <c r="I931" s="58"/>
      <c r="J931" s="58"/>
      <c r="K931" s="58"/>
      <c r="L931" s="58"/>
      <c r="M931" s="58"/>
      <c r="N931" s="58"/>
      <c r="O931" s="58"/>
      <c r="P931" s="58"/>
      <c r="Q931" s="58"/>
      <c r="R931" s="58"/>
      <c r="S931" s="58"/>
      <c r="T931" s="58"/>
      <c r="U931" s="58"/>
      <c r="V931" s="58"/>
      <c r="W931" s="58"/>
      <c r="X931" s="58"/>
      <c r="Y931" s="58"/>
      <c r="Z931" s="58"/>
    </row>
    <row r="932" ht="15.75" customHeight="1">
      <c r="A932" s="86"/>
      <c r="B932" s="86"/>
      <c r="C932" s="86"/>
      <c r="D932" s="86"/>
      <c r="E932" s="86"/>
      <c r="F932" s="58"/>
      <c r="G932" s="58"/>
      <c r="H932" s="58"/>
      <c r="I932" s="58"/>
      <c r="J932" s="58"/>
      <c r="K932" s="58"/>
      <c r="L932" s="58"/>
      <c r="M932" s="58"/>
      <c r="N932" s="58"/>
      <c r="O932" s="58"/>
      <c r="P932" s="58"/>
      <c r="Q932" s="58"/>
      <c r="R932" s="58"/>
      <c r="S932" s="58"/>
      <c r="T932" s="58"/>
      <c r="U932" s="58"/>
      <c r="V932" s="58"/>
      <c r="W932" s="58"/>
      <c r="X932" s="58"/>
      <c r="Y932" s="58"/>
      <c r="Z932" s="58"/>
    </row>
    <row r="933" ht="15.75" customHeight="1">
      <c r="A933" s="86"/>
      <c r="B933" s="86"/>
      <c r="C933" s="86"/>
      <c r="D933" s="86"/>
      <c r="E933" s="86"/>
      <c r="F933" s="58"/>
      <c r="G933" s="58"/>
      <c r="H933" s="58"/>
      <c r="I933" s="58"/>
      <c r="J933" s="58"/>
      <c r="K933" s="58"/>
      <c r="L933" s="58"/>
      <c r="M933" s="58"/>
      <c r="N933" s="58"/>
      <c r="O933" s="58"/>
      <c r="P933" s="58"/>
      <c r="Q933" s="58"/>
      <c r="R933" s="58"/>
      <c r="S933" s="58"/>
      <c r="T933" s="58"/>
      <c r="U933" s="58"/>
      <c r="V933" s="58"/>
      <c r="W933" s="58"/>
      <c r="X933" s="58"/>
      <c r="Y933" s="58"/>
      <c r="Z933" s="58"/>
    </row>
    <row r="934" ht="15.75" customHeight="1">
      <c r="A934" s="86"/>
      <c r="B934" s="86"/>
      <c r="C934" s="86"/>
      <c r="D934" s="86"/>
      <c r="E934" s="86"/>
      <c r="F934" s="58"/>
      <c r="G934" s="58"/>
      <c r="H934" s="58"/>
      <c r="I934" s="58"/>
      <c r="J934" s="58"/>
      <c r="K934" s="58"/>
      <c r="L934" s="58"/>
      <c r="M934" s="58"/>
      <c r="N934" s="58"/>
      <c r="O934" s="58"/>
      <c r="P934" s="58"/>
      <c r="Q934" s="58"/>
      <c r="R934" s="58"/>
      <c r="S934" s="58"/>
      <c r="T934" s="58"/>
      <c r="U934" s="58"/>
      <c r="V934" s="58"/>
      <c r="W934" s="58"/>
      <c r="X934" s="58"/>
      <c r="Y934" s="58"/>
      <c r="Z934" s="58"/>
    </row>
    <row r="935" ht="15.75" customHeight="1">
      <c r="A935" s="86"/>
      <c r="B935" s="86"/>
      <c r="C935" s="86"/>
      <c r="D935" s="86"/>
      <c r="E935" s="86"/>
      <c r="F935" s="58"/>
      <c r="G935" s="58"/>
      <c r="H935" s="58"/>
      <c r="I935" s="58"/>
      <c r="J935" s="58"/>
      <c r="K935" s="58"/>
      <c r="L935" s="58"/>
      <c r="M935" s="58"/>
      <c r="N935" s="58"/>
      <c r="O935" s="58"/>
      <c r="P935" s="58"/>
      <c r="Q935" s="58"/>
      <c r="R935" s="58"/>
      <c r="S935" s="58"/>
      <c r="T935" s="58"/>
      <c r="U935" s="58"/>
      <c r="V935" s="58"/>
      <c r="W935" s="58"/>
      <c r="X935" s="58"/>
      <c r="Y935" s="58"/>
      <c r="Z935" s="58"/>
    </row>
    <row r="936" ht="15.75" customHeight="1">
      <c r="A936" s="86"/>
      <c r="B936" s="86"/>
      <c r="C936" s="86"/>
      <c r="D936" s="86"/>
      <c r="E936" s="86"/>
      <c r="F936" s="58"/>
      <c r="G936" s="58"/>
      <c r="H936" s="58"/>
      <c r="I936" s="58"/>
      <c r="J936" s="58"/>
      <c r="K936" s="58"/>
      <c r="L936" s="58"/>
      <c r="M936" s="58"/>
      <c r="N936" s="58"/>
      <c r="O936" s="58"/>
      <c r="P936" s="58"/>
      <c r="Q936" s="58"/>
      <c r="R936" s="58"/>
      <c r="S936" s="58"/>
      <c r="T936" s="58"/>
      <c r="U936" s="58"/>
      <c r="V936" s="58"/>
      <c r="W936" s="58"/>
      <c r="X936" s="58"/>
      <c r="Y936" s="58"/>
      <c r="Z936" s="58"/>
    </row>
    <row r="937" ht="15.75" customHeight="1">
      <c r="A937" s="86"/>
      <c r="B937" s="86"/>
      <c r="C937" s="86"/>
      <c r="D937" s="86"/>
      <c r="E937" s="86"/>
      <c r="F937" s="58"/>
      <c r="G937" s="58"/>
      <c r="H937" s="58"/>
      <c r="I937" s="58"/>
      <c r="J937" s="58"/>
      <c r="K937" s="58"/>
      <c r="L937" s="58"/>
      <c r="M937" s="58"/>
      <c r="N937" s="58"/>
      <c r="O937" s="58"/>
      <c r="P937" s="58"/>
      <c r="Q937" s="58"/>
      <c r="R937" s="58"/>
      <c r="S937" s="58"/>
      <c r="T937" s="58"/>
      <c r="U937" s="58"/>
      <c r="V937" s="58"/>
      <c r="W937" s="58"/>
      <c r="X937" s="58"/>
      <c r="Y937" s="58"/>
      <c r="Z937" s="58"/>
    </row>
    <row r="938" ht="15.75" customHeight="1">
      <c r="A938" s="86"/>
      <c r="B938" s="86"/>
      <c r="C938" s="86"/>
      <c r="D938" s="86"/>
      <c r="E938" s="86"/>
      <c r="F938" s="58"/>
      <c r="G938" s="58"/>
      <c r="H938" s="58"/>
      <c r="I938" s="58"/>
      <c r="J938" s="58"/>
      <c r="K938" s="58"/>
      <c r="L938" s="58"/>
      <c r="M938" s="58"/>
      <c r="N938" s="58"/>
      <c r="O938" s="58"/>
      <c r="P938" s="58"/>
      <c r="Q938" s="58"/>
      <c r="R938" s="58"/>
      <c r="S938" s="58"/>
      <c r="T938" s="58"/>
      <c r="U938" s="58"/>
      <c r="V938" s="58"/>
      <c r="W938" s="58"/>
      <c r="X938" s="58"/>
      <c r="Y938" s="58"/>
      <c r="Z938" s="58"/>
    </row>
    <row r="939" ht="15.75" customHeight="1">
      <c r="A939" s="86"/>
      <c r="B939" s="86"/>
      <c r="C939" s="86"/>
      <c r="D939" s="86"/>
      <c r="E939" s="86"/>
      <c r="F939" s="58"/>
      <c r="G939" s="58"/>
      <c r="H939" s="58"/>
      <c r="I939" s="58"/>
      <c r="J939" s="58"/>
      <c r="K939" s="58"/>
      <c r="L939" s="58"/>
      <c r="M939" s="58"/>
      <c r="N939" s="58"/>
      <c r="O939" s="58"/>
      <c r="P939" s="58"/>
      <c r="Q939" s="58"/>
      <c r="R939" s="58"/>
      <c r="S939" s="58"/>
      <c r="T939" s="58"/>
      <c r="U939" s="58"/>
      <c r="V939" s="58"/>
      <c r="W939" s="58"/>
      <c r="X939" s="58"/>
      <c r="Y939" s="58"/>
      <c r="Z939" s="58"/>
    </row>
    <row r="940" ht="15.75" customHeight="1">
      <c r="A940" s="86"/>
      <c r="B940" s="86"/>
      <c r="C940" s="86"/>
      <c r="D940" s="86"/>
      <c r="E940" s="86"/>
      <c r="F940" s="58"/>
      <c r="G940" s="58"/>
      <c r="H940" s="58"/>
      <c r="I940" s="58"/>
      <c r="J940" s="58"/>
      <c r="K940" s="58"/>
      <c r="L940" s="58"/>
      <c r="M940" s="58"/>
      <c r="N940" s="58"/>
      <c r="O940" s="58"/>
      <c r="P940" s="58"/>
      <c r="Q940" s="58"/>
      <c r="R940" s="58"/>
      <c r="S940" s="58"/>
      <c r="T940" s="58"/>
      <c r="U940" s="58"/>
      <c r="V940" s="58"/>
      <c r="W940" s="58"/>
      <c r="X940" s="58"/>
      <c r="Y940" s="58"/>
      <c r="Z940" s="58"/>
    </row>
    <row r="941" ht="15.75" customHeight="1">
      <c r="A941" s="86"/>
      <c r="B941" s="86"/>
      <c r="C941" s="86"/>
      <c r="D941" s="86"/>
      <c r="E941" s="86"/>
      <c r="F941" s="58"/>
      <c r="G941" s="58"/>
      <c r="H941" s="58"/>
      <c r="I941" s="58"/>
      <c r="J941" s="58"/>
      <c r="K941" s="58"/>
      <c r="L941" s="58"/>
      <c r="M941" s="58"/>
      <c r="N941" s="58"/>
      <c r="O941" s="58"/>
      <c r="P941" s="58"/>
      <c r="Q941" s="58"/>
      <c r="R941" s="58"/>
      <c r="S941" s="58"/>
      <c r="T941" s="58"/>
      <c r="U941" s="58"/>
      <c r="V941" s="58"/>
      <c r="W941" s="58"/>
      <c r="X941" s="58"/>
      <c r="Y941" s="58"/>
      <c r="Z941" s="58"/>
    </row>
    <row r="942" ht="15.75" customHeight="1">
      <c r="A942" s="86"/>
      <c r="B942" s="86"/>
      <c r="C942" s="86"/>
      <c r="D942" s="86"/>
      <c r="E942" s="86"/>
      <c r="F942" s="58"/>
      <c r="G942" s="58"/>
      <c r="H942" s="58"/>
      <c r="I942" s="58"/>
      <c r="J942" s="58"/>
      <c r="K942" s="58"/>
      <c r="L942" s="58"/>
      <c r="M942" s="58"/>
      <c r="N942" s="58"/>
      <c r="O942" s="58"/>
      <c r="P942" s="58"/>
      <c r="Q942" s="58"/>
      <c r="R942" s="58"/>
      <c r="S942" s="58"/>
      <c r="T942" s="58"/>
      <c r="U942" s="58"/>
      <c r="V942" s="58"/>
      <c r="W942" s="58"/>
      <c r="X942" s="58"/>
      <c r="Y942" s="58"/>
      <c r="Z942" s="58"/>
    </row>
    <row r="943" ht="15.75" customHeight="1">
      <c r="A943" s="86"/>
      <c r="B943" s="86"/>
      <c r="C943" s="86"/>
      <c r="D943" s="86"/>
      <c r="E943" s="86"/>
      <c r="F943" s="58"/>
      <c r="G943" s="58"/>
      <c r="H943" s="58"/>
      <c r="I943" s="58"/>
      <c r="J943" s="58"/>
      <c r="K943" s="58"/>
      <c r="L943" s="58"/>
      <c r="M943" s="58"/>
      <c r="N943" s="58"/>
      <c r="O943" s="58"/>
      <c r="P943" s="58"/>
      <c r="Q943" s="58"/>
      <c r="R943" s="58"/>
      <c r="S943" s="58"/>
      <c r="T943" s="58"/>
      <c r="U943" s="58"/>
      <c r="V943" s="58"/>
      <c r="W943" s="58"/>
      <c r="X943" s="58"/>
      <c r="Y943" s="58"/>
      <c r="Z943" s="58"/>
    </row>
    <row r="944" ht="15.75" customHeight="1">
      <c r="A944" s="86"/>
      <c r="B944" s="86"/>
      <c r="C944" s="86"/>
      <c r="D944" s="86"/>
      <c r="E944" s="86"/>
      <c r="F944" s="58"/>
      <c r="G944" s="58"/>
      <c r="H944" s="58"/>
      <c r="I944" s="58"/>
      <c r="J944" s="58"/>
      <c r="K944" s="58"/>
      <c r="L944" s="58"/>
      <c r="M944" s="58"/>
      <c r="N944" s="58"/>
      <c r="O944" s="58"/>
      <c r="P944" s="58"/>
      <c r="Q944" s="58"/>
      <c r="R944" s="58"/>
      <c r="S944" s="58"/>
      <c r="T944" s="58"/>
      <c r="U944" s="58"/>
      <c r="V944" s="58"/>
      <c r="W944" s="58"/>
      <c r="X944" s="58"/>
      <c r="Y944" s="58"/>
      <c r="Z944" s="58"/>
    </row>
    <row r="945" ht="15.75" customHeight="1">
      <c r="A945" s="86"/>
      <c r="B945" s="86"/>
      <c r="C945" s="86"/>
      <c r="D945" s="86"/>
      <c r="E945" s="86"/>
      <c r="F945" s="58"/>
      <c r="G945" s="58"/>
      <c r="H945" s="58"/>
      <c r="I945" s="58"/>
      <c r="J945" s="58"/>
      <c r="K945" s="58"/>
      <c r="L945" s="58"/>
      <c r="M945" s="58"/>
      <c r="N945" s="58"/>
      <c r="O945" s="58"/>
      <c r="P945" s="58"/>
      <c r="Q945" s="58"/>
      <c r="R945" s="58"/>
      <c r="S945" s="58"/>
      <c r="T945" s="58"/>
      <c r="U945" s="58"/>
      <c r="V945" s="58"/>
      <c r="W945" s="58"/>
      <c r="X945" s="58"/>
      <c r="Y945" s="58"/>
      <c r="Z945" s="58"/>
    </row>
    <row r="946" ht="15.75" customHeight="1">
      <c r="A946" s="86"/>
      <c r="B946" s="86"/>
      <c r="C946" s="86"/>
      <c r="D946" s="86"/>
      <c r="E946" s="86"/>
      <c r="F946" s="58"/>
      <c r="G946" s="58"/>
      <c r="H946" s="58"/>
      <c r="I946" s="58"/>
      <c r="J946" s="58"/>
      <c r="K946" s="58"/>
      <c r="L946" s="58"/>
      <c r="M946" s="58"/>
      <c r="N946" s="58"/>
      <c r="O946" s="58"/>
      <c r="P946" s="58"/>
      <c r="Q946" s="58"/>
      <c r="R946" s="58"/>
      <c r="S946" s="58"/>
      <c r="T946" s="58"/>
      <c r="U946" s="58"/>
      <c r="V946" s="58"/>
      <c r="W946" s="58"/>
      <c r="X946" s="58"/>
      <c r="Y946" s="58"/>
      <c r="Z946" s="58"/>
    </row>
    <row r="947" ht="15.75" customHeight="1">
      <c r="A947" s="86"/>
      <c r="B947" s="86"/>
      <c r="C947" s="86"/>
      <c r="D947" s="86"/>
      <c r="E947" s="86"/>
      <c r="F947" s="58"/>
      <c r="G947" s="58"/>
      <c r="H947" s="58"/>
      <c r="I947" s="58"/>
      <c r="J947" s="58"/>
      <c r="K947" s="58"/>
      <c r="L947" s="58"/>
      <c r="M947" s="58"/>
      <c r="N947" s="58"/>
      <c r="O947" s="58"/>
      <c r="P947" s="58"/>
      <c r="Q947" s="58"/>
      <c r="R947" s="58"/>
      <c r="S947" s="58"/>
      <c r="T947" s="58"/>
      <c r="U947" s="58"/>
      <c r="V947" s="58"/>
      <c r="W947" s="58"/>
      <c r="X947" s="58"/>
      <c r="Y947" s="58"/>
      <c r="Z947" s="58"/>
    </row>
    <row r="948" ht="15.75" customHeight="1">
      <c r="A948" s="86"/>
      <c r="B948" s="86"/>
      <c r="C948" s="86"/>
      <c r="D948" s="86"/>
      <c r="E948" s="86"/>
      <c r="F948" s="58"/>
      <c r="G948" s="58"/>
      <c r="H948" s="58"/>
      <c r="I948" s="58"/>
      <c r="J948" s="58"/>
      <c r="K948" s="58"/>
      <c r="L948" s="58"/>
      <c r="M948" s="58"/>
      <c r="N948" s="58"/>
      <c r="O948" s="58"/>
      <c r="P948" s="58"/>
      <c r="Q948" s="58"/>
      <c r="R948" s="58"/>
      <c r="S948" s="58"/>
      <c r="T948" s="58"/>
      <c r="U948" s="58"/>
      <c r="V948" s="58"/>
      <c r="W948" s="58"/>
      <c r="X948" s="58"/>
      <c r="Y948" s="58"/>
      <c r="Z948" s="58"/>
    </row>
    <row r="949" ht="15.75" customHeight="1">
      <c r="A949" s="86"/>
      <c r="B949" s="86"/>
      <c r="C949" s="86"/>
      <c r="D949" s="86"/>
      <c r="E949" s="86"/>
      <c r="F949" s="58"/>
      <c r="G949" s="58"/>
      <c r="H949" s="58"/>
      <c r="I949" s="58"/>
      <c r="J949" s="58"/>
      <c r="K949" s="58"/>
      <c r="L949" s="58"/>
      <c r="M949" s="58"/>
      <c r="N949" s="58"/>
      <c r="O949" s="58"/>
      <c r="P949" s="58"/>
      <c r="Q949" s="58"/>
      <c r="R949" s="58"/>
      <c r="S949" s="58"/>
      <c r="T949" s="58"/>
      <c r="U949" s="58"/>
      <c r="V949" s="58"/>
      <c r="W949" s="58"/>
      <c r="X949" s="58"/>
      <c r="Y949" s="58"/>
      <c r="Z949" s="58"/>
    </row>
    <row r="950" ht="15.75" customHeight="1">
      <c r="A950" s="86"/>
      <c r="B950" s="86"/>
      <c r="C950" s="86"/>
      <c r="D950" s="86"/>
      <c r="E950" s="86"/>
      <c r="F950" s="58"/>
      <c r="G950" s="58"/>
      <c r="H950" s="58"/>
      <c r="I950" s="58"/>
      <c r="J950" s="58"/>
      <c r="K950" s="58"/>
      <c r="L950" s="58"/>
      <c r="M950" s="58"/>
      <c r="N950" s="58"/>
      <c r="O950" s="58"/>
      <c r="P950" s="58"/>
      <c r="Q950" s="58"/>
      <c r="R950" s="58"/>
      <c r="S950" s="58"/>
      <c r="T950" s="58"/>
      <c r="U950" s="58"/>
      <c r="V950" s="58"/>
      <c r="W950" s="58"/>
      <c r="X950" s="58"/>
      <c r="Y950" s="58"/>
      <c r="Z950" s="58"/>
    </row>
    <row r="951" ht="15.75" customHeight="1">
      <c r="A951" s="86"/>
      <c r="B951" s="86"/>
      <c r="C951" s="86"/>
      <c r="D951" s="86"/>
      <c r="E951" s="86"/>
      <c r="F951" s="58"/>
      <c r="G951" s="58"/>
      <c r="H951" s="58"/>
      <c r="I951" s="58"/>
      <c r="J951" s="58"/>
      <c r="K951" s="58"/>
      <c r="L951" s="58"/>
      <c r="M951" s="58"/>
      <c r="N951" s="58"/>
      <c r="O951" s="58"/>
      <c r="P951" s="58"/>
      <c r="Q951" s="58"/>
      <c r="R951" s="58"/>
      <c r="S951" s="58"/>
      <c r="T951" s="58"/>
      <c r="U951" s="58"/>
      <c r="V951" s="58"/>
      <c r="W951" s="58"/>
      <c r="X951" s="58"/>
      <c r="Y951" s="58"/>
      <c r="Z951" s="58"/>
    </row>
    <row r="952" ht="15.75" customHeight="1">
      <c r="A952" s="86"/>
      <c r="B952" s="86"/>
      <c r="C952" s="86"/>
      <c r="D952" s="86"/>
      <c r="E952" s="86"/>
      <c r="F952" s="58"/>
      <c r="G952" s="58"/>
      <c r="H952" s="58"/>
      <c r="I952" s="58"/>
      <c r="J952" s="58"/>
      <c r="K952" s="58"/>
      <c r="L952" s="58"/>
      <c r="M952" s="58"/>
      <c r="N952" s="58"/>
      <c r="O952" s="58"/>
      <c r="P952" s="58"/>
      <c r="Q952" s="58"/>
      <c r="R952" s="58"/>
      <c r="S952" s="58"/>
      <c r="T952" s="58"/>
      <c r="U952" s="58"/>
      <c r="V952" s="58"/>
      <c r="W952" s="58"/>
      <c r="X952" s="58"/>
      <c r="Y952" s="58"/>
      <c r="Z952" s="58"/>
    </row>
    <row r="953" ht="15.75" customHeight="1">
      <c r="A953" s="86"/>
      <c r="B953" s="86"/>
      <c r="C953" s="86"/>
      <c r="D953" s="86"/>
      <c r="E953" s="86"/>
      <c r="F953" s="58"/>
      <c r="G953" s="58"/>
      <c r="H953" s="58"/>
      <c r="I953" s="58"/>
      <c r="J953" s="58"/>
      <c r="K953" s="58"/>
      <c r="L953" s="58"/>
      <c r="M953" s="58"/>
      <c r="N953" s="58"/>
      <c r="O953" s="58"/>
      <c r="P953" s="58"/>
      <c r="Q953" s="58"/>
      <c r="R953" s="58"/>
      <c r="S953" s="58"/>
      <c r="T953" s="58"/>
      <c r="U953" s="58"/>
      <c r="V953" s="58"/>
      <c r="W953" s="58"/>
      <c r="X953" s="58"/>
      <c r="Y953" s="58"/>
      <c r="Z953" s="58"/>
    </row>
    <row r="954" ht="15.75" customHeight="1">
      <c r="A954" s="86"/>
      <c r="B954" s="86"/>
      <c r="C954" s="86"/>
      <c r="D954" s="86"/>
      <c r="E954" s="86"/>
      <c r="F954" s="58"/>
      <c r="G954" s="58"/>
      <c r="H954" s="58"/>
      <c r="I954" s="58"/>
      <c r="J954" s="58"/>
      <c r="K954" s="58"/>
      <c r="L954" s="58"/>
      <c r="M954" s="58"/>
      <c r="N954" s="58"/>
      <c r="O954" s="58"/>
      <c r="P954" s="58"/>
      <c r="Q954" s="58"/>
      <c r="R954" s="58"/>
      <c r="S954" s="58"/>
      <c r="T954" s="58"/>
      <c r="U954" s="58"/>
      <c r="V954" s="58"/>
      <c r="W954" s="58"/>
      <c r="X954" s="58"/>
      <c r="Y954" s="58"/>
      <c r="Z954" s="58"/>
    </row>
    <row r="955" ht="15.75" customHeight="1">
      <c r="A955" s="86"/>
      <c r="B955" s="86"/>
      <c r="C955" s="86"/>
      <c r="D955" s="86"/>
      <c r="E955" s="86"/>
      <c r="F955" s="58"/>
      <c r="G955" s="58"/>
      <c r="H955" s="58"/>
      <c r="I955" s="58"/>
      <c r="J955" s="58"/>
      <c r="K955" s="58"/>
      <c r="L955" s="58"/>
      <c r="M955" s="58"/>
      <c r="N955" s="58"/>
      <c r="O955" s="58"/>
      <c r="P955" s="58"/>
      <c r="Q955" s="58"/>
      <c r="R955" s="58"/>
      <c r="S955" s="58"/>
      <c r="T955" s="58"/>
      <c r="U955" s="58"/>
      <c r="V955" s="58"/>
      <c r="W955" s="58"/>
      <c r="X955" s="58"/>
      <c r="Y955" s="58"/>
      <c r="Z955" s="58"/>
    </row>
    <row r="956" ht="15.75" customHeight="1">
      <c r="A956" s="86"/>
      <c r="B956" s="86"/>
      <c r="C956" s="86"/>
      <c r="D956" s="86"/>
      <c r="E956" s="86"/>
      <c r="F956" s="58"/>
      <c r="G956" s="58"/>
      <c r="H956" s="58"/>
      <c r="I956" s="58"/>
      <c r="J956" s="58"/>
      <c r="K956" s="58"/>
      <c r="L956" s="58"/>
      <c r="M956" s="58"/>
      <c r="N956" s="58"/>
      <c r="O956" s="58"/>
      <c r="P956" s="58"/>
      <c r="Q956" s="58"/>
      <c r="R956" s="58"/>
      <c r="S956" s="58"/>
      <c r="T956" s="58"/>
      <c r="U956" s="58"/>
      <c r="V956" s="58"/>
      <c r="W956" s="58"/>
      <c r="X956" s="58"/>
      <c r="Y956" s="58"/>
      <c r="Z956" s="58"/>
    </row>
    <row r="957" ht="15.75" customHeight="1">
      <c r="A957" s="86"/>
      <c r="B957" s="86"/>
      <c r="C957" s="86"/>
      <c r="D957" s="86"/>
      <c r="E957" s="86"/>
      <c r="F957" s="58"/>
      <c r="G957" s="58"/>
      <c r="H957" s="58"/>
      <c r="I957" s="58"/>
      <c r="J957" s="58"/>
      <c r="K957" s="58"/>
      <c r="L957" s="58"/>
      <c r="M957" s="58"/>
      <c r="N957" s="58"/>
      <c r="O957" s="58"/>
      <c r="P957" s="58"/>
      <c r="Q957" s="58"/>
      <c r="R957" s="58"/>
      <c r="S957" s="58"/>
      <c r="T957" s="58"/>
      <c r="U957" s="58"/>
      <c r="V957" s="58"/>
      <c r="W957" s="58"/>
      <c r="X957" s="58"/>
      <c r="Y957" s="58"/>
      <c r="Z957" s="58"/>
    </row>
    <row r="958" ht="15.75" customHeight="1">
      <c r="A958" s="86"/>
      <c r="B958" s="86"/>
      <c r="C958" s="86"/>
      <c r="D958" s="86"/>
      <c r="E958" s="86"/>
      <c r="F958" s="58"/>
      <c r="G958" s="58"/>
      <c r="H958" s="58"/>
      <c r="I958" s="58"/>
      <c r="J958" s="58"/>
      <c r="K958" s="58"/>
      <c r="L958" s="58"/>
      <c r="M958" s="58"/>
      <c r="N958" s="58"/>
      <c r="O958" s="58"/>
      <c r="P958" s="58"/>
      <c r="Q958" s="58"/>
      <c r="R958" s="58"/>
      <c r="S958" s="58"/>
      <c r="T958" s="58"/>
      <c r="U958" s="58"/>
      <c r="V958" s="58"/>
      <c r="W958" s="58"/>
      <c r="X958" s="58"/>
      <c r="Y958" s="58"/>
      <c r="Z958" s="58"/>
    </row>
    <row r="959" ht="15.75" customHeight="1">
      <c r="A959" s="86"/>
      <c r="B959" s="86"/>
      <c r="C959" s="86"/>
      <c r="D959" s="86"/>
      <c r="E959" s="86"/>
      <c r="F959" s="58"/>
      <c r="G959" s="58"/>
      <c r="H959" s="58"/>
      <c r="I959" s="58"/>
      <c r="J959" s="58"/>
      <c r="K959" s="58"/>
      <c r="L959" s="58"/>
      <c r="M959" s="58"/>
      <c r="N959" s="58"/>
      <c r="O959" s="58"/>
      <c r="P959" s="58"/>
      <c r="Q959" s="58"/>
      <c r="R959" s="58"/>
      <c r="S959" s="58"/>
      <c r="T959" s="58"/>
      <c r="U959" s="58"/>
      <c r="V959" s="58"/>
      <c r="W959" s="58"/>
      <c r="X959" s="58"/>
      <c r="Y959" s="58"/>
      <c r="Z959" s="58"/>
    </row>
    <row r="960" ht="15.75" customHeight="1">
      <c r="A960" s="86"/>
      <c r="B960" s="86"/>
      <c r="C960" s="86"/>
      <c r="D960" s="86"/>
      <c r="E960" s="86"/>
      <c r="F960" s="58"/>
      <c r="G960" s="58"/>
      <c r="H960" s="58"/>
      <c r="I960" s="58"/>
      <c r="J960" s="58"/>
      <c r="K960" s="58"/>
      <c r="L960" s="58"/>
      <c r="M960" s="58"/>
      <c r="N960" s="58"/>
      <c r="O960" s="58"/>
      <c r="P960" s="58"/>
      <c r="Q960" s="58"/>
      <c r="R960" s="58"/>
      <c r="S960" s="58"/>
      <c r="T960" s="58"/>
      <c r="U960" s="58"/>
      <c r="V960" s="58"/>
      <c r="W960" s="58"/>
      <c r="X960" s="58"/>
      <c r="Y960" s="58"/>
      <c r="Z960" s="58"/>
    </row>
    <row r="961" ht="15.75" customHeight="1">
      <c r="A961" s="86"/>
      <c r="B961" s="86"/>
      <c r="C961" s="86"/>
      <c r="D961" s="86"/>
      <c r="E961" s="86"/>
      <c r="F961" s="58"/>
      <c r="G961" s="58"/>
      <c r="H961" s="58"/>
      <c r="I961" s="58"/>
      <c r="J961" s="58"/>
      <c r="K961" s="58"/>
      <c r="L961" s="58"/>
      <c r="M961" s="58"/>
      <c r="N961" s="58"/>
      <c r="O961" s="58"/>
      <c r="P961" s="58"/>
      <c r="Q961" s="58"/>
      <c r="R961" s="58"/>
      <c r="S961" s="58"/>
      <c r="T961" s="58"/>
      <c r="U961" s="58"/>
      <c r="V961" s="58"/>
      <c r="W961" s="58"/>
      <c r="X961" s="58"/>
      <c r="Y961" s="58"/>
      <c r="Z961" s="58"/>
    </row>
    <row r="962" ht="15.75" customHeight="1">
      <c r="A962" s="86"/>
      <c r="B962" s="86"/>
      <c r="C962" s="86"/>
      <c r="D962" s="86"/>
      <c r="E962" s="86"/>
      <c r="F962" s="58"/>
      <c r="G962" s="58"/>
      <c r="H962" s="58"/>
      <c r="I962" s="58"/>
      <c r="J962" s="58"/>
      <c r="K962" s="58"/>
      <c r="L962" s="58"/>
      <c r="M962" s="58"/>
      <c r="N962" s="58"/>
      <c r="O962" s="58"/>
      <c r="P962" s="58"/>
      <c r="Q962" s="58"/>
      <c r="R962" s="58"/>
      <c r="S962" s="58"/>
      <c r="T962" s="58"/>
      <c r="U962" s="58"/>
      <c r="V962" s="58"/>
      <c r="W962" s="58"/>
      <c r="X962" s="58"/>
      <c r="Y962" s="58"/>
      <c r="Z962" s="58"/>
    </row>
    <row r="963" ht="15.75" customHeight="1">
      <c r="A963" s="86"/>
      <c r="B963" s="86"/>
      <c r="C963" s="86"/>
      <c r="D963" s="86"/>
      <c r="E963" s="86"/>
      <c r="F963" s="58"/>
      <c r="G963" s="58"/>
      <c r="H963" s="58"/>
      <c r="I963" s="58"/>
      <c r="J963" s="58"/>
      <c r="K963" s="58"/>
      <c r="L963" s="58"/>
      <c r="M963" s="58"/>
      <c r="N963" s="58"/>
      <c r="O963" s="58"/>
      <c r="P963" s="58"/>
      <c r="Q963" s="58"/>
      <c r="R963" s="58"/>
      <c r="S963" s="58"/>
      <c r="T963" s="58"/>
      <c r="U963" s="58"/>
      <c r="V963" s="58"/>
      <c r="W963" s="58"/>
      <c r="X963" s="58"/>
      <c r="Y963" s="58"/>
      <c r="Z963" s="58"/>
    </row>
    <row r="964" ht="15.75" customHeight="1">
      <c r="A964" s="86"/>
      <c r="B964" s="86"/>
      <c r="C964" s="86"/>
      <c r="D964" s="86"/>
      <c r="E964" s="86"/>
      <c r="F964" s="58"/>
      <c r="G964" s="58"/>
      <c r="H964" s="58"/>
      <c r="I964" s="58"/>
      <c r="J964" s="58"/>
      <c r="K964" s="58"/>
      <c r="L964" s="58"/>
      <c r="M964" s="58"/>
      <c r="N964" s="58"/>
      <c r="O964" s="58"/>
      <c r="P964" s="58"/>
      <c r="Q964" s="58"/>
      <c r="R964" s="58"/>
      <c r="S964" s="58"/>
      <c r="T964" s="58"/>
      <c r="U964" s="58"/>
      <c r="V964" s="58"/>
      <c r="W964" s="58"/>
      <c r="X964" s="58"/>
      <c r="Y964" s="58"/>
      <c r="Z964" s="58"/>
    </row>
    <row r="965" ht="15.75" customHeight="1">
      <c r="A965" s="86"/>
      <c r="B965" s="86"/>
      <c r="C965" s="86"/>
      <c r="D965" s="86"/>
      <c r="E965" s="86"/>
      <c r="F965" s="58"/>
      <c r="G965" s="58"/>
      <c r="H965" s="58"/>
      <c r="I965" s="58"/>
      <c r="J965" s="58"/>
      <c r="K965" s="58"/>
      <c r="L965" s="58"/>
      <c r="M965" s="58"/>
      <c r="N965" s="58"/>
      <c r="O965" s="58"/>
      <c r="P965" s="58"/>
      <c r="Q965" s="58"/>
      <c r="R965" s="58"/>
      <c r="S965" s="58"/>
      <c r="T965" s="58"/>
      <c r="U965" s="58"/>
      <c r="V965" s="58"/>
      <c r="W965" s="58"/>
      <c r="X965" s="58"/>
      <c r="Y965" s="58"/>
      <c r="Z965" s="58"/>
    </row>
    <row r="966" ht="15.75" customHeight="1">
      <c r="A966" s="86"/>
      <c r="B966" s="86"/>
      <c r="C966" s="86"/>
      <c r="D966" s="86"/>
      <c r="E966" s="86"/>
      <c r="F966" s="58"/>
      <c r="G966" s="58"/>
      <c r="H966" s="58"/>
      <c r="I966" s="58"/>
      <c r="J966" s="58"/>
      <c r="K966" s="58"/>
      <c r="L966" s="58"/>
      <c r="M966" s="58"/>
      <c r="N966" s="58"/>
      <c r="O966" s="58"/>
      <c r="P966" s="58"/>
      <c r="Q966" s="58"/>
      <c r="R966" s="58"/>
      <c r="S966" s="58"/>
      <c r="T966" s="58"/>
      <c r="U966" s="58"/>
      <c r="V966" s="58"/>
      <c r="W966" s="58"/>
      <c r="X966" s="58"/>
      <c r="Y966" s="58"/>
      <c r="Z966" s="58"/>
    </row>
    <row r="967" ht="15.75" customHeight="1">
      <c r="A967" s="86"/>
      <c r="B967" s="86"/>
      <c r="C967" s="86"/>
      <c r="D967" s="86"/>
      <c r="E967" s="86"/>
      <c r="F967" s="58"/>
      <c r="G967" s="58"/>
      <c r="H967" s="58"/>
      <c r="I967" s="58"/>
      <c r="J967" s="58"/>
      <c r="K967" s="58"/>
      <c r="L967" s="58"/>
      <c r="M967" s="58"/>
      <c r="N967" s="58"/>
      <c r="O967" s="58"/>
      <c r="P967" s="58"/>
      <c r="Q967" s="58"/>
      <c r="R967" s="58"/>
      <c r="S967" s="58"/>
      <c r="T967" s="58"/>
      <c r="U967" s="58"/>
      <c r="V967" s="58"/>
      <c r="W967" s="58"/>
      <c r="X967" s="58"/>
      <c r="Y967" s="58"/>
      <c r="Z967" s="58"/>
    </row>
    <row r="968" ht="15.75" customHeight="1">
      <c r="A968" s="86"/>
      <c r="B968" s="86"/>
      <c r="C968" s="86"/>
      <c r="D968" s="86"/>
      <c r="E968" s="86"/>
      <c r="F968" s="58"/>
      <c r="G968" s="58"/>
      <c r="H968" s="58"/>
      <c r="I968" s="58"/>
      <c r="J968" s="58"/>
      <c r="K968" s="58"/>
      <c r="L968" s="58"/>
      <c r="M968" s="58"/>
      <c r="N968" s="58"/>
      <c r="O968" s="58"/>
      <c r="P968" s="58"/>
      <c r="Q968" s="58"/>
      <c r="R968" s="58"/>
      <c r="S968" s="58"/>
      <c r="T968" s="58"/>
      <c r="U968" s="58"/>
      <c r="V968" s="58"/>
      <c r="W968" s="58"/>
      <c r="X968" s="58"/>
      <c r="Y968" s="58"/>
      <c r="Z968" s="58"/>
    </row>
    <row r="969" ht="15.75" customHeight="1">
      <c r="A969" s="86"/>
      <c r="B969" s="86"/>
      <c r="C969" s="86"/>
      <c r="D969" s="86"/>
      <c r="E969" s="86"/>
      <c r="F969" s="58"/>
      <c r="G969" s="58"/>
      <c r="H969" s="58"/>
      <c r="I969" s="58"/>
      <c r="J969" s="58"/>
      <c r="K969" s="58"/>
      <c r="L969" s="58"/>
      <c r="M969" s="58"/>
      <c r="N969" s="58"/>
      <c r="O969" s="58"/>
      <c r="P969" s="58"/>
      <c r="Q969" s="58"/>
      <c r="R969" s="58"/>
      <c r="S969" s="58"/>
      <c r="T969" s="58"/>
      <c r="U969" s="58"/>
      <c r="V969" s="58"/>
      <c r="W969" s="58"/>
      <c r="X969" s="58"/>
      <c r="Y969" s="58"/>
      <c r="Z969" s="58"/>
    </row>
    <row r="970" ht="15.75" customHeight="1">
      <c r="A970" s="86"/>
      <c r="B970" s="86"/>
      <c r="C970" s="86"/>
      <c r="D970" s="86"/>
      <c r="E970" s="86"/>
      <c r="F970" s="58"/>
      <c r="G970" s="58"/>
      <c r="H970" s="58"/>
      <c r="I970" s="58"/>
      <c r="J970" s="58"/>
      <c r="K970" s="58"/>
      <c r="L970" s="58"/>
      <c r="M970" s="58"/>
      <c r="N970" s="58"/>
      <c r="O970" s="58"/>
      <c r="P970" s="58"/>
      <c r="Q970" s="58"/>
      <c r="R970" s="58"/>
      <c r="S970" s="58"/>
      <c r="T970" s="58"/>
      <c r="U970" s="58"/>
      <c r="V970" s="58"/>
      <c r="W970" s="58"/>
      <c r="X970" s="58"/>
      <c r="Y970" s="58"/>
      <c r="Z970" s="58"/>
    </row>
    <row r="971" ht="15.75" customHeight="1">
      <c r="A971" s="86"/>
      <c r="B971" s="86"/>
      <c r="C971" s="86"/>
      <c r="D971" s="86"/>
      <c r="E971" s="86"/>
      <c r="F971" s="58"/>
      <c r="G971" s="58"/>
      <c r="H971" s="58"/>
      <c r="I971" s="58"/>
      <c r="J971" s="58"/>
      <c r="K971" s="58"/>
      <c r="L971" s="58"/>
      <c r="M971" s="58"/>
      <c r="N971" s="58"/>
      <c r="O971" s="58"/>
      <c r="P971" s="58"/>
      <c r="Q971" s="58"/>
      <c r="R971" s="58"/>
      <c r="S971" s="58"/>
      <c r="T971" s="58"/>
      <c r="U971" s="58"/>
      <c r="V971" s="58"/>
      <c r="W971" s="58"/>
      <c r="X971" s="58"/>
      <c r="Y971" s="58"/>
      <c r="Z971" s="58"/>
    </row>
    <row r="972" ht="15.75" customHeight="1">
      <c r="A972" s="86"/>
      <c r="B972" s="86"/>
      <c r="C972" s="86"/>
      <c r="D972" s="86"/>
      <c r="E972" s="86"/>
      <c r="F972" s="58"/>
      <c r="G972" s="58"/>
      <c r="H972" s="58"/>
      <c r="I972" s="58"/>
      <c r="J972" s="58"/>
      <c r="K972" s="58"/>
      <c r="L972" s="58"/>
      <c r="M972" s="58"/>
      <c r="N972" s="58"/>
      <c r="O972" s="58"/>
      <c r="P972" s="58"/>
      <c r="Q972" s="58"/>
      <c r="R972" s="58"/>
      <c r="S972" s="58"/>
      <c r="T972" s="58"/>
      <c r="U972" s="58"/>
      <c r="V972" s="58"/>
      <c r="W972" s="58"/>
      <c r="X972" s="58"/>
      <c r="Y972" s="58"/>
      <c r="Z972" s="58"/>
    </row>
    <row r="973" ht="15.75" customHeight="1">
      <c r="A973" s="86"/>
      <c r="B973" s="86"/>
      <c r="C973" s="86"/>
      <c r="D973" s="86"/>
      <c r="E973" s="86"/>
      <c r="F973" s="58"/>
      <c r="G973" s="58"/>
      <c r="H973" s="58"/>
      <c r="I973" s="58"/>
      <c r="J973" s="58"/>
      <c r="K973" s="58"/>
      <c r="L973" s="58"/>
      <c r="M973" s="58"/>
      <c r="N973" s="58"/>
      <c r="O973" s="58"/>
      <c r="P973" s="58"/>
      <c r="Q973" s="58"/>
      <c r="R973" s="58"/>
      <c r="S973" s="58"/>
      <c r="T973" s="58"/>
      <c r="U973" s="58"/>
      <c r="V973" s="58"/>
      <c r="W973" s="58"/>
      <c r="X973" s="58"/>
      <c r="Y973" s="58"/>
      <c r="Z973" s="58"/>
    </row>
    <row r="974" ht="15.75" customHeight="1">
      <c r="A974" s="86"/>
      <c r="B974" s="86"/>
      <c r="C974" s="86"/>
      <c r="D974" s="86"/>
      <c r="E974" s="86"/>
      <c r="F974" s="58"/>
      <c r="G974" s="58"/>
      <c r="H974" s="58"/>
      <c r="I974" s="58"/>
      <c r="J974" s="58"/>
      <c r="K974" s="58"/>
      <c r="L974" s="58"/>
      <c r="M974" s="58"/>
      <c r="N974" s="58"/>
      <c r="O974" s="58"/>
      <c r="P974" s="58"/>
      <c r="Q974" s="58"/>
      <c r="R974" s="58"/>
      <c r="S974" s="58"/>
      <c r="T974" s="58"/>
      <c r="U974" s="58"/>
      <c r="V974" s="58"/>
      <c r="W974" s="58"/>
      <c r="X974" s="58"/>
      <c r="Y974" s="58"/>
      <c r="Z974" s="58"/>
    </row>
    <row r="975" ht="15.75" customHeight="1">
      <c r="A975" s="86"/>
      <c r="B975" s="86"/>
      <c r="C975" s="86"/>
      <c r="D975" s="86"/>
      <c r="E975" s="86"/>
      <c r="F975" s="58"/>
      <c r="G975" s="58"/>
      <c r="H975" s="58"/>
      <c r="I975" s="58"/>
      <c r="J975" s="58"/>
      <c r="K975" s="58"/>
      <c r="L975" s="58"/>
      <c r="M975" s="58"/>
      <c r="N975" s="58"/>
      <c r="O975" s="58"/>
      <c r="P975" s="58"/>
      <c r="Q975" s="58"/>
      <c r="R975" s="58"/>
      <c r="S975" s="58"/>
      <c r="T975" s="58"/>
      <c r="U975" s="58"/>
      <c r="V975" s="58"/>
      <c r="W975" s="58"/>
      <c r="X975" s="58"/>
      <c r="Y975" s="58"/>
      <c r="Z975" s="58"/>
    </row>
    <row r="976" ht="15.75" customHeight="1">
      <c r="A976" s="86"/>
      <c r="B976" s="86"/>
      <c r="C976" s="86"/>
      <c r="D976" s="86"/>
      <c r="E976" s="86"/>
      <c r="F976" s="58"/>
      <c r="G976" s="58"/>
      <c r="H976" s="58"/>
      <c r="I976" s="58"/>
      <c r="J976" s="58"/>
      <c r="K976" s="58"/>
      <c r="L976" s="58"/>
      <c r="M976" s="58"/>
      <c r="N976" s="58"/>
      <c r="O976" s="58"/>
      <c r="P976" s="58"/>
      <c r="Q976" s="58"/>
      <c r="R976" s="58"/>
      <c r="S976" s="58"/>
      <c r="T976" s="58"/>
      <c r="U976" s="58"/>
      <c r="V976" s="58"/>
      <c r="W976" s="58"/>
      <c r="X976" s="58"/>
      <c r="Y976" s="58"/>
      <c r="Z976" s="58"/>
    </row>
    <row r="977" ht="15.75" customHeight="1">
      <c r="A977" s="86"/>
      <c r="B977" s="86"/>
      <c r="C977" s="86"/>
      <c r="D977" s="86"/>
      <c r="E977" s="86"/>
      <c r="F977" s="58"/>
      <c r="G977" s="58"/>
      <c r="H977" s="58"/>
      <c r="I977" s="58"/>
      <c r="J977" s="58"/>
      <c r="K977" s="58"/>
      <c r="L977" s="58"/>
      <c r="M977" s="58"/>
      <c r="N977" s="58"/>
      <c r="O977" s="58"/>
      <c r="P977" s="58"/>
      <c r="Q977" s="58"/>
      <c r="R977" s="58"/>
      <c r="S977" s="58"/>
      <c r="T977" s="58"/>
      <c r="U977" s="58"/>
      <c r="V977" s="58"/>
      <c r="W977" s="58"/>
      <c r="X977" s="58"/>
      <c r="Y977" s="58"/>
      <c r="Z977" s="58"/>
    </row>
    <row r="978" ht="15.75" customHeight="1">
      <c r="A978" s="86"/>
      <c r="B978" s="86"/>
      <c r="C978" s="86"/>
      <c r="D978" s="86"/>
      <c r="E978" s="86"/>
      <c r="F978" s="58"/>
      <c r="G978" s="58"/>
      <c r="H978" s="58"/>
      <c r="I978" s="58"/>
      <c r="J978" s="58"/>
      <c r="K978" s="58"/>
      <c r="L978" s="58"/>
      <c r="M978" s="58"/>
      <c r="N978" s="58"/>
      <c r="O978" s="58"/>
      <c r="P978" s="58"/>
      <c r="Q978" s="58"/>
      <c r="R978" s="58"/>
      <c r="S978" s="58"/>
      <c r="T978" s="58"/>
      <c r="U978" s="58"/>
      <c r="V978" s="58"/>
      <c r="W978" s="58"/>
      <c r="X978" s="58"/>
      <c r="Y978" s="58"/>
      <c r="Z978" s="58"/>
    </row>
    <row r="979" ht="15.75" customHeight="1">
      <c r="A979" s="86"/>
      <c r="B979" s="86"/>
      <c r="C979" s="86"/>
      <c r="D979" s="86"/>
      <c r="E979" s="86"/>
      <c r="F979" s="58"/>
      <c r="G979" s="58"/>
      <c r="H979" s="58"/>
      <c r="I979" s="58"/>
      <c r="J979" s="58"/>
      <c r="K979" s="58"/>
      <c r="L979" s="58"/>
      <c r="M979" s="58"/>
      <c r="N979" s="58"/>
      <c r="O979" s="58"/>
      <c r="P979" s="58"/>
      <c r="Q979" s="58"/>
      <c r="R979" s="58"/>
      <c r="S979" s="58"/>
      <c r="T979" s="58"/>
      <c r="U979" s="58"/>
      <c r="V979" s="58"/>
      <c r="W979" s="58"/>
      <c r="X979" s="58"/>
      <c r="Y979" s="58"/>
      <c r="Z979" s="58"/>
    </row>
    <row r="980" ht="15.75" customHeight="1">
      <c r="A980" s="86"/>
      <c r="B980" s="86"/>
      <c r="C980" s="86"/>
      <c r="D980" s="86"/>
      <c r="E980" s="86"/>
      <c r="F980" s="58"/>
      <c r="G980" s="58"/>
      <c r="H980" s="58"/>
      <c r="I980" s="58"/>
      <c r="J980" s="58"/>
      <c r="K980" s="58"/>
      <c r="L980" s="58"/>
      <c r="M980" s="58"/>
      <c r="N980" s="58"/>
      <c r="O980" s="58"/>
      <c r="P980" s="58"/>
      <c r="Q980" s="58"/>
      <c r="R980" s="58"/>
      <c r="S980" s="58"/>
      <c r="T980" s="58"/>
      <c r="U980" s="58"/>
      <c r="V980" s="58"/>
      <c r="W980" s="58"/>
      <c r="X980" s="58"/>
      <c r="Y980" s="58"/>
      <c r="Z980" s="58"/>
    </row>
    <row r="981" ht="15.75" customHeight="1">
      <c r="A981" s="86"/>
      <c r="B981" s="86"/>
      <c r="C981" s="86"/>
      <c r="D981" s="86"/>
      <c r="E981" s="86"/>
      <c r="F981" s="58"/>
      <c r="G981" s="58"/>
      <c r="H981" s="58"/>
      <c r="I981" s="58"/>
      <c r="J981" s="58"/>
      <c r="K981" s="58"/>
      <c r="L981" s="58"/>
      <c r="M981" s="58"/>
      <c r="N981" s="58"/>
      <c r="O981" s="58"/>
      <c r="P981" s="58"/>
      <c r="Q981" s="58"/>
      <c r="R981" s="58"/>
      <c r="S981" s="58"/>
      <c r="T981" s="58"/>
      <c r="U981" s="58"/>
      <c r="V981" s="58"/>
      <c r="W981" s="58"/>
      <c r="X981" s="58"/>
      <c r="Y981" s="58"/>
      <c r="Z981" s="58"/>
    </row>
    <row r="982" ht="15.75" customHeight="1">
      <c r="A982" s="86"/>
      <c r="B982" s="86"/>
      <c r="C982" s="86"/>
      <c r="D982" s="86"/>
      <c r="E982" s="86"/>
      <c r="F982" s="58"/>
      <c r="G982" s="58"/>
      <c r="H982" s="58"/>
      <c r="I982" s="58"/>
      <c r="J982" s="58"/>
      <c r="K982" s="58"/>
      <c r="L982" s="58"/>
      <c r="M982" s="58"/>
      <c r="N982" s="58"/>
      <c r="O982" s="58"/>
      <c r="P982" s="58"/>
      <c r="Q982" s="58"/>
      <c r="R982" s="58"/>
      <c r="S982" s="58"/>
      <c r="T982" s="58"/>
      <c r="U982" s="58"/>
      <c r="V982" s="58"/>
      <c r="W982" s="58"/>
      <c r="X982" s="58"/>
      <c r="Y982" s="58"/>
      <c r="Z982" s="58"/>
    </row>
    <row r="983" ht="15.75" customHeight="1">
      <c r="A983" s="86"/>
      <c r="B983" s="86"/>
      <c r="C983" s="86"/>
      <c r="D983" s="86"/>
      <c r="E983" s="86"/>
      <c r="F983" s="58"/>
      <c r="G983" s="58"/>
      <c r="H983" s="58"/>
      <c r="I983" s="58"/>
      <c r="J983" s="58"/>
      <c r="K983" s="58"/>
      <c r="L983" s="58"/>
      <c r="M983" s="58"/>
      <c r="N983" s="58"/>
      <c r="O983" s="58"/>
      <c r="P983" s="58"/>
      <c r="Q983" s="58"/>
      <c r="R983" s="58"/>
      <c r="S983" s="58"/>
      <c r="T983" s="58"/>
      <c r="U983" s="58"/>
      <c r="V983" s="58"/>
      <c r="W983" s="58"/>
      <c r="X983" s="58"/>
      <c r="Y983" s="58"/>
      <c r="Z983" s="58"/>
    </row>
    <row r="984" ht="15.75" customHeight="1">
      <c r="A984" s="86"/>
      <c r="B984" s="86"/>
      <c r="C984" s="86"/>
      <c r="D984" s="86"/>
      <c r="E984" s="86"/>
      <c r="F984" s="58"/>
      <c r="G984" s="58"/>
      <c r="H984" s="58"/>
      <c r="I984" s="58"/>
      <c r="J984" s="58"/>
      <c r="K984" s="58"/>
      <c r="L984" s="58"/>
      <c r="M984" s="58"/>
      <c r="N984" s="58"/>
      <c r="O984" s="58"/>
      <c r="P984" s="58"/>
      <c r="Q984" s="58"/>
      <c r="R984" s="58"/>
      <c r="S984" s="58"/>
      <c r="T984" s="58"/>
      <c r="U984" s="58"/>
      <c r="V984" s="58"/>
      <c r="W984" s="58"/>
      <c r="X984" s="58"/>
      <c r="Y984" s="58"/>
      <c r="Z984" s="58"/>
    </row>
    <row r="985" ht="15.75" customHeight="1">
      <c r="A985" s="86"/>
      <c r="B985" s="86"/>
      <c r="C985" s="86"/>
      <c r="D985" s="86"/>
      <c r="E985" s="86"/>
      <c r="F985" s="58"/>
      <c r="G985" s="58"/>
      <c r="H985" s="58"/>
      <c r="I985" s="58"/>
      <c r="J985" s="58"/>
      <c r="K985" s="58"/>
      <c r="L985" s="58"/>
      <c r="M985" s="58"/>
      <c r="N985" s="58"/>
      <c r="O985" s="58"/>
      <c r="P985" s="58"/>
      <c r="Q985" s="58"/>
      <c r="R985" s="58"/>
      <c r="S985" s="58"/>
      <c r="T985" s="58"/>
      <c r="U985" s="58"/>
      <c r="V985" s="58"/>
      <c r="W985" s="58"/>
      <c r="X985" s="58"/>
      <c r="Y985" s="58"/>
      <c r="Z985" s="58"/>
    </row>
    <row r="986" ht="15.75" customHeight="1">
      <c r="A986" s="86"/>
      <c r="B986" s="86"/>
      <c r="C986" s="86"/>
      <c r="D986" s="86"/>
      <c r="E986" s="86"/>
      <c r="F986" s="58"/>
      <c r="G986" s="58"/>
      <c r="H986" s="58"/>
      <c r="I986" s="58"/>
      <c r="J986" s="58"/>
      <c r="K986" s="58"/>
      <c r="L986" s="58"/>
      <c r="M986" s="58"/>
      <c r="N986" s="58"/>
      <c r="O986" s="58"/>
      <c r="P986" s="58"/>
      <c r="Q986" s="58"/>
      <c r="R986" s="58"/>
      <c r="S986" s="58"/>
      <c r="T986" s="58"/>
      <c r="U986" s="58"/>
      <c r="V986" s="58"/>
      <c r="W986" s="58"/>
      <c r="X986" s="58"/>
      <c r="Y986" s="58"/>
      <c r="Z986" s="58"/>
    </row>
    <row r="987" ht="15.75" customHeight="1">
      <c r="A987" s="86"/>
      <c r="B987" s="86"/>
      <c r="C987" s="86"/>
      <c r="D987" s="86"/>
      <c r="E987" s="86"/>
      <c r="F987" s="58"/>
      <c r="G987" s="58"/>
      <c r="H987" s="58"/>
      <c r="I987" s="58"/>
      <c r="J987" s="58"/>
      <c r="K987" s="58"/>
      <c r="L987" s="58"/>
      <c r="M987" s="58"/>
      <c r="N987" s="58"/>
      <c r="O987" s="58"/>
      <c r="P987" s="58"/>
      <c r="Q987" s="58"/>
      <c r="R987" s="58"/>
      <c r="S987" s="58"/>
      <c r="T987" s="58"/>
      <c r="U987" s="58"/>
      <c r="V987" s="58"/>
      <c r="W987" s="58"/>
      <c r="X987" s="58"/>
      <c r="Y987" s="58"/>
      <c r="Z987" s="58"/>
    </row>
    <row r="988" ht="15.75" customHeight="1">
      <c r="A988" s="86"/>
      <c r="B988" s="86"/>
      <c r="C988" s="86"/>
      <c r="D988" s="86"/>
      <c r="E988" s="86"/>
      <c r="F988" s="58"/>
      <c r="G988" s="58"/>
      <c r="H988" s="58"/>
      <c r="I988" s="58"/>
      <c r="J988" s="58"/>
      <c r="K988" s="58"/>
      <c r="L988" s="58"/>
      <c r="M988" s="58"/>
      <c r="N988" s="58"/>
      <c r="O988" s="58"/>
      <c r="P988" s="58"/>
      <c r="Q988" s="58"/>
      <c r="R988" s="58"/>
      <c r="S988" s="58"/>
      <c r="T988" s="58"/>
      <c r="U988" s="58"/>
      <c r="V988" s="58"/>
      <c r="W988" s="58"/>
      <c r="X988" s="58"/>
      <c r="Y988" s="58"/>
      <c r="Z988" s="58"/>
    </row>
    <row r="989" ht="15.75" customHeight="1">
      <c r="A989" s="86"/>
      <c r="B989" s="86"/>
      <c r="C989" s="86"/>
      <c r="D989" s="86"/>
      <c r="E989" s="86"/>
      <c r="F989" s="58"/>
      <c r="G989" s="58"/>
      <c r="H989" s="58"/>
      <c r="I989" s="58"/>
      <c r="J989" s="58"/>
      <c r="K989" s="58"/>
      <c r="L989" s="58"/>
      <c r="M989" s="58"/>
      <c r="N989" s="58"/>
      <c r="O989" s="58"/>
      <c r="P989" s="58"/>
      <c r="Q989" s="58"/>
      <c r="R989" s="58"/>
      <c r="S989" s="58"/>
      <c r="T989" s="58"/>
      <c r="U989" s="58"/>
      <c r="V989" s="58"/>
      <c r="W989" s="58"/>
      <c r="X989" s="58"/>
      <c r="Y989" s="58"/>
      <c r="Z989" s="58"/>
    </row>
    <row r="990" ht="15.75" customHeight="1">
      <c r="A990" s="86"/>
      <c r="B990" s="86"/>
      <c r="C990" s="86"/>
      <c r="D990" s="86"/>
      <c r="E990" s="86"/>
      <c r="F990" s="58"/>
      <c r="G990" s="58"/>
      <c r="H990" s="58"/>
      <c r="I990" s="58"/>
      <c r="J990" s="58"/>
      <c r="K990" s="58"/>
      <c r="L990" s="58"/>
      <c r="M990" s="58"/>
      <c r="N990" s="58"/>
      <c r="O990" s="58"/>
      <c r="P990" s="58"/>
      <c r="Q990" s="58"/>
      <c r="R990" s="58"/>
      <c r="S990" s="58"/>
      <c r="T990" s="58"/>
      <c r="U990" s="58"/>
      <c r="V990" s="58"/>
      <c r="W990" s="58"/>
      <c r="X990" s="58"/>
      <c r="Y990" s="58"/>
      <c r="Z990" s="58"/>
    </row>
    <row r="991" ht="15.75" customHeight="1">
      <c r="A991" s="86"/>
      <c r="B991" s="86"/>
      <c r="C991" s="86"/>
      <c r="D991" s="86"/>
      <c r="E991" s="86"/>
      <c r="F991" s="58"/>
      <c r="G991" s="58"/>
      <c r="H991" s="58"/>
      <c r="I991" s="58"/>
      <c r="J991" s="58"/>
      <c r="K991" s="58"/>
      <c r="L991" s="58"/>
      <c r="M991" s="58"/>
      <c r="N991" s="58"/>
      <c r="O991" s="58"/>
      <c r="P991" s="58"/>
      <c r="Q991" s="58"/>
      <c r="R991" s="58"/>
      <c r="S991" s="58"/>
      <c r="T991" s="58"/>
      <c r="U991" s="58"/>
      <c r="V991" s="58"/>
      <c r="W991" s="58"/>
      <c r="X991" s="58"/>
      <c r="Y991" s="58"/>
      <c r="Z991" s="58"/>
    </row>
    <row r="992" ht="15.75" customHeight="1">
      <c r="A992" s="86"/>
      <c r="B992" s="86"/>
      <c r="C992" s="86"/>
      <c r="D992" s="86"/>
      <c r="E992" s="86"/>
      <c r="F992" s="58"/>
      <c r="G992" s="58"/>
      <c r="H992" s="58"/>
      <c r="I992" s="58"/>
      <c r="J992" s="58"/>
      <c r="K992" s="58"/>
      <c r="L992" s="58"/>
      <c r="M992" s="58"/>
      <c r="N992" s="58"/>
      <c r="O992" s="58"/>
      <c r="P992" s="58"/>
      <c r="Q992" s="58"/>
      <c r="R992" s="58"/>
      <c r="S992" s="58"/>
      <c r="T992" s="58"/>
      <c r="U992" s="58"/>
      <c r="V992" s="58"/>
      <c r="W992" s="58"/>
      <c r="X992" s="58"/>
      <c r="Y992" s="58"/>
      <c r="Z992" s="58"/>
    </row>
    <row r="993" ht="15.75" customHeight="1">
      <c r="A993" s="86"/>
      <c r="B993" s="86"/>
      <c r="C993" s="86"/>
      <c r="D993" s="86"/>
      <c r="E993" s="86"/>
      <c r="F993" s="58"/>
      <c r="G993" s="58"/>
      <c r="H993" s="58"/>
      <c r="I993" s="58"/>
      <c r="J993" s="58"/>
      <c r="K993" s="58"/>
      <c r="L993" s="58"/>
      <c r="M993" s="58"/>
      <c r="N993" s="58"/>
      <c r="O993" s="58"/>
      <c r="P993" s="58"/>
      <c r="Q993" s="58"/>
      <c r="R993" s="58"/>
      <c r="S993" s="58"/>
      <c r="T993" s="58"/>
      <c r="U993" s="58"/>
      <c r="V993" s="58"/>
      <c r="W993" s="58"/>
      <c r="X993" s="58"/>
      <c r="Y993" s="58"/>
      <c r="Z993" s="58"/>
    </row>
    <row r="994" ht="15.75" customHeight="1">
      <c r="A994" s="86"/>
      <c r="B994" s="86"/>
      <c r="C994" s="86"/>
      <c r="D994" s="86"/>
      <c r="E994" s="86"/>
      <c r="F994" s="58"/>
      <c r="G994" s="58"/>
      <c r="H994" s="58"/>
      <c r="I994" s="58"/>
      <c r="J994" s="58"/>
      <c r="K994" s="58"/>
      <c r="L994" s="58"/>
      <c r="M994" s="58"/>
      <c r="N994" s="58"/>
      <c r="O994" s="58"/>
      <c r="P994" s="58"/>
      <c r="Q994" s="58"/>
      <c r="R994" s="58"/>
      <c r="S994" s="58"/>
      <c r="T994" s="58"/>
      <c r="U994" s="58"/>
      <c r="V994" s="58"/>
      <c r="W994" s="58"/>
      <c r="X994" s="58"/>
      <c r="Y994" s="58"/>
      <c r="Z994" s="58"/>
    </row>
    <row r="995" ht="15.75" customHeight="1">
      <c r="A995" s="86"/>
      <c r="B995" s="86"/>
      <c r="C995" s="86"/>
      <c r="D995" s="86"/>
      <c r="E995" s="86"/>
      <c r="F995" s="58"/>
      <c r="G995" s="58"/>
      <c r="H995" s="58"/>
      <c r="I995" s="58"/>
      <c r="J995" s="58"/>
      <c r="K995" s="58"/>
      <c r="L995" s="58"/>
      <c r="M995" s="58"/>
      <c r="N995" s="58"/>
      <c r="O995" s="58"/>
      <c r="P995" s="58"/>
      <c r="Q995" s="58"/>
      <c r="R995" s="58"/>
      <c r="S995" s="58"/>
      <c r="T995" s="58"/>
      <c r="U995" s="58"/>
      <c r="V995" s="58"/>
      <c r="W995" s="58"/>
      <c r="X995" s="58"/>
      <c r="Y995" s="58"/>
      <c r="Z995" s="58"/>
    </row>
    <row r="996" ht="15.75" customHeight="1">
      <c r="A996" s="86"/>
      <c r="B996" s="86"/>
      <c r="C996" s="86"/>
      <c r="D996" s="86"/>
      <c r="E996" s="86"/>
      <c r="F996" s="58"/>
      <c r="G996" s="58"/>
      <c r="H996" s="58"/>
      <c r="I996" s="58"/>
      <c r="J996" s="58"/>
      <c r="K996" s="58"/>
      <c r="L996" s="58"/>
      <c r="M996" s="58"/>
      <c r="N996" s="58"/>
      <c r="O996" s="58"/>
      <c r="P996" s="58"/>
      <c r="Q996" s="58"/>
      <c r="R996" s="58"/>
      <c r="S996" s="58"/>
      <c r="T996" s="58"/>
      <c r="U996" s="58"/>
      <c r="V996" s="58"/>
      <c r="W996" s="58"/>
      <c r="X996" s="58"/>
      <c r="Y996" s="58"/>
      <c r="Z996" s="58"/>
    </row>
    <row r="997" ht="15.75" customHeight="1">
      <c r="A997" s="86"/>
      <c r="B997" s="86"/>
      <c r="C997" s="86"/>
      <c r="D997" s="86"/>
      <c r="E997" s="86"/>
      <c r="F997" s="58"/>
      <c r="G997" s="58"/>
      <c r="H997" s="58"/>
      <c r="I997" s="58"/>
      <c r="J997" s="58"/>
      <c r="K997" s="58"/>
      <c r="L997" s="58"/>
      <c r="M997" s="58"/>
      <c r="N997" s="58"/>
      <c r="O997" s="58"/>
      <c r="P997" s="58"/>
      <c r="Q997" s="58"/>
      <c r="R997" s="58"/>
      <c r="S997" s="58"/>
      <c r="T997" s="58"/>
      <c r="U997" s="58"/>
      <c r="V997" s="58"/>
      <c r="W997" s="58"/>
      <c r="X997" s="58"/>
      <c r="Y997" s="58"/>
      <c r="Z997" s="58"/>
    </row>
    <row r="998" ht="15.75" customHeight="1">
      <c r="A998" s="86"/>
      <c r="B998" s="86"/>
      <c r="C998" s="86"/>
      <c r="D998" s="86"/>
      <c r="E998" s="86"/>
      <c r="F998" s="58"/>
      <c r="G998" s="58"/>
      <c r="H998" s="58"/>
      <c r="I998" s="58"/>
      <c r="J998" s="58"/>
      <c r="K998" s="58"/>
      <c r="L998" s="58"/>
      <c r="M998" s="58"/>
      <c r="N998" s="58"/>
      <c r="O998" s="58"/>
      <c r="P998" s="58"/>
      <c r="Q998" s="58"/>
      <c r="R998" s="58"/>
      <c r="S998" s="58"/>
      <c r="T998" s="58"/>
      <c r="U998" s="58"/>
      <c r="V998" s="58"/>
      <c r="W998" s="58"/>
      <c r="X998" s="58"/>
      <c r="Y998" s="58"/>
      <c r="Z998" s="58"/>
    </row>
    <row r="999" ht="15.75" customHeight="1">
      <c r="A999" s="86"/>
      <c r="B999" s="86"/>
      <c r="C999" s="86"/>
      <c r="D999" s="86"/>
      <c r="E999" s="86"/>
      <c r="F999" s="58"/>
      <c r="G999" s="58"/>
      <c r="H999" s="58"/>
      <c r="I999" s="58"/>
      <c r="J999" s="58"/>
      <c r="K999" s="58"/>
      <c r="L999" s="58"/>
      <c r="M999" s="58"/>
      <c r="N999" s="58"/>
      <c r="O999" s="58"/>
      <c r="P999" s="58"/>
      <c r="Q999" s="58"/>
      <c r="R999" s="58"/>
      <c r="S999" s="58"/>
      <c r="T999" s="58"/>
      <c r="U999" s="58"/>
      <c r="V999" s="58"/>
      <c r="W999" s="58"/>
      <c r="X999" s="58"/>
      <c r="Y999" s="58"/>
      <c r="Z999" s="58"/>
    </row>
    <row r="1000" ht="15.75" customHeight="1">
      <c r="A1000" s="86"/>
      <c r="B1000" s="86"/>
      <c r="C1000" s="86"/>
      <c r="D1000" s="86"/>
      <c r="E1000" s="86"/>
      <c r="F1000" s="58"/>
      <c r="G1000" s="58"/>
      <c r="H1000" s="58"/>
      <c r="I1000" s="58"/>
      <c r="J1000" s="58"/>
      <c r="K1000" s="58"/>
      <c r="L1000" s="58"/>
      <c r="M1000" s="58"/>
      <c r="N1000" s="58"/>
      <c r="O1000" s="58"/>
      <c r="P1000" s="58"/>
      <c r="Q1000" s="58"/>
      <c r="R1000" s="58"/>
      <c r="S1000" s="58"/>
      <c r="T1000" s="58"/>
      <c r="U1000" s="58"/>
      <c r="V1000" s="58"/>
      <c r="W1000" s="58"/>
      <c r="X1000" s="58"/>
      <c r="Y1000" s="58"/>
      <c r="Z1000" s="58"/>
    </row>
    <row r="1001" ht="15.75" customHeight="1">
      <c r="A1001" s="86"/>
      <c r="B1001" s="86"/>
      <c r="C1001" s="86"/>
      <c r="D1001" s="86"/>
      <c r="E1001" s="86"/>
      <c r="F1001" s="58"/>
      <c r="G1001" s="58"/>
      <c r="H1001" s="58"/>
      <c r="I1001" s="58"/>
      <c r="J1001" s="58"/>
      <c r="K1001" s="58"/>
      <c r="L1001" s="58"/>
      <c r="M1001" s="58"/>
      <c r="N1001" s="58"/>
      <c r="O1001" s="58"/>
      <c r="P1001" s="58"/>
      <c r="Q1001" s="58"/>
      <c r="R1001" s="58"/>
      <c r="S1001" s="58"/>
      <c r="T1001" s="58"/>
      <c r="U1001" s="58"/>
      <c r="V1001" s="58"/>
      <c r="W1001" s="58"/>
      <c r="X1001" s="58"/>
      <c r="Y1001" s="58"/>
      <c r="Z1001" s="58"/>
    </row>
    <row r="1002" ht="15.75" customHeight="1">
      <c r="A1002" s="86"/>
      <c r="B1002" s="86"/>
      <c r="C1002" s="86"/>
      <c r="D1002" s="86"/>
      <c r="E1002" s="86"/>
      <c r="F1002" s="58"/>
      <c r="G1002" s="58"/>
      <c r="H1002" s="58"/>
      <c r="I1002" s="58"/>
      <c r="J1002" s="58"/>
      <c r="K1002" s="58"/>
      <c r="L1002" s="58"/>
      <c r="M1002" s="58"/>
      <c r="N1002" s="58"/>
      <c r="O1002" s="58"/>
      <c r="P1002" s="58"/>
      <c r="Q1002" s="58"/>
      <c r="R1002" s="58"/>
      <c r="S1002" s="58"/>
      <c r="T1002" s="58"/>
      <c r="U1002" s="58"/>
      <c r="V1002" s="58"/>
      <c r="W1002" s="58"/>
      <c r="X1002" s="58"/>
      <c r="Y1002" s="58"/>
      <c r="Z1002" s="58"/>
    </row>
    <row r="1003" ht="15.75" customHeight="1">
      <c r="A1003" s="86"/>
      <c r="B1003" s="86"/>
      <c r="C1003" s="86"/>
      <c r="D1003" s="86"/>
      <c r="E1003" s="86"/>
      <c r="F1003" s="58"/>
      <c r="G1003" s="58"/>
      <c r="H1003" s="58"/>
      <c r="I1003" s="58"/>
      <c r="J1003" s="58"/>
      <c r="K1003" s="58"/>
      <c r="L1003" s="58"/>
      <c r="M1003" s="58"/>
      <c r="N1003" s="58"/>
      <c r="O1003" s="58"/>
      <c r="P1003" s="58"/>
      <c r="Q1003" s="58"/>
      <c r="R1003" s="58"/>
      <c r="S1003" s="58"/>
      <c r="T1003" s="58"/>
      <c r="U1003" s="58"/>
      <c r="V1003" s="58"/>
      <c r="W1003" s="58"/>
      <c r="X1003" s="58"/>
      <c r="Y1003" s="58"/>
      <c r="Z1003" s="58"/>
    </row>
    <row r="1004" ht="15.75" customHeight="1">
      <c r="A1004" s="86"/>
      <c r="B1004" s="86"/>
      <c r="C1004" s="86"/>
      <c r="D1004" s="86"/>
      <c r="E1004" s="86"/>
      <c r="F1004" s="58"/>
      <c r="G1004" s="58"/>
      <c r="H1004" s="58"/>
      <c r="I1004" s="58"/>
      <c r="J1004" s="58"/>
      <c r="K1004" s="58"/>
      <c r="L1004" s="58"/>
      <c r="M1004" s="58"/>
      <c r="N1004" s="58"/>
      <c r="O1004" s="58"/>
      <c r="P1004" s="58"/>
      <c r="Q1004" s="58"/>
      <c r="R1004" s="58"/>
      <c r="S1004" s="58"/>
      <c r="T1004" s="58"/>
      <c r="U1004" s="58"/>
      <c r="V1004" s="58"/>
      <c r="W1004" s="58"/>
      <c r="X1004" s="58"/>
      <c r="Y1004" s="58"/>
      <c r="Z1004" s="58"/>
    </row>
    <row r="1005" ht="15.75" customHeight="1">
      <c r="A1005" s="86"/>
      <c r="B1005" s="86"/>
      <c r="C1005" s="86"/>
      <c r="D1005" s="86"/>
      <c r="E1005" s="86"/>
      <c r="F1005" s="58"/>
      <c r="G1005" s="58"/>
      <c r="H1005" s="58"/>
      <c r="I1005" s="58"/>
      <c r="J1005" s="58"/>
      <c r="K1005" s="58"/>
      <c r="L1005" s="58"/>
      <c r="M1005" s="58"/>
      <c r="N1005" s="58"/>
      <c r="O1005" s="58"/>
      <c r="P1005" s="58"/>
      <c r="Q1005" s="58"/>
      <c r="R1005" s="58"/>
      <c r="S1005" s="58"/>
      <c r="T1005" s="58"/>
      <c r="U1005" s="58"/>
      <c r="V1005" s="58"/>
      <c r="W1005" s="58"/>
      <c r="X1005" s="58"/>
      <c r="Y1005" s="58"/>
      <c r="Z1005" s="58"/>
    </row>
    <row r="1006" ht="15.75" customHeight="1">
      <c r="A1006" s="86"/>
      <c r="B1006" s="86"/>
      <c r="C1006" s="86"/>
      <c r="D1006" s="86"/>
      <c r="E1006" s="86"/>
      <c r="F1006" s="58"/>
      <c r="G1006" s="58"/>
      <c r="H1006" s="58"/>
      <c r="I1006" s="58"/>
      <c r="J1006" s="58"/>
      <c r="K1006" s="58"/>
      <c r="L1006" s="58"/>
      <c r="M1006" s="58"/>
      <c r="N1006" s="58"/>
      <c r="O1006" s="58"/>
      <c r="P1006" s="58"/>
      <c r="Q1006" s="58"/>
      <c r="R1006" s="58"/>
      <c r="S1006" s="58"/>
      <c r="T1006" s="58"/>
      <c r="U1006" s="58"/>
      <c r="V1006" s="58"/>
      <c r="W1006" s="58"/>
      <c r="X1006" s="58"/>
      <c r="Y1006" s="58"/>
      <c r="Z1006" s="58"/>
    </row>
    <row r="1007" ht="15.75" customHeight="1">
      <c r="A1007" s="86"/>
      <c r="B1007" s="86"/>
      <c r="C1007" s="86"/>
      <c r="D1007" s="86"/>
      <c r="E1007" s="86"/>
      <c r="F1007" s="58"/>
      <c r="G1007" s="58"/>
      <c r="H1007" s="58"/>
      <c r="I1007" s="58"/>
      <c r="J1007" s="58"/>
      <c r="K1007" s="58"/>
      <c r="L1007" s="58"/>
      <c r="M1007" s="58"/>
      <c r="N1007" s="58"/>
      <c r="O1007" s="58"/>
      <c r="P1007" s="58"/>
      <c r="Q1007" s="58"/>
      <c r="R1007" s="58"/>
      <c r="S1007" s="58"/>
      <c r="T1007" s="58"/>
      <c r="U1007" s="58"/>
      <c r="V1007" s="58"/>
      <c r="W1007" s="58"/>
      <c r="X1007" s="58"/>
      <c r="Y1007" s="58"/>
      <c r="Z1007" s="58"/>
    </row>
    <row r="1008" ht="15.75" customHeight="1">
      <c r="A1008" s="86"/>
      <c r="B1008" s="86"/>
      <c r="C1008" s="86"/>
      <c r="D1008" s="86"/>
      <c r="E1008" s="86"/>
      <c r="F1008" s="58"/>
      <c r="G1008" s="58"/>
      <c r="H1008" s="58"/>
      <c r="I1008" s="58"/>
      <c r="J1008" s="58"/>
      <c r="K1008" s="58"/>
      <c r="L1008" s="58"/>
      <c r="M1008" s="58"/>
      <c r="N1008" s="58"/>
      <c r="O1008" s="58"/>
      <c r="P1008" s="58"/>
      <c r="Q1008" s="58"/>
      <c r="R1008" s="58"/>
      <c r="S1008" s="58"/>
      <c r="T1008" s="58"/>
      <c r="U1008" s="58"/>
      <c r="V1008" s="58"/>
      <c r="W1008" s="58"/>
      <c r="X1008" s="58"/>
      <c r="Y1008" s="58"/>
      <c r="Z1008" s="58"/>
    </row>
    <row r="1009" ht="15.75" customHeight="1">
      <c r="A1009" s="86"/>
      <c r="B1009" s="86"/>
      <c r="C1009" s="86"/>
      <c r="D1009" s="86"/>
      <c r="E1009" s="86"/>
      <c r="F1009" s="58"/>
      <c r="G1009" s="58"/>
      <c r="H1009" s="58"/>
      <c r="I1009" s="58"/>
      <c r="J1009" s="58"/>
      <c r="K1009" s="58"/>
      <c r="L1009" s="58"/>
      <c r="M1009" s="58"/>
      <c r="N1009" s="58"/>
      <c r="O1009" s="58"/>
      <c r="P1009" s="58"/>
      <c r="Q1009" s="58"/>
      <c r="R1009" s="58"/>
      <c r="S1009" s="58"/>
      <c r="T1009" s="58"/>
      <c r="U1009" s="58"/>
      <c r="V1009" s="58"/>
      <c r="W1009" s="58"/>
      <c r="X1009" s="58"/>
      <c r="Y1009" s="58"/>
      <c r="Z1009" s="58"/>
    </row>
    <row r="1010" ht="15.75" customHeight="1">
      <c r="A1010" s="86"/>
      <c r="B1010" s="86"/>
      <c r="C1010" s="86"/>
      <c r="D1010" s="86"/>
      <c r="E1010" s="86"/>
      <c r="F1010" s="58"/>
      <c r="G1010" s="58"/>
      <c r="H1010" s="58"/>
      <c r="I1010" s="58"/>
      <c r="J1010" s="58"/>
      <c r="K1010" s="58"/>
      <c r="L1010" s="58"/>
      <c r="M1010" s="58"/>
      <c r="N1010" s="58"/>
      <c r="O1010" s="58"/>
      <c r="P1010" s="58"/>
      <c r="Q1010" s="58"/>
      <c r="R1010" s="58"/>
      <c r="S1010" s="58"/>
      <c r="T1010" s="58"/>
      <c r="U1010" s="58"/>
      <c r="V1010" s="58"/>
      <c r="W1010" s="58"/>
      <c r="X1010" s="58"/>
      <c r="Y1010" s="58"/>
      <c r="Z1010" s="58"/>
    </row>
    <row r="1011" ht="15.75" customHeight="1">
      <c r="A1011" s="86"/>
      <c r="B1011" s="86"/>
      <c r="C1011" s="86"/>
      <c r="D1011" s="86"/>
      <c r="E1011" s="86"/>
      <c r="F1011" s="58"/>
      <c r="G1011" s="58"/>
      <c r="H1011" s="58"/>
      <c r="I1011" s="58"/>
      <c r="J1011" s="58"/>
      <c r="K1011" s="58"/>
      <c r="L1011" s="58"/>
      <c r="M1011" s="58"/>
      <c r="N1011" s="58"/>
      <c r="O1011" s="58"/>
      <c r="P1011" s="58"/>
      <c r="Q1011" s="58"/>
      <c r="R1011" s="58"/>
      <c r="S1011" s="58"/>
      <c r="T1011" s="58"/>
      <c r="U1011" s="58"/>
      <c r="V1011" s="58"/>
      <c r="W1011" s="58"/>
      <c r="X1011" s="58"/>
      <c r="Y1011" s="58"/>
      <c r="Z1011" s="58"/>
    </row>
    <row r="1012" ht="15.75" customHeight="1">
      <c r="A1012" s="86"/>
      <c r="B1012" s="86"/>
      <c r="C1012" s="86"/>
      <c r="D1012" s="86"/>
      <c r="E1012" s="86"/>
      <c r="F1012" s="58"/>
      <c r="G1012" s="58"/>
      <c r="H1012" s="58"/>
      <c r="I1012" s="58"/>
      <c r="J1012" s="58"/>
      <c r="K1012" s="58"/>
      <c r="L1012" s="58"/>
      <c r="M1012" s="58"/>
      <c r="N1012" s="58"/>
      <c r="O1012" s="58"/>
      <c r="P1012" s="58"/>
      <c r="Q1012" s="58"/>
      <c r="R1012" s="58"/>
      <c r="S1012" s="58"/>
      <c r="T1012" s="58"/>
      <c r="U1012" s="58"/>
      <c r="V1012" s="58"/>
      <c r="W1012" s="58"/>
      <c r="X1012" s="58"/>
      <c r="Y1012" s="58"/>
      <c r="Z1012" s="58"/>
    </row>
    <row r="1013" ht="15.75" customHeight="1">
      <c r="A1013" s="86"/>
      <c r="B1013" s="86"/>
      <c r="C1013" s="86"/>
      <c r="D1013" s="86"/>
      <c r="E1013" s="86"/>
      <c r="F1013" s="58"/>
      <c r="G1013" s="58"/>
      <c r="H1013" s="58"/>
      <c r="I1013" s="58"/>
      <c r="J1013" s="58"/>
      <c r="K1013" s="58"/>
      <c r="L1013" s="58"/>
      <c r="M1013" s="58"/>
      <c r="N1013" s="58"/>
      <c r="O1013" s="58"/>
      <c r="P1013" s="58"/>
      <c r="Q1013" s="58"/>
      <c r="R1013" s="58"/>
      <c r="S1013" s="58"/>
      <c r="T1013" s="58"/>
      <c r="U1013" s="58"/>
      <c r="V1013" s="58"/>
      <c r="W1013" s="58"/>
      <c r="X1013" s="58"/>
      <c r="Y1013" s="58"/>
      <c r="Z1013" s="58"/>
    </row>
    <row r="1014" ht="15.75" customHeight="1">
      <c r="A1014" s="86"/>
      <c r="B1014" s="86"/>
      <c r="C1014" s="86"/>
      <c r="D1014" s="86"/>
      <c r="E1014" s="86"/>
      <c r="F1014" s="58"/>
      <c r="G1014" s="58"/>
      <c r="H1014" s="58"/>
      <c r="I1014" s="58"/>
      <c r="J1014" s="58"/>
      <c r="K1014" s="58"/>
      <c r="L1014" s="58"/>
      <c r="M1014" s="58"/>
      <c r="N1014" s="58"/>
      <c r="O1014" s="58"/>
      <c r="P1014" s="58"/>
      <c r="Q1014" s="58"/>
      <c r="R1014" s="58"/>
      <c r="S1014" s="58"/>
      <c r="T1014" s="58"/>
      <c r="U1014" s="58"/>
      <c r="V1014" s="58"/>
      <c r="W1014" s="58"/>
      <c r="X1014" s="58"/>
      <c r="Y1014" s="58"/>
      <c r="Z1014" s="58"/>
    </row>
    <row r="1015" ht="15.75" customHeight="1">
      <c r="A1015" s="86"/>
      <c r="B1015" s="86"/>
      <c r="C1015" s="86"/>
      <c r="D1015" s="86"/>
      <c r="E1015" s="86"/>
      <c r="F1015" s="58"/>
      <c r="G1015" s="58"/>
      <c r="H1015" s="58"/>
      <c r="I1015" s="58"/>
      <c r="J1015" s="58"/>
      <c r="K1015" s="58"/>
      <c r="L1015" s="58"/>
      <c r="M1015" s="58"/>
      <c r="N1015" s="58"/>
      <c r="O1015" s="58"/>
      <c r="P1015" s="58"/>
      <c r="Q1015" s="58"/>
      <c r="R1015" s="58"/>
      <c r="S1015" s="58"/>
      <c r="T1015" s="58"/>
      <c r="U1015" s="58"/>
      <c r="V1015" s="58"/>
      <c r="W1015" s="58"/>
      <c r="X1015" s="58"/>
      <c r="Y1015" s="58"/>
      <c r="Z1015" s="58"/>
    </row>
    <row r="1016" ht="15.75" customHeight="1">
      <c r="A1016" s="86"/>
      <c r="B1016" s="86"/>
      <c r="C1016" s="86"/>
      <c r="D1016" s="86"/>
      <c r="E1016" s="86"/>
      <c r="F1016" s="58"/>
      <c r="G1016" s="58"/>
      <c r="H1016" s="58"/>
      <c r="I1016" s="58"/>
      <c r="J1016" s="58"/>
      <c r="K1016" s="58"/>
      <c r="L1016" s="58"/>
      <c r="M1016" s="58"/>
      <c r="N1016" s="58"/>
      <c r="O1016" s="58"/>
      <c r="P1016" s="58"/>
      <c r="Q1016" s="58"/>
      <c r="R1016" s="58"/>
      <c r="S1016" s="58"/>
      <c r="T1016" s="58"/>
      <c r="U1016" s="58"/>
      <c r="V1016" s="58"/>
      <c r="W1016" s="58"/>
      <c r="X1016" s="58"/>
      <c r="Y1016" s="58"/>
      <c r="Z1016" s="58"/>
    </row>
    <row r="1017" ht="15.75" customHeight="1">
      <c r="A1017" s="86"/>
      <c r="B1017" s="86"/>
      <c r="C1017" s="86"/>
      <c r="D1017" s="86"/>
      <c r="E1017" s="86"/>
      <c r="F1017" s="58"/>
      <c r="G1017" s="58"/>
      <c r="H1017" s="58"/>
      <c r="I1017" s="58"/>
      <c r="J1017" s="58"/>
      <c r="K1017" s="58"/>
      <c r="L1017" s="58"/>
      <c r="M1017" s="58"/>
      <c r="N1017" s="58"/>
      <c r="O1017" s="58"/>
      <c r="P1017" s="58"/>
      <c r="Q1017" s="58"/>
      <c r="R1017" s="58"/>
      <c r="S1017" s="58"/>
      <c r="T1017" s="58"/>
      <c r="U1017" s="58"/>
      <c r="V1017" s="58"/>
      <c r="W1017" s="58"/>
      <c r="X1017" s="58"/>
      <c r="Y1017" s="58"/>
      <c r="Z1017" s="58"/>
    </row>
    <row r="1018" ht="15.75" customHeight="1">
      <c r="A1018" s="86"/>
      <c r="B1018" s="86"/>
      <c r="C1018" s="86"/>
      <c r="D1018" s="86"/>
      <c r="E1018" s="86"/>
      <c r="F1018" s="58"/>
      <c r="G1018" s="58"/>
      <c r="H1018" s="58"/>
      <c r="I1018" s="58"/>
      <c r="J1018" s="58"/>
      <c r="K1018" s="58"/>
      <c r="L1018" s="58"/>
      <c r="M1018" s="58"/>
      <c r="N1018" s="58"/>
      <c r="O1018" s="58"/>
      <c r="P1018" s="58"/>
      <c r="Q1018" s="58"/>
      <c r="R1018" s="58"/>
      <c r="S1018" s="58"/>
      <c r="T1018" s="58"/>
      <c r="U1018" s="58"/>
      <c r="V1018" s="58"/>
      <c r="W1018" s="58"/>
      <c r="X1018" s="58"/>
      <c r="Y1018" s="58"/>
      <c r="Z1018" s="58"/>
    </row>
    <row r="1019" ht="15.75" customHeight="1">
      <c r="A1019" s="86"/>
      <c r="B1019" s="86"/>
      <c r="C1019" s="86"/>
      <c r="D1019" s="86"/>
      <c r="E1019" s="86"/>
      <c r="F1019" s="58"/>
      <c r="G1019" s="58"/>
      <c r="H1019" s="58"/>
      <c r="I1019" s="58"/>
      <c r="J1019" s="58"/>
      <c r="K1019" s="58"/>
      <c r="L1019" s="58"/>
      <c r="M1019" s="58"/>
      <c r="N1019" s="58"/>
      <c r="O1019" s="58"/>
      <c r="P1019" s="58"/>
      <c r="Q1019" s="58"/>
      <c r="R1019" s="58"/>
      <c r="S1019" s="58"/>
      <c r="T1019" s="58"/>
      <c r="U1019" s="58"/>
      <c r="V1019" s="58"/>
      <c r="W1019" s="58"/>
      <c r="X1019" s="58"/>
      <c r="Y1019" s="58"/>
      <c r="Z1019" s="58"/>
    </row>
    <row r="1020" ht="15.75" customHeight="1">
      <c r="A1020" s="86"/>
      <c r="B1020" s="86"/>
      <c r="C1020" s="86"/>
      <c r="D1020" s="86"/>
      <c r="E1020" s="86"/>
      <c r="F1020" s="58"/>
      <c r="G1020" s="58"/>
      <c r="H1020" s="58"/>
      <c r="I1020" s="58"/>
      <c r="J1020" s="58"/>
      <c r="K1020" s="58"/>
      <c r="L1020" s="58"/>
      <c r="M1020" s="58"/>
      <c r="N1020" s="58"/>
      <c r="O1020" s="58"/>
      <c r="P1020" s="58"/>
      <c r="Q1020" s="58"/>
      <c r="R1020" s="58"/>
      <c r="S1020" s="58"/>
      <c r="T1020" s="58"/>
      <c r="U1020" s="58"/>
      <c r="V1020" s="58"/>
      <c r="W1020" s="58"/>
      <c r="X1020" s="58"/>
      <c r="Y1020" s="58"/>
      <c r="Z1020" s="58"/>
    </row>
    <row r="1021" ht="15.75" customHeight="1">
      <c r="A1021" s="86"/>
      <c r="B1021" s="86"/>
      <c r="C1021" s="86"/>
      <c r="D1021" s="86"/>
      <c r="E1021" s="86"/>
      <c r="F1021" s="58"/>
      <c r="G1021" s="58"/>
      <c r="H1021" s="58"/>
      <c r="I1021" s="58"/>
      <c r="J1021" s="58"/>
      <c r="K1021" s="58"/>
      <c r="L1021" s="58"/>
      <c r="M1021" s="58"/>
      <c r="N1021" s="58"/>
      <c r="O1021" s="58"/>
      <c r="P1021" s="58"/>
      <c r="Q1021" s="58"/>
      <c r="R1021" s="58"/>
      <c r="S1021" s="58"/>
      <c r="T1021" s="58"/>
      <c r="U1021" s="58"/>
      <c r="V1021" s="58"/>
      <c r="W1021" s="58"/>
      <c r="X1021" s="58"/>
      <c r="Y1021" s="58"/>
      <c r="Z1021" s="58"/>
    </row>
    <row r="1022" ht="15.75" customHeight="1">
      <c r="A1022" s="86"/>
      <c r="B1022" s="86"/>
      <c r="C1022" s="86"/>
      <c r="D1022" s="86"/>
      <c r="E1022" s="86"/>
      <c r="F1022" s="58"/>
      <c r="G1022" s="58"/>
      <c r="H1022" s="58"/>
      <c r="I1022" s="58"/>
      <c r="J1022" s="58"/>
      <c r="K1022" s="58"/>
      <c r="L1022" s="58"/>
      <c r="M1022" s="58"/>
      <c r="N1022" s="58"/>
      <c r="O1022" s="58"/>
      <c r="P1022" s="58"/>
      <c r="Q1022" s="58"/>
      <c r="R1022" s="58"/>
      <c r="S1022" s="58"/>
      <c r="T1022" s="58"/>
      <c r="U1022" s="58"/>
      <c r="V1022" s="58"/>
      <c r="W1022" s="58"/>
      <c r="X1022" s="58"/>
      <c r="Y1022" s="58"/>
      <c r="Z1022" s="58"/>
    </row>
    <row r="1023" ht="15.75" customHeight="1">
      <c r="A1023" s="86"/>
      <c r="B1023" s="86"/>
      <c r="C1023" s="86"/>
      <c r="D1023" s="86"/>
      <c r="E1023" s="86"/>
      <c r="F1023" s="58"/>
      <c r="G1023" s="58"/>
      <c r="H1023" s="58"/>
      <c r="I1023" s="58"/>
      <c r="J1023" s="58"/>
      <c r="K1023" s="58"/>
      <c r="L1023" s="58"/>
      <c r="M1023" s="58"/>
      <c r="N1023" s="58"/>
      <c r="O1023" s="58"/>
      <c r="P1023" s="58"/>
      <c r="Q1023" s="58"/>
      <c r="R1023" s="58"/>
      <c r="S1023" s="58"/>
      <c r="T1023" s="58"/>
      <c r="U1023" s="58"/>
      <c r="V1023" s="58"/>
      <c r="W1023" s="58"/>
      <c r="X1023" s="58"/>
      <c r="Y1023" s="58"/>
      <c r="Z1023" s="58"/>
    </row>
    <row r="1024" ht="15.75" customHeight="1">
      <c r="A1024" s="86"/>
      <c r="B1024" s="86"/>
      <c r="C1024" s="86"/>
      <c r="D1024" s="86"/>
      <c r="E1024" s="86"/>
      <c r="F1024" s="58"/>
      <c r="G1024" s="58"/>
      <c r="H1024" s="58"/>
      <c r="I1024" s="58"/>
      <c r="J1024" s="58"/>
      <c r="K1024" s="58"/>
      <c r="L1024" s="58"/>
      <c r="M1024" s="58"/>
      <c r="N1024" s="58"/>
      <c r="O1024" s="58"/>
      <c r="P1024" s="58"/>
      <c r="Q1024" s="58"/>
      <c r="R1024" s="58"/>
      <c r="S1024" s="58"/>
      <c r="T1024" s="58"/>
      <c r="U1024" s="58"/>
      <c r="V1024" s="58"/>
      <c r="W1024" s="58"/>
      <c r="X1024" s="58"/>
      <c r="Y1024" s="58"/>
      <c r="Z1024" s="58"/>
    </row>
    <row r="1025" ht="15.75" customHeight="1">
      <c r="A1025" s="86"/>
      <c r="B1025" s="86"/>
      <c r="C1025" s="86"/>
      <c r="D1025" s="86"/>
      <c r="E1025" s="86"/>
      <c r="F1025" s="58"/>
      <c r="G1025" s="58"/>
      <c r="H1025" s="58"/>
      <c r="I1025" s="58"/>
      <c r="J1025" s="58"/>
      <c r="K1025" s="58"/>
      <c r="L1025" s="58"/>
      <c r="M1025" s="58"/>
      <c r="N1025" s="58"/>
      <c r="O1025" s="58"/>
      <c r="P1025" s="58"/>
      <c r="Q1025" s="58"/>
      <c r="R1025" s="58"/>
      <c r="S1025" s="58"/>
      <c r="T1025" s="58"/>
      <c r="U1025" s="58"/>
      <c r="V1025" s="58"/>
      <c r="W1025" s="58"/>
      <c r="X1025" s="58"/>
      <c r="Y1025" s="58"/>
      <c r="Z1025" s="58"/>
    </row>
    <row r="1026" ht="15.75" customHeight="1">
      <c r="A1026" s="86"/>
      <c r="B1026" s="86"/>
      <c r="C1026" s="86"/>
      <c r="D1026" s="86"/>
      <c r="E1026" s="86"/>
      <c r="F1026" s="58"/>
      <c r="G1026" s="58"/>
      <c r="H1026" s="58"/>
      <c r="I1026" s="58"/>
      <c r="J1026" s="58"/>
      <c r="K1026" s="58"/>
      <c r="L1026" s="58"/>
      <c r="M1026" s="58"/>
      <c r="N1026" s="58"/>
      <c r="O1026" s="58"/>
      <c r="P1026" s="58"/>
      <c r="Q1026" s="58"/>
      <c r="R1026" s="58"/>
      <c r="S1026" s="58"/>
      <c r="T1026" s="58"/>
      <c r="U1026" s="58"/>
      <c r="V1026" s="58"/>
      <c r="W1026" s="58"/>
      <c r="X1026" s="58"/>
      <c r="Y1026" s="58"/>
      <c r="Z1026" s="58"/>
    </row>
    <row r="1027" ht="15.75" customHeight="1">
      <c r="A1027" s="86"/>
      <c r="B1027" s="86"/>
      <c r="C1027" s="86"/>
      <c r="D1027" s="86"/>
      <c r="E1027" s="86"/>
      <c r="F1027" s="58"/>
      <c r="G1027" s="58"/>
      <c r="H1027" s="58"/>
      <c r="I1027" s="58"/>
      <c r="J1027" s="58"/>
      <c r="K1027" s="58"/>
      <c r="L1027" s="58"/>
      <c r="M1027" s="58"/>
      <c r="N1027" s="58"/>
      <c r="O1027" s="58"/>
      <c r="P1027" s="58"/>
      <c r="Q1027" s="58"/>
      <c r="R1027" s="58"/>
      <c r="S1027" s="58"/>
      <c r="T1027" s="58"/>
      <c r="U1027" s="58"/>
      <c r="V1027" s="58"/>
      <c r="W1027" s="58"/>
      <c r="X1027" s="58"/>
      <c r="Y1027" s="58"/>
      <c r="Z1027" s="58"/>
    </row>
    <row r="1028" ht="15.75" customHeight="1">
      <c r="A1028" s="86"/>
      <c r="B1028" s="86"/>
      <c r="C1028" s="86"/>
      <c r="D1028" s="86"/>
      <c r="E1028" s="86"/>
      <c r="F1028" s="58"/>
      <c r="G1028" s="58"/>
      <c r="H1028" s="58"/>
      <c r="I1028" s="58"/>
      <c r="J1028" s="58"/>
      <c r="K1028" s="58"/>
      <c r="L1028" s="58"/>
      <c r="M1028" s="58"/>
      <c r="N1028" s="58"/>
      <c r="O1028" s="58"/>
      <c r="P1028" s="58"/>
      <c r="Q1028" s="58"/>
      <c r="R1028" s="58"/>
      <c r="S1028" s="58"/>
      <c r="T1028" s="58"/>
      <c r="U1028" s="58"/>
      <c r="V1028" s="58"/>
      <c r="W1028" s="58"/>
      <c r="X1028" s="58"/>
      <c r="Y1028" s="58"/>
      <c r="Z1028" s="58"/>
    </row>
    <row r="1029" ht="15.75" customHeight="1">
      <c r="A1029" s="86"/>
      <c r="B1029" s="86"/>
      <c r="C1029" s="86"/>
      <c r="D1029" s="86"/>
      <c r="E1029" s="86"/>
      <c r="F1029" s="58"/>
      <c r="G1029" s="58"/>
      <c r="H1029" s="58"/>
      <c r="I1029" s="58"/>
      <c r="J1029" s="58"/>
      <c r="K1029" s="58"/>
      <c r="L1029" s="58"/>
      <c r="M1029" s="58"/>
      <c r="N1029" s="58"/>
      <c r="O1029" s="58"/>
      <c r="P1029" s="58"/>
      <c r="Q1029" s="58"/>
      <c r="R1029" s="58"/>
      <c r="S1029" s="58"/>
      <c r="T1029" s="58"/>
      <c r="U1029" s="58"/>
      <c r="V1029" s="58"/>
      <c r="W1029" s="58"/>
      <c r="X1029" s="58"/>
      <c r="Y1029" s="58"/>
      <c r="Z1029" s="58"/>
    </row>
    <row r="1030" ht="15.75" customHeight="1">
      <c r="A1030" s="86"/>
      <c r="B1030" s="86"/>
      <c r="C1030" s="86"/>
      <c r="D1030" s="86"/>
      <c r="E1030" s="86"/>
      <c r="F1030" s="58"/>
      <c r="G1030" s="58"/>
      <c r="H1030" s="58"/>
      <c r="I1030" s="58"/>
      <c r="J1030" s="58"/>
      <c r="K1030" s="58"/>
      <c r="L1030" s="58"/>
      <c r="M1030" s="58"/>
      <c r="N1030" s="58"/>
      <c r="O1030" s="58"/>
      <c r="P1030" s="58"/>
      <c r="Q1030" s="58"/>
      <c r="R1030" s="58"/>
      <c r="S1030" s="58"/>
      <c r="T1030" s="58"/>
      <c r="U1030" s="58"/>
      <c r="V1030" s="58"/>
      <c r="W1030" s="58"/>
      <c r="X1030" s="58"/>
      <c r="Y1030" s="58"/>
      <c r="Z1030" s="58"/>
    </row>
    <row r="1031" ht="15.75" customHeight="1">
      <c r="A1031" s="86"/>
      <c r="B1031" s="86"/>
      <c r="C1031" s="86"/>
      <c r="D1031" s="86"/>
      <c r="E1031" s="86"/>
      <c r="F1031" s="58"/>
      <c r="G1031" s="58"/>
      <c r="H1031" s="58"/>
      <c r="I1031" s="58"/>
      <c r="J1031" s="58"/>
      <c r="K1031" s="58"/>
      <c r="L1031" s="58"/>
      <c r="M1031" s="58"/>
      <c r="N1031" s="58"/>
      <c r="O1031" s="58"/>
      <c r="P1031" s="58"/>
      <c r="Q1031" s="58"/>
      <c r="R1031" s="58"/>
      <c r="S1031" s="58"/>
      <c r="T1031" s="58"/>
      <c r="U1031" s="58"/>
      <c r="V1031" s="58"/>
      <c r="W1031" s="58"/>
      <c r="X1031" s="58"/>
      <c r="Y1031" s="58"/>
      <c r="Z1031" s="58"/>
    </row>
    <row r="1032" ht="15.75" customHeight="1">
      <c r="A1032" s="86"/>
      <c r="B1032" s="86"/>
      <c r="C1032" s="86"/>
      <c r="D1032" s="86"/>
      <c r="E1032" s="86"/>
      <c r="F1032" s="58"/>
      <c r="G1032" s="58"/>
      <c r="H1032" s="58"/>
      <c r="I1032" s="58"/>
      <c r="J1032" s="58"/>
      <c r="K1032" s="58"/>
      <c r="L1032" s="58"/>
      <c r="M1032" s="58"/>
      <c r="N1032" s="58"/>
      <c r="O1032" s="58"/>
      <c r="P1032" s="58"/>
      <c r="Q1032" s="58"/>
      <c r="R1032" s="58"/>
      <c r="S1032" s="58"/>
      <c r="T1032" s="58"/>
      <c r="U1032" s="58"/>
      <c r="V1032" s="58"/>
      <c r="W1032" s="58"/>
      <c r="X1032" s="58"/>
      <c r="Y1032" s="58"/>
      <c r="Z1032" s="58"/>
    </row>
    <row r="1033" ht="15.75" customHeight="1">
      <c r="A1033" s="86"/>
      <c r="B1033" s="86"/>
      <c r="C1033" s="86"/>
      <c r="D1033" s="86"/>
      <c r="E1033" s="86"/>
      <c r="F1033" s="58"/>
      <c r="G1033" s="58"/>
      <c r="H1033" s="58"/>
      <c r="I1033" s="58"/>
      <c r="J1033" s="58"/>
      <c r="K1033" s="58"/>
      <c r="L1033" s="58"/>
      <c r="M1033" s="58"/>
      <c r="N1033" s="58"/>
      <c r="O1033" s="58"/>
      <c r="P1033" s="58"/>
      <c r="Q1033" s="58"/>
      <c r="R1033" s="58"/>
      <c r="S1033" s="58"/>
      <c r="T1033" s="58"/>
      <c r="U1033" s="58"/>
      <c r="V1033" s="58"/>
      <c r="W1033" s="58"/>
      <c r="X1033" s="58"/>
      <c r="Y1033" s="58"/>
      <c r="Z1033" s="58"/>
    </row>
    <row r="1034" ht="15.75" customHeight="1">
      <c r="A1034" s="86"/>
      <c r="B1034" s="86"/>
      <c r="C1034" s="86"/>
      <c r="D1034" s="86"/>
      <c r="E1034" s="86"/>
      <c r="F1034" s="58"/>
      <c r="G1034" s="58"/>
      <c r="H1034" s="58"/>
      <c r="I1034" s="58"/>
      <c r="J1034" s="58"/>
      <c r="K1034" s="58"/>
      <c r="L1034" s="58"/>
      <c r="M1034" s="58"/>
      <c r="N1034" s="58"/>
      <c r="O1034" s="58"/>
      <c r="P1034" s="58"/>
      <c r="Q1034" s="58"/>
      <c r="R1034" s="58"/>
      <c r="S1034" s="58"/>
      <c r="T1034" s="58"/>
      <c r="U1034" s="58"/>
      <c r="V1034" s="58"/>
      <c r="W1034" s="58"/>
      <c r="X1034" s="58"/>
      <c r="Y1034" s="58"/>
      <c r="Z1034" s="58"/>
    </row>
    <row r="1035" ht="15.75" customHeight="1">
      <c r="A1035" s="86"/>
      <c r="B1035" s="86"/>
      <c r="C1035" s="86"/>
      <c r="D1035" s="86"/>
      <c r="E1035" s="86"/>
      <c r="F1035" s="58"/>
      <c r="G1035" s="58"/>
      <c r="H1035" s="58"/>
      <c r="I1035" s="58"/>
      <c r="J1035" s="58"/>
      <c r="K1035" s="58"/>
      <c r="L1035" s="58"/>
      <c r="M1035" s="58"/>
      <c r="N1035" s="58"/>
      <c r="O1035" s="58"/>
      <c r="P1035" s="58"/>
      <c r="Q1035" s="58"/>
      <c r="R1035" s="58"/>
      <c r="S1035" s="58"/>
      <c r="T1035" s="58"/>
      <c r="U1035" s="58"/>
      <c r="V1035" s="58"/>
      <c r="W1035" s="58"/>
      <c r="X1035" s="58"/>
      <c r="Y1035" s="58"/>
      <c r="Z1035" s="58"/>
    </row>
    <row r="1036" ht="15.75" customHeight="1">
      <c r="A1036" s="86"/>
      <c r="B1036" s="86"/>
      <c r="C1036" s="86"/>
      <c r="D1036" s="86"/>
      <c r="E1036" s="86"/>
      <c r="F1036" s="58"/>
      <c r="G1036" s="58"/>
      <c r="H1036" s="58"/>
      <c r="I1036" s="58"/>
      <c r="J1036" s="58"/>
      <c r="K1036" s="58"/>
      <c r="L1036" s="58"/>
      <c r="M1036" s="58"/>
      <c r="N1036" s="58"/>
      <c r="O1036" s="58"/>
      <c r="P1036" s="58"/>
      <c r="Q1036" s="58"/>
      <c r="R1036" s="58"/>
      <c r="S1036" s="58"/>
      <c r="T1036" s="58"/>
      <c r="U1036" s="58"/>
      <c r="V1036" s="58"/>
      <c r="W1036" s="58"/>
      <c r="X1036" s="58"/>
      <c r="Y1036" s="58"/>
      <c r="Z1036" s="58"/>
    </row>
    <row r="1037" ht="15.75" customHeight="1">
      <c r="A1037" s="86"/>
      <c r="B1037" s="86"/>
      <c r="C1037" s="86"/>
      <c r="D1037" s="86"/>
      <c r="E1037" s="86"/>
      <c r="F1037" s="58"/>
      <c r="G1037" s="58"/>
      <c r="H1037" s="58"/>
      <c r="I1037" s="58"/>
      <c r="J1037" s="58"/>
      <c r="K1037" s="58"/>
      <c r="L1037" s="58"/>
      <c r="M1037" s="58"/>
      <c r="N1037" s="58"/>
      <c r="O1037" s="58"/>
      <c r="P1037" s="58"/>
      <c r="Q1037" s="58"/>
      <c r="R1037" s="58"/>
      <c r="S1037" s="58"/>
      <c r="T1037" s="58"/>
      <c r="U1037" s="58"/>
      <c r="V1037" s="58"/>
      <c r="W1037" s="58"/>
      <c r="X1037" s="58"/>
      <c r="Y1037" s="58"/>
      <c r="Z1037" s="58"/>
    </row>
    <row r="1038" ht="15.75" customHeight="1">
      <c r="A1038" s="86"/>
      <c r="B1038" s="86"/>
      <c r="C1038" s="86"/>
      <c r="D1038" s="86"/>
      <c r="E1038" s="86"/>
      <c r="F1038" s="58"/>
      <c r="G1038" s="58"/>
      <c r="H1038" s="58"/>
      <c r="I1038" s="58"/>
      <c r="J1038" s="58"/>
      <c r="K1038" s="58"/>
      <c r="L1038" s="58"/>
      <c r="M1038" s="58"/>
      <c r="N1038" s="58"/>
      <c r="O1038" s="58"/>
      <c r="P1038" s="58"/>
      <c r="Q1038" s="58"/>
      <c r="R1038" s="58"/>
      <c r="S1038" s="58"/>
      <c r="T1038" s="58"/>
      <c r="U1038" s="58"/>
      <c r="V1038" s="58"/>
      <c r="W1038" s="58"/>
      <c r="X1038" s="58"/>
      <c r="Y1038" s="58"/>
      <c r="Z1038" s="58"/>
    </row>
    <row r="1039" ht="15.75" customHeight="1">
      <c r="A1039" s="86"/>
      <c r="B1039" s="86"/>
      <c r="C1039" s="86"/>
      <c r="D1039" s="86"/>
      <c r="E1039" s="86"/>
      <c r="F1039" s="58"/>
      <c r="G1039" s="58"/>
      <c r="H1039" s="58"/>
      <c r="I1039" s="58"/>
      <c r="J1039" s="58"/>
      <c r="K1039" s="58"/>
      <c r="L1039" s="58"/>
      <c r="M1039" s="58"/>
      <c r="N1039" s="58"/>
      <c r="O1039" s="58"/>
      <c r="P1039" s="58"/>
      <c r="Q1039" s="58"/>
      <c r="R1039" s="58"/>
      <c r="S1039" s="58"/>
      <c r="T1039" s="58"/>
      <c r="U1039" s="58"/>
      <c r="V1039" s="58"/>
      <c r="W1039" s="58"/>
      <c r="X1039" s="58"/>
      <c r="Y1039" s="58"/>
      <c r="Z1039" s="58"/>
    </row>
    <row r="1040" ht="15.75" customHeight="1">
      <c r="A1040" s="86"/>
      <c r="B1040" s="86"/>
      <c r="C1040" s="86"/>
      <c r="D1040" s="86"/>
      <c r="E1040" s="86"/>
      <c r="F1040" s="58"/>
      <c r="G1040" s="58"/>
      <c r="H1040" s="58"/>
      <c r="I1040" s="58"/>
      <c r="J1040" s="58"/>
      <c r="K1040" s="58"/>
      <c r="L1040" s="58"/>
      <c r="M1040" s="58"/>
      <c r="N1040" s="58"/>
      <c r="O1040" s="58"/>
      <c r="P1040" s="58"/>
      <c r="Q1040" s="58"/>
      <c r="R1040" s="58"/>
      <c r="S1040" s="58"/>
      <c r="T1040" s="58"/>
      <c r="U1040" s="58"/>
      <c r="V1040" s="58"/>
      <c r="W1040" s="58"/>
      <c r="X1040" s="58"/>
      <c r="Y1040" s="58"/>
      <c r="Z1040" s="58"/>
    </row>
    <row r="1041" ht="15.75" customHeight="1">
      <c r="A1041" s="86"/>
      <c r="B1041" s="86"/>
      <c r="C1041" s="86"/>
      <c r="D1041" s="86"/>
      <c r="E1041" s="86"/>
      <c r="F1041" s="58"/>
      <c r="G1041" s="58"/>
      <c r="H1041" s="58"/>
      <c r="I1041" s="58"/>
      <c r="J1041" s="58"/>
      <c r="K1041" s="58"/>
      <c r="L1041" s="58"/>
      <c r="M1041" s="58"/>
      <c r="N1041" s="58"/>
      <c r="O1041" s="58"/>
      <c r="P1041" s="58"/>
      <c r="Q1041" s="58"/>
      <c r="R1041" s="58"/>
      <c r="S1041" s="58"/>
      <c r="T1041" s="58"/>
      <c r="U1041" s="58"/>
      <c r="V1041" s="58"/>
      <c r="W1041" s="58"/>
      <c r="X1041" s="58"/>
      <c r="Y1041" s="58"/>
      <c r="Z1041" s="58"/>
    </row>
    <row r="1042" ht="15.75" customHeight="1">
      <c r="A1042" s="86"/>
      <c r="B1042" s="86"/>
      <c r="C1042" s="86"/>
      <c r="D1042" s="86"/>
      <c r="E1042" s="86"/>
      <c r="F1042" s="58"/>
      <c r="G1042" s="58"/>
      <c r="H1042" s="58"/>
      <c r="I1042" s="58"/>
      <c r="J1042" s="58"/>
      <c r="K1042" s="58"/>
      <c r="L1042" s="58"/>
      <c r="M1042" s="58"/>
      <c r="N1042" s="58"/>
      <c r="O1042" s="58"/>
      <c r="P1042" s="58"/>
      <c r="Q1042" s="58"/>
      <c r="R1042" s="58"/>
      <c r="S1042" s="58"/>
      <c r="T1042" s="58"/>
      <c r="U1042" s="58"/>
      <c r="V1042" s="58"/>
      <c r="W1042" s="58"/>
      <c r="X1042" s="58"/>
      <c r="Y1042" s="58"/>
      <c r="Z1042" s="58"/>
    </row>
    <row r="1043" ht="15.75" customHeight="1">
      <c r="A1043" s="86"/>
      <c r="B1043" s="86"/>
      <c r="C1043" s="86"/>
      <c r="D1043" s="86"/>
      <c r="E1043" s="86"/>
      <c r="F1043" s="58"/>
      <c r="G1043" s="58"/>
      <c r="H1043" s="58"/>
      <c r="I1043" s="58"/>
      <c r="J1043" s="58"/>
      <c r="K1043" s="58"/>
      <c r="L1043" s="58"/>
      <c r="M1043" s="58"/>
      <c r="N1043" s="58"/>
      <c r="O1043" s="58"/>
      <c r="P1043" s="58"/>
      <c r="Q1043" s="58"/>
      <c r="R1043" s="58"/>
      <c r="S1043" s="58"/>
      <c r="T1043" s="58"/>
      <c r="U1043" s="58"/>
      <c r="V1043" s="58"/>
      <c r="W1043" s="58"/>
      <c r="X1043" s="58"/>
      <c r="Y1043" s="58"/>
      <c r="Z1043" s="58"/>
    </row>
    <row r="1044" ht="15.75" customHeight="1">
      <c r="A1044" s="86"/>
      <c r="B1044" s="86"/>
      <c r="C1044" s="86"/>
      <c r="D1044" s="86"/>
      <c r="E1044" s="86"/>
      <c r="F1044" s="58"/>
      <c r="G1044" s="58"/>
      <c r="H1044" s="58"/>
      <c r="I1044" s="58"/>
      <c r="J1044" s="58"/>
      <c r="K1044" s="58"/>
      <c r="L1044" s="58"/>
      <c r="M1044" s="58"/>
      <c r="N1044" s="58"/>
      <c r="O1044" s="58"/>
      <c r="P1044" s="58"/>
      <c r="Q1044" s="58"/>
      <c r="R1044" s="58"/>
      <c r="S1044" s="58"/>
      <c r="T1044" s="58"/>
      <c r="U1044" s="58"/>
      <c r="V1044" s="58"/>
      <c r="W1044" s="58"/>
      <c r="X1044" s="58"/>
      <c r="Y1044" s="58"/>
      <c r="Z1044" s="58"/>
    </row>
    <row r="1045" ht="15.75" customHeight="1">
      <c r="A1045" s="86"/>
      <c r="B1045" s="86"/>
      <c r="C1045" s="86"/>
      <c r="D1045" s="86"/>
      <c r="E1045" s="86"/>
      <c r="F1045" s="58"/>
      <c r="G1045" s="58"/>
      <c r="H1045" s="58"/>
      <c r="I1045" s="58"/>
      <c r="J1045" s="58"/>
      <c r="K1045" s="58"/>
      <c r="L1045" s="58"/>
      <c r="M1045" s="58"/>
      <c r="N1045" s="58"/>
      <c r="O1045" s="58"/>
      <c r="P1045" s="58"/>
      <c r="Q1045" s="58"/>
      <c r="R1045" s="58"/>
      <c r="S1045" s="58"/>
      <c r="T1045" s="58"/>
      <c r="U1045" s="58"/>
      <c r="V1045" s="58"/>
      <c r="W1045" s="58"/>
      <c r="X1045" s="58"/>
      <c r="Y1045" s="58"/>
      <c r="Z1045" s="58"/>
    </row>
    <row r="1046" ht="15.75" customHeight="1">
      <c r="A1046" s="86"/>
      <c r="B1046" s="86"/>
      <c r="C1046" s="86"/>
      <c r="D1046" s="86"/>
      <c r="E1046" s="86"/>
      <c r="F1046" s="58"/>
      <c r="G1046" s="58"/>
      <c r="H1046" s="58"/>
      <c r="I1046" s="58"/>
      <c r="J1046" s="58"/>
      <c r="K1046" s="58"/>
      <c r="L1046" s="58"/>
      <c r="M1046" s="58"/>
      <c r="N1046" s="58"/>
      <c r="O1046" s="58"/>
      <c r="P1046" s="58"/>
      <c r="Q1046" s="58"/>
      <c r="R1046" s="58"/>
      <c r="S1046" s="58"/>
      <c r="T1046" s="58"/>
      <c r="U1046" s="58"/>
      <c r="V1046" s="58"/>
      <c r="W1046" s="58"/>
      <c r="X1046" s="58"/>
      <c r="Y1046" s="58"/>
      <c r="Z1046" s="58"/>
    </row>
    <row r="1047" ht="15.75" customHeight="1">
      <c r="A1047" s="86"/>
      <c r="B1047" s="86"/>
      <c r="C1047" s="86"/>
      <c r="D1047" s="86"/>
      <c r="E1047" s="86"/>
      <c r="F1047" s="58"/>
      <c r="G1047" s="58"/>
      <c r="H1047" s="58"/>
      <c r="I1047" s="58"/>
      <c r="J1047" s="58"/>
      <c r="K1047" s="58"/>
      <c r="L1047" s="58"/>
      <c r="M1047" s="58"/>
      <c r="N1047" s="58"/>
      <c r="O1047" s="58"/>
      <c r="P1047" s="58"/>
      <c r="Q1047" s="58"/>
      <c r="R1047" s="58"/>
      <c r="S1047" s="58"/>
      <c r="T1047" s="58"/>
      <c r="U1047" s="58"/>
      <c r="V1047" s="58"/>
      <c r="W1047" s="58"/>
      <c r="X1047" s="58"/>
      <c r="Y1047" s="58"/>
      <c r="Z1047" s="58"/>
    </row>
    <row r="1048" ht="15.75" customHeight="1">
      <c r="A1048" s="86"/>
      <c r="B1048" s="86"/>
      <c r="C1048" s="86"/>
      <c r="D1048" s="86"/>
      <c r="E1048" s="86"/>
      <c r="F1048" s="58"/>
      <c r="G1048" s="58"/>
      <c r="H1048" s="58"/>
      <c r="I1048" s="58"/>
      <c r="J1048" s="58"/>
      <c r="K1048" s="58"/>
      <c r="L1048" s="58"/>
      <c r="M1048" s="58"/>
      <c r="N1048" s="58"/>
      <c r="O1048" s="58"/>
      <c r="P1048" s="58"/>
      <c r="Q1048" s="58"/>
      <c r="R1048" s="58"/>
      <c r="S1048" s="58"/>
      <c r="T1048" s="58"/>
      <c r="U1048" s="58"/>
      <c r="V1048" s="58"/>
      <c r="W1048" s="58"/>
      <c r="X1048" s="58"/>
      <c r="Y1048" s="58"/>
      <c r="Z1048" s="58"/>
    </row>
    <row r="1049" ht="15.75" customHeight="1">
      <c r="A1049" s="86"/>
      <c r="B1049" s="86"/>
      <c r="C1049" s="86"/>
      <c r="D1049" s="86"/>
      <c r="E1049" s="86"/>
      <c r="F1049" s="58"/>
      <c r="G1049" s="58"/>
      <c r="H1049" s="58"/>
      <c r="I1049" s="58"/>
      <c r="J1049" s="58"/>
      <c r="K1049" s="58"/>
      <c r="L1049" s="58"/>
      <c r="M1049" s="58"/>
      <c r="N1049" s="58"/>
      <c r="O1049" s="58"/>
      <c r="P1049" s="58"/>
      <c r="Q1049" s="58"/>
      <c r="R1049" s="58"/>
      <c r="S1049" s="58"/>
      <c r="T1049" s="58"/>
      <c r="U1049" s="58"/>
      <c r="V1049" s="58"/>
      <c r="W1049" s="58"/>
      <c r="X1049" s="58"/>
      <c r="Y1049" s="58"/>
      <c r="Z1049" s="58"/>
    </row>
    <row r="1050" ht="15.75" customHeight="1">
      <c r="A1050" s="86"/>
      <c r="B1050" s="86"/>
      <c r="C1050" s="86"/>
      <c r="D1050" s="86"/>
      <c r="E1050" s="86"/>
      <c r="F1050" s="58"/>
      <c r="G1050" s="58"/>
      <c r="H1050" s="58"/>
      <c r="I1050" s="58"/>
      <c r="J1050" s="58"/>
      <c r="K1050" s="58"/>
      <c r="L1050" s="58"/>
      <c r="M1050" s="58"/>
      <c r="N1050" s="58"/>
      <c r="O1050" s="58"/>
      <c r="P1050" s="58"/>
      <c r="Q1050" s="58"/>
      <c r="R1050" s="58"/>
      <c r="S1050" s="58"/>
      <c r="T1050" s="58"/>
      <c r="U1050" s="58"/>
      <c r="V1050" s="58"/>
      <c r="W1050" s="58"/>
      <c r="X1050" s="58"/>
      <c r="Y1050" s="58"/>
      <c r="Z1050" s="58"/>
    </row>
    <row r="1051" ht="15.75" customHeight="1">
      <c r="A1051" s="86"/>
      <c r="B1051" s="86"/>
      <c r="C1051" s="86"/>
      <c r="D1051" s="86"/>
      <c r="E1051" s="86"/>
      <c r="F1051" s="58"/>
      <c r="G1051" s="58"/>
      <c r="H1051" s="58"/>
      <c r="I1051" s="58"/>
      <c r="J1051" s="58"/>
      <c r="K1051" s="58"/>
      <c r="L1051" s="58"/>
      <c r="M1051" s="58"/>
      <c r="N1051" s="58"/>
      <c r="O1051" s="58"/>
      <c r="P1051" s="58"/>
      <c r="Q1051" s="58"/>
      <c r="R1051" s="58"/>
      <c r="S1051" s="58"/>
      <c r="T1051" s="58"/>
      <c r="U1051" s="58"/>
      <c r="V1051" s="58"/>
      <c r="W1051" s="58"/>
      <c r="X1051" s="58"/>
      <c r="Y1051" s="58"/>
      <c r="Z1051" s="58"/>
    </row>
    <row r="1052" ht="15.75" customHeight="1">
      <c r="A1052" s="86"/>
      <c r="B1052" s="86"/>
      <c r="C1052" s="86"/>
      <c r="D1052" s="86"/>
      <c r="E1052" s="86"/>
      <c r="F1052" s="58"/>
      <c r="G1052" s="58"/>
      <c r="H1052" s="58"/>
      <c r="I1052" s="58"/>
      <c r="J1052" s="58"/>
      <c r="K1052" s="58"/>
      <c r="L1052" s="58"/>
      <c r="M1052" s="58"/>
      <c r="N1052" s="58"/>
      <c r="O1052" s="58"/>
      <c r="P1052" s="58"/>
      <c r="Q1052" s="58"/>
      <c r="R1052" s="58"/>
      <c r="S1052" s="58"/>
      <c r="T1052" s="58"/>
      <c r="U1052" s="58"/>
      <c r="V1052" s="58"/>
      <c r="W1052" s="58"/>
      <c r="X1052" s="58"/>
      <c r="Y1052" s="58"/>
      <c r="Z1052" s="58"/>
    </row>
    <row r="1053" ht="15.75" customHeight="1">
      <c r="A1053" s="86"/>
      <c r="B1053" s="86"/>
      <c r="C1053" s="86"/>
      <c r="D1053" s="86"/>
      <c r="E1053" s="86"/>
      <c r="F1053" s="58"/>
      <c r="G1053" s="58"/>
      <c r="H1053" s="58"/>
      <c r="I1053" s="58"/>
      <c r="J1053" s="58"/>
      <c r="K1053" s="58"/>
      <c r="L1053" s="58"/>
      <c r="M1053" s="58"/>
      <c r="N1053" s="58"/>
      <c r="O1053" s="58"/>
      <c r="P1053" s="58"/>
      <c r="Q1053" s="58"/>
      <c r="R1053" s="58"/>
      <c r="S1053" s="58"/>
      <c r="T1053" s="58"/>
      <c r="U1053" s="58"/>
      <c r="V1053" s="58"/>
      <c r="W1053" s="58"/>
      <c r="X1053" s="58"/>
      <c r="Y1053" s="58"/>
      <c r="Z1053" s="58"/>
    </row>
    <row r="1054" ht="15.75" customHeight="1">
      <c r="A1054" s="86"/>
      <c r="B1054" s="86"/>
      <c r="C1054" s="86"/>
      <c r="D1054" s="86"/>
      <c r="E1054" s="86"/>
      <c r="F1054" s="58"/>
      <c r="G1054" s="58"/>
      <c r="H1054" s="58"/>
      <c r="I1054" s="58"/>
      <c r="J1054" s="58"/>
      <c r="K1054" s="58"/>
      <c r="L1054" s="58"/>
      <c r="M1054" s="58"/>
      <c r="N1054" s="58"/>
      <c r="O1054" s="58"/>
      <c r="P1054" s="58"/>
      <c r="Q1054" s="58"/>
      <c r="R1054" s="58"/>
      <c r="S1054" s="58"/>
      <c r="T1054" s="58"/>
      <c r="U1054" s="58"/>
      <c r="V1054" s="58"/>
      <c r="W1054" s="58"/>
      <c r="X1054" s="58"/>
      <c r="Y1054" s="58"/>
      <c r="Z1054" s="58"/>
    </row>
    <row r="1055" ht="15.75" customHeight="1">
      <c r="A1055" s="86"/>
      <c r="B1055" s="86"/>
      <c r="C1055" s="86"/>
      <c r="D1055" s="86"/>
      <c r="E1055" s="86"/>
      <c r="F1055" s="58"/>
      <c r="G1055" s="58"/>
      <c r="H1055" s="58"/>
      <c r="I1055" s="58"/>
      <c r="J1055" s="58"/>
      <c r="K1055" s="58"/>
      <c r="L1055" s="58"/>
      <c r="M1055" s="58"/>
      <c r="N1055" s="58"/>
      <c r="O1055" s="58"/>
      <c r="P1055" s="58"/>
      <c r="Q1055" s="58"/>
      <c r="R1055" s="58"/>
      <c r="S1055" s="58"/>
      <c r="T1055" s="58"/>
      <c r="U1055" s="58"/>
      <c r="V1055" s="58"/>
      <c r="W1055" s="58"/>
      <c r="X1055" s="58"/>
      <c r="Y1055" s="58"/>
      <c r="Z1055" s="58"/>
    </row>
    <row r="1056" ht="15.75" customHeight="1">
      <c r="A1056" s="86"/>
      <c r="B1056" s="86"/>
      <c r="C1056" s="86"/>
      <c r="D1056" s="86"/>
      <c r="E1056" s="86"/>
      <c r="F1056" s="58"/>
      <c r="G1056" s="58"/>
      <c r="H1056" s="58"/>
      <c r="I1056" s="58"/>
      <c r="J1056" s="58"/>
      <c r="K1056" s="58"/>
      <c r="L1056" s="58"/>
      <c r="M1056" s="58"/>
      <c r="N1056" s="58"/>
      <c r="O1056" s="58"/>
      <c r="P1056" s="58"/>
      <c r="Q1056" s="58"/>
      <c r="R1056" s="58"/>
      <c r="S1056" s="58"/>
      <c r="T1056" s="58"/>
      <c r="U1056" s="58"/>
      <c r="V1056" s="58"/>
      <c r="W1056" s="58"/>
      <c r="X1056" s="58"/>
      <c r="Y1056" s="58"/>
      <c r="Z1056" s="58"/>
    </row>
    <row r="1057" ht="15.75" customHeight="1">
      <c r="A1057" s="86"/>
      <c r="B1057" s="86"/>
      <c r="C1057" s="86"/>
      <c r="D1057" s="86"/>
      <c r="E1057" s="86"/>
      <c r="F1057" s="58"/>
      <c r="G1057" s="58"/>
      <c r="H1057" s="58"/>
      <c r="I1057" s="58"/>
      <c r="J1057" s="58"/>
      <c r="K1057" s="58"/>
      <c r="L1057" s="58"/>
      <c r="M1057" s="58"/>
      <c r="N1057" s="58"/>
      <c r="O1057" s="58"/>
      <c r="P1057" s="58"/>
      <c r="Q1057" s="58"/>
      <c r="R1057" s="58"/>
      <c r="S1057" s="58"/>
      <c r="T1057" s="58"/>
      <c r="U1057" s="58"/>
      <c r="V1057" s="58"/>
      <c r="W1057" s="58"/>
      <c r="X1057" s="58"/>
      <c r="Y1057" s="58"/>
      <c r="Z1057" s="58"/>
    </row>
    <row r="1058" ht="15.75" customHeight="1">
      <c r="A1058" s="86"/>
      <c r="B1058" s="86"/>
      <c r="C1058" s="86"/>
      <c r="D1058" s="86"/>
      <c r="E1058" s="86"/>
      <c r="F1058" s="58"/>
      <c r="G1058" s="58"/>
      <c r="H1058" s="58"/>
      <c r="I1058" s="58"/>
      <c r="J1058" s="58"/>
      <c r="K1058" s="58"/>
      <c r="L1058" s="58"/>
      <c r="M1058" s="58"/>
      <c r="N1058" s="58"/>
      <c r="O1058" s="58"/>
      <c r="P1058" s="58"/>
      <c r="Q1058" s="58"/>
      <c r="R1058" s="58"/>
      <c r="S1058" s="58"/>
      <c r="T1058" s="58"/>
      <c r="U1058" s="58"/>
      <c r="V1058" s="58"/>
      <c r="W1058" s="58"/>
      <c r="X1058" s="58"/>
      <c r="Y1058" s="58"/>
      <c r="Z1058" s="58"/>
    </row>
    <row r="1059" ht="15.75" customHeight="1">
      <c r="A1059" s="86"/>
      <c r="B1059" s="86"/>
      <c r="C1059" s="86"/>
      <c r="D1059" s="86"/>
      <c r="E1059" s="86"/>
      <c r="F1059" s="58"/>
      <c r="G1059" s="58"/>
      <c r="H1059" s="58"/>
      <c r="I1059" s="58"/>
      <c r="J1059" s="58"/>
      <c r="K1059" s="58"/>
      <c r="L1059" s="58"/>
      <c r="M1059" s="58"/>
      <c r="N1059" s="58"/>
      <c r="O1059" s="58"/>
      <c r="P1059" s="58"/>
      <c r="Q1059" s="58"/>
      <c r="R1059" s="58"/>
      <c r="S1059" s="58"/>
      <c r="T1059" s="58"/>
      <c r="U1059" s="58"/>
      <c r="V1059" s="58"/>
      <c r="W1059" s="58"/>
      <c r="X1059" s="58"/>
      <c r="Y1059" s="58"/>
      <c r="Z1059" s="58"/>
    </row>
    <row r="1060" ht="15.75" customHeight="1">
      <c r="A1060" s="86"/>
      <c r="B1060" s="86"/>
      <c r="C1060" s="86"/>
      <c r="D1060" s="86"/>
      <c r="E1060" s="86"/>
      <c r="F1060" s="58"/>
      <c r="G1060" s="58"/>
      <c r="H1060" s="58"/>
      <c r="I1060" s="58"/>
      <c r="J1060" s="58"/>
      <c r="K1060" s="58"/>
      <c r="L1060" s="58"/>
      <c r="M1060" s="58"/>
      <c r="N1060" s="58"/>
      <c r="O1060" s="58"/>
      <c r="P1060" s="58"/>
      <c r="Q1060" s="58"/>
      <c r="R1060" s="58"/>
      <c r="S1060" s="58"/>
      <c r="T1060" s="58"/>
      <c r="U1060" s="58"/>
      <c r="V1060" s="58"/>
      <c r="W1060" s="58"/>
      <c r="X1060" s="58"/>
      <c r="Y1060" s="58"/>
      <c r="Z1060" s="58"/>
    </row>
    <row r="1061" ht="15.75" customHeight="1">
      <c r="A1061" s="86"/>
      <c r="B1061" s="86"/>
      <c r="C1061" s="86"/>
      <c r="D1061" s="86"/>
      <c r="E1061" s="86"/>
      <c r="F1061" s="58"/>
      <c r="G1061" s="58"/>
      <c r="H1061" s="58"/>
      <c r="I1061" s="58"/>
      <c r="J1061" s="58"/>
      <c r="K1061" s="58"/>
      <c r="L1061" s="58"/>
      <c r="M1061" s="58"/>
      <c r="N1061" s="58"/>
      <c r="O1061" s="58"/>
      <c r="P1061" s="58"/>
      <c r="Q1061" s="58"/>
      <c r="R1061" s="58"/>
      <c r="S1061" s="58"/>
      <c r="T1061" s="58"/>
      <c r="U1061" s="58"/>
      <c r="V1061" s="58"/>
      <c r="W1061" s="58"/>
      <c r="X1061" s="58"/>
      <c r="Y1061" s="58"/>
      <c r="Z1061" s="58"/>
    </row>
    <row r="1062" ht="15.75" customHeight="1">
      <c r="A1062" s="86"/>
      <c r="B1062" s="86"/>
      <c r="C1062" s="86"/>
      <c r="D1062" s="86"/>
      <c r="E1062" s="86"/>
      <c r="F1062" s="58"/>
      <c r="G1062" s="58"/>
      <c r="H1062" s="58"/>
      <c r="I1062" s="58"/>
      <c r="J1062" s="58"/>
      <c r="K1062" s="58"/>
      <c r="L1062" s="58"/>
      <c r="M1062" s="58"/>
      <c r="N1062" s="58"/>
      <c r="O1062" s="58"/>
      <c r="P1062" s="58"/>
      <c r="Q1062" s="58"/>
      <c r="R1062" s="58"/>
      <c r="S1062" s="58"/>
      <c r="T1062" s="58"/>
      <c r="U1062" s="58"/>
      <c r="V1062" s="58"/>
      <c r="W1062" s="58"/>
      <c r="X1062" s="58"/>
      <c r="Y1062" s="58"/>
      <c r="Z1062" s="58"/>
    </row>
    <row r="1063" ht="15.75" customHeight="1">
      <c r="A1063" s="86"/>
      <c r="B1063" s="86"/>
      <c r="C1063" s="86"/>
      <c r="D1063" s="86"/>
      <c r="E1063" s="86"/>
      <c r="F1063" s="58"/>
      <c r="G1063" s="58"/>
      <c r="H1063" s="58"/>
      <c r="I1063" s="58"/>
      <c r="J1063" s="58"/>
      <c r="K1063" s="58"/>
      <c r="L1063" s="58"/>
      <c r="M1063" s="58"/>
      <c r="N1063" s="58"/>
      <c r="O1063" s="58"/>
      <c r="P1063" s="58"/>
      <c r="Q1063" s="58"/>
      <c r="R1063" s="58"/>
      <c r="S1063" s="58"/>
      <c r="T1063" s="58"/>
      <c r="U1063" s="58"/>
      <c r="V1063" s="58"/>
      <c r="W1063" s="58"/>
      <c r="X1063" s="58"/>
      <c r="Y1063" s="58"/>
      <c r="Z1063" s="58"/>
    </row>
    <row r="1064" ht="15.75" customHeight="1">
      <c r="A1064" s="86"/>
      <c r="B1064" s="86"/>
      <c r="C1064" s="86"/>
      <c r="D1064" s="86"/>
      <c r="E1064" s="86"/>
      <c r="F1064" s="58"/>
      <c r="G1064" s="58"/>
      <c r="H1064" s="58"/>
      <c r="I1064" s="58"/>
      <c r="J1064" s="58"/>
      <c r="K1064" s="58"/>
      <c r="L1064" s="58"/>
      <c r="M1064" s="58"/>
      <c r="N1064" s="58"/>
      <c r="O1064" s="58"/>
      <c r="P1064" s="58"/>
      <c r="Q1064" s="58"/>
      <c r="R1064" s="58"/>
      <c r="S1064" s="58"/>
      <c r="T1064" s="58"/>
      <c r="U1064" s="58"/>
      <c r="V1064" s="58"/>
      <c r="W1064" s="58"/>
      <c r="X1064" s="58"/>
      <c r="Y1064" s="58"/>
      <c r="Z1064" s="58"/>
    </row>
    <row r="1065" ht="15.75" customHeight="1">
      <c r="A1065" s="86"/>
      <c r="B1065" s="86"/>
      <c r="C1065" s="86"/>
      <c r="D1065" s="86"/>
      <c r="E1065" s="86"/>
      <c r="F1065" s="58"/>
      <c r="G1065" s="58"/>
      <c r="H1065" s="58"/>
      <c r="I1065" s="58"/>
      <c r="J1065" s="58"/>
      <c r="K1065" s="58"/>
      <c r="L1065" s="58"/>
      <c r="M1065" s="58"/>
      <c r="N1065" s="58"/>
      <c r="O1065" s="58"/>
      <c r="P1065" s="58"/>
      <c r="Q1065" s="58"/>
      <c r="R1065" s="58"/>
      <c r="S1065" s="58"/>
      <c r="T1065" s="58"/>
      <c r="U1065" s="58"/>
      <c r="V1065" s="58"/>
      <c r="W1065" s="58"/>
      <c r="X1065" s="58"/>
      <c r="Y1065" s="58"/>
      <c r="Z1065" s="58"/>
    </row>
    <row r="1066" ht="15.75" customHeight="1">
      <c r="A1066" s="86"/>
      <c r="B1066" s="86"/>
      <c r="C1066" s="86"/>
      <c r="D1066" s="86"/>
      <c r="E1066" s="86"/>
      <c r="F1066" s="58"/>
      <c r="G1066" s="58"/>
      <c r="H1066" s="58"/>
      <c r="I1066" s="58"/>
      <c r="J1066" s="58"/>
      <c r="K1066" s="58"/>
      <c r="L1066" s="58"/>
      <c r="M1066" s="58"/>
      <c r="N1066" s="58"/>
      <c r="O1066" s="58"/>
      <c r="P1066" s="58"/>
      <c r="Q1066" s="58"/>
      <c r="R1066" s="58"/>
      <c r="S1066" s="58"/>
      <c r="T1066" s="58"/>
      <c r="U1066" s="58"/>
      <c r="V1066" s="58"/>
      <c r="W1066" s="58"/>
      <c r="X1066" s="58"/>
      <c r="Y1066" s="58"/>
      <c r="Z1066" s="58"/>
    </row>
    <row r="1067" ht="15.75" customHeight="1">
      <c r="A1067" s="86"/>
      <c r="B1067" s="86"/>
      <c r="C1067" s="86"/>
      <c r="D1067" s="86"/>
      <c r="E1067" s="86"/>
      <c r="F1067" s="58"/>
      <c r="G1067" s="58"/>
      <c r="H1067" s="58"/>
      <c r="I1067" s="58"/>
      <c r="J1067" s="58"/>
      <c r="K1067" s="58"/>
      <c r="L1067" s="58"/>
      <c r="M1067" s="58"/>
      <c r="N1067" s="58"/>
      <c r="O1067" s="58"/>
      <c r="P1067" s="58"/>
      <c r="Q1067" s="58"/>
      <c r="R1067" s="58"/>
      <c r="S1067" s="58"/>
      <c r="T1067" s="58"/>
      <c r="U1067" s="58"/>
      <c r="V1067" s="58"/>
      <c r="W1067" s="58"/>
      <c r="X1067" s="58"/>
      <c r="Y1067" s="58"/>
      <c r="Z1067" s="58"/>
    </row>
    <row r="1068" ht="15.75" customHeight="1">
      <c r="A1068" s="86"/>
      <c r="B1068" s="86"/>
      <c r="C1068" s="86"/>
      <c r="D1068" s="86"/>
      <c r="E1068" s="86"/>
      <c r="F1068" s="58"/>
      <c r="G1068" s="58"/>
      <c r="H1068" s="58"/>
      <c r="I1068" s="58"/>
      <c r="J1068" s="58"/>
      <c r="K1068" s="58"/>
      <c r="L1068" s="58"/>
      <c r="M1068" s="58"/>
      <c r="N1068" s="58"/>
      <c r="O1068" s="58"/>
      <c r="P1068" s="58"/>
      <c r="Q1068" s="58"/>
      <c r="R1068" s="58"/>
      <c r="S1068" s="58"/>
      <c r="T1068" s="58"/>
      <c r="U1068" s="58"/>
      <c r="V1068" s="58"/>
      <c r="W1068" s="58"/>
      <c r="X1068" s="58"/>
      <c r="Y1068" s="58"/>
      <c r="Z1068" s="58"/>
    </row>
    <row r="1069" ht="15.75" customHeight="1">
      <c r="A1069" s="86"/>
      <c r="B1069" s="86"/>
      <c r="C1069" s="86"/>
      <c r="D1069" s="86"/>
      <c r="E1069" s="86"/>
      <c r="F1069" s="58"/>
      <c r="G1069" s="58"/>
      <c r="H1069" s="58"/>
      <c r="I1069" s="58"/>
      <c r="J1069" s="58"/>
      <c r="K1069" s="58"/>
      <c r="L1069" s="58"/>
      <c r="M1069" s="58"/>
      <c r="N1069" s="58"/>
      <c r="O1069" s="58"/>
      <c r="P1069" s="58"/>
      <c r="Q1069" s="58"/>
      <c r="R1069" s="58"/>
      <c r="S1069" s="58"/>
      <c r="T1069" s="58"/>
      <c r="U1069" s="58"/>
      <c r="V1069" s="58"/>
      <c r="W1069" s="58"/>
      <c r="X1069" s="58"/>
      <c r="Y1069" s="58"/>
      <c r="Z1069" s="58"/>
    </row>
    <row r="1070" ht="15.75" customHeight="1">
      <c r="A1070" s="86"/>
      <c r="B1070" s="86"/>
      <c r="C1070" s="86"/>
      <c r="D1070" s="86"/>
      <c r="E1070" s="86"/>
      <c r="F1070" s="58"/>
      <c r="G1070" s="58"/>
      <c r="H1070" s="58"/>
      <c r="I1070" s="58"/>
      <c r="J1070" s="58"/>
      <c r="K1070" s="58"/>
      <c r="L1070" s="58"/>
      <c r="M1070" s="58"/>
      <c r="N1070" s="58"/>
      <c r="O1070" s="58"/>
      <c r="P1070" s="58"/>
      <c r="Q1070" s="58"/>
      <c r="R1070" s="58"/>
      <c r="S1070" s="58"/>
      <c r="T1070" s="58"/>
      <c r="U1070" s="58"/>
      <c r="V1070" s="58"/>
      <c r="W1070" s="58"/>
      <c r="X1070" s="58"/>
      <c r="Y1070" s="58"/>
      <c r="Z1070" s="58"/>
    </row>
    <row r="1071" ht="15.75" customHeight="1">
      <c r="A1071" s="86"/>
      <c r="B1071" s="86"/>
      <c r="C1071" s="86"/>
      <c r="D1071" s="86"/>
      <c r="E1071" s="86"/>
      <c r="F1071" s="58"/>
      <c r="G1071" s="58"/>
      <c r="H1071" s="58"/>
      <c r="I1071" s="58"/>
      <c r="J1071" s="58"/>
      <c r="K1071" s="58"/>
      <c r="L1071" s="58"/>
      <c r="M1071" s="58"/>
      <c r="N1071" s="58"/>
      <c r="O1071" s="58"/>
      <c r="P1071" s="58"/>
      <c r="Q1071" s="58"/>
      <c r="R1071" s="58"/>
      <c r="S1071" s="58"/>
      <c r="T1071" s="58"/>
      <c r="U1071" s="58"/>
      <c r="V1071" s="58"/>
      <c r="W1071" s="58"/>
      <c r="X1071" s="58"/>
      <c r="Y1071" s="58"/>
      <c r="Z1071" s="58"/>
    </row>
    <row r="1072" ht="15.75" customHeight="1">
      <c r="A1072" s="86"/>
      <c r="B1072" s="86"/>
      <c r="C1072" s="86"/>
      <c r="D1072" s="86"/>
      <c r="E1072" s="86"/>
      <c r="F1072" s="58"/>
      <c r="G1072" s="58"/>
      <c r="H1072" s="58"/>
      <c r="I1072" s="58"/>
      <c r="J1072" s="58"/>
      <c r="K1072" s="58"/>
      <c r="L1072" s="58"/>
      <c r="M1072" s="58"/>
      <c r="N1072" s="58"/>
      <c r="O1072" s="58"/>
      <c r="P1072" s="58"/>
      <c r="Q1072" s="58"/>
      <c r="R1072" s="58"/>
      <c r="S1072" s="58"/>
      <c r="T1072" s="58"/>
      <c r="U1072" s="58"/>
      <c r="V1072" s="58"/>
      <c r="W1072" s="58"/>
      <c r="X1072" s="58"/>
      <c r="Y1072" s="58"/>
      <c r="Z1072" s="58"/>
    </row>
    <row r="1073" ht="15.75" customHeight="1">
      <c r="A1073" s="86"/>
      <c r="B1073" s="86"/>
      <c r="C1073" s="86"/>
      <c r="D1073" s="86"/>
      <c r="E1073" s="86"/>
      <c r="F1073" s="58"/>
      <c r="G1073" s="58"/>
      <c r="H1073" s="58"/>
      <c r="I1073" s="58"/>
      <c r="J1073" s="58"/>
      <c r="K1073" s="58"/>
      <c r="L1073" s="58"/>
      <c r="M1073" s="58"/>
      <c r="N1073" s="58"/>
      <c r="O1073" s="58"/>
      <c r="P1073" s="58"/>
      <c r="Q1073" s="58"/>
      <c r="R1073" s="58"/>
      <c r="S1073" s="58"/>
      <c r="T1073" s="58"/>
      <c r="U1073" s="58"/>
      <c r="V1073" s="58"/>
      <c r="W1073" s="58"/>
      <c r="X1073" s="58"/>
      <c r="Y1073" s="58"/>
      <c r="Z1073" s="58"/>
    </row>
    <row r="1074" ht="15.75" customHeight="1">
      <c r="A1074" s="86"/>
      <c r="B1074" s="86"/>
      <c r="C1074" s="86"/>
      <c r="D1074" s="86"/>
      <c r="E1074" s="86"/>
      <c r="F1074" s="58"/>
      <c r="G1074" s="58"/>
      <c r="H1074" s="58"/>
      <c r="I1074" s="58"/>
      <c r="J1074" s="58"/>
      <c r="K1074" s="58"/>
      <c r="L1074" s="58"/>
      <c r="M1074" s="58"/>
      <c r="N1074" s="58"/>
      <c r="O1074" s="58"/>
      <c r="P1074" s="58"/>
      <c r="Q1074" s="58"/>
      <c r="R1074" s="58"/>
      <c r="S1074" s="58"/>
      <c r="T1074" s="58"/>
      <c r="U1074" s="58"/>
      <c r="V1074" s="58"/>
      <c r="W1074" s="58"/>
      <c r="X1074" s="58"/>
      <c r="Y1074" s="58"/>
      <c r="Z1074" s="58"/>
    </row>
    <row r="1075" ht="15.75" customHeight="1">
      <c r="A1075" s="86"/>
      <c r="B1075" s="86"/>
      <c r="C1075" s="86"/>
      <c r="D1075" s="86"/>
      <c r="E1075" s="86"/>
      <c r="F1075" s="58"/>
      <c r="G1075" s="58"/>
      <c r="H1075" s="58"/>
      <c r="I1075" s="58"/>
      <c r="J1075" s="58"/>
      <c r="K1075" s="58"/>
      <c r="L1075" s="58"/>
      <c r="M1075" s="58"/>
      <c r="N1075" s="58"/>
      <c r="O1075" s="58"/>
      <c r="P1075" s="58"/>
      <c r="Q1075" s="58"/>
      <c r="R1075" s="58"/>
      <c r="S1075" s="58"/>
      <c r="T1075" s="58"/>
      <c r="U1075" s="58"/>
      <c r="V1075" s="58"/>
      <c r="W1075" s="58"/>
      <c r="X1075" s="58"/>
      <c r="Y1075" s="58"/>
      <c r="Z1075" s="58"/>
    </row>
    <row r="1076" ht="15.75" customHeight="1">
      <c r="A1076" s="86"/>
      <c r="B1076" s="86"/>
      <c r="C1076" s="86"/>
      <c r="D1076" s="86"/>
      <c r="E1076" s="86"/>
      <c r="F1076" s="58"/>
      <c r="G1076" s="58"/>
      <c r="H1076" s="58"/>
      <c r="I1076" s="58"/>
      <c r="J1076" s="58"/>
      <c r="K1076" s="58"/>
      <c r="L1076" s="58"/>
      <c r="M1076" s="58"/>
      <c r="N1076" s="58"/>
      <c r="O1076" s="58"/>
      <c r="P1076" s="58"/>
      <c r="Q1076" s="58"/>
      <c r="R1076" s="58"/>
      <c r="S1076" s="58"/>
      <c r="T1076" s="58"/>
      <c r="U1076" s="58"/>
      <c r="V1076" s="58"/>
      <c r="W1076" s="58"/>
      <c r="X1076" s="58"/>
      <c r="Y1076" s="58"/>
      <c r="Z1076" s="58"/>
    </row>
    <row r="1077" ht="15.75" customHeight="1">
      <c r="A1077" s="86"/>
      <c r="B1077" s="86"/>
      <c r="C1077" s="86"/>
      <c r="D1077" s="86"/>
      <c r="E1077" s="86"/>
      <c r="F1077" s="58"/>
      <c r="G1077" s="58"/>
      <c r="H1077" s="58"/>
      <c r="I1077" s="58"/>
      <c r="J1077" s="58"/>
      <c r="K1077" s="58"/>
      <c r="L1077" s="58"/>
      <c r="M1077" s="58"/>
      <c r="N1077" s="58"/>
      <c r="O1077" s="58"/>
      <c r="P1077" s="58"/>
      <c r="Q1077" s="58"/>
      <c r="R1077" s="58"/>
      <c r="S1077" s="58"/>
      <c r="T1077" s="58"/>
      <c r="U1077" s="58"/>
      <c r="V1077" s="58"/>
      <c r="W1077" s="58"/>
      <c r="X1077" s="58"/>
      <c r="Y1077" s="58"/>
      <c r="Z1077" s="58"/>
    </row>
    <row r="1078" ht="15.75" customHeight="1">
      <c r="A1078" s="86"/>
      <c r="B1078" s="86"/>
      <c r="C1078" s="86"/>
      <c r="D1078" s="86"/>
      <c r="E1078" s="86"/>
      <c r="F1078" s="58"/>
      <c r="G1078" s="58"/>
      <c r="H1078" s="58"/>
      <c r="I1078" s="58"/>
      <c r="J1078" s="58"/>
      <c r="K1078" s="58"/>
      <c r="L1078" s="58"/>
      <c r="M1078" s="58"/>
      <c r="N1078" s="58"/>
      <c r="O1078" s="58"/>
      <c r="P1078" s="58"/>
      <c r="Q1078" s="58"/>
      <c r="R1078" s="58"/>
      <c r="S1078" s="58"/>
      <c r="T1078" s="58"/>
      <c r="U1078" s="58"/>
      <c r="V1078" s="58"/>
      <c r="W1078" s="58"/>
      <c r="X1078" s="58"/>
      <c r="Y1078" s="58"/>
      <c r="Z1078" s="58"/>
    </row>
    <row r="1079" ht="15.75" customHeight="1">
      <c r="A1079" s="86"/>
      <c r="B1079" s="86"/>
      <c r="C1079" s="86"/>
      <c r="D1079" s="86"/>
      <c r="E1079" s="86"/>
      <c r="F1079" s="58"/>
      <c r="G1079" s="58"/>
      <c r="H1079" s="58"/>
      <c r="I1079" s="58"/>
      <c r="J1079" s="58"/>
      <c r="K1079" s="58"/>
      <c r="L1079" s="58"/>
      <c r="M1079" s="58"/>
      <c r="N1079" s="58"/>
      <c r="O1079" s="58"/>
      <c r="P1079" s="58"/>
      <c r="Q1079" s="58"/>
      <c r="R1079" s="58"/>
      <c r="S1079" s="58"/>
      <c r="T1079" s="58"/>
      <c r="U1079" s="58"/>
      <c r="V1079" s="58"/>
      <c r="W1079" s="58"/>
      <c r="X1079" s="58"/>
      <c r="Y1079" s="58"/>
      <c r="Z1079" s="58"/>
    </row>
    <row r="1080" ht="15.75" customHeight="1">
      <c r="A1080" s="86"/>
      <c r="B1080" s="86"/>
      <c r="C1080" s="86"/>
      <c r="D1080" s="86"/>
      <c r="E1080" s="86"/>
      <c r="F1080" s="58"/>
      <c r="G1080" s="58"/>
      <c r="H1080" s="58"/>
      <c r="I1080" s="58"/>
      <c r="J1080" s="58"/>
      <c r="K1080" s="58"/>
      <c r="L1080" s="58"/>
      <c r="M1080" s="58"/>
      <c r="N1080" s="58"/>
      <c r="O1080" s="58"/>
      <c r="P1080" s="58"/>
      <c r="Q1080" s="58"/>
      <c r="R1080" s="58"/>
      <c r="S1080" s="58"/>
      <c r="T1080" s="58"/>
      <c r="U1080" s="58"/>
      <c r="V1080" s="58"/>
      <c r="W1080" s="58"/>
      <c r="X1080" s="58"/>
      <c r="Y1080" s="58"/>
      <c r="Z1080" s="58"/>
    </row>
    <row r="1081" ht="15.75" customHeight="1">
      <c r="A1081" s="86"/>
      <c r="B1081" s="86"/>
      <c r="C1081" s="86"/>
      <c r="D1081" s="86"/>
      <c r="E1081" s="86"/>
      <c r="F1081" s="58"/>
      <c r="G1081" s="58"/>
      <c r="H1081" s="58"/>
      <c r="I1081" s="58"/>
      <c r="J1081" s="58"/>
      <c r="K1081" s="58"/>
      <c r="L1081" s="58"/>
      <c r="M1081" s="58"/>
      <c r="N1081" s="58"/>
      <c r="O1081" s="58"/>
      <c r="P1081" s="58"/>
      <c r="Q1081" s="58"/>
      <c r="R1081" s="58"/>
      <c r="S1081" s="58"/>
      <c r="T1081" s="58"/>
      <c r="U1081" s="58"/>
      <c r="V1081" s="58"/>
      <c r="W1081" s="58"/>
      <c r="X1081" s="58"/>
      <c r="Y1081" s="58"/>
      <c r="Z1081" s="58"/>
    </row>
    <row r="1082" ht="15.75" customHeight="1">
      <c r="A1082" s="86"/>
      <c r="B1082" s="86"/>
      <c r="C1082" s="86"/>
      <c r="D1082" s="86"/>
      <c r="E1082" s="86"/>
      <c r="F1082" s="58"/>
      <c r="G1082" s="58"/>
      <c r="H1082" s="58"/>
      <c r="I1082" s="58"/>
      <c r="J1082" s="58"/>
      <c r="K1082" s="58"/>
      <c r="L1082" s="58"/>
      <c r="M1082" s="58"/>
      <c r="N1082" s="58"/>
      <c r="O1082" s="58"/>
      <c r="P1082" s="58"/>
      <c r="Q1082" s="58"/>
      <c r="R1082" s="58"/>
      <c r="S1082" s="58"/>
      <c r="T1082" s="58"/>
      <c r="U1082" s="58"/>
      <c r="V1082" s="58"/>
      <c r="W1082" s="58"/>
      <c r="X1082" s="58"/>
      <c r="Y1082" s="58"/>
      <c r="Z1082" s="58"/>
    </row>
    <row r="1083" ht="15.75" customHeight="1">
      <c r="A1083" s="86"/>
      <c r="B1083" s="86"/>
      <c r="C1083" s="86"/>
      <c r="D1083" s="86"/>
      <c r="E1083" s="86"/>
      <c r="F1083" s="58"/>
      <c r="G1083" s="58"/>
      <c r="H1083" s="58"/>
      <c r="I1083" s="58"/>
      <c r="J1083" s="58"/>
      <c r="K1083" s="58"/>
      <c r="L1083" s="58"/>
      <c r="M1083" s="58"/>
      <c r="N1083" s="58"/>
      <c r="O1083" s="58"/>
      <c r="P1083" s="58"/>
      <c r="Q1083" s="58"/>
      <c r="R1083" s="58"/>
      <c r="S1083" s="58"/>
      <c r="T1083" s="58"/>
      <c r="U1083" s="58"/>
      <c r="V1083" s="58"/>
      <c r="W1083" s="58"/>
      <c r="X1083" s="58"/>
      <c r="Y1083" s="58"/>
      <c r="Z1083" s="58"/>
    </row>
    <row r="1084" ht="15.75" customHeight="1">
      <c r="A1084" s="86"/>
      <c r="B1084" s="86"/>
      <c r="C1084" s="86"/>
      <c r="D1084" s="86"/>
      <c r="E1084" s="86"/>
      <c r="F1084" s="58"/>
      <c r="G1084" s="58"/>
      <c r="H1084" s="58"/>
      <c r="I1084" s="58"/>
      <c r="J1084" s="58"/>
      <c r="K1084" s="58"/>
      <c r="L1084" s="58"/>
      <c r="M1084" s="58"/>
      <c r="N1084" s="58"/>
      <c r="O1084" s="58"/>
      <c r="P1084" s="58"/>
      <c r="Q1084" s="58"/>
      <c r="R1084" s="58"/>
      <c r="S1084" s="58"/>
      <c r="T1084" s="58"/>
      <c r="U1084" s="58"/>
      <c r="V1084" s="58"/>
      <c r="W1084" s="58"/>
      <c r="X1084" s="58"/>
      <c r="Y1084" s="58"/>
      <c r="Z1084" s="58"/>
    </row>
    <row r="1085" ht="15.75" customHeight="1">
      <c r="A1085" s="86"/>
      <c r="B1085" s="86"/>
      <c r="C1085" s="86"/>
      <c r="D1085" s="86"/>
      <c r="E1085" s="86"/>
      <c r="F1085" s="58"/>
      <c r="G1085" s="58"/>
      <c r="H1085" s="58"/>
      <c r="I1085" s="58"/>
      <c r="J1085" s="58"/>
      <c r="K1085" s="58"/>
      <c r="L1085" s="58"/>
      <c r="M1085" s="58"/>
      <c r="N1085" s="58"/>
      <c r="O1085" s="58"/>
      <c r="P1085" s="58"/>
      <c r="Q1085" s="58"/>
      <c r="R1085" s="58"/>
      <c r="S1085" s="58"/>
      <c r="T1085" s="58"/>
      <c r="U1085" s="58"/>
      <c r="V1085" s="58"/>
      <c r="W1085" s="58"/>
      <c r="X1085" s="58"/>
      <c r="Y1085" s="58"/>
      <c r="Z1085" s="58"/>
    </row>
    <row r="1086" ht="15.75" customHeight="1">
      <c r="A1086" s="157"/>
      <c r="B1086" s="157"/>
      <c r="C1086" s="157"/>
      <c r="D1086" s="158"/>
      <c r="E1086" s="157"/>
      <c r="F1086" s="158"/>
      <c r="G1086" s="158"/>
      <c r="H1086" s="158"/>
      <c r="I1086" s="158"/>
      <c r="J1086" s="158"/>
      <c r="K1086" s="158"/>
      <c r="L1086" s="158"/>
      <c r="M1086" s="158"/>
      <c r="N1086" s="158"/>
      <c r="O1086" s="158"/>
      <c r="P1086" s="158"/>
      <c r="Q1086" s="158"/>
      <c r="R1086" s="158"/>
      <c r="S1086" s="158"/>
      <c r="T1086" s="158"/>
      <c r="U1086" s="158"/>
      <c r="V1086" s="158"/>
      <c r="W1086" s="158"/>
      <c r="X1086" s="158"/>
      <c r="Y1086" s="158"/>
      <c r="Z1086" s="158"/>
    </row>
  </sheetData>
  <autoFilter ref="$E$1:$E$1086"/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3" width="45.86"/>
    <col customWidth="1" min="4" max="4" width="59.57"/>
    <col customWidth="1" min="5" max="5" width="25.57"/>
    <col customWidth="1" min="6" max="6" width="66.57"/>
    <col customWidth="1" min="7" max="7" width="22.43"/>
  </cols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>
      <c r="A2" s="120" t="s">
        <v>3878</v>
      </c>
      <c r="B2" s="120" t="s">
        <v>3887</v>
      </c>
      <c r="C2" s="120" t="s">
        <v>3888</v>
      </c>
      <c r="D2" s="120" t="s">
        <v>3889</v>
      </c>
      <c r="E2" s="120" t="s">
        <v>3890</v>
      </c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</row>
    <row r="3">
      <c r="A3" s="120" t="s">
        <v>3896</v>
      </c>
      <c r="B3" s="120" t="s">
        <v>3898</v>
      </c>
      <c r="C3" s="120" t="s">
        <v>3901</v>
      </c>
      <c r="D3" s="120" t="s">
        <v>3906</v>
      </c>
      <c r="E3" s="120" t="s">
        <v>3907</v>
      </c>
      <c r="F3" s="121"/>
      <c r="G3" s="121"/>
      <c r="H3" s="121"/>
      <c r="I3" s="121"/>
      <c r="J3" s="121"/>
      <c r="K3" s="121"/>
      <c r="L3" s="121"/>
      <c r="M3" s="121"/>
      <c r="N3" s="121"/>
      <c r="O3" s="121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  <c r="AA3" s="121"/>
      <c r="AB3" s="121"/>
      <c r="AC3" s="121"/>
      <c r="AD3" s="121"/>
      <c r="AE3" s="121"/>
    </row>
    <row r="4">
      <c r="A4" s="120" t="s">
        <v>3910</v>
      </c>
      <c r="B4" s="120" t="s">
        <v>3913</v>
      </c>
      <c r="C4" s="120" t="s">
        <v>3915</v>
      </c>
      <c r="D4" s="120" t="s">
        <v>3917</v>
      </c>
      <c r="E4" s="120" t="s">
        <v>3919</v>
      </c>
      <c r="F4" s="121"/>
      <c r="G4" s="121"/>
      <c r="H4" s="121"/>
      <c r="I4" s="121"/>
      <c r="J4" s="121"/>
      <c r="K4" s="121"/>
      <c r="L4" s="121"/>
      <c r="M4" s="121"/>
      <c r="N4" s="121"/>
      <c r="O4" s="121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  <c r="AA4" s="121"/>
      <c r="AB4" s="121"/>
      <c r="AC4" s="121"/>
      <c r="AD4" s="121"/>
      <c r="AE4" s="121"/>
    </row>
    <row r="5">
      <c r="A5" s="120" t="s">
        <v>3878</v>
      </c>
      <c r="B5" s="120" t="s">
        <v>3887</v>
      </c>
      <c r="C5" s="120" t="s">
        <v>3924</v>
      </c>
      <c r="D5" s="120" t="s">
        <v>3926</v>
      </c>
      <c r="E5" s="120" t="s">
        <v>3890</v>
      </c>
      <c r="F5" s="121"/>
      <c r="G5" s="121"/>
      <c r="H5" s="121"/>
      <c r="I5" s="121"/>
      <c r="J5" s="121"/>
      <c r="K5" s="121"/>
      <c r="L5" s="121"/>
      <c r="M5" s="121"/>
      <c r="N5" s="121"/>
      <c r="O5" s="121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  <c r="AA5" s="121"/>
      <c r="AB5" s="121"/>
      <c r="AC5" s="121"/>
      <c r="AD5" s="121"/>
      <c r="AE5" s="121"/>
    </row>
    <row r="6">
      <c r="A6" s="120" t="s">
        <v>3933</v>
      </c>
      <c r="B6" s="120" t="s">
        <v>3898</v>
      </c>
      <c r="C6" s="120" t="s">
        <v>3934</v>
      </c>
      <c r="D6" s="120" t="s">
        <v>3936</v>
      </c>
      <c r="E6" s="120" t="s">
        <v>3907</v>
      </c>
      <c r="F6" s="121"/>
      <c r="G6" s="121"/>
      <c r="H6" s="121"/>
      <c r="I6" s="121"/>
      <c r="J6" s="121"/>
      <c r="K6" s="121"/>
      <c r="L6" s="121"/>
      <c r="M6" s="121"/>
      <c r="N6" s="121"/>
      <c r="O6" s="121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  <c r="AA6" s="121"/>
      <c r="AB6" s="121"/>
      <c r="AC6" s="121"/>
      <c r="AD6" s="121"/>
      <c r="AE6" s="121"/>
    </row>
    <row r="7">
      <c r="A7" s="120" t="s">
        <v>3910</v>
      </c>
      <c r="B7" s="120" t="s">
        <v>3913</v>
      </c>
      <c r="C7" s="120" t="s">
        <v>3943</v>
      </c>
      <c r="D7" s="120" t="s">
        <v>3917</v>
      </c>
      <c r="E7" s="120" t="s">
        <v>3919</v>
      </c>
      <c r="F7" s="121"/>
      <c r="G7" s="121"/>
      <c r="H7" s="121"/>
      <c r="I7" s="121"/>
      <c r="J7" s="121"/>
      <c r="K7" s="121"/>
      <c r="L7" s="121"/>
      <c r="M7" s="121"/>
      <c r="N7" s="121"/>
      <c r="O7" s="121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  <c r="AA7" s="121"/>
      <c r="AB7" s="121"/>
      <c r="AC7" s="121"/>
      <c r="AD7" s="121"/>
      <c r="AE7" s="121"/>
    </row>
    <row r="8">
      <c r="A8" s="120" t="s">
        <v>3878</v>
      </c>
      <c r="B8" s="120" t="s">
        <v>3887</v>
      </c>
      <c r="C8" s="120" t="s">
        <v>3924</v>
      </c>
      <c r="D8" s="120" t="s">
        <v>3951</v>
      </c>
      <c r="E8" s="120" t="s">
        <v>3890</v>
      </c>
      <c r="F8" s="121"/>
      <c r="G8" s="121"/>
      <c r="H8" s="121"/>
      <c r="I8" s="121"/>
      <c r="J8" s="121"/>
      <c r="K8" s="121"/>
      <c r="L8" s="121"/>
      <c r="M8" s="121"/>
      <c r="N8" s="121"/>
      <c r="O8" s="121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  <c r="AA8" s="121"/>
      <c r="AB8" s="121"/>
      <c r="AC8" s="121"/>
      <c r="AD8" s="121"/>
      <c r="AE8" s="121"/>
    </row>
    <row r="9">
      <c r="A9" s="120" t="s">
        <v>3896</v>
      </c>
      <c r="B9" s="120" t="s">
        <v>3898</v>
      </c>
      <c r="C9" s="120" t="s">
        <v>3958</v>
      </c>
      <c r="D9" s="120" t="s">
        <v>3960</v>
      </c>
      <c r="E9" s="120" t="s">
        <v>3907</v>
      </c>
      <c r="F9" s="121"/>
      <c r="G9" s="121"/>
      <c r="H9" s="121"/>
      <c r="I9" s="121"/>
      <c r="J9" s="121"/>
      <c r="K9" s="121"/>
      <c r="L9" s="121"/>
      <c r="M9" s="121"/>
      <c r="N9" s="121"/>
      <c r="O9" s="121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  <c r="AA9" s="121"/>
      <c r="AB9" s="121"/>
      <c r="AC9" s="121"/>
      <c r="AD9" s="121"/>
      <c r="AE9" s="121"/>
    </row>
    <row r="10">
      <c r="A10" s="120" t="s">
        <v>3910</v>
      </c>
      <c r="B10" s="120" t="s">
        <v>3913</v>
      </c>
      <c r="C10" s="120" t="s">
        <v>3943</v>
      </c>
      <c r="D10" s="120" t="s">
        <v>3965</v>
      </c>
      <c r="E10" s="120" t="s">
        <v>3919</v>
      </c>
      <c r="F10" s="121"/>
      <c r="G10" s="121"/>
      <c r="H10" s="121"/>
      <c r="I10" s="121"/>
      <c r="J10" s="121"/>
      <c r="K10" s="121"/>
      <c r="L10" s="121"/>
      <c r="M10" s="121"/>
      <c r="N10" s="121"/>
      <c r="O10" s="121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  <c r="AA10" s="121"/>
      <c r="AB10" s="121"/>
      <c r="AC10" s="121"/>
      <c r="AD10" s="121"/>
      <c r="AE10" s="121"/>
    </row>
    <row r="11">
      <c r="A11" s="120" t="s">
        <v>3971</v>
      </c>
      <c r="B11" s="120" t="s">
        <v>3972</v>
      </c>
      <c r="C11" s="120" t="s">
        <v>3924</v>
      </c>
      <c r="D11" s="120" t="s">
        <v>3975</v>
      </c>
      <c r="E11" s="120" t="s">
        <v>3890</v>
      </c>
      <c r="F11" s="121"/>
      <c r="G11" s="121"/>
      <c r="H11" s="121"/>
      <c r="I11" s="121"/>
      <c r="J11" s="121"/>
      <c r="K11" s="121"/>
      <c r="L11" s="121"/>
      <c r="M11" s="121"/>
      <c r="N11" s="121"/>
      <c r="O11" s="121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</row>
    <row r="12">
      <c r="A12" s="120" t="s">
        <v>3933</v>
      </c>
      <c r="B12" s="120" t="s">
        <v>3980</v>
      </c>
      <c r="C12" s="120" t="s">
        <v>3934</v>
      </c>
      <c r="D12" s="120" t="s">
        <v>3982</v>
      </c>
      <c r="E12" s="120" t="s">
        <v>3907</v>
      </c>
      <c r="F12" s="121"/>
      <c r="G12" s="121"/>
      <c r="H12" s="121"/>
      <c r="I12" s="121"/>
      <c r="J12" s="121"/>
      <c r="K12" s="121"/>
      <c r="L12" s="121"/>
      <c r="M12" s="121"/>
      <c r="N12" s="121"/>
      <c r="O12" s="121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</row>
    <row r="13">
      <c r="A13" s="120" t="s">
        <v>3988</v>
      </c>
      <c r="B13" s="120" t="s">
        <v>3991</v>
      </c>
      <c r="C13" s="120" t="s">
        <v>3943</v>
      </c>
      <c r="D13" s="120" t="s">
        <v>3995</v>
      </c>
      <c r="E13" s="120" t="s">
        <v>3919</v>
      </c>
      <c r="F13" s="121"/>
      <c r="G13" s="121"/>
      <c r="H13" s="121"/>
      <c r="I13" s="121"/>
      <c r="J13" s="121"/>
      <c r="K13" s="121"/>
      <c r="L13" s="121"/>
      <c r="M13" s="121"/>
      <c r="N13" s="121"/>
      <c r="O13" s="121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</row>
    <row r="14">
      <c r="A14" s="122" t="s">
        <v>4002</v>
      </c>
      <c r="B14" s="122" t="s">
        <v>4005</v>
      </c>
      <c r="C14" s="122" t="s">
        <v>4006</v>
      </c>
      <c r="D14" s="123" t="s">
        <v>4007</v>
      </c>
      <c r="E14" s="124"/>
      <c r="F14" s="121"/>
      <c r="G14" s="121"/>
      <c r="H14" s="121"/>
      <c r="I14" s="121"/>
      <c r="J14" s="121"/>
      <c r="K14" s="121"/>
      <c r="L14" s="121"/>
      <c r="M14" s="121"/>
      <c r="N14" s="121"/>
      <c r="O14" s="121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</row>
    <row r="15">
      <c r="A15" s="122" t="s">
        <v>4016</v>
      </c>
      <c r="B15" s="122" t="s">
        <v>4017</v>
      </c>
      <c r="C15" s="120" t="s">
        <v>4018</v>
      </c>
      <c r="D15" s="123" t="s">
        <v>4019</v>
      </c>
      <c r="E15" s="124"/>
      <c r="F15" s="121"/>
      <c r="G15" s="121"/>
      <c r="H15" s="121"/>
      <c r="I15" s="121"/>
      <c r="J15" s="121"/>
      <c r="K15" s="121"/>
      <c r="L15" s="121"/>
      <c r="M15" s="121"/>
      <c r="N15" s="121"/>
      <c r="O15" s="121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</row>
    <row r="16">
      <c r="A16" s="122" t="s">
        <v>4026</v>
      </c>
      <c r="B16" s="122" t="s">
        <v>4028</v>
      </c>
      <c r="C16" s="122" t="s">
        <v>4029</v>
      </c>
      <c r="D16" s="123" t="s">
        <v>4030</v>
      </c>
      <c r="E16" s="124"/>
      <c r="F16" s="121"/>
      <c r="G16" s="121"/>
      <c r="H16" s="121"/>
      <c r="I16" s="121"/>
      <c r="J16" s="121"/>
      <c r="K16" s="121"/>
      <c r="L16" s="121"/>
      <c r="M16" s="121"/>
      <c r="N16" s="121"/>
      <c r="O16" s="121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</row>
    <row r="17">
      <c r="A17" s="122" t="s">
        <v>4037</v>
      </c>
      <c r="B17" s="122" t="s">
        <v>4037</v>
      </c>
      <c r="C17" s="122" t="s">
        <v>4042</v>
      </c>
      <c r="D17" s="123" t="s">
        <v>4044</v>
      </c>
      <c r="E17" s="124"/>
      <c r="F17" s="121"/>
      <c r="G17" s="121"/>
      <c r="H17" s="121"/>
      <c r="I17" s="121"/>
      <c r="J17" s="121"/>
      <c r="K17" s="121"/>
      <c r="L17" s="121"/>
      <c r="M17" s="121"/>
      <c r="N17" s="121"/>
      <c r="O17" s="121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</row>
    <row r="18">
      <c r="A18" s="122" t="s">
        <v>4046</v>
      </c>
      <c r="B18" s="122" t="s">
        <v>4047</v>
      </c>
      <c r="C18" s="122" t="s">
        <v>4048</v>
      </c>
      <c r="D18" s="123" t="s">
        <v>4050</v>
      </c>
      <c r="E18" s="124"/>
      <c r="F18" s="121"/>
      <c r="G18" s="121"/>
      <c r="H18" s="121"/>
      <c r="I18" s="121"/>
      <c r="J18" s="121"/>
      <c r="K18" s="121"/>
      <c r="L18" s="121"/>
      <c r="M18" s="121"/>
      <c r="N18" s="121"/>
      <c r="O18" s="121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</row>
    <row r="19">
      <c r="A19" s="122" t="s">
        <v>4058</v>
      </c>
      <c r="B19" s="122" t="s">
        <v>4059</v>
      </c>
      <c r="C19" s="122" t="s">
        <v>4060</v>
      </c>
      <c r="D19" s="123" t="s">
        <v>4061</v>
      </c>
      <c r="E19" s="124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</row>
    <row r="20">
      <c r="A20" s="122" t="s">
        <v>4065</v>
      </c>
      <c r="B20" s="122" t="s">
        <v>4066</v>
      </c>
      <c r="C20" s="120" t="s">
        <v>4067</v>
      </c>
      <c r="D20" s="123" t="s">
        <v>4068</v>
      </c>
      <c r="E20" s="124"/>
      <c r="F20" s="121"/>
      <c r="G20" s="121"/>
      <c r="H20" s="121"/>
      <c r="I20" s="121"/>
      <c r="J20" s="121"/>
      <c r="K20" s="121"/>
      <c r="L20" s="121"/>
      <c r="M20" s="121"/>
      <c r="N20" s="121"/>
      <c r="O20" s="121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</row>
    <row r="21">
      <c r="A21" s="122" t="s">
        <v>4073</v>
      </c>
      <c r="B21" s="122" t="s">
        <v>4074</v>
      </c>
      <c r="C21" s="122" t="s">
        <v>4076</v>
      </c>
      <c r="D21" s="123" t="s">
        <v>4078</v>
      </c>
      <c r="E21" s="124"/>
      <c r="F21" s="121"/>
      <c r="G21" s="121"/>
      <c r="H21" s="121"/>
      <c r="I21" s="121"/>
      <c r="J21" s="121"/>
      <c r="K21" s="121"/>
      <c r="L21" s="121"/>
      <c r="M21" s="121"/>
      <c r="N21" s="121"/>
      <c r="O21" s="121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</row>
    <row r="22">
      <c r="A22" s="122" t="s">
        <v>4082</v>
      </c>
      <c r="B22" s="122" t="s">
        <v>4082</v>
      </c>
      <c r="C22" s="122" t="s">
        <v>4086</v>
      </c>
      <c r="D22" s="120" t="s">
        <v>4089</v>
      </c>
      <c r="E22" s="124"/>
      <c r="F22" s="121"/>
      <c r="G22" s="121"/>
      <c r="H22" s="121"/>
      <c r="I22" s="121"/>
      <c r="J22" s="121"/>
      <c r="K22" s="121"/>
      <c r="L22" s="121"/>
      <c r="M22" s="121"/>
      <c r="N22" s="121"/>
      <c r="O22" s="121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</row>
    <row r="23">
      <c r="A23" s="122" t="s">
        <v>4091</v>
      </c>
      <c r="B23" s="122" t="s">
        <v>4092</v>
      </c>
      <c r="C23" s="122" t="s">
        <v>4093</v>
      </c>
      <c r="D23" s="123" t="s">
        <v>4097</v>
      </c>
      <c r="E23" s="122" t="s">
        <v>4100</v>
      </c>
      <c r="F23" s="121"/>
      <c r="G23" s="121"/>
      <c r="H23" s="121"/>
      <c r="I23" s="121"/>
      <c r="J23" s="121"/>
      <c r="K23" s="121"/>
      <c r="L23" s="121"/>
      <c r="M23" s="121"/>
      <c r="N23" s="121"/>
      <c r="O23" s="121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  <c r="AA23" s="121"/>
      <c r="AB23" s="121"/>
      <c r="AC23" s="121"/>
      <c r="AD23" s="121"/>
      <c r="AE23" s="121"/>
    </row>
    <row r="24">
      <c r="A24" s="122" t="s">
        <v>4104</v>
      </c>
      <c r="B24" s="122" t="s">
        <v>4105</v>
      </c>
      <c r="C24" s="122" t="s">
        <v>4106</v>
      </c>
      <c r="D24" s="123" t="s">
        <v>4107</v>
      </c>
      <c r="E24" s="124"/>
      <c r="F24" s="121"/>
      <c r="G24" s="121"/>
      <c r="H24" s="121"/>
      <c r="I24" s="121"/>
      <c r="J24" s="121"/>
      <c r="K24" s="121"/>
      <c r="L24" s="121"/>
      <c r="M24" s="121"/>
      <c r="N24" s="121"/>
      <c r="O24" s="121"/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</row>
    <row r="25">
      <c r="A25" s="122" t="s">
        <v>4116</v>
      </c>
      <c r="B25" s="122" t="s">
        <v>4117</v>
      </c>
      <c r="C25" s="120" t="s">
        <v>4118</v>
      </c>
      <c r="D25" s="123" t="s">
        <v>4119</v>
      </c>
      <c r="E25" s="124"/>
      <c r="F25" s="121"/>
      <c r="G25" s="121"/>
      <c r="H25" s="121"/>
      <c r="I25" s="121"/>
      <c r="J25" s="121"/>
      <c r="K25" s="121"/>
      <c r="L25" s="121"/>
      <c r="M25" s="121"/>
      <c r="N25" s="121"/>
      <c r="O25" s="121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</row>
    <row r="26">
      <c r="A26" s="122" t="s">
        <v>4126</v>
      </c>
      <c r="B26" s="122" t="s">
        <v>4127</v>
      </c>
      <c r="C26" s="120" t="s">
        <v>4129</v>
      </c>
      <c r="D26" s="123" t="s">
        <v>4130</v>
      </c>
      <c r="E26" s="124"/>
      <c r="F26" s="121"/>
      <c r="G26" s="121"/>
      <c r="H26" s="121"/>
      <c r="I26" s="121"/>
      <c r="J26" s="121"/>
      <c r="K26" s="121"/>
      <c r="L26" s="121"/>
      <c r="M26" s="121"/>
      <c r="N26" s="121"/>
      <c r="O26" s="121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</row>
    <row r="27">
      <c r="A27" s="122" t="s">
        <v>4136</v>
      </c>
      <c r="B27" s="122" t="s">
        <v>4137</v>
      </c>
      <c r="C27" s="120" t="s">
        <v>4139</v>
      </c>
      <c r="D27" s="123" t="s">
        <v>4141</v>
      </c>
      <c r="E27" s="124"/>
      <c r="F27" s="121"/>
      <c r="G27" s="121"/>
      <c r="H27" s="121"/>
      <c r="I27" s="121"/>
      <c r="J27" s="121"/>
      <c r="K27" s="121"/>
      <c r="L27" s="121"/>
      <c r="M27" s="121"/>
      <c r="N27" s="121"/>
      <c r="O27" s="121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</row>
    <row r="28">
      <c r="A28" s="122" t="s">
        <v>4147</v>
      </c>
      <c r="B28" s="122" t="s">
        <v>4148</v>
      </c>
      <c r="C28" s="122" t="s">
        <v>4149</v>
      </c>
      <c r="D28" s="123" t="s">
        <v>4150</v>
      </c>
      <c r="E28" s="124"/>
      <c r="F28" s="121"/>
      <c r="G28" s="121"/>
      <c r="H28" s="121"/>
      <c r="I28" s="121"/>
      <c r="J28" s="121"/>
      <c r="K28" s="121"/>
      <c r="L28" s="121"/>
      <c r="M28" s="121"/>
      <c r="N28" s="121"/>
      <c r="O28" s="121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</row>
    <row r="29">
      <c r="A29" s="122" t="s">
        <v>4158</v>
      </c>
      <c r="B29" s="122" t="s">
        <v>4160</v>
      </c>
      <c r="C29" s="122" t="s">
        <v>4161</v>
      </c>
      <c r="D29" s="123" t="s">
        <v>4162</v>
      </c>
      <c r="E29" s="124"/>
      <c r="F29" s="121"/>
      <c r="G29" s="121"/>
      <c r="H29" s="121"/>
      <c r="I29" s="121"/>
      <c r="J29" s="121"/>
      <c r="K29" s="121"/>
      <c r="L29" s="121"/>
      <c r="M29" s="121"/>
      <c r="N29" s="121"/>
      <c r="O29" s="121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</row>
    <row r="30">
      <c r="A30" s="122" t="s">
        <v>4169</v>
      </c>
      <c r="B30" s="122" t="s">
        <v>4171</v>
      </c>
      <c r="C30" s="122" t="s">
        <v>4172</v>
      </c>
      <c r="D30" s="123" t="s">
        <v>4174</v>
      </c>
      <c r="E30" s="124"/>
      <c r="F30" s="121"/>
      <c r="G30" s="121"/>
      <c r="H30" s="121"/>
      <c r="I30" s="121"/>
      <c r="J30" s="121"/>
      <c r="K30" s="121"/>
      <c r="L30" s="121"/>
      <c r="M30" s="121"/>
      <c r="N30" s="121"/>
      <c r="O30" s="121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</row>
    <row r="31">
      <c r="A31" s="122" t="s">
        <v>4177</v>
      </c>
      <c r="B31" s="122" t="s">
        <v>4180</v>
      </c>
      <c r="C31" s="122" t="s">
        <v>4182</v>
      </c>
      <c r="D31" s="123" t="s">
        <v>4184</v>
      </c>
      <c r="E31" s="124"/>
      <c r="F31" s="121"/>
      <c r="G31" s="121"/>
      <c r="H31" s="121"/>
      <c r="I31" s="121"/>
      <c r="J31" s="121"/>
      <c r="K31" s="121"/>
      <c r="L31" s="121"/>
      <c r="M31" s="121"/>
      <c r="N31" s="121"/>
      <c r="O31" s="121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</row>
    <row r="32">
      <c r="A32" s="122" t="s">
        <v>4186</v>
      </c>
      <c r="B32" s="122" t="s">
        <v>4187</v>
      </c>
      <c r="C32" s="122" t="s">
        <v>4188</v>
      </c>
      <c r="D32" s="123" t="s">
        <v>4190</v>
      </c>
      <c r="E32" s="124"/>
      <c r="F32" s="121"/>
      <c r="G32" s="121"/>
      <c r="H32" s="121"/>
      <c r="I32" s="121"/>
      <c r="J32" s="121"/>
      <c r="K32" s="121"/>
      <c r="L32" s="121"/>
      <c r="M32" s="121"/>
      <c r="N32" s="121"/>
      <c r="O32" s="121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</row>
    <row r="33">
      <c r="A33" s="122" t="s">
        <v>4198</v>
      </c>
      <c r="B33" s="122" t="s">
        <v>4199</v>
      </c>
      <c r="C33" s="122" t="s">
        <v>4200</v>
      </c>
      <c r="D33" s="123" t="s">
        <v>4201</v>
      </c>
      <c r="E33" s="124"/>
      <c r="F33" s="121"/>
      <c r="G33" s="121"/>
      <c r="H33" s="121"/>
      <c r="I33" s="121"/>
      <c r="J33" s="121"/>
      <c r="K33" s="121"/>
      <c r="L33" s="121"/>
      <c r="M33" s="121"/>
      <c r="N33" s="121"/>
      <c r="O33" s="121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</row>
    <row r="34">
      <c r="A34" s="122" t="s">
        <v>4208</v>
      </c>
      <c r="B34" s="122" t="s">
        <v>4210</v>
      </c>
      <c r="C34" s="120" t="s">
        <v>4211</v>
      </c>
      <c r="D34" s="123" t="s">
        <v>4212</v>
      </c>
      <c r="E34" s="124"/>
      <c r="F34" s="121"/>
      <c r="G34" s="121"/>
      <c r="H34" s="121"/>
      <c r="I34" s="121"/>
      <c r="J34" s="121"/>
      <c r="K34" s="121"/>
      <c r="L34" s="121"/>
      <c r="M34" s="121"/>
      <c r="N34" s="121"/>
      <c r="O34" s="121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</row>
    <row r="35">
      <c r="A35" s="122" t="s">
        <v>4217</v>
      </c>
      <c r="B35" s="122" t="s">
        <v>4218</v>
      </c>
      <c r="C35" s="122" t="s">
        <v>4219</v>
      </c>
      <c r="D35" s="123" t="s">
        <v>4220</v>
      </c>
      <c r="E35" s="124"/>
      <c r="F35" s="121"/>
      <c r="G35" s="121"/>
      <c r="H35" s="121"/>
      <c r="I35" s="121"/>
      <c r="J35" s="121"/>
      <c r="K35" s="121"/>
      <c r="L35" s="121"/>
      <c r="M35" s="121"/>
      <c r="N35" s="121"/>
      <c r="O35" s="121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  <c r="AA35" s="121"/>
      <c r="AB35" s="121"/>
      <c r="AC35" s="121"/>
      <c r="AD35" s="121"/>
      <c r="AE35" s="121"/>
    </row>
    <row r="36">
      <c r="A36" s="122" t="s">
        <v>4226</v>
      </c>
      <c r="B36" s="122" t="s">
        <v>4228</v>
      </c>
      <c r="C36" s="122" t="s">
        <v>4229</v>
      </c>
      <c r="D36" s="123" t="s">
        <v>4231</v>
      </c>
      <c r="E36" s="124"/>
      <c r="F36" s="121"/>
      <c r="G36" s="121"/>
      <c r="H36" s="121"/>
      <c r="I36" s="121"/>
      <c r="J36" s="121"/>
      <c r="K36" s="121"/>
      <c r="L36" s="121"/>
      <c r="M36" s="121"/>
      <c r="N36" s="121"/>
      <c r="O36" s="121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</row>
    <row r="37">
      <c r="A37" s="122" t="s">
        <v>4236</v>
      </c>
      <c r="B37" s="122" t="s">
        <v>4238</v>
      </c>
      <c r="C37" s="122" t="s">
        <v>4240</v>
      </c>
      <c r="D37" s="123" t="s">
        <v>4242</v>
      </c>
      <c r="E37" s="124"/>
      <c r="F37" s="121"/>
      <c r="G37" s="121"/>
      <c r="H37" s="121"/>
      <c r="I37" s="121"/>
      <c r="J37" s="121"/>
      <c r="K37" s="121"/>
      <c r="L37" s="121"/>
      <c r="M37" s="121"/>
      <c r="N37" s="121"/>
      <c r="O37" s="121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  <c r="AA37" s="121"/>
      <c r="AB37" s="121"/>
      <c r="AC37" s="121"/>
      <c r="AD37" s="121"/>
      <c r="AE37" s="121"/>
    </row>
    <row r="38">
      <c r="A38" s="122" t="s">
        <v>4244</v>
      </c>
      <c r="B38" s="122" t="s">
        <v>4245</v>
      </c>
      <c r="C38" s="122" t="s">
        <v>4246</v>
      </c>
      <c r="D38" s="123" t="s">
        <v>4247</v>
      </c>
      <c r="E38" s="124"/>
      <c r="F38" s="121"/>
      <c r="G38" s="121"/>
      <c r="H38" s="121"/>
      <c r="I38" s="121"/>
      <c r="J38" s="121"/>
      <c r="K38" s="121"/>
      <c r="L38" s="121"/>
      <c r="M38" s="121"/>
      <c r="N38" s="121"/>
      <c r="O38" s="121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</row>
    <row r="39">
      <c r="A39" s="122" t="s">
        <v>4252</v>
      </c>
      <c r="B39" s="122" t="s">
        <v>4253</v>
      </c>
      <c r="C39" s="122" t="s">
        <v>4254</v>
      </c>
      <c r="D39" s="123" t="s">
        <v>4255</v>
      </c>
      <c r="E39" s="124"/>
      <c r="F39" s="121"/>
      <c r="G39" s="121"/>
      <c r="H39" s="121"/>
      <c r="I39" s="121"/>
      <c r="J39" s="121"/>
      <c r="K39" s="121"/>
      <c r="L39" s="121"/>
      <c r="M39" s="121"/>
      <c r="N39" s="121"/>
      <c r="O39" s="121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  <c r="AA39" s="121"/>
      <c r="AB39" s="121"/>
      <c r="AC39" s="121"/>
      <c r="AD39" s="121"/>
      <c r="AE39" s="121"/>
    </row>
    <row r="40">
      <c r="A40" s="122" t="s">
        <v>4263</v>
      </c>
      <c r="B40" s="122" t="s">
        <v>4264</v>
      </c>
      <c r="C40" s="120" t="s">
        <v>4265</v>
      </c>
      <c r="D40" s="123" t="s">
        <v>4267</v>
      </c>
      <c r="E40" s="124"/>
      <c r="F40" s="121"/>
      <c r="G40" s="121"/>
      <c r="H40" s="121"/>
      <c r="I40" s="121"/>
      <c r="J40" s="121"/>
      <c r="K40" s="121"/>
      <c r="L40" s="121"/>
      <c r="M40" s="121"/>
      <c r="N40" s="121"/>
      <c r="O40" s="121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</row>
    <row r="41">
      <c r="A41" s="122" t="s">
        <v>4268</v>
      </c>
      <c r="B41" s="122" t="s">
        <v>4269</v>
      </c>
      <c r="C41" s="122" t="s">
        <v>4270</v>
      </c>
      <c r="D41" s="123" t="s">
        <v>4272</v>
      </c>
      <c r="E41" s="124"/>
      <c r="F41" s="121"/>
      <c r="G41" s="121"/>
      <c r="H41" s="121"/>
      <c r="I41" s="121"/>
      <c r="J41" s="121"/>
      <c r="K41" s="121"/>
      <c r="L41" s="121"/>
      <c r="M41" s="121"/>
      <c r="N41" s="121"/>
      <c r="O41" s="121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  <c r="AA41" s="121"/>
      <c r="AB41" s="121"/>
      <c r="AC41" s="121"/>
      <c r="AD41" s="121"/>
      <c r="AE41" s="121"/>
    </row>
    <row r="42">
      <c r="A42" s="122" t="s">
        <v>4277</v>
      </c>
      <c r="B42" s="122" t="s">
        <v>4278</v>
      </c>
      <c r="C42" s="122" t="s">
        <v>4279</v>
      </c>
      <c r="D42" s="123" t="s">
        <v>4280</v>
      </c>
      <c r="E42" s="124"/>
      <c r="F42" s="121"/>
      <c r="G42" s="121"/>
      <c r="H42" s="121"/>
      <c r="I42" s="121"/>
      <c r="J42" s="121"/>
      <c r="K42" s="121"/>
      <c r="L42" s="121"/>
      <c r="M42" s="121"/>
      <c r="N42" s="121"/>
      <c r="O42" s="121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  <c r="AA42" s="121"/>
      <c r="AB42" s="121"/>
      <c r="AC42" s="121"/>
      <c r="AD42" s="121"/>
      <c r="AE42" s="121"/>
    </row>
    <row r="43">
      <c r="A43" s="122" t="s">
        <v>4286</v>
      </c>
      <c r="B43" s="122" t="s">
        <v>4287</v>
      </c>
      <c r="C43" s="122" t="s">
        <v>4289</v>
      </c>
      <c r="D43" s="123" t="s">
        <v>4291</v>
      </c>
      <c r="E43" s="124"/>
      <c r="F43" s="121"/>
      <c r="G43" s="121"/>
      <c r="H43" s="121"/>
      <c r="I43" s="121"/>
      <c r="J43" s="121"/>
      <c r="K43" s="121"/>
      <c r="L43" s="121"/>
      <c r="M43" s="121"/>
      <c r="N43" s="121"/>
      <c r="O43" s="121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</row>
    <row r="44">
      <c r="A44" s="122" t="s">
        <v>4297</v>
      </c>
      <c r="B44" s="122" t="s">
        <v>4298</v>
      </c>
      <c r="C44" s="122" t="s">
        <v>4299</v>
      </c>
      <c r="D44" s="123" t="s">
        <v>4300</v>
      </c>
      <c r="E44" s="124"/>
      <c r="F44" s="121"/>
      <c r="G44" s="121"/>
      <c r="H44" s="121"/>
      <c r="I44" s="121"/>
      <c r="J44" s="121"/>
      <c r="K44" s="121"/>
      <c r="L44" s="121"/>
      <c r="M44" s="121"/>
      <c r="N44" s="121"/>
      <c r="O44" s="121"/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  <c r="AA44" s="121"/>
      <c r="AB44" s="121"/>
      <c r="AC44" s="121"/>
      <c r="AD44" s="121"/>
      <c r="AE44" s="121"/>
    </row>
    <row r="45">
      <c r="A45" s="122" t="s">
        <v>4304</v>
      </c>
      <c r="B45" s="122" t="s">
        <v>4307</v>
      </c>
      <c r="C45" s="122" t="s">
        <v>4308</v>
      </c>
      <c r="D45" s="123" t="s">
        <v>4310</v>
      </c>
      <c r="E45" s="124"/>
      <c r="F45" s="121"/>
      <c r="G45" s="121"/>
      <c r="H45" s="121"/>
      <c r="I45" s="121"/>
      <c r="J45" s="121"/>
      <c r="K45" s="121"/>
      <c r="L45" s="121"/>
      <c r="M45" s="121"/>
      <c r="N45" s="121"/>
      <c r="O45" s="121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  <c r="AA45" s="121"/>
      <c r="AB45" s="121"/>
      <c r="AC45" s="121"/>
      <c r="AD45" s="121"/>
      <c r="AE45" s="121"/>
    </row>
    <row r="46">
      <c r="A46" s="122" t="s">
        <v>4313</v>
      </c>
      <c r="B46" s="122" t="s">
        <v>4315</v>
      </c>
      <c r="C46" s="120" t="s">
        <v>4317</v>
      </c>
      <c r="D46" s="123" t="s">
        <v>4319</v>
      </c>
      <c r="E46" s="124"/>
      <c r="F46" s="121"/>
      <c r="G46" s="121"/>
      <c r="H46" s="121"/>
      <c r="I46" s="121"/>
      <c r="J46" s="121"/>
      <c r="K46" s="121"/>
      <c r="L46" s="121"/>
      <c r="M46" s="121"/>
      <c r="N46" s="121"/>
      <c r="O46" s="121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</row>
    <row r="47">
      <c r="A47" s="125" t="s">
        <v>4324</v>
      </c>
      <c r="B47" s="125" t="s">
        <v>4328</v>
      </c>
      <c r="C47" s="125" t="s">
        <v>4329</v>
      </c>
      <c r="D47" s="126" t="s">
        <v>4333</v>
      </c>
      <c r="E47" s="127"/>
      <c r="F47" s="128"/>
      <c r="G47" s="128"/>
      <c r="H47" s="128"/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  <c r="AC47" s="128"/>
      <c r="AD47" s="128"/>
      <c r="AE47" s="128"/>
    </row>
    <row r="48">
      <c r="A48" s="122" t="s">
        <v>4343</v>
      </c>
      <c r="B48" s="122" t="s">
        <v>4343</v>
      </c>
      <c r="C48" s="122" t="s">
        <v>4344</v>
      </c>
      <c r="D48" s="123" t="s">
        <v>4345</v>
      </c>
      <c r="E48" s="124"/>
      <c r="F48" s="121"/>
      <c r="G48" s="121"/>
      <c r="H48" s="121"/>
      <c r="I48" s="121"/>
      <c r="J48" s="121"/>
      <c r="K48" s="121"/>
      <c r="L48" s="121"/>
      <c r="M48" s="121"/>
      <c r="N48" s="121"/>
      <c r="O48" s="121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  <c r="AA48" s="121"/>
      <c r="AB48" s="121"/>
      <c r="AC48" s="121"/>
      <c r="AD48" s="121"/>
      <c r="AE48" s="121"/>
    </row>
    <row r="49">
      <c r="A49" s="122" t="s">
        <v>4353</v>
      </c>
      <c r="B49" s="122" t="s">
        <v>4353</v>
      </c>
      <c r="C49" s="122" t="s">
        <v>4355</v>
      </c>
      <c r="D49" s="123" t="s">
        <v>4356</v>
      </c>
      <c r="E49" s="124"/>
      <c r="F49" s="121"/>
      <c r="G49" s="121"/>
      <c r="H49" s="121"/>
      <c r="I49" s="121"/>
      <c r="J49" s="121"/>
      <c r="K49" s="121"/>
      <c r="L49" s="121"/>
      <c r="M49" s="121"/>
      <c r="N49" s="121"/>
      <c r="O49" s="121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  <c r="AA49" s="121"/>
      <c r="AB49" s="121"/>
      <c r="AC49" s="121"/>
      <c r="AD49" s="121"/>
      <c r="AE49" s="121"/>
    </row>
    <row r="50">
      <c r="A50" s="122" t="s">
        <v>4360</v>
      </c>
      <c r="B50" s="122" t="s">
        <v>4360</v>
      </c>
      <c r="C50" s="122" t="s">
        <v>4361</v>
      </c>
      <c r="D50" s="123" t="s">
        <v>4362</v>
      </c>
      <c r="E50" s="124"/>
      <c r="F50" s="121"/>
      <c r="G50" s="121"/>
      <c r="H50" s="121"/>
      <c r="I50" s="121"/>
      <c r="J50" s="121"/>
      <c r="K50" s="121"/>
      <c r="L50" s="121"/>
      <c r="M50" s="121"/>
      <c r="N50" s="121"/>
      <c r="O50" s="121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</row>
    <row r="51">
      <c r="A51" s="122" t="s">
        <v>4368</v>
      </c>
      <c r="B51" s="122" t="s">
        <v>4370</v>
      </c>
      <c r="C51" s="122" t="s">
        <v>4372</v>
      </c>
      <c r="D51" s="123" t="s">
        <v>4374</v>
      </c>
      <c r="E51" s="124"/>
      <c r="F51" s="121"/>
      <c r="G51" s="121"/>
      <c r="H51" s="121"/>
      <c r="I51" s="121"/>
      <c r="J51" s="121"/>
      <c r="K51" s="121"/>
      <c r="L51" s="121"/>
      <c r="M51" s="121"/>
      <c r="N51" s="121"/>
      <c r="O51" s="121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</row>
    <row r="52">
      <c r="A52" s="122" t="s">
        <v>4376</v>
      </c>
      <c r="B52" s="122" t="s">
        <v>4377</v>
      </c>
      <c r="C52" s="122" t="s">
        <v>4378</v>
      </c>
      <c r="D52" s="123" t="s">
        <v>4379</v>
      </c>
      <c r="E52" s="124"/>
      <c r="F52" s="121"/>
      <c r="G52" s="121"/>
      <c r="H52" s="121"/>
      <c r="I52" s="121"/>
      <c r="J52" s="121"/>
      <c r="K52" s="121"/>
      <c r="L52" s="121"/>
      <c r="M52" s="121"/>
      <c r="N52" s="121"/>
      <c r="O52" s="121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  <c r="AA52" s="121"/>
      <c r="AB52" s="121"/>
      <c r="AC52" s="121"/>
      <c r="AD52" s="121"/>
      <c r="AE52" s="121"/>
    </row>
    <row r="53">
      <c r="A53" s="122" t="s">
        <v>4388</v>
      </c>
      <c r="B53" s="122" t="s">
        <v>4388</v>
      </c>
      <c r="C53" s="122" t="s">
        <v>4389</v>
      </c>
      <c r="D53" s="123" t="s">
        <v>4390</v>
      </c>
      <c r="E53" s="124"/>
      <c r="F53" s="121"/>
      <c r="G53" s="121"/>
      <c r="H53" s="121"/>
      <c r="I53" s="121"/>
      <c r="J53" s="121"/>
      <c r="K53" s="121"/>
      <c r="L53" s="121"/>
      <c r="M53" s="121"/>
      <c r="N53" s="121"/>
      <c r="O53" s="121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</row>
    <row r="54">
      <c r="A54" s="122" t="s">
        <v>4395</v>
      </c>
      <c r="B54" s="122" t="s">
        <v>4397</v>
      </c>
      <c r="C54" s="122" t="s">
        <v>4398</v>
      </c>
      <c r="D54" s="123" t="s">
        <v>4400</v>
      </c>
      <c r="E54" s="124"/>
      <c r="F54" s="121"/>
      <c r="G54" s="121"/>
      <c r="H54" s="121"/>
      <c r="I54" s="121"/>
      <c r="J54" s="121"/>
      <c r="K54" s="121"/>
      <c r="L54" s="121"/>
      <c r="M54" s="121"/>
      <c r="N54" s="121"/>
      <c r="O54" s="121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</row>
    <row r="55">
      <c r="A55" s="122" t="s">
        <v>4407</v>
      </c>
      <c r="B55" s="122" t="s">
        <v>4407</v>
      </c>
      <c r="C55" s="122" t="s">
        <v>4408</v>
      </c>
      <c r="D55" s="123" t="s">
        <v>4409</v>
      </c>
      <c r="E55" s="124"/>
      <c r="F55" s="121"/>
      <c r="G55" s="121"/>
      <c r="H55" s="121"/>
      <c r="I55" s="121"/>
      <c r="J55" s="121"/>
      <c r="K55" s="121"/>
      <c r="L55" s="121"/>
      <c r="M55" s="121"/>
      <c r="N55" s="121"/>
      <c r="O55" s="121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  <c r="AA55" s="121"/>
      <c r="AB55" s="121"/>
      <c r="AC55" s="121"/>
      <c r="AD55" s="121"/>
      <c r="AE55" s="121"/>
    </row>
    <row r="56">
      <c r="A56" s="122" t="s">
        <v>4419</v>
      </c>
      <c r="B56" s="122" t="s">
        <v>4420</v>
      </c>
      <c r="C56" s="122" t="s">
        <v>4421</v>
      </c>
      <c r="D56" s="123" t="s">
        <v>4422</v>
      </c>
      <c r="E56" s="124"/>
      <c r="F56" s="121"/>
      <c r="G56" s="121"/>
      <c r="H56" s="121"/>
      <c r="I56" s="121"/>
      <c r="J56" s="121"/>
      <c r="K56" s="121"/>
      <c r="L56" s="121"/>
      <c r="M56" s="121"/>
      <c r="N56" s="121"/>
      <c r="O56" s="121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  <c r="AA56" s="121"/>
      <c r="AB56" s="121"/>
      <c r="AC56" s="121"/>
      <c r="AD56" s="121"/>
      <c r="AE56" s="121"/>
    </row>
    <row r="57">
      <c r="A57" s="122" t="s">
        <v>4426</v>
      </c>
      <c r="B57" s="122" t="s">
        <v>4427</v>
      </c>
      <c r="C57" s="120" t="s">
        <v>4428</v>
      </c>
      <c r="D57" s="123" t="s">
        <v>4429</v>
      </c>
      <c r="E57" s="124"/>
      <c r="F57" s="121"/>
      <c r="G57" s="121"/>
      <c r="H57" s="121"/>
      <c r="I57" s="121"/>
      <c r="J57" s="121"/>
      <c r="K57" s="121"/>
      <c r="L57" s="121"/>
      <c r="M57" s="121"/>
      <c r="N57" s="121"/>
      <c r="O57" s="121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</row>
    <row r="58">
      <c r="A58" s="122" t="s">
        <v>4436</v>
      </c>
      <c r="B58" s="122" t="s">
        <v>4438</v>
      </c>
      <c r="C58" s="120" t="s">
        <v>4439</v>
      </c>
      <c r="D58" s="120" t="s">
        <v>4440</v>
      </c>
      <c r="E58" s="124"/>
      <c r="F58" s="121"/>
      <c r="G58" s="121"/>
      <c r="H58" s="121"/>
      <c r="I58" s="121"/>
      <c r="J58" s="121"/>
      <c r="K58" s="121"/>
      <c r="L58" s="121"/>
      <c r="M58" s="121"/>
      <c r="N58" s="121"/>
      <c r="O58" s="121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</row>
    <row r="59">
      <c r="A59" s="122" t="s">
        <v>4442</v>
      </c>
      <c r="B59" s="122" t="s">
        <v>4443</v>
      </c>
      <c r="C59" s="120" t="s">
        <v>4444</v>
      </c>
      <c r="D59" s="123" t="s">
        <v>4445</v>
      </c>
      <c r="E59" s="124"/>
      <c r="F59" s="121"/>
      <c r="G59" s="121"/>
      <c r="H59" s="121"/>
      <c r="I59" s="121"/>
      <c r="J59" s="121"/>
      <c r="K59" s="121"/>
      <c r="L59" s="121"/>
      <c r="M59" s="121"/>
      <c r="N59" s="121"/>
      <c r="O59" s="121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</row>
    <row r="60">
      <c r="A60" s="122" t="s">
        <v>4450</v>
      </c>
      <c r="B60" s="122" t="s">
        <v>4450</v>
      </c>
      <c r="C60" s="120" t="s">
        <v>4451</v>
      </c>
      <c r="D60" s="123" t="s">
        <v>4452</v>
      </c>
      <c r="E60" s="124"/>
      <c r="F60" s="121"/>
      <c r="G60" s="121"/>
      <c r="H60" s="121"/>
      <c r="I60" s="121"/>
      <c r="J60" s="121"/>
      <c r="K60" s="121"/>
      <c r="L60" s="121"/>
      <c r="M60" s="121"/>
      <c r="N60" s="121"/>
      <c r="O60" s="121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  <c r="AA60" s="121"/>
      <c r="AB60" s="121"/>
      <c r="AC60" s="121"/>
      <c r="AD60" s="121"/>
      <c r="AE60" s="121"/>
    </row>
    <row r="61">
      <c r="A61" s="122" t="s">
        <v>4456</v>
      </c>
      <c r="B61" s="122" t="s">
        <v>4456</v>
      </c>
      <c r="C61" s="120" t="s">
        <v>4457</v>
      </c>
      <c r="D61" s="123" t="s">
        <v>4458</v>
      </c>
      <c r="E61" s="124"/>
      <c r="F61" s="121"/>
      <c r="G61" s="121"/>
      <c r="H61" s="121"/>
      <c r="I61" s="121"/>
      <c r="J61" s="121"/>
      <c r="K61" s="121"/>
      <c r="L61" s="121"/>
      <c r="M61" s="121"/>
      <c r="N61" s="121"/>
      <c r="O61" s="121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  <c r="AA61" s="121"/>
      <c r="AB61" s="121"/>
      <c r="AC61" s="121"/>
      <c r="AD61" s="121"/>
      <c r="AE61" s="121"/>
    </row>
    <row r="62">
      <c r="A62" s="122" t="s">
        <v>4459</v>
      </c>
      <c r="B62" s="122" t="s">
        <v>4459</v>
      </c>
      <c r="C62" s="120" t="s">
        <v>4460</v>
      </c>
      <c r="D62" s="123" t="s">
        <v>4461</v>
      </c>
      <c r="E62" s="124"/>
      <c r="F62" s="121"/>
      <c r="G62" s="121"/>
      <c r="H62" s="121"/>
      <c r="I62" s="121"/>
      <c r="J62" s="121"/>
      <c r="K62" s="121"/>
      <c r="L62" s="121"/>
      <c r="M62" s="121"/>
      <c r="N62" s="121"/>
      <c r="O62" s="121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</row>
    <row r="63">
      <c r="A63" s="122" t="s">
        <v>4463</v>
      </c>
      <c r="B63" s="122" t="s">
        <v>4465</v>
      </c>
      <c r="C63" s="120" t="s">
        <v>4467</v>
      </c>
      <c r="D63" s="123" t="s">
        <v>4468</v>
      </c>
      <c r="E63" s="124"/>
      <c r="F63" s="121"/>
      <c r="G63" s="121"/>
      <c r="H63" s="121"/>
      <c r="I63" s="121"/>
      <c r="J63" s="121"/>
      <c r="K63" s="121"/>
      <c r="L63" s="121"/>
      <c r="M63" s="121"/>
      <c r="N63" s="121"/>
      <c r="O63" s="121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</row>
    <row r="64">
      <c r="A64" s="122" t="s">
        <v>4470</v>
      </c>
      <c r="B64" s="122" t="s">
        <v>4471</v>
      </c>
      <c r="C64" s="120" t="s">
        <v>4472</v>
      </c>
      <c r="D64" s="123" t="s">
        <v>4474</v>
      </c>
      <c r="E64" s="124"/>
      <c r="F64" s="121"/>
      <c r="G64" s="121"/>
      <c r="H64" s="121"/>
      <c r="I64" s="121"/>
      <c r="J64" s="121"/>
      <c r="K64" s="121"/>
      <c r="L64" s="121"/>
      <c r="M64" s="121"/>
      <c r="N64" s="121"/>
      <c r="O64" s="121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  <c r="AA64" s="121"/>
      <c r="AB64" s="121"/>
      <c r="AC64" s="121"/>
      <c r="AD64" s="121"/>
      <c r="AE64" s="121"/>
    </row>
    <row r="65">
      <c r="A65" s="120" t="s">
        <v>4477</v>
      </c>
      <c r="B65" s="120" t="s">
        <v>4479</v>
      </c>
      <c r="C65" s="120" t="s">
        <v>4480</v>
      </c>
      <c r="D65" s="120" t="s">
        <v>4483</v>
      </c>
      <c r="E65" s="120" t="s">
        <v>4484</v>
      </c>
      <c r="F65" s="121"/>
      <c r="G65" s="121"/>
      <c r="H65" s="121"/>
      <c r="I65" s="121"/>
      <c r="J65" s="121"/>
      <c r="K65" s="121"/>
      <c r="L65" s="121"/>
      <c r="M65" s="121"/>
      <c r="N65" s="121"/>
      <c r="O65" s="121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  <c r="AA65" s="121"/>
      <c r="AB65" s="121"/>
      <c r="AC65" s="121"/>
      <c r="AD65" s="121"/>
      <c r="AE65" s="121"/>
    </row>
    <row r="66">
      <c r="A66" s="122" t="s">
        <v>4489</v>
      </c>
      <c r="B66" s="122" t="s">
        <v>4490</v>
      </c>
      <c r="C66" s="122" t="s">
        <v>4491</v>
      </c>
      <c r="D66" s="123" t="s">
        <v>4492</v>
      </c>
      <c r="E66" s="122" t="s">
        <v>4100</v>
      </c>
      <c r="F66" s="121"/>
      <c r="G66" s="121"/>
      <c r="H66" s="121"/>
      <c r="I66" s="121"/>
      <c r="J66" s="121"/>
      <c r="K66" s="121"/>
      <c r="L66" s="121"/>
      <c r="M66" s="121"/>
      <c r="N66" s="121"/>
      <c r="O66" s="121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  <c r="AA66" s="121"/>
      <c r="AB66" s="121"/>
      <c r="AC66" s="121"/>
      <c r="AD66" s="121"/>
      <c r="AE66" s="121"/>
    </row>
    <row r="67">
      <c r="A67" s="122" t="s">
        <v>4500</v>
      </c>
      <c r="B67" s="122" t="s">
        <v>4500</v>
      </c>
      <c r="C67" s="122" t="s">
        <v>4501</v>
      </c>
      <c r="D67" s="123" t="s">
        <v>4502</v>
      </c>
      <c r="E67" s="124"/>
      <c r="F67" s="121"/>
      <c r="G67" s="121"/>
      <c r="H67" s="121"/>
      <c r="I67" s="121"/>
      <c r="J67" s="121"/>
      <c r="K67" s="121"/>
      <c r="L67" s="121"/>
      <c r="M67" s="121"/>
      <c r="N67" s="121"/>
      <c r="O67" s="121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</row>
    <row r="68">
      <c r="A68" s="122" t="s">
        <v>4507</v>
      </c>
      <c r="B68" s="122" t="s">
        <v>4507</v>
      </c>
      <c r="C68" s="122" t="s">
        <v>4508</v>
      </c>
      <c r="D68" s="123" t="s">
        <v>4510</v>
      </c>
      <c r="E68" s="124"/>
      <c r="F68" s="121"/>
      <c r="G68" s="121"/>
      <c r="H68" s="121"/>
      <c r="I68" s="121"/>
      <c r="J68" s="121"/>
      <c r="K68" s="121"/>
      <c r="L68" s="121"/>
      <c r="M68" s="121"/>
      <c r="N68" s="121"/>
      <c r="O68" s="121"/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  <c r="AA68" s="121"/>
      <c r="AB68" s="121"/>
      <c r="AC68" s="121"/>
      <c r="AD68" s="121"/>
      <c r="AE68" s="121"/>
    </row>
    <row r="69">
      <c r="A69" s="120" t="s">
        <v>4515</v>
      </c>
      <c r="B69" s="120" t="s">
        <v>4516</v>
      </c>
      <c r="C69" s="120" t="s">
        <v>4517</v>
      </c>
      <c r="D69" s="120" t="s">
        <v>4518</v>
      </c>
      <c r="E69" s="120" t="s">
        <v>4519</v>
      </c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</row>
    <row r="70">
      <c r="A70" s="122" t="s">
        <v>4528</v>
      </c>
      <c r="B70" s="122" t="s">
        <v>4529</v>
      </c>
      <c r="C70" s="122" t="s">
        <v>4530</v>
      </c>
      <c r="D70" s="123" t="s">
        <v>4531</v>
      </c>
      <c r="E70" s="124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</row>
    <row r="71">
      <c r="A71" s="122" t="s">
        <v>4538</v>
      </c>
      <c r="B71" s="122" t="s">
        <v>4538</v>
      </c>
      <c r="C71" s="122" t="s">
        <v>4541</v>
      </c>
      <c r="D71" s="123" t="s">
        <v>4542</v>
      </c>
      <c r="E71" s="124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</row>
    <row r="72">
      <c r="A72" s="122" t="s">
        <v>4545</v>
      </c>
      <c r="B72" s="122" t="s">
        <v>4547</v>
      </c>
      <c r="C72" s="122" t="s">
        <v>4548</v>
      </c>
      <c r="D72" s="120" t="s">
        <v>4550</v>
      </c>
      <c r="E72" s="122" t="s">
        <v>3475</v>
      </c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  <c r="AA72" s="121"/>
      <c r="AB72" s="121"/>
      <c r="AC72" s="121"/>
      <c r="AD72" s="121"/>
      <c r="AE72" s="121"/>
    </row>
    <row r="73">
      <c r="A73" s="122" t="s">
        <v>4555</v>
      </c>
      <c r="B73" s="122" t="s">
        <v>4557</v>
      </c>
      <c r="C73" s="122" t="s">
        <v>4559</v>
      </c>
      <c r="D73" s="123" t="s">
        <v>4561</v>
      </c>
      <c r="E73" s="122" t="s">
        <v>3342</v>
      </c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  <c r="AA73" s="121"/>
      <c r="AB73" s="121"/>
      <c r="AC73" s="121"/>
      <c r="AD73" s="121"/>
      <c r="AE73" s="121"/>
    </row>
    <row r="74">
      <c r="A74" s="122" t="s">
        <v>4566</v>
      </c>
      <c r="B74" s="122" t="s">
        <v>4567</v>
      </c>
      <c r="C74" s="122" t="s">
        <v>4568</v>
      </c>
      <c r="D74" s="123" t="s">
        <v>4571</v>
      </c>
      <c r="E74" s="122" t="s">
        <v>554</v>
      </c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</row>
    <row r="75">
      <c r="A75" s="122" t="s">
        <v>4578</v>
      </c>
      <c r="B75" s="122" t="s">
        <v>4580</v>
      </c>
      <c r="C75" s="122" t="s">
        <v>4582</v>
      </c>
      <c r="D75" s="123" t="s">
        <v>4584</v>
      </c>
      <c r="E75" s="122" t="s">
        <v>554</v>
      </c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</row>
    <row r="76">
      <c r="A76" s="122" t="s">
        <v>4586</v>
      </c>
      <c r="B76" s="122" t="s">
        <v>4586</v>
      </c>
      <c r="C76" s="122" t="s">
        <v>4587</v>
      </c>
      <c r="D76" s="123" t="s">
        <v>4589</v>
      </c>
      <c r="E76" s="124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  <c r="AA76" s="121"/>
      <c r="AB76" s="121"/>
      <c r="AC76" s="121"/>
      <c r="AD76" s="121"/>
      <c r="AE76" s="121"/>
    </row>
    <row r="77">
      <c r="A77" s="122" t="s">
        <v>4592</v>
      </c>
      <c r="B77" s="122" t="s">
        <v>4593</v>
      </c>
      <c r="C77" s="122" t="s">
        <v>4594</v>
      </c>
      <c r="D77" s="123" t="s">
        <v>4595</v>
      </c>
      <c r="E77" s="122" t="s">
        <v>3188</v>
      </c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  <c r="AA77" s="121"/>
      <c r="AB77" s="121"/>
      <c r="AC77" s="121"/>
      <c r="AD77" s="121"/>
      <c r="AE77" s="121"/>
    </row>
    <row r="78">
      <c r="A78" s="120" t="s">
        <v>4600</v>
      </c>
      <c r="B78" s="120" t="s">
        <v>4601</v>
      </c>
      <c r="C78" s="120" t="s">
        <v>4602</v>
      </c>
      <c r="D78" s="120" t="s">
        <v>4603</v>
      </c>
      <c r="E78" s="120" t="s">
        <v>4604</v>
      </c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</row>
    <row r="79">
      <c r="A79" s="122" t="s">
        <v>4610</v>
      </c>
      <c r="B79" s="122" t="s">
        <v>4614</v>
      </c>
      <c r="C79" s="122" t="s">
        <v>4615</v>
      </c>
      <c r="D79" s="122" t="s">
        <v>4616</v>
      </c>
      <c r="E79" s="122" t="s">
        <v>4617</v>
      </c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  <c r="AA79" s="121"/>
      <c r="AB79" s="121"/>
      <c r="AC79" s="121"/>
      <c r="AD79" s="121"/>
      <c r="AE79" s="121"/>
    </row>
    <row r="80">
      <c r="A80" s="120" t="s">
        <v>4621</v>
      </c>
      <c r="B80" s="120" t="s">
        <v>4622</v>
      </c>
      <c r="C80" s="120" t="s">
        <v>4624</v>
      </c>
      <c r="D80" s="120" t="s">
        <v>4626</v>
      </c>
      <c r="E80" s="120" t="s">
        <v>4628</v>
      </c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  <c r="AA80" s="121"/>
      <c r="AB80" s="121"/>
      <c r="AC80" s="121"/>
      <c r="AD80" s="121"/>
      <c r="AE80" s="121"/>
    </row>
    <row r="81">
      <c r="A81" s="120" t="s">
        <v>4634</v>
      </c>
      <c r="B81" s="120" t="s">
        <v>4635</v>
      </c>
      <c r="C81" s="120" t="s">
        <v>4636</v>
      </c>
      <c r="D81" s="120" t="s">
        <v>4637</v>
      </c>
      <c r="E81" s="120" t="s">
        <v>4638</v>
      </c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  <c r="AA81" s="121"/>
      <c r="AB81" s="121"/>
      <c r="AC81" s="121"/>
      <c r="AD81" s="121"/>
      <c r="AE81" s="121"/>
    </row>
    <row r="82">
      <c r="A82" s="122" t="s">
        <v>4647</v>
      </c>
      <c r="B82" s="122" t="s">
        <v>4647</v>
      </c>
      <c r="C82" s="122" t="s">
        <v>4648</v>
      </c>
      <c r="D82" s="123" t="s">
        <v>4649</v>
      </c>
      <c r="E82" s="124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  <c r="AA82" s="121"/>
      <c r="AB82" s="121"/>
      <c r="AC82" s="121"/>
      <c r="AD82" s="121"/>
      <c r="AE82" s="121"/>
    </row>
    <row r="83">
      <c r="A83" s="122" t="s">
        <v>4657</v>
      </c>
      <c r="B83" s="122" t="s">
        <v>4659</v>
      </c>
      <c r="C83" s="122" t="s">
        <v>4660</v>
      </c>
      <c r="D83" s="123" t="s">
        <v>4661</v>
      </c>
      <c r="E83" s="124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  <c r="AA83" s="121"/>
      <c r="AB83" s="121"/>
      <c r="AC83" s="121"/>
      <c r="AD83" s="121"/>
      <c r="AE83" s="121"/>
    </row>
    <row r="84">
      <c r="A84" s="122" t="s">
        <v>4666</v>
      </c>
      <c r="B84" s="122" t="s">
        <v>4669</v>
      </c>
      <c r="C84" s="122" t="s">
        <v>4670</v>
      </c>
      <c r="D84" s="123" t="s">
        <v>4672</v>
      </c>
      <c r="E84" s="124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  <c r="AA84" s="121"/>
      <c r="AB84" s="121"/>
      <c r="AC84" s="121"/>
      <c r="AD84" s="121"/>
      <c r="AE84" s="121"/>
    </row>
    <row r="85">
      <c r="A85" s="122" t="s">
        <v>4674</v>
      </c>
      <c r="B85" s="122" t="s">
        <v>4677</v>
      </c>
      <c r="C85" s="122" t="s">
        <v>4679</v>
      </c>
      <c r="D85" s="123" t="s">
        <v>4682</v>
      </c>
      <c r="E85" s="122" t="s">
        <v>3188</v>
      </c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  <c r="AA85" s="121"/>
      <c r="AB85" s="121"/>
      <c r="AC85" s="121"/>
      <c r="AD85" s="121"/>
      <c r="AE85" s="121"/>
    </row>
    <row r="86">
      <c r="A86" s="122" t="s">
        <v>4685</v>
      </c>
      <c r="B86" s="122" t="s">
        <v>4687</v>
      </c>
      <c r="C86" s="122" t="s">
        <v>4690</v>
      </c>
      <c r="D86" s="123" t="s">
        <v>4694</v>
      </c>
      <c r="E86" s="124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  <c r="AA86" s="121"/>
      <c r="AB86" s="121"/>
      <c r="AC86" s="121"/>
      <c r="AD86" s="121"/>
      <c r="AE86" s="121"/>
    </row>
    <row r="87">
      <c r="A87" s="122" t="s">
        <v>4697</v>
      </c>
      <c r="B87" s="122" t="s">
        <v>4699</v>
      </c>
      <c r="C87" s="122" t="s">
        <v>4701</v>
      </c>
      <c r="D87" s="120" t="s">
        <v>4704</v>
      </c>
      <c r="E87" s="124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  <c r="AA87" s="121"/>
      <c r="AB87" s="121"/>
      <c r="AC87" s="121"/>
      <c r="AD87" s="121"/>
      <c r="AE87" s="121"/>
    </row>
    <row r="88">
      <c r="A88" s="122" t="s">
        <v>4709</v>
      </c>
      <c r="B88" s="122" t="s">
        <v>4710</v>
      </c>
      <c r="C88" s="122" t="s">
        <v>4712</v>
      </c>
      <c r="D88" s="123" t="s">
        <v>4713</v>
      </c>
      <c r="E88" s="124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  <c r="AA88" s="121"/>
      <c r="AB88" s="121"/>
      <c r="AC88" s="121"/>
      <c r="AD88" s="121"/>
      <c r="AE88" s="121"/>
    </row>
    <row r="89">
      <c r="A89" s="122" t="s">
        <v>4719</v>
      </c>
      <c r="B89" s="122" t="s">
        <v>4721</v>
      </c>
      <c r="C89" s="122" t="s">
        <v>4723</v>
      </c>
      <c r="D89" s="123" t="s">
        <v>4595</v>
      </c>
      <c r="E89" s="122" t="s">
        <v>3188</v>
      </c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  <c r="AA89" s="121"/>
      <c r="AB89" s="121"/>
      <c r="AC89" s="121"/>
      <c r="AD89" s="121"/>
      <c r="AE89" s="121"/>
    </row>
    <row r="90">
      <c r="A90" s="122" t="s">
        <v>4726</v>
      </c>
      <c r="B90" s="122" t="s">
        <v>4727</v>
      </c>
      <c r="C90" s="122" t="s">
        <v>4729</v>
      </c>
      <c r="D90" s="123" t="s">
        <v>4731</v>
      </c>
      <c r="E90" s="122" t="s">
        <v>3188</v>
      </c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  <c r="AA90" s="121"/>
      <c r="AB90" s="121"/>
      <c r="AC90" s="121"/>
      <c r="AD90" s="121"/>
      <c r="AE90" s="121"/>
    </row>
    <row r="91">
      <c r="A91" s="122" t="s">
        <v>4734</v>
      </c>
      <c r="B91" s="122" t="s">
        <v>4734</v>
      </c>
      <c r="C91" s="122" t="s">
        <v>4735</v>
      </c>
      <c r="D91" s="123" t="s">
        <v>4736</v>
      </c>
      <c r="E91" s="124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  <c r="AA91" s="121"/>
      <c r="AB91" s="121"/>
      <c r="AC91" s="121"/>
      <c r="AD91" s="121"/>
      <c r="AE91" s="121"/>
    </row>
    <row r="92">
      <c r="A92" s="122" t="s">
        <v>4741</v>
      </c>
      <c r="B92" s="122" t="s">
        <v>4742</v>
      </c>
      <c r="C92" s="122" t="s">
        <v>4743</v>
      </c>
      <c r="D92" s="123" t="s">
        <v>4744</v>
      </c>
      <c r="E92" s="122" t="s">
        <v>3342</v>
      </c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  <c r="AA92" s="121"/>
      <c r="AB92" s="121"/>
      <c r="AC92" s="121"/>
      <c r="AD92" s="121"/>
      <c r="AE92" s="121"/>
    </row>
    <row r="93">
      <c r="A93" s="122" t="s">
        <v>4752</v>
      </c>
      <c r="B93" s="122" t="s">
        <v>4754</v>
      </c>
      <c r="C93" s="122" t="s">
        <v>4755</v>
      </c>
      <c r="D93" s="123" t="s">
        <v>4756</v>
      </c>
      <c r="E93" s="122" t="s">
        <v>3342</v>
      </c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  <c r="AA93" s="121"/>
      <c r="AB93" s="121"/>
      <c r="AC93" s="121"/>
      <c r="AD93" s="121"/>
      <c r="AE93" s="121"/>
    </row>
    <row r="94">
      <c r="A94" s="122" t="s">
        <v>4761</v>
      </c>
      <c r="B94" s="122" t="s">
        <v>4762</v>
      </c>
      <c r="C94" s="122" t="s">
        <v>4763</v>
      </c>
      <c r="D94" s="123" t="s">
        <v>4765</v>
      </c>
      <c r="E94" s="122" t="s">
        <v>4276</v>
      </c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  <c r="AA94" s="121"/>
      <c r="AB94" s="121"/>
      <c r="AC94" s="121"/>
      <c r="AD94" s="121"/>
      <c r="AE94" s="121"/>
    </row>
    <row r="95">
      <c r="A95" s="122" t="s">
        <v>4773</v>
      </c>
      <c r="B95" s="122" t="s">
        <v>4774</v>
      </c>
      <c r="C95" s="122" t="s">
        <v>4775</v>
      </c>
      <c r="D95" s="123" t="s">
        <v>4776</v>
      </c>
      <c r="E95" s="122" t="s">
        <v>4276</v>
      </c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  <c r="AA95" s="121"/>
      <c r="AB95" s="121"/>
      <c r="AC95" s="121"/>
      <c r="AD95" s="121"/>
      <c r="AE95" s="121"/>
    </row>
    <row r="96">
      <c r="A96" s="122" t="s">
        <v>4778</v>
      </c>
      <c r="B96" s="122" t="s">
        <v>4780</v>
      </c>
      <c r="C96" s="122" t="s">
        <v>4781</v>
      </c>
      <c r="D96" s="123" t="s">
        <v>4782</v>
      </c>
      <c r="E96" s="122" t="s">
        <v>554</v>
      </c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  <c r="AA96" s="121"/>
      <c r="AB96" s="121"/>
      <c r="AC96" s="121"/>
      <c r="AD96" s="121"/>
      <c r="AE96" s="121"/>
    </row>
    <row r="97">
      <c r="A97" s="122" t="s">
        <v>4786</v>
      </c>
      <c r="B97" s="122" t="s">
        <v>4787</v>
      </c>
      <c r="C97" s="122" t="s">
        <v>4788</v>
      </c>
      <c r="D97" s="123" t="s">
        <v>4595</v>
      </c>
      <c r="E97" s="122" t="s">
        <v>3188</v>
      </c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  <c r="AA97" s="121"/>
      <c r="AB97" s="121"/>
      <c r="AC97" s="121"/>
      <c r="AD97" s="121"/>
      <c r="AE97" s="121"/>
    </row>
    <row r="98">
      <c r="A98" s="122" t="s">
        <v>4797</v>
      </c>
      <c r="B98" s="122" t="s">
        <v>4798</v>
      </c>
      <c r="C98" s="122" t="s">
        <v>4799</v>
      </c>
      <c r="D98" s="123" t="s">
        <v>4802</v>
      </c>
      <c r="E98" s="122" t="s">
        <v>4276</v>
      </c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  <c r="AA98" s="121"/>
      <c r="AB98" s="121"/>
      <c r="AC98" s="121"/>
      <c r="AD98" s="121"/>
      <c r="AE98" s="121"/>
    </row>
    <row r="99">
      <c r="A99" s="122" t="s">
        <v>4809</v>
      </c>
      <c r="B99" s="122" t="s">
        <v>4810</v>
      </c>
      <c r="C99" s="122" t="s">
        <v>4811</v>
      </c>
      <c r="D99" s="123" t="s">
        <v>4812</v>
      </c>
      <c r="E99" s="122" t="s">
        <v>4276</v>
      </c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  <c r="AA99" s="121"/>
      <c r="AB99" s="121"/>
      <c r="AC99" s="121"/>
      <c r="AD99" s="121"/>
      <c r="AE99" s="121"/>
    </row>
    <row r="100">
      <c r="A100" s="122" t="s">
        <v>4821</v>
      </c>
      <c r="B100" s="122" t="s">
        <v>4822</v>
      </c>
      <c r="C100" s="122" t="s">
        <v>4823</v>
      </c>
      <c r="D100" s="123" t="s">
        <v>4824</v>
      </c>
      <c r="E100" s="124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  <c r="AA100" s="121"/>
      <c r="AB100" s="121"/>
      <c r="AC100" s="121"/>
      <c r="AD100" s="121"/>
      <c r="AE100" s="121"/>
    </row>
    <row r="101">
      <c r="A101" s="122" t="s">
        <v>4831</v>
      </c>
      <c r="B101" s="122" t="s">
        <v>4833</v>
      </c>
      <c r="C101" s="122" t="s">
        <v>4834</v>
      </c>
      <c r="D101" s="123" t="s">
        <v>4836</v>
      </c>
      <c r="E101" s="124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  <c r="AA101" s="121"/>
      <c r="AB101" s="121"/>
      <c r="AC101" s="121"/>
      <c r="AD101" s="121"/>
      <c r="AE101" s="121"/>
    </row>
    <row r="102">
      <c r="A102" s="122" t="s">
        <v>4841</v>
      </c>
      <c r="B102" s="122" t="s">
        <v>4843</v>
      </c>
      <c r="C102" s="122" t="s">
        <v>4845</v>
      </c>
      <c r="D102" s="123" t="s">
        <v>4847</v>
      </c>
      <c r="E102" s="124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  <c r="AA102" s="121"/>
      <c r="AB102" s="121"/>
      <c r="AC102" s="121"/>
      <c r="AD102" s="121"/>
      <c r="AE102" s="121"/>
    </row>
    <row r="103">
      <c r="A103" s="122" t="s">
        <v>4849</v>
      </c>
      <c r="B103" s="122" t="s">
        <v>4850</v>
      </c>
      <c r="C103" s="122" t="s">
        <v>4851</v>
      </c>
      <c r="D103" s="123" t="s">
        <v>4824</v>
      </c>
      <c r="E103" s="124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  <c r="AA103" s="121"/>
      <c r="AB103" s="121"/>
      <c r="AC103" s="121"/>
      <c r="AD103" s="121"/>
      <c r="AE103" s="121"/>
    </row>
    <row r="104">
      <c r="A104" s="122" t="s">
        <v>4855</v>
      </c>
      <c r="B104" s="122" t="s">
        <v>4856</v>
      </c>
      <c r="C104" s="122" t="s">
        <v>4857</v>
      </c>
      <c r="D104" s="123" t="s">
        <v>4858</v>
      </c>
      <c r="E104" s="124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  <c r="AA104" s="121"/>
      <c r="AB104" s="121"/>
      <c r="AC104" s="121"/>
      <c r="AD104" s="121"/>
      <c r="AE104" s="121"/>
    </row>
    <row r="105">
      <c r="A105" s="122" t="s">
        <v>4863</v>
      </c>
      <c r="B105" s="122" t="s">
        <v>4863</v>
      </c>
      <c r="C105" s="120" t="s">
        <v>4864</v>
      </c>
      <c r="D105" s="123" t="s">
        <v>4865</v>
      </c>
      <c r="E105" s="124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  <c r="AA105" s="121"/>
      <c r="AB105" s="121"/>
      <c r="AC105" s="121"/>
      <c r="AD105" s="121"/>
      <c r="AE105" s="121"/>
    </row>
    <row r="106">
      <c r="A106" s="122" t="s">
        <v>4870</v>
      </c>
      <c r="B106" s="122" t="s">
        <v>4870</v>
      </c>
      <c r="C106" s="122" t="s">
        <v>4871</v>
      </c>
      <c r="D106" s="123" t="s">
        <v>4872</v>
      </c>
      <c r="E106" s="124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  <c r="AA106" s="121"/>
      <c r="AB106" s="121"/>
      <c r="AC106" s="121"/>
      <c r="AD106" s="121"/>
      <c r="AE106" s="121"/>
    </row>
    <row r="107">
      <c r="A107" s="122" t="s">
        <v>4881</v>
      </c>
      <c r="B107" s="122" t="s">
        <v>4882</v>
      </c>
      <c r="C107" s="122" t="s">
        <v>4883</v>
      </c>
      <c r="D107" s="123" t="s">
        <v>4884</v>
      </c>
      <c r="E107" s="124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  <c r="AA107" s="121"/>
      <c r="AB107" s="121"/>
      <c r="AC107" s="121"/>
      <c r="AD107" s="121"/>
      <c r="AE107" s="121"/>
    </row>
    <row r="108">
      <c r="A108" s="122" t="s">
        <v>4888</v>
      </c>
      <c r="B108" s="122" t="s">
        <v>4888</v>
      </c>
      <c r="C108" s="120" t="s">
        <v>4890</v>
      </c>
      <c r="D108" s="123" t="s">
        <v>4892</v>
      </c>
      <c r="E108" s="124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  <c r="AA108" s="121"/>
      <c r="AB108" s="121"/>
      <c r="AC108" s="121"/>
      <c r="AD108" s="121"/>
      <c r="AE108" s="121"/>
    </row>
    <row r="109">
      <c r="A109" s="122" t="s">
        <v>4895</v>
      </c>
      <c r="B109" s="122" t="s">
        <v>4895</v>
      </c>
      <c r="C109" s="122" t="s">
        <v>4899</v>
      </c>
      <c r="D109" s="123" t="s">
        <v>4901</v>
      </c>
      <c r="E109" s="124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  <c r="AA109" s="121"/>
      <c r="AB109" s="121"/>
      <c r="AC109" s="121"/>
      <c r="AD109" s="121"/>
      <c r="AE109" s="121"/>
    </row>
    <row r="110">
      <c r="A110" s="122" t="s">
        <v>4905</v>
      </c>
      <c r="B110" s="122" t="s">
        <v>4906</v>
      </c>
      <c r="C110" s="122" t="s">
        <v>4908</v>
      </c>
      <c r="D110" s="123" t="s">
        <v>4909</v>
      </c>
      <c r="E110" s="124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  <c r="AA110" s="121"/>
      <c r="AB110" s="121"/>
      <c r="AC110" s="121"/>
      <c r="AD110" s="121"/>
      <c r="AE110" s="121"/>
    </row>
    <row r="111">
      <c r="A111" s="122" t="s">
        <v>4914</v>
      </c>
      <c r="B111" s="122" t="s">
        <v>4914</v>
      </c>
      <c r="C111" s="122" t="s">
        <v>4916</v>
      </c>
      <c r="D111" s="123" t="s">
        <v>4917</v>
      </c>
      <c r="E111" s="124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  <c r="AA111" s="121"/>
      <c r="AB111" s="121"/>
      <c r="AC111" s="121"/>
      <c r="AD111" s="121"/>
      <c r="AE111" s="121"/>
    </row>
    <row r="112">
      <c r="A112" s="122" t="s">
        <v>4922</v>
      </c>
      <c r="B112" s="122" t="s">
        <v>4922</v>
      </c>
      <c r="C112" s="122" t="s">
        <v>4923</v>
      </c>
      <c r="D112" s="123" t="s">
        <v>4924</v>
      </c>
      <c r="E112" s="124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  <c r="AA112" s="121"/>
      <c r="AB112" s="121"/>
      <c r="AC112" s="121"/>
      <c r="AD112" s="121"/>
      <c r="AE112" s="121"/>
    </row>
    <row r="113">
      <c r="A113" s="122" t="s">
        <v>4928</v>
      </c>
      <c r="B113" s="122" t="s">
        <v>4930</v>
      </c>
      <c r="C113" s="122" t="s">
        <v>4932</v>
      </c>
      <c r="D113" s="120" t="s">
        <v>4933</v>
      </c>
      <c r="E113" s="122" t="s">
        <v>3496</v>
      </c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  <c r="AA113" s="121"/>
      <c r="AB113" s="121"/>
      <c r="AC113" s="121"/>
      <c r="AD113" s="121"/>
      <c r="AE113" s="121"/>
    </row>
    <row r="114">
      <c r="A114" s="122" t="s">
        <v>4942</v>
      </c>
      <c r="B114" s="122" t="s">
        <v>4943</v>
      </c>
      <c r="C114" s="122" t="s">
        <v>4945</v>
      </c>
      <c r="D114" s="120" t="s">
        <v>4947</v>
      </c>
      <c r="E114" s="122" t="s">
        <v>3489</v>
      </c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  <c r="AA114" s="121"/>
      <c r="AB114" s="121"/>
      <c r="AC114" s="121"/>
      <c r="AD114" s="121"/>
      <c r="AE114" s="121"/>
    </row>
    <row r="115">
      <c r="A115" s="122" t="s">
        <v>4954</v>
      </c>
      <c r="B115" s="122" t="s">
        <v>4955</v>
      </c>
      <c r="C115" s="122" t="s">
        <v>4956</v>
      </c>
      <c r="D115" s="120" t="s">
        <v>4957</v>
      </c>
      <c r="E115" s="122" t="s">
        <v>4958</v>
      </c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  <c r="AA115" s="121"/>
      <c r="AB115" s="121"/>
      <c r="AC115" s="121"/>
      <c r="AD115" s="121"/>
      <c r="AE115" s="121"/>
    </row>
    <row r="116">
      <c r="A116" s="122" t="s">
        <v>4966</v>
      </c>
      <c r="B116" s="122" t="s">
        <v>4930</v>
      </c>
      <c r="C116" s="122" t="s">
        <v>4968</v>
      </c>
      <c r="D116" s="120" t="s">
        <v>4969</v>
      </c>
      <c r="E116" s="122" t="s">
        <v>4970</v>
      </c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  <c r="AA116" s="121"/>
      <c r="AB116" s="121"/>
      <c r="AC116" s="121"/>
      <c r="AD116" s="121"/>
      <c r="AE116" s="121"/>
    </row>
    <row r="117">
      <c r="A117" s="122" t="s">
        <v>4942</v>
      </c>
      <c r="B117" s="122" t="s">
        <v>4943</v>
      </c>
      <c r="C117" s="122" t="s">
        <v>4945</v>
      </c>
      <c r="D117" s="120" t="s">
        <v>4947</v>
      </c>
      <c r="E117" s="122" t="s">
        <v>3489</v>
      </c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  <c r="AA117" s="121"/>
      <c r="AB117" s="121"/>
      <c r="AC117" s="121"/>
      <c r="AD117" s="121"/>
      <c r="AE117" s="121"/>
    </row>
    <row r="118">
      <c r="A118" s="120" t="s">
        <v>4982</v>
      </c>
      <c r="B118" s="120" t="s">
        <v>4984</v>
      </c>
      <c r="C118" s="120" t="s">
        <v>4987</v>
      </c>
      <c r="D118" s="120" t="s">
        <v>4989</v>
      </c>
      <c r="E118" s="120" t="s">
        <v>4604</v>
      </c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  <c r="AA118" s="121"/>
      <c r="AB118" s="121"/>
      <c r="AC118" s="121"/>
      <c r="AD118" s="121"/>
      <c r="AE118" s="121"/>
    </row>
    <row r="119">
      <c r="A119" s="120" t="s">
        <v>4991</v>
      </c>
      <c r="B119" s="120" t="s">
        <v>4993</v>
      </c>
      <c r="C119" s="120" t="s">
        <v>4995</v>
      </c>
      <c r="D119" s="120" t="s">
        <v>4997</v>
      </c>
      <c r="E119" s="120" t="s">
        <v>4484</v>
      </c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  <c r="AA119" s="121"/>
      <c r="AB119" s="121"/>
      <c r="AC119" s="121"/>
      <c r="AD119" s="121"/>
      <c r="AE119" s="121"/>
    </row>
    <row r="120">
      <c r="A120" s="129" t="s">
        <v>5005</v>
      </c>
      <c r="B120" s="129" t="s">
        <v>5010</v>
      </c>
      <c r="C120" s="129" t="s">
        <v>5011</v>
      </c>
      <c r="D120" s="129" t="s">
        <v>5013</v>
      </c>
      <c r="E120" s="129" t="s">
        <v>5015</v>
      </c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  <c r="AD120" s="128"/>
      <c r="AE120" s="128"/>
    </row>
    <row r="121">
      <c r="A121" s="122" t="s">
        <v>5022</v>
      </c>
      <c r="B121" s="122" t="s">
        <v>5024</v>
      </c>
      <c r="C121" s="122" t="s">
        <v>5025</v>
      </c>
      <c r="D121" s="123" t="s">
        <v>5027</v>
      </c>
      <c r="E121" s="124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  <c r="AA121" s="121"/>
      <c r="AB121" s="121"/>
      <c r="AC121" s="121"/>
      <c r="AD121" s="121"/>
      <c r="AE121" s="121"/>
    </row>
    <row r="122">
      <c r="A122" s="120" t="s">
        <v>5034</v>
      </c>
      <c r="B122" s="120" t="s">
        <v>5036</v>
      </c>
      <c r="C122" s="120" t="s">
        <v>5037</v>
      </c>
      <c r="D122" s="120" t="s">
        <v>5039</v>
      </c>
      <c r="E122" s="120" t="s">
        <v>4604</v>
      </c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  <c r="AA122" s="121"/>
      <c r="AB122" s="121"/>
      <c r="AC122" s="121"/>
      <c r="AD122" s="121"/>
      <c r="AE122" s="121"/>
    </row>
    <row r="123">
      <c r="A123" s="120" t="s">
        <v>5042</v>
      </c>
      <c r="B123" s="120" t="s">
        <v>5044</v>
      </c>
      <c r="C123" s="120" t="s">
        <v>5045</v>
      </c>
      <c r="D123" s="120" t="s">
        <v>5047</v>
      </c>
      <c r="E123" s="120" t="s">
        <v>4484</v>
      </c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  <c r="AA123" s="121"/>
      <c r="AB123" s="121"/>
      <c r="AC123" s="121"/>
      <c r="AD123" s="121"/>
      <c r="AE123" s="121"/>
    </row>
    <row r="124">
      <c r="A124" s="129" t="s">
        <v>5049</v>
      </c>
      <c r="B124" s="129" t="s">
        <v>5050</v>
      </c>
      <c r="C124" s="129" t="s">
        <v>5052</v>
      </c>
      <c r="D124" s="129" t="s">
        <v>5054</v>
      </c>
      <c r="E124" s="129" t="s">
        <v>4628</v>
      </c>
      <c r="F124" s="128"/>
      <c r="G124" s="128"/>
      <c r="H124" s="128"/>
      <c r="I124" s="128"/>
      <c r="J124" s="128"/>
      <c r="K124" s="128"/>
      <c r="L124" s="128"/>
      <c r="M124" s="128"/>
      <c r="N124" s="128"/>
      <c r="O124" s="128"/>
      <c r="P124" s="128"/>
      <c r="Q124" s="128"/>
      <c r="R124" s="128"/>
      <c r="S124" s="128"/>
      <c r="T124" s="128"/>
      <c r="U124" s="128"/>
      <c r="V124" s="128"/>
      <c r="W124" s="128"/>
      <c r="X124" s="128"/>
      <c r="Y124" s="128"/>
      <c r="Z124" s="128"/>
      <c r="AA124" s="128"/>
      <c r="AB124" s="128"/>
      <c r="AC124" s="128"/>
      <c r="AD124" s="128"/>
      <c r="AE124" s="128"/>
    </row>
    <row r="125">
      <c r="A125" s="65" t="s">
        <v>5058</v>
      </c>
      <c r="B125" s="65" t="s">
        <v>5058</v>
      </c>
      <c r="C125" s="16" t="s">
        <v>5060</v>
      </c>
      <c r="D125" s="16" t="s">
        <v>5061</v>
      </c>
      <c r="E125" s="130"/>
      <c r="F125" s="58"/>
      <c r="G125" s="58"/>
      <c r="H125" s="58"/>
      <c r="I125" s="58"/>
      <c r="J125" s="58"/>
      <c r="K125" s="58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</row>
    <row r="126">
      <c r="A126" s="122" t="s">
        <v>5070</v>
      </c>
      <c r="B126" s="122" t="s">
        <v>5071</v>
      </c>
      <c r="C126" s="122" t="s">
        <v>5072</v>
      </c>
      <c r="D126" s="120" t="s">
        <v>5073</v>
      </c>
      <c r="E126" s="124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  <c r="AA126" s="121"/>
      <c r="AB126" s="121"/>
      <c r="AC126" s="121"/>
      <c r="AD126" s="121"/>
      <c r="AE126" s="121"/>
    </row>
    <row r="127">
      <c r="A127" s="122" t="s">
        <v>5082</v>
      </c>
      <c r="B127" s="122" t="s">
        <v>5082</v>
      </c>
      <c r="C127" s="122" t="s">
        <v>5083</v>
      </c>
      <c r="D127" s="123" t="s">
        <v>5084</v>
      </c>
      <c r="E127" s="124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  <c r="AA127" s="121"/>
      <c r="AB127" s="121"/>
      <c r="AC127" s="121"/>
      <c r="AD127" s="121"/>
      <c r="AE127" s="121"/>
    </row>
    <row r="128">
      <c r="A128" s="65" t="s">
        <v>5092</v>
      </c>
      <c r="B128" s="65" t="s">
        <v>5093</v>
      </c>
      <c r="C128" s="65" t="s">
        <v>5094</v>
      </c>
      <c r="D128" s="83" t="s">
        <v>5095</v>
      </c>
      <c r="E128" s="130"/>
      <c r="F128" s="58"/>
      <c r="G128" s="58"/>
      <c r="H128" s="58"/>
      <c r="I128" s="58"/>
      <c r="J128" s="58"/>
      <c r="K128" s="58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</row>
    <row r="129">
      <c r="A129" s="120" t="s">
        <v>5104</v>
      </c>
      <c r="B129" s="120" t="s">
        <v>5105</v>
      </c>
      <c r="C129" s="120" t="s">
        <v>5106</v>
      </c>
      <c r="D129" s="120" t="s">
        <v>5107</v>
      </c>
      <c r="E129" s="120" t="s">
        <v>4484</v>
      </c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  <c r="AA129" s="121"/>
      <c r="AB129" s="121"/>
      <c r="AC129" s="121"/>
      <c r="AD129" s="121"/>
      <c r="AE129" s="121"/>
    </row>
    <row r="130">
      <c r="A130" s="122" t="s">
        <v>5116</v>
      </c>
      <c r="B130" s="122" t="s">
        <v>5116</v>
      </c>
      <c r="C130" s="120" t="s">
        <v>5117</v>
      </c>
      <c r="D130" s="123" t="s">
        <v>5118</v>
      </c>
      <c r="E130" s="124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  <c r="AA130" s="121"/>
      <c r="AB130" s="121"/>
      <c r="AC130" s="121"/>
      <c r="AD130" s="121"/>
      <c r="AE130" s="121"/>
    </row>
    <row r="131">
      <c r="A131" s="125" t="s">
        <v>5124</v>
      </c>
      <c r="B131" s="125" t="s">
        <v>5126</v>
      </c>
      <c r="C131" s="125" t="s">
        <v>5128</v>
      </c>
      <c r="D131" s="126" t="s">
        <v>5129</v>
      </c>
      <c r="E131" s="127"/>
      <c r="F131" s="128"/>
      <c r="G131" s="128"/>
      <c r="H131" s="128"/>
      <c r="I131" s="128"/>
      <c r="J131" s="128"/>
      <c r="K131" s="128"/>
      <c r="L131" s="128"/>
      <c r="M131" s="128"/>
      <c r="N131" s="128"/>
      <c r="O131" s="128"/>
      <c r="P131" s="128"/>
      <c r="Q131" s="128"/>
      <c r="R131" s="128"/>
      <c r="S131" s="128"/>
      <c r="T131" s="128"/>
      <c r="U131" s="128"/>
      <c r="V131" s="128"/>
      <c r="W131" s="128"/>
      <c r="X131" s="128"/>
      <c r="Y131" s="128"/>
      <c r="Z131" s="128"/>
      <c r="AA131" s="128"/>
      <c r="AB131" s="128"/>
      <c r="AC131" s="128"/>
      <c r="AD131" s="128"/>
      <c r="AE131" s="128"/>
    </row>
    <row r="132">
      <c r="A132" s="125" t="s">
        <v>5135</v>
      </c>
      <c r="B132" s="125" t="s">
        <v>5137</v>
      </c>
      <c r="C132" s="125" t="s">
        <v>5139</v>
      </c>
      <c r="D132" s="126" t="s">
        <v>5141</v>
      </c>
      <c r="E132" s="127"/>
      <c r="F132" s="128"/>
      <c r="G132" s="128"/>
      <c r="H132" s="128"/>
      <c r="I132" s="128"/>
      <c r="J132" s="128"/>
      <c r="K132" s="128"/>
      <c r="L132" s="128"/>
      <c r="M132" s="128"/>
      <c r="N132" s="128"/>
      <c r="O132" s="128"/>
      <c r="P132" s="128"/>
      <c r="Q132" s="128"/>
      <c r="R132" s="128"/>
      <c r="S132" s="128"/>
      <c r="T132" s="128"/>
      <c r="U132" s="128"/>
      <c r="V132" s="128"/>
      <c r="W132" s="128"/>
      <c r="X132" s="128"/>
      <c r="Y132" s="128"/>
      <c r="Z132" s="128"/>
      <c r="AA132" s="128"/>
      <c r="AB132" s="128"/>
      <c r="AC132" s="128"/>
      <c r="AD132" s="128"/>
      <c r="AE132" s="128"/>
    </row>
    <row r="133">
      <c r="A133" s="125" t="s">
        <v>5146</v>
      </c>
      <c r="B133" s="125" t="s">
        <v>5146</v>
      </c>
      <c r="C133" s="125" t="s">
        <v>5148</v>
      </c>
      <c r="D133" s="126" t="s">
        <v>5150</v>
      </c>
      <c r="E133" s="127"/>
      <c r="F133" s="128"/>
      <c r="G133" s="128"/>
      <c r="H133" s="128"/>
      <c r="I133" s="128"/>
      <c r="J133" s="128"/>
      <c r="K133" s="128"/>
      <c r="L133" s="128"/>
      <c r="M133" s="128"/>
      <c r="N133" s="128"/>
      <c r="O133" s="128"/>
      <c r="P133" s="128"/>
      <c r="Q133" s="128"/>
      <c r="R133" s="128"/>
      <c r="S133" s="128"/>
      <c r="T133" s="128"/>
      <c r="U133" s="128"/>
      <c r="V133" s="128"/>
      <c r="W133" s="128"/>
      <c r="X133" s="128"/>
      <c r="Y133" s="128"/>
      <c r="Z133" s="128"/>
      <c r="AA133" s="128"/>
      <c r="AB133" s="128"/>
      <c r="AC133" s="128"/>
      <c r="AD133" s="128"/>
      <c r="AE133" s="128"/>
    </row>
    <row r="134">
      <c r="A134" s="129" t="s">
        <v>5156</v>
      </c>
      <c r="B134" s="129" t="s">
        <v>5158</v>
      </c>
      <c r="C134" s="129" t="s">
        <v>5159</v>
      </c>
      <c r="D134" s="129" t="s">
        <v>5161</v>
      </c>
      <c r="E134" s="129" t="s">
        <v>4484</v>
      </c>
      <c r="F134" s="128"/>
      <c r="G134" s="128"/>
      <c r="H134" s="128"/>
      <c r="I134" s="128"/>
      <c r="J134" s="128"/>
      <c r="K134" s="128"/>
      <c r="L134" s="128"/>
      <c r="M134" s="128"/>
      <c r="N134" s="128"/>
      <c r="O134" s="128"/>
      <c r="P134" s="128"/>
      <c r="Q134" s="128"/>
      <c r="R134" s="128"/>
      <c r="S134" s="128"/>
      <c r="T134" s="128"/>
      <c r="U134" s="128"/>
      <c r="V134" s="128"/>
      <c r="W134" s="128"/>
      <c r="X134" s="128"/>
      <c r="Y134" s="128"/>
      <c r="Z134" s="128"/>
      <c r="AA134" s="128"/>
      <c r="AB134" s="128"/>
      <c r="AC134" s="128"/>
      <c r="AD134" s="128"/>
      <c r="AE134" s="128"/>
    </row>
    <row r="135">
      <c r="A135" s="122" t="s">
        <v>5167</v>
      </c>
      <c r="B135" s="122" t="s">
        <v>5168</v>
      </c>
      <c r="C135" s="122" t="s">
        <v>5170</v>
      </c>
      <c r="D135" s="123" t="s">
        <v>4061</v>
      </c>
      <c r="E135" s="124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  <c r="AA135" s="121"/>
      <c r="AB135" s="121"/>
      <c r="AC135" s="121"/>
      <c r="AD135" s="121"/>
      <c r="AE135" s="121"/>
    </row>
    <row r="136">
      <c r="A136" s="125" t="s">
        <v>5177</v>
      </c>
      <c r="B136" s="125" t="s">
        <v>5177</v>
      </c>
      <c r="C136" s="125" t="s">
        <v>5179</v>
      </c>
      <c r="D136" s="126" t="s">
        <v>5180</v>
      </c>
      <c r="E136" s="127"/>
      <c r="F136" s="128"/>
      <c r="G136" s="128"/>
      <c r="H136" s="128"/>
      <c r="I136" s="128"/>
      <c r="J136" s="128"/>
      <c r="K136" s="128"/>
      <c r="L136" s="128"/>
      <c r="M136" s="128"/>
      <c r="N136" s="128"/>
      <c r="O136" s="128"/>
      <c r="P136" s="128"/>
      <c r="Q136" s="128"/>
      <c r="R136" s="128"/>
      <c r="S136" s="128"/>
      <c r="T136" s="128"/>
      <c r="U136" s="128"/>
      <c r="V136" s="128"/>
      <c r="W136" s="128"/>
      <c r="X136" s="128"/>
      <c r="Y136" s="128"/>
      <c r="Z136" s="128"/>
      <c r="AA136" s="128"/>
      <c r="AB136" s="128"/>
      <c r="AC136" s="128"/>
      <c r="AD136" s="128"/>
      <c r="AE136" s="128"/>
    </row>
    <row r="137">
      <c r="A137" s="125" t="s">
        <v>5186</v>
      </c>
      <c r="B137" s="125" t="s">
        <v>5186</v>
      </c>
      <c r="C137" s="125" t="s">
        <v>5189</v>
      </c>
      <c r="D137" s="126" t="s">
        <v>5190</v>
      </c>
      <c r="E137" s="127"/>
      <c r="F137" s="128"/>
      <c r="G137" s="128"/>
      <c r="H137" s="128"/>
      <c r="I137" s="128"/>
      <c r="J137" s="128"/>
      <c r="K137" s="128"/>
      <c r="L137" s="128"/>
      <c r="M137" s="128"/>
      <c r="N137" s="128"/>
      <c r="O137" s="128"/>
      <c r="P137" s="128"/>
      <c r="Q137" s="128"/>
      <c r="R137" s="128"/>
      <c r="S137" s="128"/>
      <c r="T137" s="128"/>
      <c r="U137" s="128"/>
      <c r="V137" s="128"/>
      <c r="W137" s="128"/>
      <c r="X137" s="128"/>
      <c r="Y137" s="128"/>
      <c r="Z137" s="128"/>
      <c r="AA137" s="128"/>
      <c r="AB137" s="128"/>
      <c r="AC137" s="128"/>
      <c r="AD137" s="128"/>
      <c r="AE137" s="128"/>
    </row>
    <row r="138">
      <c r="A138" s="125" t="s">
        <v>5194</v>
      </c>
      <c r="B138" s="125" t="s">
        <v>5196</v>
      </c>
      <c r="C138" s="125" t="s">
        <v>5198</v>
      </c>
      <c r="D138" s="126" t="s">
        <v>5201</v>
      </c>
      <c r="E138" s="127"/>
      <c r="F138" s="128"/>
      <c r="G138" s="128"/>
      <c r="H138" s="128"/>
      <c r="I138" s="128"/>
      <c r="J138" s="128"/>
      <c r="K138" s="128"/>
      <c r="L138" s="128"/>
      <c r="M138" s="128"/>
      <c r="N138" s="128"/>
      <c r="O138" s="128"/>
      <c r="P138" s="128"/>
      <c r="Q138" s="128"/>
      <c r="R138" s="128"/>
      <c r="S138" s="128"/>
      <c r="T138" s="128"/>
      <c r="U138" s="128"/>
      <c r="V138" s="128"/>
      <c r="W138" s="128"/>
      <c r="X138" s="128"/>
      <c r="Y138" s="128"/>
      <c r="Z138" s="128"/>
      <c r="AA138" s="128"/>
      <c r="AB138" s="128"/>
      <c r="AC138" s="128"/>
      <c r="AD138" s="128"/>
      <c r="AE138" s="128"/>
    </row>
    <row r="139">
      <c r="A139" s="125" t="s">
        <v>5204</v>
      </c>
      <c r="B139" s="125" t="s">
        <v>5204</v>
      </c>
      <c r="C139" s="125" t="s">
        <v>5205</v>
      </c>
      <c r="D139" s="126" t="s">
        <v>4061</v>
      </c>
      <c r="E139" s="127"/>
      <c r="F139" s="128"/>
      <c r="G139" s="128"/>
      <c r="H139" s="128"/>
      <c r="I139" s="128"/>
      <c r="J139" s="128"/>
      <c r="K139" s="128"/>
      <c r="L139" s="128"/>
      <c r="M139" s="128"/>
      <c r="N139" s="128"/>
      <c r="O139" s="128"/>
      <c r="P139" s="128"/>
      <c r="Q139" s="128"/>
      <c r="R139" s="128"/>
      <c r="S139" s="128"/>
      <c r="T139" s="128"/>
      <c r="U139" s="128"/>
      <c r="V139" s="128"/>
      <c r="W139" s="128"/>
      <c r="X139" s="128"/>
      <c r="Y139" s="128"/>
      <c r="Z139" s="128"/>
      <c r="AA139" s="128"/>
      <c r="AB139" s="128"/>
      <c r="AC139" s="128"/>
      <c r="AD139" s="128"/>
      <c r="AE139" s="128"/>
    </row>
    <row r="140">
      <c r="A140" s="122" t="s">
        <v>5210</v>
      </c>
      <c r="B140" s="122" t="s">
        <v>5211</v>
      </c>
      <c r="C140" s="122" t="s">
        <v>5212</v>
      </c>
      <c r="D140" s="123" t="s">
        <v>5213</v>
      </c>
      <c r="E140" s="124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  <c r="AA140" s="121"/>
      <c r="AB140" s="121"/>
      <c r="AC140" s="121"/>
      <c r="AD140" s="121"/>
      <c r="AE140" s="121"/>
    </row>
    <row r="141">
      <c r="A141" s="122" t="s">
        <v>5217</v>
      </c>
      <c r="B141" s="122" t="s">
        <v>5218</v>
      </c>
      <c r="C141" s="120" t="s">
        <v>5219</v>
      </c>
      <c r="D141" s="123" t="s">
        <v>5221</v>
      </c>
      <c r="E141" s="124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  <c r="AA141" s="121"/>
      <c r="AB141" s="121"/>
      <c r="AC141" s="121"/>
      <c r="AD141" s="121"/>
      <c r="AE141" s="121"/>
    </row>
    <row r="142">
      <c r="A142" s="122" t="s">
        <v>5222</v>
      </c>
      <c r="B142" s="122" t="s">
        <v>5222</v>
      </c>
      <c r="C142" s="122" t="s">
        <v>5225</v>
      </c>
      <c r="D142" s="123" t="s">
        <v>5227</v>
      </c>
      <c r="E142" s="124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  <c r="AA142" s="121"/>
      <c r="AB142" s="121"/>
      <c r="AC142" s="121"/>
      <c r="AD142" s="121"/>
      <c r="AE142" s="121"/>
    </row>
    <row r="143">
      <c r="A143" s="125" t="s">
        <v>5232</v>
      </c>
      <c r="B143" s="125" t="s">
        <v>5233</v>
      </c>
      <c r="C143" s="125" t="s">
        <v>5235</v>
      </c>
      <c r="D143" s="126" t="s">
        <v>5237</v>
      </c>
      <c r="E143" s="127"/>
      <c r="F143" s="128"/>
      <c r="G143" s="128"/>
      <c r="H143" s="128"/>
      <c r="I143" s="128"/>
      <c r="J143" s="128"/>
      <c r="K143" s="128"/>
      <c r="L143" s="128"/>
      <c r="M143" s="128"/>
      <c r="N143" s="128"/>
      <c r="O143" s="128"/>
      <c r="P143" s="128"/>
      <c r="Q143" s="128"/>
      <c r="R143" s="128"/>
      <c r="S143" s="128"/>
      <c r="T143" s="128"/>
      <c r="U143" s="128"/>
      <c r="V143" s="128"/>
      <c r="W143" s="128"/>
      <c r="X143" s="128"/>
      <c r="Y143" s="128"/>
      <c r="Z143" s="128"/>
      <c r="AA143" s="128"/>
      <c r="AB143" s="128"/>
      <c r="AC143" s="128"/>
      <c r="AD143" s="128"/>
      <c r="AE143" s="128"/>
    </row>
    <row r="144">
      <c r="A144" s="120" t="s">
        <v>5241</v>
      </c>
      <c r="B144" s="120" t="s">
        <v>5243</v>
      </c>
      <c r="C144" s="120" t="s">
        <v>5245</v>
      </c>
      <c r="D144" s="120" t="s">
        <v>5248</v>
      </c>
      <c r="E144" s="120" t="s">
        <v>4484</v>
      </c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  <c r="AA144" s="121"/>
      <c r="AB144" s="121"/>
      <c r="AC144" s="121"/>
      <c r="AD144" s="121"/>
      <c r="AE144" s="121"/>
    </row>
    <row r="145">
      <c r="A145" s="122" t="s">
        <v>5253</v>
      </c>
      <c r="B145" s="122" t="s">
        <v>5253</v>
      </c>
      <c r="C145" s="122" t="s">
        <v>5254</v>
      </c>
      <c r="D145" s="123" t="s">
        <v>5255</v>
      </c>
      <c r="E145" s="124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  <c r="AA145" s="121"/>
      <c r="AB145" s="121"/>
      <c r="AC145" s="121"/>
      <c r="AD145" s="121"/>
      <c r="AE145" s="121"/>
    </row>
    <row r="146">
      <c r="A146" s="122" t="s">
        <v>5264</v>
      </c>
      <c r="B146" s="122" t="s">
        <v>5265</v>
      </c>
      <c r="C146" s="122" t="s">
        <v>5266</v>
      </c>
      <c r="D146" s="123" t="s">
        <v>5267</v>
      </c>
      <c r="E146" s="124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  <c r="AA146" s="121"/>
      <c r="AB146" s="121"/>
      <c r="AC146" s="121"/>
      <c r="AD146" s="121"/>
      <c r="AE146" s="121"/>
    </row>
    <row r="147">
      <c r="A147" s="122" t="s">
        <v>5273</v>
      </c>
      <c r="B147" s="122" t="s">
        <v>5273</v>
      </c>
      <c r="C147" s="122" t="s">
        <v>5274</v>
      </c>
      <c r="D147" s="123" t="s">
        <v>5275</v>
      </c>
      <c r="E147" s="124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  <c r="AA147" s="121"/>
      <c r="AB147" s="121"/>
      <c r="AC147" s="121"/>
      <c r="AD147" s="121"/>
      <c r="AE147" s="121"/>
    </row>
    <row r="148">
      <c r="A148" s="122" t="s">
        <v>5283</v>
      </c>
      <c r="B148" s="122" t="s">
        <v>5284</v>
      </c>
      <c r="C148" s="122" t="s">
        <v>5285</v>
      </c>
      <c r="D148" s="123" t="s">
        <v>5286</v>
      </c>
      <c r="E148" s="124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  <c r="AA148" s="121"/>
      <c r="AB148" s="121"/>
      <c r="AC148" s="121"/>
      <c r="AD148" s="121"/>
      <c r="AE148" s="121"/>
    </row>
    <row r="149">
      <c r="A149" s="122" t="s">
        <v>5295</v>
      </c>
      <c r="B149" s="122" t="s">
        <v>5295</v>
      </c>
      <c r="C149" s="122" t="s">
        <v>5296</v>
      </c>
      <c r="D149" s="123" t="s">
        <v>5297</v>
      </c>
      <c r="E149" s="124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  <c r="AA149" s="121"/>
      <c r="AB149" s="121"/>
      <c r="AC149" s="121"/>
      <c r="AD149" s="121"/>
      <c r="AE149" s="121"/>
    </row>
    <row r="150">
      <c r="A150" s="131" t="s">
        <v>5306</v>
      </c>
      <c r="B150" s="131" t="s">
        <v>5308</v>
      </c>
      <c r="C150" s="131" t="s">
        <v>5310</v>
      </c>
      <c r="D150" s="71" t="s">
        <v>5313</v>
      </c>
      <c r="E150" s="132"/>
      <c r="F150" s="37"/>
      <c r="G150" s="37"/>
      <c r="H150" s="37"/>
      <c r="I150" s="37"/>
      <c r="J150" s="37"/>
      <c r="K150" s="37"/>
      <c r="L150" s="37"/>
      <c r="M150" s="37"/>
      <c r="N150" s="37"/>
      <c r="O150" s="37"/>
      <c r="P150" s="37"/>
      <c r="Q150" s="37"/>
      <c r="R150" s="37"/>
      <c r="S150" s="37"/>
      <c r="T150" s="37"/>
      <c r="U150" s="37"/>
      <c r="V150" s="37"/>
      <c r="W150" s="37"/>
      <c r="X150" s="37"/>
      <c r="Y150" s="37"/>
      <c r="Z150" s="37"/>
      <c r="AA150" s="37"/>
      <c r="AB150" s="37"/>
      <c r="AC150" s="37"/>
      <c r="AD150" s="37"/>
      <c r="AE150" s="37"/>
    </row>
    <row r="151">
      <c r="A151" s="125" t="s">
        <v>5325</v>
      </c>
      <c r="B151" s="125" t="s">
        <v>5326</v>
      </c>
      <c r="C151" s="125" t="s">
        <v>5328</v>
      </c>
      <c r="D151" s="126" t="s">
        <v>5329</v>
      </c>
      <c r="E151" s="127"/>
      <c r="F151" s="128"/>
      <c r="G151" s="128"/>
      <c r="H151" s="128"/>
      <c r="I151" s="128"/>
      <c r="J151" s="128"/>
      <c r="K151" s="128"/>
      <c r="L151" s="128"/>
      <c r="M151" s="128"/>
      <c r="N151" s="128"/>
      <c r="O151" s="128"/>
      <c r="P151" s="128"/>
      <c r="Q151" s="128"/>
      <c r="R151" s="128"/>
      <c r="S151" s="128"/>
      <c r="T151" s="128"/>
      <c r="U151" s="128"/>
      <c r="V151" s="128"/>
      <c r="W151" s="128"/>
      <c r="X151" s="128"/>
      <c r="Y151" s="128"/>
      <c r="Z151" s="128"/>
      <c r="AA151" s="128"/>
      <c r="AB151" s="128"/>
      <c r="AC151" s="128"/>
      <c r="AD151" s="128"/>
      <c r="AE151" s="128"/>
    </row>
    <row r="152">
      <c r="A152" s="125" t="s">
        <v>5335</v>
      </c>
      <c r="B152" s="125" t="s">
        <v>5337</v>
      </c>
      <c r="C152" s="125" t="s">
        <v>5339</v>
      </c>
      <c r="D152" s="126" t="s">
        <v>5341</v>
      </c>
      <c r="E152" s="127"/>
      <c r="F152" s="128"/>
      <c r="G152" s="128"/>
      <c r="H152" s="128"/>
      <c r="I152" s="128"/>
      <c r="J152" s="128"/>
      <c r="K152" s="128"/>
      <c r="L152" s="128"/>
      <c r="M152" s="128"/>
      <c r="N152" s="128"/>
      <c r="O152" s="128"/>
      <c r="P152" s="128"/>
      <c r="Q152" s="128"/>
      <c r="R152" s="128"/>
      <c r="S152" s="128"/>
      <c r="T152" s="128"/>
      <c r="U152" s="128"/>
      <c r="V152" s="128"/>
      <c r="W152" s="128"/>
      <c r="X152" s="128"/>
      <c r="Y152" s="128"/>
      <c r="Z152" s="128"/>
      <c r="AA152" s="128"/>
      <c r="AB152" s="128"/>
      <c r="AC152" s="128"/>
      <c r="AD152" s="128"/>
      <c r="AE152" s="128"/>
    </row>
    <row r="153">
      <c r="A153" s="125" t="s">
        <v>5346</v>
      </c>
      <c r="B153" s="125" t="s">
        <v>5346</v>
      </c>
      <c r="C153" s="125" t="s">
        <v>5347</v>
      </c>
      <c r="D153" s="126" t="s">
        <v>5348</v>
      </c>
      <c r="E153" s="127"/>
      <c r="F153" s="128"/>
      <c r="G153" s="128"/>
      <c r="H153" s="128"/>
      <c r="I153" s="128"/>
      <c r="J153" s="128"/>
      <c r="K153" s="128"/>
      <c r="L153" s="128"/>
      <c r="M153" s="128"/>
      <c r="N153" s="128"/>
      <c r="O153" s="128"/>
      <c r="P153" s="128"/>
      <c r="Q153" s="128"/>
      <c r="R153" s="128"/>
      <c r="S153" s="128"/>
      <c r="T153" s="128"/>
      <c r="U153" s="128"/>
      <c r="V153" s="128"/>
      <c r="W153" s="128"/>
      <c r="X153" s="128"/>
      <c r="Y153" s="128"/>
      <c r="Z153" s="128"/>
      <c r="AA153" s="128"/>
      <c r="AB153" s="128"/>
      <c r="AC153" s="128"/>
      <c r="AD153" s="128"/>
      <c r="AE153" s="128"/>
    </row>
    <row r="154">
      <c r="A154" s="125" t="s">
        <v>5353</v>
      </c>
      <c r="B154" s="125" t="s">
        <v>5353</v>
      </c>
      <c r="C154" s="125" t="s">
        <v>5354</v>
      </c>
      <c r="D154" s="126" t="s">
        <v>5355</v>
      </c>
      <c r="E154" s="127"/>
      <c r="F154" s="128"/>
      <c r="G154" s="128"/>
      <c r="H154" s="128"/>
      <c r="I154" s="128"/>
      <c r="J154" s="128"/>
      <c r="K154" s="128"/>
      <c r="L154" s="128"/>
      <c r="M154" s="128"/>
      <c r="N154" s="128"/>
      <c r="O154" s="128"/>
      <c r="P154" s="128"/>
      <c r="Q154" s="128"/>
      <c r="R154" s="128"/>
      <c r="S154" s="128"/>
      <c r="T154" s="128"/>
      <c r="U154" s="128"/>
      <c r="V154" s="128"/>
      <c r="W154" s="128"/>
      <c r="X154" s="128"/>
      <c r="Y154" s="128"/>
      <c r="Z154" s="128"/>
      <c r="AA154" s="128"/>
      <c r="AB154" s="128"/>
      <c r="AC154" s="128"/>
      <c r="AD154" s="128"/>
      <c r="AE154" s="128"/>
    </row>
    <row r="155">
      <c r="A155" s="122" t="s">
        <v>3679</v>
      </c>
      <c r="B155" s="122" t="s">
        <v>3679</v>
      </c>
      <c r="C155" s="122" t="s">
        <v>3680</v>
      </c>
      <c r="D155" s="123" t="s">
        <v>5360</v>
      </c>
      <c r="E155" s="124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  <c r="AA155" s="121"/>
      <c r="AB155" s="121"/>
      <c r="AC155" s="121"/>
      <c r="AD155" s="121"/>
      <c r="AE155" s="121"/>
    </row>
    <row r="156">
      <c r="A156" s="122" t="s">
        <v>5363</v>
      </c>
      <c r="B156" s="122" t="s">
        <v>5365</v>
      </c>
      <c r="C156" s="120" t="s">
        <v>5366</v>
      </c>
      <c r="D156" s="123" t="s">
        <v>5368</v>
      </c>
      <c r="E156" s="124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  <c r="AA156" s="121"/>
      <c r="AB156" s="121"/>
      <c r="AC156" s="121"/>
      <c r="AD156" s="121"/>
      <c r="AE156" s="121"/>
    </row>
    <row r="157">
      <c r="A157" s="122" t="s">
        <v>5374</v>
      </c>
      <c r="B157" s="122" t="s">
        <v>5374</v>
      </c>
      <c r="C157" s="122" t="s">
        <v>5376</v>
      </c>
      <c r="D157" s="123" t="s">
        <v>5378</v>
      </c>
      <c r="E157" s="124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  <c r="AA157" s="121"/>
      <c r="AB157" s="121"/>
      <c r="AC157" s="121"/>
      <c r="AD157" s="121"/>
      <c r="AE157" s="121"/>
    </row>
    <row r="158">
      <c r="A158" s="122" t="s">
        <v>3698</v>
      </c>
      <c r="B158" s="122" t="s">
        <v>3698</v>
      </c>
      <c r="C158" s="122" t="s">
        <v>3699</v>
      </c>
      <c r="D158" s="123" t="s">
        <v>5385</v>
      </c>
      <c r="E158" s="124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  <c r="AA158" s="121"/>
      <c r="AB158" s="121"/>
      <c r="AC158" s="121"/>
      <c r="AD158" s="121"/>
      <c r="AE158" s="121"/>
    </row>
    <row r="159">
      <c r="A159" s="122" t="s">
        <v>5389</v>
      </c>
      <c r="B159" s="122" t="s">
        <v>5390</v>
      </c>
      <c r="C159" s="122" t="s">
        <v>5391</v>
      </c>
      <c r="D159" s="123" t="s">
        <v>5392</v>
      </c>
      <c r="E159" s="124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  <c r="AA159" s="121"/>
      <c r="AB159" s="121"/>
      <c r="AC159" s="121"/>
      <c r="AD159" s="121"/>
      <c r="AE159" s="121"/>
    </row>
    <row r="160">
      <c r="A160" s="65" t="s">
        <v>5400</v>
      </c>
      <c r="B160" s="65" t="s">
        <v>5402</v>
      </c>
      <c r="C160" s="65" t="s">
        <v>3840</v>
      </c>
      <c r="D160" s="16" t="s">
        <v>5403</v>
      </c>
      <c r="E160" s="53" t="s">
        <v>5404</v>
      </c>
      <c r="F160" s="58"/>
      <c r="G160" s="58"/>
      <c r="H160" s="58"/>
      <c r="I160" s="58"/>
      <c r="J160" s="58"/>
      <c r="K160" s="58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</row>
    <row r="161">
      <c r="A161" s="65" t="s">
        <v>5410</v>
      </c>
      <c r="B161" s="65" t="s">
        <v>5412</v>
      </c>
      <c r="C161" s="65" t="s">
        <v>3844</v>
      </c>
      <c r="D161" s="16" t="s">
        <v>5414</v>
      </c>
      <c r="E161" s="53" t="s">
        <v>4970</v>
      </c>
      <c r="F161" s="58"/>
      <c r="G161" s="58"/>
      <c r="H161" s="58"/>
      <c r="I161" s="58"/>
      <c r="J161" s="58"/>
      <c r="K161" s="58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</row>
    <row r="162">
      <c r="A162" s="65" t="s">
        <v>5400</v>
      </c>
      <c r="B162" s="65" t="s">
        <v>5402</v>
      </c>
      <c r="C162" s="65" t="s">
        <v>3840</v>
      </c>
      <c r="D162" s="16" t="s">
        <v>5403</v>
      </c>
      <c r="E162" s="53" t="s">
        <v>5404</v>
      </c>
      <c r="F162" s="58"/>
      <c r="G162" s="58"/>
      <c r="H162" s="58"/>
      <c r="I162" s="58"/>
      <c r="J162" s="58"/>
      <c r="K162" s="58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</row>
    <row r="163">
      <c r="A163" s="65" t="s">
        <v>5429</v>
      </c>
      <c r="B163" s="65" t="s">
        <v>5432</v>
      </c>
      <c r="C163" s="65" t="s">
        <v>3848</v>
      </c>
      <c r="D163" s="16" t="s">
        <v>5435</v>
      </c>
      <c r="E163" s="53" t="s">
        <v>4958</v>
      </c>
      <c r="F163" s="58"/>
      <c r="G163" s="58"/>
      <c r="H163" s="58"/>
      <c r="I163" s="58"/>
      <c r="J163" s="58"/>
      <c r="K163" s="58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</row>
    <row r="164">
      <c r="A164" s="16" t="s">
        <v>5442</v>
      </c>
      <c r="B164" s="16" t="s">
        <v>5444</v>
      </c>
      <c r="C164" s="16" t="s">
        <v>5445</v>
      </c>
      <c r="D164" s="16" t="s">
        <v>5447</v>
      </c>
      <c r="E164" s="38" t="s">
        <v>4604</v>
      </c>
      <c r="F164" s="58"/>
      <c r="G164" s="58"/>
      <c r="H164" s="58"/>
      <c r="I164" s="58"/>
      <c r="J164" s="58"/>
      <c r="K164" s="58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</row>
    <row r="165">
      <c r="A165" s="129" t="s">
        <v>5455</v>
      </c>
      <c r="B165" s="129" t="s">
        <v>5457</v>
      </c>
      <c r="C165" s="129" t="s">
        <v>5458</v>
      </c>
      <c r="D165" s="129" t="s">
        <v>5459</v>
      </c>
      <c r="E165" s="129" t="s">
        <v>4484</v>
      </c>
      <c r="F165" s="128"/>
      <c r="G165" s="128"/>
      <c r="H165" s="128"/>
      <c r="I165" s="128"/>
      <c r="J165" s="128"/>
      <c r="K165" s="128"/>
      <c r="L165" s="128"/>
      <c r="M165" s="128"/>
      <c r="N165" s="128"/>
      <c r="O165" s="128"/>
      <c r="P165" s="128"/>
      <c r="Q165" s="128"/>
      <c r="R165" s="128"/>
      <c r="S165" s="128"/>
      <c r="T165" s="128"/>
      <c r="U165" s="128"/>
      <c r="V165" s="128"/>
      <c r="W165" s="128"/>
      <c r="X165" s="128"/>
      <c r="Y165" s="128"/>
      <c r="Z165" s="128"/>
      <c r="AA165" s="128"/>
      <c r="AB165" s="128"/>
      <c r="AC165" s="128"/>
      <c r="AD165" s="128"/>
      <c r="AE165" s="128"/>
    </row>
    <row r="166">
      <c r="A166" s="16" t="s">
        <v>5464</v>
      </c>
      <c r="B166" s="16" t="s">
        <v>5465</v>
      </c>
      <c r="C166" s="16" t="s">
        <v>5466</v>
      </c>
      <c r="D166" s="16" t="s">
        <v>5467</v>
      </c>
      <c r="E166" s="38" t="s">
        <v>5015</v>
      </c>
      <c r="F166" s="58"/>
      <c r="G166" s="58"/>
      <c r="H166" s="58"/>
      <c r="I166" s="58"/>
      <c r="J166" s="58"/>
      <c r="K166" s="58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</row>
    <row r="167">
      <c r="A167" s="122" t="s">
        <v>5475</v>
      </c>
      <c r="B167" s="122" t="s">
        <v>5476</v>
      </c>
      <c r="C167" s="122" t="s">
        <v>5478</v>
      </c>
      <c r="D167" s="123" t="s">
        <v>5479</v>
      </c>
      <c r="E167" s="124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  <c r="AA167" s="121"/>
      <c r="AB167" s="121"/>
      <c r="AC167" s="121"/>
      <c r="AD167" s="121"/>
      <c r="AE167" s="121"/>
    </row>
    <row r="168">
      <c r="A168" s="122" t="s">
        <v>5483</v>
      </c>
      <c r="B168" s="122" t="s">
        <v>5484</v>
      </c>
      <c r="C168" s="122" t="s">
        <v>5485</v>
      </c>
      <c r="D168" s="123" t="s">
        <v>5487</v>
      </c>
      <c r="E168" s="122" t="s">
        <v>4617</v>
      </c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  <c r="AA168" s="121"/>
      <c r="AB168" s="121"/>
      <c r="AC168" s="121"/>
      <c r="AD168" s="121"/>
      <c r="AE168" s="121"/>
    </row>
    <row r="169">
      <c r="A169" s="122" t="s">
        <v>5491</v>
      </c>
      <c r="B169" s="122" t="s">
        <v>5494</v>
      </c>
      <c r="C169" s="120" t="s">
        <v>5496</v>
      </c>
      <c r="D169" s="123" t="s">
        <v>5499</v>
      </c>
      <c r="E169" s="124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  <c r="AA169" s="121"/>
      <c r="AB169" s="121"/>
      <c r="AC169" s="121"/>
      <c r="AD169" s="121"/>
      <c r="AE169" s="121"/>
    </row>
    <row r="170">
      <c r="A170" s="122" t="s">
        <v>5500</v>
      </c>
      <c r="B170" s="122" t="s">
        <v>5501</v>
      </c>
      <c r="C170" s="122" t="s">
        <v>5504</v>
      </c>
      <c r="D170" s="123" t="s">
        <v>5506</v>
      </c>
      <c r="E170" s="124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  <c r="AA170" s="121"/>
      <c r="AB170" s="121"/>
      <c r="AC170" s="121"/>
      <c r="AD170" s="121"/>
      <c r="AE170" s="121"/>
    </row>
    <row r="171">
      <c r="A171" s="122" t="s">
        <v>5513</v>
      </c>
      <c r="B171" s="122" t="s">
        <v>5515</v>
      </c>
      <c r="C171" s="122" t="s">
        <v>5517</v>
      </c>
      <c r="D171" s="123" t="s">
        <v>5518</v>
      </c>
      <c r="E171" s="124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  <c r="AA171" s="121"/>
      <c r="AB171" s="121"/>
      <c r="AC171" s="121"/>
      <c r="AD171" s="121"/>
      <c r="AE171" s="121"/>
    </row>
    <row r="172">
      <c r="A172" s="122" t="s">
        <v>5521</v>
      </c>
      <c r="B172" s="122" t="s">
        <v>5523</v>
      </c>
      <c r="C172" s="122" t="s">
        <v>5524</v>
      </c>
      <c r="D172" s="123" t="s">
        <v>5526</v>
      </c>
      <c r="E172" s="124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  <c r="AA172" s="121"/>
      <c r="AB172" s="121"/>
      <c r="AC172" s="121"/>
      <c r="AD172" s="121"/>
      <c r="AE172" s="121"/>
    </row>
    <row r="173">
      <c r="A173" s="120" t="s">
        <v>5530</v>
      </c>
      <c r="B173" s="120" t="s">
        <v>5531</v>
      </c>
      <c r="C173" s="120" t="s">
        <v>5532</v>
      </c>
      <c r="D173" s="120" t="s">
        <v>5534</v>
      </c>
      <c r="E173" s="120" t="s">
        <v>4484</v>
      </c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  <c r="AA173" s="121"/>
      <c r="AB173" s="121"/>
      <c r="AC173" s="121"/>
      <c r="AD173" s="121"/>
      <c r="AE173" s="121"/>
    </row>
    <row r="174">
      <c r="A174" s="122" t="s">
        <v>5539</v>
      </c>
      <c r="B174" s="122" t="s">
        <v>5539</v>
      </c>
      <c r="C174" s="120" t="s">
        <v>5540</v>
      </c>
      <c r="D174" s="123" t="s">
        <v>5541</v>
      </c>
      <c r="E174" s="124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  <c r="AA174" s="121"/>
      <c r="AB174" s="121"/>
      <c r="AC174" s="121"/>
      <c r="AD174" s="121"/>
      <c r="AE174" s="121"/>
    </row>
    <row r="175">
      <c r="A175" s="122" t="s">
        <v>5547</v>
      </c>
      <c r="B175" s="122" t="s">
        <v>5548</v>
      </c>
      <c r="C175" s="122" t="s">
        <v>5549</v>
      </c>
      <c r="D175" s="123" t="s">
        <v>5550</v>
      </c>
      <c r="E175" s="124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  <c r="AA175" s="121"/>
      <c r="AB175" s="121"/>
      <c r="AC175" s="121"/>
      <c r="AD175" s="121"/>
      <c r="AE175" s="121"/>
    </row>
    <row r="176">
      <c r="A176" s="122" t="s">
        <v>5556</v>
      </c>
      <c r="B176" s="122" t="s">
        <v>5557</v>
      </c>
      <c r="C176" s="122" t="s">
        <v>5558</v>
      </c>
      <c r="D176" s="123" t="s">
        <v>5559</v>
      </c>
      <c r="E176" s="124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  <c r="AA176" s="121"/>
      <c r="AB176" s="121"/>
      <c r="AC176" s="121"/>
      <c r="AD176" s="121"/>
      <c r="AE176" s="121"/>
    </row>
    <row r="177">
      <c r="A177" s="120" t="s">
        <v>5563</v>
      </c>
      <c r="B177" s="120" t="s">
        <v>5564</v>
      </c>
      <c r="C177" s="120" t="s">
        <v>5566</v>
      </c>
      <c r="D177" s="120" t="s">
        <v>5567</v>
      </c>
      <c r="E177" s="120" t="s">
        <v>4484</v>
      </c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  <c r="AA177" s="121"/>
      <c r="AB177" s="121"/>
      <c r="AC177" s="121"/>
      <c r="AD177" s="121"/>
      <c r="AE177" s="121"/>
    </row>
    <row r="178">
      <c r="A178" s="122" t="s">
        <v>5569</v>
      </c>
      <c r="B178" s="122" t="s">
        <v>5571</v>
      </c>
      <c r="C178" s="120" t="s">
        <v>5573</v>
      </c>
      <c r="D178" s="123" t="s">
        <v>5574</v>
      </c>
      <c r="E178" s="124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  <c r="AA178" s="121"/>
      <c r="AB178" s="121"/>
      <c r="AC178" s="121"/>
      <c r="AD178" s="121"/>
      <c r="AE178" s="121"/>
    </row>
    <row r="179">
      <c r="A179" s="122" t="s">
        <v>5576</v>
      </c>
      <c r="B179" s="122" t="s">
        <v>5577</v>
      </c>
      <c r="C179" s="122" t="s">
        <v>5579</v>
      </c>
      <c r="D179" s="123" t="s">
        <v>5581</v>
      </c>
      <c r="E179" s="124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  <c r="AA179" s="121"/>
      <c r="AB179" s="121"/>
      <c r="AC179" s="121"/>
      <c r="AD179" s="121"/>
      <c r="AE179" s="121"/>
    </row>
    <row r="180">
      <c r="A180" s="122" t="s">
        <v>5583</v>
      </c>
      <c r="B180" s="122" t="s">
        <v>5584</v>
      </c>
      <c r="C180" s="122" t="s">
        <v>3810</v>
      </c>
      <c r="D180" s="123" t="s">
        <v>5587</v>
      </c>
      <c r="E180" s="124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  <c r="AA180" s="121"/>
      <c r="AB180" s="121"/>
      <c r="AC180" s="121"/>
      <c r="AD180" s="121"/>
      <c r="AE180" s="121"/>
    </row>
    <row r="181">
      <c r="A181" s="122" t="s">
        <v>5591</v>
      </c>
      <c r="B181" s="122" t="s">
        <v>5592</v>
      </c>
      <c r="C181" s="122" t="s">
        <v>5593</v>
      </c>
      <c r="D181" s="120" t="s">
        <v>5595</v>
      </c>
      <c r="E181" s="122" t="s">
        <v>5404</v>
      </c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  <c r="AA181" s="121"/>
      <c r="AB181" s="121"/>
      <c r="AC181" s="121"/>
      <c r="AD181" s="121"/>
      <c r="AE181" s="121"/>
    </row>
    <row r="182">
      <c r="A182" s="122" t="s">
        <v>5603</v>
      </c>
      <c r="B182" s="122" t="s">
        <v>5604</v>
      </c>
      <c r="C182" s="122" t="s">
        <v>5605</v>
      </c>
      <c r="D182" s="120" t="s">
        <v>5606</v>
      </c>
      <c r="E182" s="122" t="s">
        <v>4970</v>
      </c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  <c r="AA182" s="121"/>
      <c r="AB182" s="121"/>
      <c r="AC182" s="121"/>
      <c r="AD182" s="121"/>
      <c r="AE182" s="121"/>
    </row>
    <row r="183">
      <c r="A183" s="122" t="s">
        <v>5615</v>
      </c>
      <c r="B183" s="122" t="s">
        <v>5616</v>
      </c>
      <c r="C183" s="122" t="s">
        <v>5593</v>
      </c>
      <c r="D183" s="120" t="s">
        <v>5595</v>
      </c>
      <c r="E183" s="122" t="s">
        <v>5404</v>
      </c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  <c r="AA183" s="121"/>
      <c r="AB183" s="121"/>
      <c r="AC183" s="121"/>
      <c r="AD183" s="121"/>
      <c r="AE183" s="121"/>
    </row>
    <row r="184">
      <c r="A184" s="125" t="s">
        <v>5621</v>
      </c>
      <c r="B184" s="125" t="s">
        <v>5623</v>
      </c>
      <c r="C184" s="125" t="s">
        <v>5625</v>
      </c>
      <c r="D184" s="129" t="s">
        <v>5627</v>
      </c>
      <c r="E184" s="125" t="s">
        <v>4958</v>
      </c>
      <c r="F184" s="128"/>
      <c r="G184" s="128"/>
      <c r="H184" s="128"/>
      <c r="I184" s="128"/>
      <c r="J184" s="128"/>
      <c r="K184" s="128"/>
      <c r="L184" s="128"/>
      <c r="M184" s="128"/>
      <c r="N184" s="128"/>
      <c r="O184" s="128"/>
      <c r="P184" s="128"/>
      <c r="Q184" s="128"/>
      <c r="R184" s="128"/>
      <c r="S184" s="128"/>
      <c r="T184" s="128"/>
      <c r="U184" s="128"/>
      <c r="V184" s="128"/>
      <c r="W184" s="128"/>
      <c r="X184" s="128"/>
      <c r="Y184" s="128"/>
      <c r="Z184" s="128"/>
      <c r="AA184" s="128"/>
      <c r="AB184" s="128"/>
      <c r="AC184" s="128"/>
      <c r="AD184" s="128"/>
      <c r="AE184" s="128"/>
    </row>
    <row r="185">
      <c r="A185" s="120" t="s">
        <v>5633</v>
      </c>
      <c r="B185" s="120" t="s">
        <v>5634</v>
      </c>
      <c r="C185" s="120" t="s">
        <v>5635</v>
      </c>
      <c r="D185" s="120" t="s">
        <v>5636</v>
      </c>
      <c r="E185" s="120" t="s">
        <v>4604</v>
      </c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  <c r="AA185" s="121"/>
      <c r="AB185" s="121"/>
      <c r="AC185" s="121"/>
      <c r="AD185" s="121"/>
      <c r="AE185" s="121"/>
    </row>
    <row r="186">
      <c r="A186" s="120" t="s">
        <v>5645</v>
      </c>
      <c r="B186" s="120" t="s">
        <v>5646</v>
      </c>
      <c r="C186" s="120" t="s">
        <v>5647</v>
      </c>
      <c r="D186" s="120" t="s">
        <v>5650</v>
      </c>
      <c r="E186" s="120" t="s">
        <v>4484</v>
      </c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  <c r="AA186" s="121"/>
      <c r="AB186" s="121"/>
      <c r="AC186" s="121"/>
      <c r="AD186" s="121"/>
      <c r="AE186" s="121"/>
    </row>
    <row r="187">
      <c r="A187" s="129" t="s">
        <v>5657</v>
      </c>
      <c r="B187" s="129" t="s">
        <v>5658</v>
      </c>
      <c r="C187" s="129" t="s">
        <v>5659</v>
      </c>
      <c r="D187" s="129" t="s">
        <v>5661</v>
      </c>
      <c r="E187" s="129" t="s">
        <v>5015</v>
      </c>
      <c r="F187" s="128"/>
      <c r="G187" s="128"/>
      <c r="H187" s="128"/>
      <c r="I187" s="128"/>
      <c r="J187" s="128"/>
      <c r="K187" s="128"/>
      <c r="L187" s="128"/>
      <c r="M187" s="128"/>
      <c r="N187" s="128"/>
      <c r="O187" s="128"/>
      <c r="P187" s="128"/>
      <c r="Q187" s="128"/>
      <c r="R187" s="128"/>
      <c r="S187" s="128"/>
      <c r="T187" s="128"/>
      <c r="U187" s="128"/>
      <c r="V187" s="128"/>
      <c r="W187" s="128"/>
      <c r="X187" s="128"/>
      <c r="Y187" s="128"/>
      <c r="Z187" s="128"/>
      <c r="AA187" s="128"/>
      <c r="AB187" s="128"/>
      <c r="AC187" s="128"/>
      <c r="AD187" s="128"/>
      <c r="AE187" s="128"/>
    </row>
    <row r="188">
      <c r="A188" s="125" t="s">
        <v>5668</v>
      </c>
      <c r="B188" s="125" t="s">
        <v>5669</v>
      </c>
      <c r="C188" s="125" t="s">
        <v>5671</v>
      </c>
      <c r="D188" s="129" t="s">
        <v>5672</v>
      </c>
      <c r="E188" s="125" t="s">
        <v>3475</v>
      </c>
      <c r="F188" s="128"/>
      <c r="G188" s="128"/>
      <c r="H188" s="128"/>
      <c r="I188" s="128"/>
      <c r="J188" s="128"/>
      <c r="K188" s="128"/>
      <c r="L188" s="128"/>
      <c r="M188" s="128"/>
      <c r="N188" s="128"/>
      <c r="O188" s="128"/>
      <c r="P188" s="128"/>
      <c r="Q188" s="128"/>
      <c r="R188" s="128"/>
      <c r="S188" s="128"/>
      <c r="T188" s="128"/>
      <c r="U188" s="128"/>
      <c r="V188" s="128"/>
      <c r="W188" s="128"/>
      <c r="X188" s="128"/>
      <c r="Y188" s="128"/>
      <c r="Z188" s="128"/>
      <c r="AA188" s="128"/>
      <c r="AB188" s="128"/>
      <c r="AC188" s="128"/>
      <c r="AD188" s="128"/>
      <c r="AE188" s="128"/>
    </row>
    <row r="189">
      <c r="A189" s="125" t="s">
        <v>5677</v>
      </c>
      <c r="B189" s="125" t="s">
        <v>5679</v>
      </c>
      <c r="C189" s="125" t="s">
        <v>5680</v>
      </c>
      <c r="D189" s="125" t="s">
        <v>5683</v>
      </c>
      <c r="E189" s="127"/>
      <c r="F189" s="128"/>
      <c r="G189" s="128"/>
      <c r="H189" s="128"/>
      <c r="I189" s="128"/>
      <c r="J189" s="128"/>
      <c r="K189" s="128"/>
      <c r="L189" s="128"/>
      <c r="M189" s="128"/>
      <c r="N189" s="128"/>
      <c r="O189" s="128"/>
      <c r="P189" s="128"/>
      <c r="Q189" s="128"/>
      <c r="R189" s="128"/>
      <c r="S189" s="128"/>
      <c r="T189" s="128"/>
      <c r="U189" s="128"/>
      <c r="V189" s="128"/>
      <c r="W189" s="128"/>
      <c r="X189" s="128"/>
      <c r="Y189" s="128"/>
      <c r="Z189" s="128"/>
      <c r="AA189" s="128"/>
      <c r="AB189" s="128"/>
      <c r="AC189" s="128"/>
      <c r="AD189" s="128"/>
      <c r="AE189" s="128"/>
    </row>
    <row r="190">
      <c r="A190" s="122" t="s">
        <v>5696</v>
      </c>
      <c r="B190" s="122" t="s">
        <v>5698</v>
      </c>
      <c r="C190" s="122" t="s">
        <v>5699</v>
      </c>
      <c r="D190" s="123" t="s">
        <v>5700</v>
      </c>
      <c r="E190" s="122" t="s">
        <v>4617</v>
      </c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  <c r="AA190" s="121"/>
      <c r="AB190" s="121"/>
      <c r="AC190" s="121"/>
      <c r="AD190" s="121"/>
      <c r="AE190" s="121"/>
    </row>
    <row r="191">
      <c r="A191" s="122" t="s">
        <v>5708</v>
      </c>
      <c r="B191" s="122" t="s">
        <v>5708</v>
      </c>
      <c r="C191" s="122" t="s">
        <v>5710</v>
      </c>
      <c r="D191" s="123" t="s">
        <v>5711</v>
      </c>
      <c r="E191" s="124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  <c r="AA191" s="121"/>
      <c r="AB191" s="121"/>
      <c r="AC191" s="121"/>
      <c r="AD191" s="121"/>
      <c r="AE191" s="121"/>
    </row>
    <row r="192">
      <c r="A192" s="122" t="s">
        <v>5716</v>
      </c>
      <c r="B192" s="122" t="s">
        <v>5716</v>
      </c>
      <c r="C192" s="122" t="s">
        <v>5719</v>
      </c>
      <c r="D192" s="123" t="s">
        <v>5722</v>
      </c>
      <c r="E192" s="124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  <c r="AA192" s="121"/>
      <c r="AB192" s="121"/>
      <c r="AC192" s="121"/>
      <c r="AD192" s="121"/>
      <c r="AE192" s="121"/>
    </row>
    <row r="193">
      <c r="A193" s="125" t="s">
        <v>5723</v>
      </c>
      <c r="B193" s="125" t="s">
        <v>5726</v>
      </c>
      <c r="C193" s="125" t="s">
        <v>5729</v>
      </c>
      <c r="D193" s="126" t="s">
        <v>5732</v>
      </c>
      <c r="E193" s="127"/>
      <c r="F193" s="128"/>
      <c r="G193" s="128"/>
      <c r="H193" s="128"/>
      <c r="I193" s="128"/>
      <c r="J193" s="128"/>
      <c r="K193" s="128"/>
      <c r="L193" s="128"/>
      <c r="M193" s="128"/>
      <c r="N193" s="128"/>
      <c r="O193" s="128"/>
      <c r="P193" s="128"/>
      <c r="Q193" s="128"/>
      <c r="R193" s="128"/>
      <c r="S193" s="128"/>
      <c r="T193" s="128"/>
      <c r="U193" s="128"/>
      <c r="V193" s="128"/>
      <c r="W193" s="128"/>
      <c r="X193" s="128"/>
      <c r="Y193" s="128"/>
      <c r="Z193" s="128"/>
      <c r="AA193" s="128"/>
      <c r="AB193" s="128"/>
      <c r="AC193" s="128"/>
      <c r="AD193" s="128"/>
      <c r="AE193" s="128"/>
    </row>
    <row r="194">
      <c r="A194" s="125" t="s">
        <v>5736</v>
      </c>
      <c r="B194" s="125" t="s">
        <v>5739</v>
      </c>
      <c r="C194" s="125" t="s">
        <v>5741</v>
      </c>
      <c r="D194" s="126" t="s">
        <v>5744</v>
      </c>
      <c r="E194" s="127"/>
      <c r="F194" s="128"/>
      <c r="G194" s="128"/>
      <c r="H194" s="128"/>
      <c r="I194" s="128"/>
      <c r="J194" s="128"/>
      <c r="K194" s="128"/>
      <c r="L194" s="128"/>
      <c r="M194" s="128"/>
      <c r="N194" s="128"/>
      <c r="O194" s="128"/>
      <c r="P194" s="128"/>
      <c r="Q194" s="128"/>
      <c r="R194" s="128"/>
      <c r="S194" s="128"/>
      <c r="T194" s="128"/>
      <c r="U194" s="128"/>
      <c r="V194" s="128"/>
      <c r="W194" s="128"/>
      <c r="X194" s="128"/>
      <c r="Y194" s="128"/>
      <c r="Z194" s="128"/>
      <c r="AA194" s="128"/>
      <c r="AB194" s="128"/>
      <c r="AC194" s="128"/>
      <c r="AD194" s="128"/>
      <c r="AE194" s="128"/>
    </row>
    <row r="195">
      <c r="A195" s="125" t="s">
        <v>5747</v>
      </c>
      <c r="B195" s="125" t="s">
        <v>5748</v>
      </c>
      <c r="C195" s="125" t="s">
        <v>5750</v>
      </c>
      <c r="D195" s="126" t="s">
        <v>5753</v>
      </c>
      <c r="E195" s="127"/>
      <c r="F195" s="128"/>
      <c r="G195" s="128"/>
      <c r="H195" s="128"/>
      <c r="I195" s="128"/>
      <c r="J195" s="128"/>
      <c r="K195" s="128"/>
      <c r="L195" s="128"/>
      <c r="M195" s="128"/>
      <c r="N195" s="128"/>
      <c r="O195" s="128"/>
      <c r="P195" s="128"/>
      <c r="Q195" s="128"/>
      <c r="R195" s="128"/>
      <c r="S195" s="128"/>
      <c r="T195" s="128"/>
      <c r="U195" s="128"/>
      <c r="V195" s="128"/>
      <c r="W195" s="128"/>
      <c r="X195" s="128"/>
      <c r="Y195" s="128"/>
      <c r="Z195" s="128"/>
      <c r="AA195" s="128"/>
      <c r="AB195" s="128"/>
      <c r="AC195" s="128"/>
      <c r="AD195" s="128"/>
      <c r="AE195" s="128"/>
    </row>
    <row r="196">
      <c r="A196" s="122" t="s">
        <v>5759</v>
      </c>
      <c r="B196" s="122" t="s">
        <v>5760</v>
      </c>
      <c r="C196" s="120" t="s">
        <v>5761</v>
      </c>
      <c r="D196" s="123" t="s">
        <v>5763</v>
      </c>
      <c r="E196" s="124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  <c r="AA196" s="121"/>
      <c r="AB196" s="121"/>
      <c r="AC196" s="121"/>
      <c r="AD196" s="121"/>
      <c r="AE196" s="121"/>
    </row>
    <row r="197">
      <c r="A197" s="122" t="s">
        <v>5771</v>
      </c>
      <c r="B197" s="122" t="s">
        <v>5771</v>
      </c>
      <c r="C197" s="122" t="s">
        <v>5772</v>
      </c>
      <c r="D197" s="123" t="s">
        <v>5773</v>
      </c>
      <c r="E197" s="124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  <c r="AA197" s="121"/>
      <c r="AB197" s="121"/>
      <c r="AC197" s="121"/>
      <c r="AD197" s="121"/>
      <c r="AE197" s="121"/>
    </row>
    <row r="198">
      <c r="A198" s="122" t="s">
        <v>4075</v>
      </c>
      <c r="B198" s="122" t="s">
        <v>4075</v>
      </c>
      <c r="C198" s="122" t="s">
        <v>4077</v>
      </c>
      <c r="D198" s="123" t="s">
        <v>5782</v>
      </c>
      <c r="E198" s="124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  <c r="AA198" s="121"/>
      <c r="AB198" s="121"/>
      <c r="AC198" s="121"/>
      <c r="AD198" s="121"/>
      <c r="AE198" s="121"/>
    </row>
    <row r="199">
      <c r="A199" s="122" t="s">
        <v>5791</v>
      </c>
      <c r="B199" s="122" t="s">
        <v>5792</v>
      </c>
      <c r="C199" s="122" t="s">
        <v>5793</v>
      </c>
      <c r="D199" s="123" t="s">
        <v>5794</v>
      </c>
      <c r="E199" s="124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  <c r="AA199" s="121"/>
      <c r="AB199" s="121"/>
      <c r="AC199" s="121"/>
      <c r="AD199" s="121"/>
      <c r="AE199" s="121"/>
    </row>
    <row r="200">
      <c r="A200" s="129" t="s">
        <v>5798</v>
      </c>
      <c r="B200" s="129" t="s">
        <v>5800</v>
      </c>
      <c r="C200" s="129" t="s">
        <v>5801</v>
      </c>
      <c r="D200" s="129" t="s">
        <v>5802</v>
      </c>
      <c r="E200" s="129" t="s">
        <v>4484</v>
      </c>
      <c r="F200" s="128"/>
      <c r="G200" s="128"/>
      <c r="H200" s="128"/>
      <c r="I200" s="128"/>
      <c r="J200" s="128"/>
      <c r="K200" s="128"/>
      <c r="L200" s="128"/>
      <c r="M200" s="128"/>
      <c r="N200" s="128"/>
      <c r="O200" s="128"/>
      <c r="P200" s="128"/>
      <c r="Q200" s="128"/>
      <c r="R200" s="128"/>
      <c r="S200" s="128"/>
      <c r="T200" s="128"/>
      <c r="U200" s="128"/>
      <c r="V200" s="128"/>
      <c r="W200" s="128"/>
      <c r="X200" s="128"/>
      <c r="Y200" s="128"/>
      <c r="Z200" s="128"/>
      <c r="AA200" s="128"/>
      <c r="AB200" s="128"/>
      <c r="AC200" s="128"/>
      <c r="AD200" s="128"/>
      <c r="AE200" s="128"/>
    </row>
    <row r="201">
      <c r="A201" s="122" t="s">
        <v>5806</v>
      </c>
      <c r="B201" s="122" t="s">
        <v>5807</v>
      </c>
      <c r="C201" s="122" t="s">
        <v>5808</v>
      </c>
      <c r="D201" s="123" t="s">
        <v>5809</v>
      </c>
      <c r="E201" s="124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  <c r="AA201" s="121"/>
      <c r="AB201" s="121"/>
      <c r="AC201" s="121"/>
      <c r="AD201" s="121"/>
      <c r="AE201" s="121"/>
    </row>
    <row r="202">
      <c r="A202" s="122" t="s">
        <v>5813</v>
      </c>
      <c r="B202" s="122" t="s">
        <v>5815</v>
      </c>
      <c r="C202" s="122" t="s">
        <v>5816</v>
      </c>
      <c r="D202" s="123" t="s">
        <v>5817</v>
      </c>
      <c r="E202" s="124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  <c r="AA202" s="121"/>
      <c r="AB202" s="121"/>
      <c r="AC202" s="121"/>
      <c r="AD202" s="121"/>
      <c r="AE202" s="121"/>
    </row>
    <row r="203">
      <c r="A203" s="125" t="s">
        <v>5820</v>
      </c>
      <c r="B203" s="125" t="s">
        <v>5820</v>
      </c>
      <c r="C203" s="125" t="s">
        <v>5824</v>
      </c>
      <c r="D203" s="126" t="s">
        <v>5826</v>
      </c>
      <c r="E203" s="127"/>
      <c r="F203" s="128"/>
      <c r="G203" s="128"/>
      <c r="H203" s="128"/>
      <c r="I203" s="128"/>
      <c r="J203" s="128"/>
      <c r="K203" s="128"/>
      <c r="L203" s="128"/>
      <c r="M203" s="128"/>
      <c r="N203" s="128"/>
      <c r="O203" s="128"/>
      <c r="P203" s="128"/>
      <c r="Q203" s="128"/>
      <c r="R203" s="128"/>
      <c r="S203" s="128"/>
      <c r="T203" s="128"/>
      <c r="U203" s="128"/>
      <c r="V203" s="128"/>
      <c r="W203" s="128"/>
      <c r="X203" s="128"/>
      <c r="Y203" s="128"/>
      <c r="Z203" s="128"/>
      <c r="AA203" s="128"/>
      <c r="AB203" s="128"/>
      <c r="AC203" s="128"/>
      <c r="AD203" s="128"/>
      <c r="AE203" s="128"/>
    </row>
    <row r="204">
      <c r="A204" s="122" t="s">
        <v>5831</v>
      </c>
      <c r="B204" s="122" t="s">
        <v>5833</v>
      </c>
      <c r="C204" s="122" t="s">
        <v>5838</v>
      </c>
      <c r="D204" s="123" t="s">
        <v>5839</v>
      </c>
      <c r="E204" s="124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  <c r="AA204" s="121"/>
      <c r="AB204" s="121"/>
      <c r="AC204" s="121"/>
      <c r="AD204" s="121"/>
      <c r="AE204" s="121"/>
    </row>
    <row r="205">
      <c r="A205" s="125" t="s">
        <v>5845</v>
      </c>
      <c r="B205" s="125" t="s">
        <v>5847</v>
      </c>
      <c r="C205" s="125" t="s">
        <v>5848</v>
      </c>
      <c r="D205" s="126" t="s">
        <v>5850</v>
      </c>
      <c r="E205" s="127"/>
      <c r="F205" s="128"/>
      <c r="G205" s="128"/>
      <c r="H205" s="128"/>
      <c r="I205" s="128"/>
      <c r="J205" s="128"/>
      <c r="K205" s="128"/>
      <c r="L205" s="128"/>
      <c r="M205" s="128"/>
      <c r="N205" s="128"/>
      <c r="O205" s="128"/>
      <c r="P205" s="128"/>
      <c r="Q205" s="128"/>
      <c r="R205" s="128"/>
      <c r="S205" s="128"/>
      <c r="T205" s="128"/>
      <c r="U205" s="128"/>
      <c r="V205" s="128"/>
      <c r="W205" s="128"/>
      <c r="X205" s="128"/>
      <c r="Y205" s="128"/>
      <c r="Z205" s="128"/>
      <c r="AA205" s="128"/>
      <c r="AB205" s="128"/>
      <c r="AC205" s="128"/>
      <c r="AD205" s="128"/>
      <c r="AE205" s="128"/>
    </row>
    <row r="206">
      <c r="A206" s="122" t="s">
        <v>5856</v>
      </c>
      <c r="B206" s="122" t="s">
        <v>5856</v>
      </c>
      <c r="C206" s="122" t="s">
        <v>5859</v>
      </c>
      <c r="D206" s="123" t="s">
        <v>5817</v>
      </c>
      <c r="E206" s="124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  <c r="AA206" s="121"/>
      <c r="AB206" s="121"/>
      <c r="AC206" s="121"/>
      <c r="AD206" s="121"/>
      <c r="AE206" s="121"/>
    </row>
    <row r="207">
      <c r="A207" s="122" t="s">
        <v>5861</v>
      </c>
      <c r="B207" s="122" t="s">
        <v>5863</v>
      </c>
      <c r="C207" s="122" t="s">
        <v>5865</v>
      </c>
      <c r="D207" s="123" t="s">
        <v>5867</v>
      </c>
      <c r="E207" s="124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  <c r="AA207" s="121"/>
      <c r="AB207" s="121"/>
      <c r="AC207" s="121"/>
      <c r="AD207" s="121"/>
      <c r="AE207" s="121"/>
    </row>
    <row r="208">
      <c r="A208" s="122" t="s">
        <v>5872</v>
      </c>
      <c r="B208" s="122" t="s">
        <v>5873</v>
      </c>
      <c r="C208" s="122" t="s">
        <v>5874</v>
      </c>
      <c r="D208" s="120" t="s">
        <v>5876</v>
      </c>
      <c r="E208" s="122" t="s">
        <v>4617</v>
      </c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  <c r="AA208" s="121"/>
      <c r="AB208" s="121"/>
      <c r="AC208" s="121"/>
      <c r="AD208" s="121"/>
      <c r="AE208" s="121"/>
    </row>
    <row r="209">
      <c r="A209" s="122" t="s">
        <v>5884</v>
      </c>
      <c r="B209" s="122" t="s">
        <v>5885</v>
      </c>
      <c r="C209" s="122" t="s">
        <v>5886</v>
      </c>
      <c r="D209" s="123" t="s">
        <v>5887</v>
      </c>
      <c r="E209" s="124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  <c r="AA209" s="121"/>
      <c r="AB209" s="121"/>
      <c r="AC209" s="121"/>
      <c r="AD209" s="121"/>
      <c r="AE209" s="121"/>
    </row>
    <row r="210">
      <c r="A210" s="122" t="s">
        <v>5893</v>
      </c>
      <c r="B210" s="122" t="s">
        <v>5895</v>
      </c>
      <c r="C210" s="122" t="s">
        <v>5896</v>
      </c>
      <c r="D210" s="123" t="s">
        <v>5898</v>
      </c>
      <c r="E210" s="124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  <c r="AA210" s="121"/>
      <c r="AB210" s="121"/>
      <c r="AC210" s="121"/>
      <c r="AD210" s="121"/>
      <c r="AE210" s="121"/>
    </row>
    <row r="211">
      <c r="A211" s="125" t="s">
        <v>5901</v>
      </c>
      <c r="B211" s="125" t="s">
        <v>5902</v>
      </c>
      <c r="C211" s="129" t="s">
        <v>5904</v>
      </c>
      <c r="D211" s="126" t="s">
        <v>4468</v>
      </c>
      <c r="E211" s="127"/>
      <c r="F211" s="128"/>
      <c r="G211" s="128"/>
      <c r="H211" s="128"/>
      <c r="I211" s="128"/>
      <c r="J211" s="128"/>
      <c r="K211" s="128"/>
      <c r="L211" s="128"/>
      <c r="M211" s="128"/>
      <c r="N211" s="128"/>
      <c r="O211" s="128"/>
      <c r="P211" s="128"/>
      <c r="Q211" s="128"/>
      <c r="R211" s="128"/>
      <c r="S211" s="128"/>
      <c r="T211" s="128"/>
      <c r="U211" s="128"/>
      <c r="V211" s="128"/>
      <c r="W211" s="128"/>
      <c r="X211" s="128"/>
      <c r="Y211" s="128"/>
      <c r="Z211" s="128"/>
      <c r="AA211" s="128"/>
      <c r="AB211" s="128"/>
      <c r="AC211" s="128"/>
      <c r="AD211" s="128"/>
      <c r="AE211" s="128"/>
    </row>
    <row r="212">
      <c r="A212" s="125" t="s">
        <v>5909</v>
      </c>
      <c r="B212" s="125" t="s">
        <v>5909</v>
      </c>
      <c r="C212" s="125" t="s">
        <v>5910</v>
      </c>
      <c r="D212" s="126" t="s">
        <v>5898</v>
      </c>
      <c r="E212" s="127"/>
      <c r="F212" s="128"/>
      <c r="G212" s="128"/>
      <c r="H212" s="128"/>
      <c r="I212" s="128"/>
      <c r="J212" s="128"/>
      <c r="K212" s="128"/>
      <c r="L212" s="128"/>
      <c r="M212" s="128"/>
      <c r="N212" s="128"/>
      <c r="O212" s="128"/>
      <c r="P212" s="128"/>
      <c r="Q212" s="128"/>
      <c r="R212" s="128"/>
      <c r="S212" s="128"/>
      <c r="T212" s="128"/>
      <c r="U212" s="128"/>
      <c r="V212" s="128"/>
      <c r="W212" s="128"/>
      <c r="X212" s="128"/>
      <c r="Y212" s="128"/>
      <c r="Z212" s="128"/>
      <c r="AA212" s="128"/>
      <c r="AB212" s="128"/>
      <c r="AC212" s="128"/>
      <c r="AD212" s="128"/>
      <c r="AE212" s="128"/>
    </row>
    <row r="213">
      <c r="A213" s="122" t="s">
        <v>5916</v>
      </c>
      <c r="B213" s="122" t="s">
        <v>5916</v>
      </c>
      <c r="C213" s="122" t="s">
        <v>5917</v>
      </c>
      <c r="D213" s="123" t="s">
        <v>5918</v>
      </c>
      <c r="E213" s="124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  <c r="AA213" s="121"/>
      <c r="AB213" s="121"/>
      <c r="AC213" s="121"/>
      <c r="AD213" s="121"/>
      <c r="AE213" s="121"/>
    </row>
    <row r="214">
      <c r="A214" s="122" t="s">
        <v>5926</v>
      </c>
      <c r="B214" s="122" t="s">
        <v>5927</v>
      </c>
      <c r="C214" s="122" t="s">
        <v>5928</v>
      </c>
      <c r="D214" s="123" t="s">
        <v>5817</v>
      </c>
      <c r="E214" s="124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  <c r="AA214" s="121"/>
      <c r="AB214" s="121"/>
      <c r="AC214" s="121"/>
      <c r="AD214" s="121"/>
      <c r="AE214" s="121"/>
    </row>
    <row r="215">
      <c r="A215" s="120" t="s">
        <v>5934</v>
      </c>
      <c r="B215" s="120" t="s">
        <v>5935</v>
      </c>
      <c r="C215" s="120" t="s">
        <v>5937</v>
      </c>
      <c r="D215" s="120" t="s">
        <v>5938</v>
      </c>
      <c r="E215" s="120" t="s">
        <v>4484</v>
      </c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  <c r="AA215" s="121"/>
      <c r="AB215" s="121"/>
      <c r="AC215" s="121"/>
      <c r="AD215" s="121"/>
      <c r="AE215" s="121"/>
    </row>
    <row r="216">
      <c r="A216" s="125" t="s">
        <v>5943</v>
      </c>
      <c r="B216" s="125" t="s">
        <v>5944</v>
      </c>
      <c r="C216" s="125" t="s">
        <v>5946</v>
      </c>
      <c r="D216" s="126" t="s">
        <v>5947</v>
      </c>
      <c r="E216" s="127"/>
      <c r="F216" s="128"/>
      <c r="G216" s="128"/>
      <c r="H216" s="128"/>
      <c r="I216" s="128"/>
      <c r="J216" s="128"/>
      <c r="K216" s="128"/>
      <c r="L216" s="128"/>
      <c r="M216" s="128"/>
      <c r="N216" s="128"/>
      <c r="O216" s="128"/>
      <c r="P216" s="128"/>
      <c r="Q216" s="128"/>
      <c r="R216" s="128"/>
      <c r="S216" s="128"/>
      <c r="T216" s="128"/>
      <c r="U216" s="128"/>
      <c r="V216" s="128"/>
      <c r="W216" s="128"/>
      <c r="X216" s="128"/>
      <c r="Y216" s="128"/>
      <c r="Z216" s="128"/>
      <c r="AA216" s="128"/>
      <c r="AB216" s="128"/>
      <c r="AC216" s="128"/>
      <c r="AD216" s="128"/>
      <c r="AE216" s="128"/>
    </row>
    <row r="217">
      <c r="A217" s="122" t="s">
        <v>5952</v>
      </c>
      <c r="B217" s="122" t="s">
        <v>5953</v>
      </c>
      <c r="C217" s="122" t="s">
        <v>5954</v>
      </c>
      <c r="D217" s="122" t="s">
        <v>5955</v>
      </c>
      <c r="E217" s="124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  <c r="AA217" s="121"/>
      <c r="AB217" s="121"/>
      <c r="AC217" s="121"/>
      <c r="AD217" s="121"/>
      <c r="AE217" s="121"/>
    </row>
    <row r="218">
      <c r="A218" s="125" t="s">
        <v>5964</v>
      </c>
      <c r="B218" s="125" t="s">
        <v>5964</v>
      </c>
      <c r="C218" s="125" t="s">
        <v>5965</v>
      </c>
      <c r="D218" s="126" t="s">
        <v>5966</v>
      </c>
      <c r="E218" s="127"/>
      <c r="F218" s="128"/>
      <c r="G218" s="128"/>
      <c r="H218" s="128"/>
      <c r="I218" s="128"/>
      <c r="J218" s="128"/>
      <c r="K218" s="128"/>
      <c r="L218" s="128"/>
      <c r="M218" s="128"/>
      <c r="N218" s="128"/>
      <c r="O218" s="128"/>
      <c r="P218" s="128"/>
      <c r="Q218" s="128"/>
      <c r="R218" s="128"/>
      <c r="S218" s="128"/>
      <c r="T218" s="128"/>
      <c r="U218" s="128"/>
      <c r="V218" s="128"/>
      <c r="W218" s="128"/>
      <c r="X218" s="128"/>
      <c r="Y218" s="128"/>
      <c r="Z218" s="128"/>
      <c r="AA218" s="128"/>
      <c r="AB218" s="128"/>
      <c r="AC218" s="128"/>
      <c r="AD218" s="128"/>
      <c r="AE218" s="128"/>
    </row>
    <row r="219">
      <c r="A219" s="125" t="s">
        <v>5974</v>
      </c>
      <c r="B219" s="125" t="s">
        <v>5974</v>
      </c>
      <c r="C219" s="125" t="s">
        <v>5976</v>
      </c>
      <c r="D219" s="126" t="s">
        <v>5977</v>
      </c>
      <c r="E219" s="127"/>
      <c r="F219" s="128"/>
      <c r="G219" s="128"/>
      <c r="H219" s="128"/>
      <c r="I219" s="128"/>
      <c r="J219" s="128"/>
      <c r="K219" s="128"/>
      <c r="L219" s="128"/>
      <c r="M219" s="128"/>
      <c r="N219" s="128"/>
      <c r="O219" s="128"/>
      <c r="P219" s="128"/>
      <c r="Q219" s="128"/>
      <c r="R219" s="128"/>
      <c r="S219" s="128"/>
      <c r="T219" s="128"/>
      <c r="U219" s="128"/>
      <c r="V219" s="128"/>
      <c r="W219" s="128"/>
      <c r="X219" s="128"/>
      <c r="Y219" s="128"/>
      <c r="Z219" s="128"/>
      <c r="AA219" s="128"/>
      <c r="AB219" s="128"/>
      <c r="AC219" s="128"/>
      <c r="AD219" s="128"/>
      <c r="AE219" s="128"/>
    </row>
    <row r="220">
      <c r="A220" s="122" t="s">
        <v>5984</v>
      </c>
      <c r="B220" s="122" t="s">
        <v>5986</v>
      </c>
      <c r="C220" s="122" t="s">
        <v>5987</v>
      </c>
      <c r="D220" s="123" t="s">
        <v>5989</v>
      </c>
      <c r="E220" s="124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  <c r="AA220" s="121"/>
      <c r="AB220" s="121"/>
      <c r="AC220" s="121"/>
      <c r="AD220" s="121"/>
      <c r="AE220" s="121"/>
    </row>
    <row r="221">
      <c r="A221" s="125" t="s">
        <v>5995</v>
      </c>
      <c r="B221" s="125" t="s">
        <v>5998</v>
      </c>
      <c r="C221" s="125" t="s">
        <v>6000</v>
      </c>
      <c r="D221" s="126" t="s">
        <v>6001</v>
      </c>
      <c r="E221" s="127"/>
      <c r="F221" s="128"/>
      <c r="G221" s="128"/>
      <c r="H221" s="128"/>
      <c r="I221" s="128"/>
      <c r="J221" s="128"/>
      <c r="K221" s="128"/>
      <c r="L221" s="128"/>
      <c r="M221" s="128"/>
      <c r="N221" s="128"/>
      <c r="O221" s="128"/>
      <c r="P221" s="128"/>
      <c r="Q221" s="128"/>
      <c r="R221" s="128"/>
      <c r="S221" s="128"/>
      <c r="T221" s="128"/>
      <c r="U221" s="128"/>
      <c r="V221" s="128"/>
      <c r="W221" s="128"/>
      <c r="X221" s="128"/>
      <c r="Y221" s="128"/>
      <c r="Z221" s="128"/>
      <c r="AA221" s="128"/>
      <c r="AB221" s="128"/>
      <c r="AC221" s="128"/>
      <c r="AD221" s="128"/>
      <c r="AE221" s="128"/>
    </row>
    <row r="222">
      <c r="A222" s="125" t="s">
        <v>6005</v>
      </c>
      <c r="B222" s="125" t="s">
        <v>6008</v>
      </c>
      <c r="C222" s="125" t="s">
        <v>6010</v>
      </c>
      <c r="D222" s="126" t="s">
        <v>6012</v>
      </c>
      <c r="E222" s="127"/>
      <c r="F222" s="128"/>
      <c r="G222" s="128"/>
      <c r="H222" s="128"/>
      <c r="I222" s="128"/>
      <c r="J222" s="128"/>
      <c r="K222" s="128"/>
      <c r="L222" s="128"/>
      <c r="M222" s="128"/>
      <c r="N222" s="128"/>
      <c r="O222" s="128"/>
      <c r="P222" s="128"/>
      <c r="Q222" s="128"/>
      <c r="R222" s="128"/>
      <c r="S222" s="128"/>
      <c r="T222" s="128"/>
      <c r="U222" s="128"/>
      <c r="V222" s="128"/>
      <c r="W222" s="128"/>
      <c r="X222" s="128"/>
      <c r="Y222" s="128"/>
      <c r="Z222" s="128"/>
      <c r="AA222" s="128"/>
      <c r="AB222" s="128"/>
      <c r="AC222" s="128"/>
      <c r="AD222" s="128"/>
      <c r="AE222" s="128"/>
    </row>
    <row r="223">
      <c r="A223" s="122" t="s">
        <v>6015</v>
      </c>
      <c r="B223" s="122" t="s">
        <v>6016</v>
      </c>
      <c r="C223" s="120" t="s">
        <v>6018</v>
      </c>
      <c r="D223" s="123" t="s">
        <v>6021</v>
      </c>
      <c r="E223" s="124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  <c r="AA223" s="121"/>
      <c r="AB223" s="121"/>
      <c r="AC223" s="121"/>
      <c r="AD223" s="121"/>
      <c r="AE223" s="121"/>
    </row>
    <row r="224">
      <c r="A224" s="122" t="s">
        <v>6027</v>
      </c>
      <c r="B224" s="122" t="s">
        <v>6028</v>
      </c>
      <c r="C224" s="122" t="s">
        <v>6029</v>
      </c>
      <c r="D224" s="120" t="s">
        <v>6030</v>
      </c>
      <c r="E224" s="124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  <c r="AA224" s="121"/>
      <c r="AB224" s="121"/>
      <c r="AC224" s="121"/>
      <c r="AD224" s="121"/>
      <c r="AE224" s="121"/>
    </row>
    <row r="225">
      <c r="A225" s="125" t="s">
        <v>6038</v>
      </c>
      <c r="B225" s="125" t="s">
        <v>6038</v>
      </c>
      <c r="C225" s="125" t="s">
        <v>6040</v>
      </c>
      <c r="D225" s="125" t="s">
        <v>6041</v>
      </c>
      <c r="E225" s="127"/>
      <c r="F225" s="128"/>
      <c r="G225" s="128"/>
      <c r="H225" s="128"/>
      <c r="I225" s="128"/>
      <c r="J225" s="128"/>
      <c r="K225" s="128"/>
      <c r="L225" s="128"/>
      <c r="M225" s="128"/>
      <c r="N225" s="128"/>
      <c r="O225" s="128"/>
      <c r="P225" s="128"/>
      <c r="Q225" s="128"/>
      <c r="R225" s="128"/>
      <c r="S225" s="128"/>
      <c r="T225" s="128"/>
      <c r="U225" s="128"/>
      <c r="V225" s="128"/>
      <c r="W225" s="128"/>
      <c r="X225" s="128"/>
      <c r="Y225" s="128"/>
      <c r="Z225" s="128"/>
      <c r="AA225" s="128"/>
      <c r="AB225" s="128"/>
      <c r="AC225" s="128"/>
      <c r="AD225" s="128"/>
      <c r="AE225" s="128"/>
    </row>
    <row r="226">
      <c r="A226" s="122" t="s">
        <v>6044</v>
      </c>
      <c r="B226" s="122" t="s">
        <v>6044</v>
      </c>
      <c r="C226" s="122" t="s">
        <v>6046</v>
      </c>
      <c r="D226" s="122" t="s">
        <v>6049</v>
      </c>
      <c r="E226" s="124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  <c r="AA226" s="121"/>
      <c r="AB226" s="121"/>
      <c r="AC226" s="121"/>
      <c r="AD226" s="121"/>
      <c r="AE226" s="121"/>
    </row>
    <row r="227">
      <c r="A227" s="125" t="s">
        <v>6053</v>
      </c>
      <c r="B227" s="125" t="s">
        <v>6055</v>
      </c>
      <c r="C227" s="125" t="s">
        <v>6057</v>
      </c>
      <c r="D227" s="129" t="s">
        <v>6059</v>
      </c>
      <c r="E227" s="125" t="s">
        <v>4970</v>
      </c>
      <c r="F227" s="128"/>
      <c r="G227" s="128"/>
      <c r="H227" s="128"/>
      <c r="I227" s="128"/>
      <c r="J227" s="128"/>
      <c r="K227" s="128"/>
      <c r="L227" s="128"/>
      <c r="M227" s="128"/>
      <c r="N227" s="128"/>
      <c r="O227" s="128"/>
      <c r="P227" s="128"/>
      <c r="Q227" s="128"/>
      <c r="R227" s="128"/>
      <c r="S227" s="128"/>
      <c r="T227" s="128"/>
      <c r="U227" s="128"/>
      <c r="V227" s="128"/>
      <c r="W227" s="128"/>
      <c r="X227" s="128"/>
      <c r="Y227" s="128"/>
      <c r="Z227" s="128"/>
      <c r="AA227" s="128"/>
      <c r="AB227" s="128"/>
      <c r="AC227" s="128"/>
      <c r="AD227" s="128"/>
      <c r="AE227" s="128"/>
    </row>
    <row r="228">
      <c r="A228" s="125" t="s">
        <v>6064</v>
      </c>
      <c r="B228" s="125" t="s">
        <v>6066</v>
      </c>
      <c r="C228" s="125" t="s">
        <v>6068</v>
      </c>
      <c r="D228" s="129" t="s">
        <v>6070</v>
      </c>
      <c r="E228" s="125" t="s">
        <v>5404</v>
      </c>
      <c r="F228" s="128"/>
      <c r="G228" s="128"/>
      <c r="H228" s="128"/>
      <c r="I228" s="128"/>
      <c r="J228" s="128"/>
      <c r="K228" s="128"/>
      <c r="L228" s="128"/>
      <c r="M228" s="128"/>
      <c r="N228" s="128"/>
      <c r="O228" s="128"/>
      <c r="P228" s="128"/>
      <c r="Q228" s="128"/>
      <c r="R228" s="128"/>
      <c r="S228" s="128"/>
      <c r="T228" s="128"/>
      <c r="U228" s="128"/>
      <c r="V228" s="128"/>
      <c r="W228" s="128"/>
      <c r="X228" s="128"/>
      <c r="Y228" s="128"/>
      <c r="Z228" s="128"/>
      <c r="AA228" s="128"/>
      <c r="AB228" s="128"/>
      <c r="AC228" s="128"/>
      <c r="AD228" s="128"/>
      <c r="AE228" s="128"/>
    </row>
    <row r="229">
      <c r="A229" s="122" t="s">
        <v>6076</v>
      </c>
      <c r="B229" s="122" t="s">
        <v>6077</v>
      </c>
      <c r="C229" s="122" t="s">
        <v>6079</v>
      </c>
      <c r="D229" s="120" t="s">
        <v>6081</v>
      </c>
      <c r="E229" s="122" t="s">
        <v>4958</v>
      </c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  <c r="AA229" s="121"/>
      <c r="AB229" s="121"/>
      <c r="AC229" s="121"/>
      <c r="AD229" s="121"/>
      <c r="AE229" s="121"/>
    </row>
    <row r="230">
      <c r="A230" s="120" t="s">
        <v>6088</v>
      </c>
      <c r="B230" s="120" t="s">
        <v>6089</v>
      </c>
      <c r="C230" s="120" t="s">
        <v>6091</v>
      </c>
      <c r="D230" s="120" t="s">
        <v>6093</v>
      </c>
      <c r="E230" s="120" t="s">
        <v>4484</v>
      </c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  <c r="AA230" s="121"/>
      <c r="AB230" s="121"/>
      <c r="AC230" s="121"/>
      <c r="AD230" s="121"/>
      <c r="AE230" s="121"/>
    </row>
    <row r="231">
      <c r="A231" s="122" t="s">
        <v>6100</v>
      </c>
      <c r="B231" s="122" t="s">
        <v>6100</v>
      </c>
      <c r="C231" s="122" t="s">
        <v>6101</v>
      </c>
      <c r="D231" s="122" t="s">
        <v>6102</v>
      </c>
      <c r="E231" s="124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  <c r="AA231" s="121"/>
      <c r="AB231" s="121"/>
      <c r="AC231" s="121"/>
      <c r="AD231" s="121"/>
      <c r="AE231" s="121"/>
    </row>
    <row r="232">
      <c r="A232" s="122" t="s">
        <v>6110</v>
      </c>
      <c r="B232" s="122" t="s">
        <v>6111</v>
      </c>
      <c r="C232" s="122" t="s">
        <v>6113</v>
      </c>
      <c r="D232" s="120" t="s">
        <v>6114</v>
      </c>
      <c r="E232" s="124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  <c r="AA232" s="121"/>
      <c r="AB232" s="121"/>
      <c r="AC232" s="121"/>
      <c r="AD232" s="121"/>
      <c r="AE232" s="121"/>
    </row>
    <row r="233">
      <c r="A233" s="125" t="s">
        <v>6119</v>
      </c>
      <c r="B233" s="125" t="s">
        <v>6121</v>
      </c>
      <c r="C233" s="125" t="s">
        <v>6123</v>
      </c>
      <c r="D233" s="125" t="s">
        <v>6125</v>
      </c>
      <c r="E233" s="127"/>
      <c r="F233" s="128"/>
      <c r="G233" s="128"/>
      <c r="H233" s="128"/>
      <c r="I233" s="128"/>
      <c r="J233" s="128"/>
      <c r="K233" s="128"/>
      <c r="L233" s="128"/>
      <c r="M233" s="128"/>
      <c r="N233" s="128"/>
      <c r="O233" s="128"/>
      <c r="P233" s="128"/>
      <c r="Q233" s="128"/>
      <c r="R233" s="128"/>
      <c r="S233" s="128"/>
      <c r="T233" s="128"/>
      <c r="U233" s="128"/>
      <c r="V233" s="128"/>
      <c r="W233" s="128"/>
      <c r="X233" s="128"/>
      <c r="Y233" s="128"/>
      <c r="Z233" s="128"/>
      <c r="AA233" s="128"/>
      <c r="AB233" s="128"/>
      <c r="AC233" s="128"/>
      <c r="AD233" s="128"/>
      <c r="AE233" s="128"/>
    </row>
    <row r="234">
      <c r="A234" s="122" t="s">
        <v>6131</v>
      </c>
      <c r="B234" s="122" t="s">
        <v>6131</v>
      </c>
      <c r="C234" s="122" t="s">
        <v>6133</v>
      </c>
      <c r="D234" s="122" t="s">
        <v>6102</v>
      </c>
      <c r="E234" s="124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  <c r="AA234" s="121"/>
      <c r="AB234" s="121"/>
      <c r="AC234" s="121"/>
      <c r="AD234" s="121"/>
      <c r="AE234" s="121"/>
    </row>
    <row r="235">
      <c r="A235" s="125" t="s">
        <v>6140</v>
      </c>
      <c r="B235" s="125" t="s">
        <v>6140</v>
      </c>
      <c r="C235" s="125" t="s">
        <v>6141</v>
      </c>
      <c r="D235" s="125" t="s">
        <v>6142</v>
      </c>
      <c r="E235" s="127"/>
      <c r="F235" s="128"/>
      <c r="G235" s="128"/>
      <c r="H235" s="128"/>
      <c r="I235" s="128"/>
      <c r="J235" s="128"/>
      <c r="K235" s="128"/>
      <c r="L235" s="128"/>
      <c r="M235" s="128"/>
      <c r="N235" s="128"/>
      <c r="O235" s="128"/>
      <c r="P235" s="128"/>
      <c r="Q235" s="128"/>
      <c r="R235" s="128"/>
      <c r="S235" s="128"/>
      <c r="T235" s="128"/>
      <c r="U235" s="128"/>
      <c r="V235" s="128"/>
      <c r="W235" s="128"/>
      <c r="X235" s="128"/>
      <c r="Y235" s="128"/>
      <c r="Z235" s="128"/>
      <c r="AA235" s="128"/>
      <c r="AB235" s="128"/>
      <c r="AC235" s="128"/>
      <c r="AD235" s="128"/>
      <c r="AE235" s="128"/>
    </row>
    <row r="236">
      <c r="A236" s="120" t="s">
        <v>6247</v>
      </c>
      <c r="B236" s="120" t="s">
        <v>6249</v>
      </c>
      <c r="C236" s="120" t="s">
        <v>6250</v>
      </c>
      <c r="D236" s="120" t="s">
        <v>6254</v>
      </c>
      <c r="E236" s="120" t="s">
        <v>4604</v>
      </c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  <c r="AA236" s="121"/>
      <c r="AB236" s="121"/>
      <c r="AC236" s="121"/>
      <c r="AD236" s="121"/>
      <c r="AE236" s="121"/>
    </row>
    <row r="237">
      <c r="A237" s="120" t="s">
        <v>6260</v>
      </c>
      <c r="B237" s="120" t="s">
        <v>4635</v>
      </c>
      <c r="C237" s="120" t="s">
        <v>4636</v>
      </c>
      <c r="D237" s="120" t="s">
        <v>6265</v>
      </c>
      <c r="E237" s="122" t="str">
        <f>CONCATENATE(MID(A237,FIND(" {",A237) + 1 + 1,FIND("} ",A237) - 1 - (FIND(" {",A237) + 1)),", ",MID(A237,FIND(CHAR(160),SUBSTITUTE(A237," {",CHAR(160),2)) + 1 + 1,FIND(CHAR(160),SUBSTITUTE(A237,"}",CHAR(160),2)) - 1 - (FIND(CHAR(160),SUBSTITUTE(A237," {",CHAR(160),2)) + 1)))</f>
        <v>supervisor, employee_department</v>
      </c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  <c r="AA237" s="121"/>
      <c r="AB237" s="121"/>
      <c r="AC237" s="121"/>
      <c r="AD237" s="121"/>
      <c r="AE237" s="121"/>
    </row>
    <row r="238">
      <c r="A238" s="120" t="s">
        <v>4621</v>
      </c>
      <c r="B238" s="120" t="s">
        <v>4622</v>
      </c>
      <c r="C238" s="120" t="s">
        <v>4624</v>
      </c>
      <c r="D238" s="120" t="s">
        <v>6344</v>
      </c>
      <c r="E238" s="120" t="s">
        <v>4628</v>
      </c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  <c r="AA238" s="121"/>
      <c r="AB238" s="121"/>
      <c r="AC238" s="121"/>
      <c r="AD238" s="121"/>
      <c r="AE238" s="121"/>
    </row>
    <row r="239">
      <c r="A239" s="120" t="s">
        <v>6352</v>
      </c>
      <c r="B239" s="120" t="s">
        <v>4984</v>
      </c>
      <c r="C239" s="120" t="s">
        <v>4987</v>
      </c>
      <c r="D239" s="120" t="s">
        <v>6355</v>
      </c>
      <c r="E239" s="120" t="s">
        <v>4604</v>
      </c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  <c r="AA239" s="121"/>
      <c r="AB239" s="121"/>
      <c r="AC239" s="121"/>
      <c r="AD239" s="121"/>
      <c r="AE239" s="121"/>
    </row>
    <row r="240">
      <c r="A240" s="120" t="s">
        <v>6363</v>
      </c>
      <c r="B240" s="120" t="s">
        <v>6365</v>
      </c>
      <c r="C240" s="120" t="s">
        <v>6366</v>
      </c>
      <c r="D240" s="120" t="s">
        <v>6367</v>
      </c>
      <c r="E240" s="122" t="str">
        <f>CONCATENATE(MID(A240,FIND(" {",A240) + 1 + 1,FIND("} ",A240) - 1 - (FIND(" {",A240) + 1)),", ",MID(A240,FIND(CHAR(160),SUBSTITUTE(A240," {",CHAR(160),2)) + 1 + 1,FIND(CHAR(160),SUBSTITUTE(A240,"}",CHAR(160),2)) - 1 - (FIND(CHAR(160),SUBSTITUTE(A240," {",CHAR(160),2)) + 1)))</f>
        <v>employee, employee_department</v>
      </c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  <c r="AA240" s="121"/>
      <c r="AB240" s="121"/>
      <c r="AC240" s="121"/>
      <c r="AD240" s="121"/>
      <c r="AE240" s="121"/>
    </row>
    <row r="241">
      <c r="A241" s="120" t="s">
        <v>6482</v>
      </c>
      <c r="B241" s="120" t="s">
        <v>6485</v>
      </c>
      <c r="C241" s="120" t="s">
        <v>6487</v>
      </c>
      <c r="D241" s="120" t="s">
        <v>6492</v>
      </c>
      <c r="E241" s="120" t="s">
        <v>6494</v>
      </c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  <c r="AA241" s="121"/>
      <c r="AB241" s="121"/>
      <c r="AC241" s="121"/>
      <c r="AD241" s="121"/>
      <c r="AE241" s="121"/>
    </row>
    <row r="242">
      <c r="A242" s="120" t="s">
        <v>6503</v>
      </c>
      <c r="B242" s="120" t="s">
        <v>6504</v>
      </c>
      <c r="C242" s="120" t="s">
        <v>6506</v>
      </c>
      <c r="D242" s="120" t="s">
        <v>6507</v>
      </c>
      <c r="E242" s="122" t="str">
        <f t="shared" ref="E242:E243" si="1">CONCATENATE(MID(A242,FIND(" {",A242) + 1 + 1,FIND("} ",A242) - 1 - (FIND(" {",A242) + 1)),", ",MID(A242,FIND(CHAR(160),SUBSTITUTE(A242," {",CHAR(160),2)) + 1 + 1,FIND(CHAR(160),SUBSTITUTE(A242,"}",CHAR(160),2)) - 1 - (FIND(CHAR(160),SUBSTITUTE(A242," {",CHAR(160),2)) + 1)))</f>
        <v>employee, incentive_scheme</v>
      </c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  <c r="AA242" s="121"/>
      <c r="AB242" s="121"/>
      <c r="AC242" s="121"/>
      <c r="AD242" s="121"/>
      <c r="AE242" s="121"/>
    </row>
    <row r="243">
      <c r="A243" s="129" t="s">
        <v>6555</v>
      </c>
      <c r="B243" s="129" t="s">
        <v>6556</v>
      </c>
      <c r="C243" s="129" t="s">
        <v>6558</v>
      </c>
      <c r="D243" s="129" t="s">
        <v>6561</v>
      </c>
      <c r="E243" s="125" t="str">
        <f t="shared" si="1"/>
        <v>supervisor, employee_department</v>
      </c>
      <c r="F243" s="128"/>
      <c r="G243" s="128"/>
      <c r="H243" s="128"/>
      <c r="I243" s="128"/>
      <c r="J243" s="128"/>
      <c r="K243" s="128"/>
      <c r="L243" s="128"/>
      <c r="M243" s="128"/>
      <c r="N243" s="128"/>
      <c r="O243" s="128"/>
      <c r="P243" s="128"/>
      <c r="Q243" s="128"/>
      <c r="R243" s="128"/>
      <c r="S243" s="128"/>
      <c r="T243" s="128"/>
      <c r="U243" s="128"/>
      <c r="V243" s="128"/>
      <c r="W243" s="128"/>
      <c r="X243" s="128"/>
      <c r="Y243" s="128"/>
      <c r="Z243" s="128"/>
      <c r="AA243" s="128"/>
      <c r="AB243" s="128"/>
      <c r="AC243" s="128"/>
      <c r="AD243" s="128"/>
      <c r="AE243" s="128"/>
    </row>
    <row r="244">
      <c r="A244" s="129" t="s">
        <v>6568</v>
      </c>
      <c r="B244" s="129" t="s">
        <v>6569</v>
      </c>
      <c r="C244" s="129" t="s">
        <v>6570</v>
      </c>
      <c r="D244" s="129" t="s">
        <v>6571</v>
      </c>
      <c r="E244" s="129" t="s">
        <v>4628</v>
      </c>
      <c r="F244" s="128"/>
      <c r="G244" s="128"/>
      <c r="H244" s="128"/>
      <c r="I244" s="128"/>
      <c r="J244" s="128"/>
      <c r="K244" s="128"/>
      <c r="L244" s="128"/>
      <c r="M244" s="128"/>
      <c r="N244" s="128"/>
      <c r="O244" s="128"/>
      <c r="P244" s="128"/>
      <c r="Q244" s="128"/>
      <c r="R244" s="128"/>
      <c r="S244" s="128"/>
      <c r="T244" s="128"/>
      <c r="U244" s="128"/>
      <c r="V244" s="128"/>
      <c r="W244" s="128"/>
      <c r="X244" s="128"/>
      <c r="Y244" s="128"/>
      <c r="Z244" s="128"/>
      <c r="AA244" s="128"/>
      <c r="AB244" s="128"/>
      <c r="AC244" s="128"/>
      <c r="AD244" s="128"/>
      <c r="AE244" s="128"/>
    </row>
    <row r="245">
      <c r="A245" s="120" t="s">
        <v>6576</v>
      </c>
      <c r="B245" s="120" t="s">
        <v>6577</v>
      </c>
      <c r="C245" s="120" t="s">
        <v>6578</v>
      </c>
      <c r="D245" s="120" t="s">
        <v>6579</v>
      </c>
      <c r="E245" s="122" t="str">
        <f>CONCATENATE(MID(A245,FIND(" {",A245) + 1 + 1,FIND("} ",A245) - 1 - (FIND(" {",A245) + 1)),", ",MID(A245,FIND(CHAR(160),SUBSTITUTE(A245," {",CHAR(160),2)) + 1 + 1,FIND(CHAR(160),SUBSTITUTE(A245,"}",CHAR(160),2)) - 1 - (FIND(CHAR(160),SUBSTITUTE(A245," {",CHAR(160),2)) + 1)))</f>
        <v>employee, employee_department</v>
      </c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  <c r="AA245" s="121"/>
      <c r="AB245" s="121"/>
      <c r="AC245" s="121"/>
      <c r="AD245" s="121"/>
      <c r="AE245" s="121"/>
    </row>
    <row r="246">
      <c r="A246" s="129" t="s">
        <v>6619</v>
      </c>
      <c r="B246" s="129" t="s">
        <v>5444</v>
      </c>
      <c r="C246" s="129" t="s">
        <v>5445</v>
      </c>
      <c r="D246" s="129" t="s">
        <v>6621</v>
      </c>
      <c r="E246" s="129" t="s">
        <v>4604</v>
      </c>
      <c r="F246" s="128"/>
      <c r="G246" s="128"/>
      <c r="H246" s="128"/>
      <c r="I246" s="128"/>
      <c r="J246" s="128"/>
      <c r="K246" s="128"/>
      <c r="L246" s="128"/>
      <c r="M246" s="128"/>
      <c r="N246" s="128"/>
      <c r="O246" s="128"/>
      <c r="P246" s="128"/>
      <c r="Q246" s="128"/>
      <c r="R246" s="128"/>
      <c r="S246" s="128"/>
      <c r="T246" s="128"/>
      <c r="U246" s="128"/>
      <c r="V246" s="128"/>
      <c r="W246" s="128"/>
      <c r="X246" s="128"/>
      <c r="Y246" s="128"/>
      <c r="Z246" s="128"/>
      <c r="AA246" s="128"/>
      <c r="AB246" s="128"/>
      <c r="AC246" s="128"/>
      <c r="AD246" s="128"/>
      <c r="AE246" s="128"/>
    </row>
    <row r="247">
      <c r="A247" s="120" t="s">
        <v>6626</v>
      </c>
      <c r="B247" s="120" t="s">
        <v>6627</v>
      </c>
      <c r="C247" s="120" t="s">
        <v>6628</v>
      </c>
      <c r="D247" s="120" t="s">
        <v>6629</v>
      </c>
      <c r="E247" s="122" t="str">
        <f t="shared" ref="E247:E250" si="2">CONCATENATE(MID(A247,FIND(" {",A247) + 1 + 1,FIND("} ",A247) - 1 - (FIND(" {",A247) + 1)),", ",MID(A247,FIND(CHAR(160),SUBSTITUTE(A247," {",CHAR(160),2)) + 1 + 1,FIND(CHAR(160),SUBSTITUTE(A247,"}",CHAR(160),2)) - 1 - (FIND(CHAR(160),SUBSTITUTE(A247," {",CHAR(160),2)) + 1)))</f>
        <v>employee, month_period</v>
      </c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  <c r="AA247" s="121"/>
      <c r="AB247" s="121"/>
      <c r="AC247" s="121"/>
      <c r="AD247" s="121"/>
      <c r="AE247" s="121"/>
    </row>
    <row r="248">
      <c r="A248" s="129" t="s">
        <v>6678</v>
      </c>
      <c r="B248" s="129" t="s">
        <v>6680</v>
      </c>
      <c r="C248" s="129" t="s">
        <v>6682</v>
      </c>
      <c r="D248" s="129" t="s">
        <v>6684</v>
      </c>
      <c r="E248" s="125" t="str">
        <f t="shared" si="2"/>
        <v>employee, fin_year</v>
      </c>
      <c r="F248" s="128"/>
      <c r="G248" s="128"/>
      <c r="H248" s="128"/>
      <c r="I248" s="128"/>
      <c r="J248" s="128"/>
      <c r="K248" s="128"/>
      <c r="L248" s="128"/>
      <c r="M248" s="128"/>
      <c r="N248" s="128"/>
      <c r="O248" s="128"/>
      <c r="P248" s="128"/>
      <c r="Q248" s="128"/>
      <c r="R248" s="128"/>
      <c r="S248" s="128"/>
      <c r="T248" s="128"/>
      <c r="U248" s="128"/>
      <c r="V248" s="128"/>
      <c r="W248" s="128"/>
      <c r="X248" s="128"/>
      <c r="Y248" s="128"/>
      <c r="Z248" s="128"/>
      <c r="AA248" s="128"/>
      <c r="AB248" s="128"/>
      <c r="AC248" s="128"/>
      <c r="AD248" s="128"/>
      <c r="AE248" s="128"/>
    </row>
    <row r="249">
      <c r="A249" s="129" t="s">
        <v>6689</v>
      </c>
      <c r="B249" s="129" t="s">
        <v>6690</v>
      </c>
      <c r="C249" s="129" t="s">
        <v>6691</v>
      </c>
      <c r="D249" s="129" t="s">
        <v>6692</v>
      </c>
      <c r="E249" s="125" t="str">
        <f t="shared" si="2"/>
        <v>employee, employee_department</v>
      </c>
      <c r="F249" s="128"/>
      <c r="G249" s="128"/>
      <c r="H249" s="128"/>
      <c r="I249" s="128"/>
      <c r="J249" s="128"/>
      <c r="K249" s="128"/>
      <c r="L249" s="128"/>
      <c r="M249" s="128"/>
      <c r="N249" s="128"/>
      <c r="O249" s="128"/>
      <c r="P249" s="128"/>
      <c r="Q249" s="128"/>
      <c r="R249" s="128"/>
      <c r="S249" s="128"/>
      <c r="T249" s="128"/>
      <c r="U249" s="128"/>
      <c r="V249" s="128"/>
      <c r="W249" s="128"/>
      <c r="X249" s="128"/>
      <c r="Y249" s="128"/>
      <c r="Z249" s="128"/>
      <c r="AA249" s="128"/>
      <c r="AB249" s="128"/>
      <c r="AC249" s="128"/>
      <c r="AD249" s="128"/>
      <c r="AE249" s="128"/>
    </row>
    <row r="250">
      <c r="A250" s="129" t="s">
        <v>6693</v>
      </c>
      <c r="B250" s="129" t="s">
        <v>6694</v>
      </c>
      <c r="C250" s="129" t="s">
        <v>6696</v>
      </c>
      <c r="D250" s="129" t="s">
        <v>6699</v>
      </c>
      <c r="E250" s="125" t="str">
        <f t="shared" si="2"/>
        <v>employee, incentive_scheme</v>
      </c>
      <c r="F250" s="128"/>
      <c r="G250" s="128"/>
      <c r="H250" s="128"/>
      <c r="I250" s="128"/>
      <c r="J250" s="128"/>
      <c r="K250" s="128"/>
      <c r="L250" s="128"/>
      <c r="M250" s="128"/>
      <c r="N250" s="128"/>
      <c r="O250" s="128"/>
      <c r="P250" s="128"/>
      <c r="Q250" s="128"/>
      <c r="R250" s="128"/>
      <c r="S250" s="128"/>
      <c r="T250" s="128"/>
      <c r="U250" s="128"/>
      <c r="V250" s="128"/>
      <c r="W250" s="128"/>
      <c r="X250" s="128"/>
      <c r="Y250" s="128"/>
      <c r="Z250" s="128"/>
      <c r="AA250" s="128"/>
      <c r="AB250" s="128"/>
      <c r="AC250" s="128"/>
      <c r="AD250" s="128"/>
      <c r="AE250" s="128"/>
    </row>
    <row r="251">
      <c r="A251" s="120" t="s">
        <v>6701</v>
      </c>
      <c r="B251" s="120" t="s">
        <v>6703</v>
      </c>
      <c r="C251" s="120" t="s">
        <v>6705</v>
      </c>
      <c r="D251" s="120" t="s">
        <v>6708</v>
      </c>
      <c r="E251" s="120" t="s">
        <v>6709</v>
      </c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  <c r="AA251" s="121"/>
      <c r="AB251" s="121"/>
      <c r="AC251" s="121"/>
      <c r="AD251" s="121"/>
      <c r="AE251" s="121"/>
    </row>
    <row r="252">
      <c r="A252" s="120" t="s">
        <v>6710</v>
      </c>
      <c r="B252" s="120" t="s">
        <v>5457</v>
      </c>
      <c r="C252" s="120" t="s">
        <v>6713</v>
      </c>
      <c r="D252" s="120" t="s">
        <v>6716</v>
      </c>
      <c r="E252" s="120" t="s">
        <v>4484</v>
      </c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  <c r="AA252" s="121"/>
      <c r="AB252" s="121"/>
      <c r="AC252" s="121"/>
      <c r="AD252" s="121"/>
      <c r="AE252" s="121"/>
    </row>
    <row r="253">
      <c r="A253" s="120" t="s">
        <v>6717</v>
      </c>
      <c r="B253" s="120" t="s">
        <v>6719</v>
      </c>
      <c r="C253" s="120" t="s">
        <v>6628</v>
      </c>
      <c r="D253" s="120" t="s">
        <v>6723</v>
      </c>
      <c r="E253" s="122" t="str">
        <f t="shared" ref="E253:E254" si="3">CONCATENATE(MID(A253,FIND(" {",A253) + 1 + 1,FIND("} ",A253) - 1 - (FIND(" {",A253) + 1)),", ",MID(A253,FIND(CHAR(160),SUBSTITUTE(A253," {",CHAR(160),2)) + 1 + 1,FIND(CHAR(160),SUBSTITUTE(A253,"}",CHAR(160),2)) - 1 - (FIND(CHAR(160),SUBSTITUTE(A253," {",CHAR(160),2)) + 1)))</f>
        <v>employee, month_period </v>
      </c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  <c r="AA253" s="121"/>
      <c r="AB253" s="121"/>
      <c r="AC253" s="121"/>
      <c r="AD253" s="121"/>
      <c r="AE253" s="121"/>
    </row>
    <row r="254">
      <c r="A254" s="120" t="s">
        <v>6678</v>
      </c>
      <c r="B254" s="120" t="s">
        <v>6680</v>
      </c>
      <c r="C254" s="120" t="s">
        <v>6682</v>
      </c>
      <c r="D254" s="120" t="s">
        <v>6684</v>
      </c>
      <c r="E254" s="122" t="str">
        <f t="shared" si="3"/>
        <v>employee, fin_year</v>
      </c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  <c r="AA254" s="121"/>
      <c r="AB254" s="121"/>
      <c r="AC254" s="121"/>
      <c r="AD254" s="121"/>
      <c r="AE254" s="121"/>
    </row>
    <row r="255">
      <c r="A255" s="120" t="s">
        <v>6779</v>
      </c>
      <c r="B255" s="120" t="s">
        <v>6781</v>
      </c>
      <c r="C255" s="120" t="s">
        <v>6782</v>
      </c>
      <c r="D255" s="120" t="s">
        <v>6783</v>
      </c>
      <c r="E255" s="120" t="s">
        <v>6784</v>
      </c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  <c r="AA255" s="121"/>
      <c r="AB255" s="121"/>
      <c r="AC255" s="121"/>
      <c r="AD255" s="121"/>
      <c r="AE255" s="121"/>
    </row>
    <row r="256">
      <c r="A256" s="120" t="s">
        <v>6788</v>
      </c>
      <c r="B256" s="120" t="s">
        <v>6790</v>
      </c>
      <c r="C256" s="120" t="s">
        <v>6791</v>
      </c>
      <c r="D256" s="120" t="s">
        <v>6792</v>
      </c>
      <c r="E256" s="122" t="str">
        <f>CONCATENATE(MID(A256,FIND(" {",A256) + 1 + 1,FIND("} ",A256) - 1 - (FIND(" {",A256) + 1)),", ",MID(A256,FIND(CHAR(160),SUBSTITUTE(A256," {",CHAR(160),2)) + 1 + 1,FIND(CHAR(160),SUBSTITUTE(A256,"}",CHAR(160),2)) - 1 - (FIND(CHAR(160),SUBSTITUTE(A256," {",CHAR(160),2)) + 1)))</f>
        <v>employee, month_period </v>
      </c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  <c r="AA256" s="121"/>
      <c r="AB256" s="121"/>
      <c r="AC256" s="121"/>
      <c r="AD256" s="121"/>
      <c r="AE256" s="121"/>
    </row>
    <row r="257">
      <c r="A257" s="120" t="s">
        <v>6843</v>
      </c>
      <c r="B257" s="120" t="s">
        <v>5634</v>
      </c>
      <c r="C257" s="120" t="s">
        <v>5635</v>
      </c>
      <c r="D257" s="120" t="s">
        <v>6847</v>
      </c>
      <c r="E257" s="120" t="s">
        <v>4604</v>
      </c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  <c r="AA257" s="121"/>
      <c r="AB257" s="121"/>
      <c r="AC257" s="121"/>
      <c r="AD257" s="121"/>
      <c r="AE257" s="121"/>
    </row>
    <row r="258">
      <c r="A258" s="120" t="s">
        <v>6848</v>
      </c>
      <c r="B258" s="120" t="s">
        <v>6849</v>
      </c>
      <c r="C258" s="120" t="s">
        <v>5659</v>
      </c>
      <c r="D258" s="120" t="s">
        <v>6850</v>
      </c>
      <c r="E258" s="122" t="str">
        <f t="shared" ref="E258:E260" si="4">CONCATENATE(MID(A258,FIND(" {",A258) + 1 + 1,FIND("} ",A258) - 1 - (FIND(" {",A258) + 1)),", ",MID(A258,FIND(CHAR(160),SUBSTITUTE(A258," {",CHAR(160),2)) + 1 + 1,FIND(CHAR(160),SUBSTITUTE(A258,"}",CHAR(160),2)) - 1 - (FIND(CHAR(160),SUBSTITUTE(A258," {",CHAR(160),2)) + 1)))</f>
        <v>employee, month_period</v>
      </c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  <c r="AA258" s="121"/>
      <c r="AB258" s="121"/>
      <c r="AC258" s="121"/>
      <c r="AD258" s="121"/>
      <c r="AE258" s="121"/>
    </row>
    <row r="259">
      <c r="A259" s="120" t="s">
        <v>6893</v>
      </c>
      <c r="B259" s="120" t="s">
        <v>6896</v>
      </c>
      <c r="C259" s="120" t="s">
        <v>6897</v>
      </c>
      <c r="D259" s="120" t="s">
        <v>6898</v>
      </c>
      <c r="E259" s="122" t="str">
        <f t="shared" si="4"/>
        <v>employee, fin_year</v>
      </c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  <c r="AA259" s="121"/>
      <c r="AB259" s="121"/>
      <c r="AC259" s="121"/>
      <c r="AD259" s="121"/>
      <c r="AE259" s="121"/>
    </row>
    <row r="260">
      <c r="A260" s="120" t="s">
        <v>6904</v>
      </c>
      <c r="B260" s="120" t="s">
        <v>6905</v>
      </c>
      <c r="C260" s="120" t="s">
        <v>6906</v>
      </c>
      <c r="D260" s="120" t="s">
        <v>6907</v>
      </c>
      <c r="E260" s="122" t="str">
        <f t="shared" si="4"/>
        <v>employee, employee_department</v>
      </c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  <c r="AA260" s="121"/>
      <c r="AB260" s="121"/>
      <c r="AC260" s="121"/>
      <c r="AD260" s="121"/>
      <c r="AE260" s="121"/>
    </row>
    <row r="261">
      <c r="A261" s="120" t="s">
        <v>6912</v>
      </c>
      <c r="B261" s="120" t="s">
        <v>6913</v>
      </c>
      <c r="C261" s="120" t="s">
        <v>6914</v>
      </c>
      <c r="D261" s="120" t="s">
        <v>6916</v>
      </c>
      <c r="E261" s="120" t="s">
        <v>6494</v>
      </c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  <c r="AA261" s="121"/>
      <c r="AB261" s="121"/>
      <c r="AC261" s="121"/>
      <c r="AD261" s="121"/>
      <c r="AE261" s="121"/>
    </row>
    <row r="262">
      <c r="A262" s="120" t="s">
        <v>6920</v>
      </c>
      <c r="B262" s="120" t="s">
        <v>6921</v>
      </c>
      <c r="C262" s="120" t="s">
        <v>6922</v>
      </c>
      <c r="D262" s="120" t="s">
        <v>6925</v>
      </c>
      <c r="E262" s="122" t="str">
        <f>CONCATENATE(MID(A262,FIND(" {",A262) + 1 + 1,FIND("} ",A262) - 1 - (FIND(" {",A262) + 1)),", ",MID(A262,FIND(CHAR(160),SUBSTITUTE(A262," {",CHAR(160),2)) + 1 + 1,FIND(CHAR(160),SUBSTITUTE(A262,"}",CHAR(160),2)) - 1 - (FIND(CHAR(160),SUBSTITUTE(A262," {",CHAR(160),2)) + 1)))</f>
        <v>employee, incentive_scheme</v>
      </c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  <c r="AA262" s="121"/>
      <c r="AB262" s="121"/>
      <c r="AC262" s="121"/>
      <c r="AD262" s="121"/>
      <c r="AE262" s="121"/>
    </row>
    <row r="263">
      <c r="A263" s="120" t="s">
        <v>6968</v>
      </c>
      <c r="B263" s="120" t="s">
        <v>6969</v>
      </c>
      <c r="C263" s="120" t="s">
        <v>6970</v>
      </c>
      <c r="D263" s="120" t="s">
        <v>6971</v>
      </c>
      <c r="E263" s="120" t="s">
        <v>6709</v>
      </c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  <c r="AA263" s="121"/>
      <c r="AB263" s="121"/>
      <c r="AC263" s="121"/>
      <c r="AD263" s="121"/>
      <c r="AE263" s="121"/>
    </row>
    <row r="264">
      <c r="A264" s="120" t="s">
        <v>6972</v>
      </c>
      <c r="B264" s="120" t="s">
        <v>5646</v>
      </c>
      <c r="C264" s="120" t="s">
        <v>5647</v>
      </c>
      <c r="D264" s="120" t="s">
        <v>6973</v>
      </c>
      <c r="E264" s="120" t="s">
        <v>4484</v>
      </c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  <c r="AA264" s="121"/>
      <c r="AB264" s="121"/>
      <c r="AC264" s="121"/>
      <c r="AD264" s="121"/>
      <c r="AE264" s="121"/>
    </row>
    <row r="265">
      <c r="A265" s="120" t="s">
        <v>5657</v>
      </c>
      <c r="B265" s="120" t="s">
        <v>6849</v>
      </c>
      <c r="C265" s="120" t="s">
        <v>5659</v>
      </c>
      <c r="D265" s="120" t="s">
        <v>6977</v>
      </c>
      <c r="E265" s="122" t="str">
        <f t="shared" ref="E265:E266" si="5">CONCATENATE(MID(A265,FIND(" {",A265) + 1 + 1,FIND("} ",A265) - 1 - (FIND(" {",A265) + 1)),", ",MID(A265,FIND(CHAR(160),SUBSTITUTE(A265," {",CHAR(160),2)) + 1 + 1,FIND(CHAR(160),SUBSTITUTE(A265,"}",CHAR(160),2)) - 1 - (FIND(CHAR(160),SUBSTITUTE(A265," {",CHAR(160),2)) + 1)))</f>
        <v>employee, month_period </v>
      </c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  <c r="AA265" s="121"/>
      <c r="AB265" s="121"/>
      <c r="AC265" s="121"/>
      <c r="AD265" s="121"/>
      <c r="AE265" s="121"/>
    </row>
    <row r="266">
      <c r="A266" s="120" t="s">
        <v>7003</v>
      </c>
      <c r="B266" s="120" t="s">
        <v>6896</v>
      </c>
      <c r="C266" s="120" t="s">
        <v>6897</v>
      </c>
      <c r="D266" s="120" t="s">
        <v>6898</v>
      </c>
      <c r="E266" s="122" t="str">
        <f t="shared" si="5"/>
        <v>employee, fin_year</v>
      </c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  <c r="AA266" s="121"/>
      <c r="AB266" s="121"/>
      <c r="AC266" s="121"/>
      <c r="AD266" s="121"/>
      <c r="AE266" s="121"/>
    </row>
    <row r="267">
      <c r="A267" s="120" t="s">
        <v>7007</v>
      </c>
      <c r="B267" s="120" t="s">
        <v>7008</v>
      </c>
      <c r="C267" s="120" t="s">
        <v>7009</v>
      </c>
      <c r="D267" s="120" t="s">
        <v>7010</v>
      </c>
      <c r="E267" s="120" t="s">
        <v>7011</v>
      </c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  <c r="AA267" s="121"/>
      <c r="AB267" s="121"/>
      <c r="AC267" s="121"/>
      <c r="AD267" s="121"/>
      <c r="AE267" s="121"/>
    </row>
    <row r="268">
      <c r="A268" s="120" t="s">
        <v>7016</v>
      </c>
      <c r="B268" s="120" t="s">
        <v>7017</v>
      </c>
      <c r="C268" s="120" t="s">
        <v>7018</v>
      </c>
      <c r="D268" s="120" t="s">
        <v>7019</v>
      </c>
      <c r="E268" s="122" t="str">
        <f>CONCATENATE(MID(A268,FIND(" {",A268) + 1 + 1,FIND("} ",A268) - 1 - (FIND(" {",A268) + 1)),", ",MID(A268,FIND(CHAR(160),SUBSTITUTE(A268," {",CHAR(160),2)) + 1 + 1,FIND(CHAR(160),SUBSTITUTE(A268,"}",CHAR(160),2)) - 1 - (FIND(CHAR(160),SUBSTITUTE(A268," {",CHAR(160),2)) + 1)))</f>
        <v>supervisor, employee_department</v>
      </c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  <c r="AA268" s="121"/>
      <c r="AB268" s="121"/>
      <c r="AC268" s="121"/>
      <c r="AD268" s="121"/>
      <c r="AE268" s="121"/>
    </row>
    <row r="269">
      <c r="A269" s="120" t="s">
        <v>7048</v>
      </c>
      <c r="B269" s="120" t="s">
        <v>7049</v>
      </c>
      <c r="C269" s="120" t="s">
        <v>7050</v>
      </c>
      <c r="D269" s="120" t="s">
        <v>7052</v>
      </c>
      <c r="E269" s="120" t="s">
        <v>4628</v>
      </c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  <c r="AA269" s="121"/>
      <c r="AB269" s="121"/>
      <c r="AC269" s="121"/>
      <c r="AD269" s="121"/>
      <c r="AE269" s="121"/>
    </row>
    <row r="270">
      <c r="A270" s="120" t="s">
        <v>7060</v>
      </c>
      <c r="B270" s="120" t="s">
        <v>7061</v>
      </c>
      <c r="C270" s="120" t="s">
        <v>7062</v>
      </c>
      <c r="D270" s="120" t="s">
        <v>7063</v>
      </c>
      <c r="E270" s="122" t="str">
        <f t="shared" ref="E270:E272" si="6">CONCATENATE(MID(A270,FIND(" {",A270) + 1 + 1,FIND("} ",A270) - 1 - (FIND(" {",A270) + 1)),", ",MID(A270,FIND(CHAR(160),SUBSTITUTE(A270," {",CHAR(160),2)) + 1 + 1,FIND(CHAR(160),SUBSTITUTE(A270,"}",CHAR(160),2)) - 1 - (FIND(CHAR(160),SUBSTITUTE(A270," {",CHAR(160),2)) + 1)))</f>
        <v>employee, month_period</v>
      </c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  <c r="AA270" s="121"/>
      <c r="AB270" s="121"/>
      <c r="AC270" s="121"/>
      <c r="AD270" s="121"/>
      <c r="AE270" s="121"/>
    </row>
    <row r="271">
      <c r="A271" s="120" t="s">
        <v>7156</v>
      </c>
      <c r="B271" s="120" t="s">
        <v>7157</v>
      </c>
      <c r="C271" s="120" t="s">
        <v>7158</v>
      </c>
      <c r="D271" s="120" t="s">
        <v>7161</v>
      </c>
      <c r="E271" s="122" t="str">
        <f t="shared" si="6"/>
        <v>employee, fin_year</v>
      </c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  <c r="AA271" s="121"/>
      <c r="AB271" s="121"/>
      <c r="AC271" s="121"/>
      <c r="AD271" s="121"/>
      <c r="AE271" s="121"/>
    </row>
    <row r="272">
      <c r="A272" s="120" t="s">
        <v>7169</v>
      </c>
      <c r="B272" s="120" t="s">
        <v>7171</v>
      </c>
      <c r="C272" s="120" t="s">
        <v>7172</v>
      </c>
      <c r="D272" s="120" t="s">
        <v>6507</v>
      </c>
      <c r="E272" s="122" t="str">
        <f t="shared" si="6"/>
        <v>employee, incentive_scheme</v>
      </c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  <c r="AA272" s="121"/>
      <c r="AB272" s="121"/>
      <c r="AC272" s="121"/>
      <c r="AD272" s="121"/>
      <c r="AE272" s="121"/>
    </row>
    <row r="273">
      <c r="A273" s="120" t="s">
        <v>7177</v>
      </c>
      <c r="B273" s="120" t="s">
        <v>7178</v>
      </c>
      <c r="C273" s="120" t="s">
        <v>7179</v>
      </c>
      <c r="D273" s="120" t="s">
        <v>7180</v>
      </c>
      <c r="E273" s="120" t="s">
        <v>6709</v>
      </c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  <c r="AA273" s="121"/>
      <c r="AB273" s="121"/>
      <c r="AC273" s="121"/>
      <c r="AD273" s="121"/>
      <c r="AE273" s="121"/>
    </row>
    <row r="274">
      <c r="A274" s="120" t="s">
        <v>7185</v>
      </c>
      <c r="B274" s="120" t="s">
        <v>5935</v>
      </c>
      <c r="C274" s="120" t="s">
        <v>5937</v>
      </c>
      <c r="D274" s="120" t="s">
        <v>7186</v>
      </c>
      <c r="E274" s="120" t="s">
        <v>4484</v>
      </c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  <c r="AA274" s="121"/>
      <c r="AB274" s="121"/>
      <c r="AC274" s="121"/>
      <c r="AD274" s="121"/>
      <c r="AE274" s="121"/>
    </row>
    <row r="275">
      <c r="A275" s="120" t="s">
        <v>7191</v>
      </c>
      <c r="B275" s="120" t="s">
        <v>7061</v>
      </c>
      <c r="C275" s="120" t="s">
        <v>7062</v>
      </c>
      <c r="D275" s="120" t="s">
        <v>7192</v>
      </c>
      <c r="E275" s="122" t="str">
        <f t="shared" ref="E275:E276" si="7">CONCATENATE(MID(A275,FIND(" {",A275) + 1 + 1,FIND("} ",A275) - 1 - (FIND(" {",A275) + 1)),", ",MID(A275,FIND(CHAR(160),SUBSTITUTE(A275," {",CHAR(160),2)) + 1 + 1,FIND(CHAR(160),SUBSTITUTE(A275,"}",CHAR(160),2)) - 1 - (FIND(CHAR(160),SUBSTITUTE(A275," {",CHAR(160),2)) + 1)))</f>
        <v>employee, month_period</v>
      </c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  <c r="AA275" s="121"/>
      <c r="AB275" s="121"/>
      <c r="AC275" s="121"/>
      <c r="AD275" s="121"/>
      <c r="AE275" s="121"/>
    </row>
    <row r="276">
      <c r="A276" s="120" t="s">
        <v>7156</v>
      </c>
      <c r="B276" s="120" t="s">
        <v>7157</v>
      </c>
      <c r="C276" s="120" t="s">
        <v>7158</v>
      </c>
      <c r="D276" s="120" t="s">
        <v>7161</v>
      </c>
      <c r="E276" s="122" t="str">
        <f t="shared" si="7"/>
        <v>employee, fin_year</v>
      </c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  <c r="AA276" s="121"/>
      <c r="AB276" s="121"/>
      <c r="AC276" s="121"/>
      <c r="AD276" s="121"/>
      <c r="AE276" s="121"/>
    </row>
    <row r="277">
      <c r="A277" s="120" t="s">
        <v>7230</v>
      </c>
      <c r="B277" s="120" t="s">
        <v>7231</v>
      </c>
      <c r="C277" s="120" t="s">
        <v>7232</v>
      </c>
      <c r="D277" s="120" t="s">
        <v>7233</v>
      </c>
      <c r="E277" s="120" t="s">
        <v>6784</v>
      </c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  <c r="AA277" s="121"/>
      <c r="AB277" s="121"/>
      <c r="AC277" s="121"/>
      <c r="AD277" s="121"/>
      <c r="AE277" s="121"/>
    </row>
    <row r="278">
      <c r="A278" s="120" t="s">
        <v>7237</v>
      </c>
      <c r="B278" s="120" t="s">
        <v>7238</v>
      </c>
      <c r="C278" s="120" t="s">
        <v>7239</v>
      </c>
      <c r="D278" s="120" t="s">
        <v>7240</v>
      </c>
      <c r="E278" s="122" t="str">
        <f t="shared" ref="E278:E279" si="8">CONCATENATE(MID(A278,FIND(" {",A278) + 1 + 1,FIND("} ",A278) - 1 - (FIND(" {",A278) + 1)),", ",MID(A278,FIND(CHAR(160),SUBSTITUTE(A278," {",CHAR(160),2)) + 1 + 1,FIND(CHAR(160),SUBSTITUTE(A278,"}",CHAR(160),2)) - 1 - (FIND(CHAR(160),SUBSTITUTE(A278," {",CHAR(160),2)) + 1)))</f>
        <v>employee, month_period</v>
      </c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  <c r="AA278" s="121"/>
      <c r="AB278" s="121"/>
      <c r="AC278" s="121"/>
      <c r="AD278" s="121"/>
      <c r="AE278" s="121"/>
    </row>
    <row r="279">
      <c r="A279" s="120" t="s">
        <v>7277</v>
      </c>
      <c r="B279" s="120" t="s">
        <v>7278</v>
      </c>
      <c r="C279" s="120" t="s">
        <v>7279</v>
      </c>
      <c r="D279" s="120" t="s">
        <v>7281</v>
      </c>
      <c r="E279" s="122" t="str">
        <f t="shared" si="8"/>
        <v>employee, fin_year</v>
      </c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  <c r="AA279" s="121"/>
      <c r="AB279" s="121"/>
      <c r="AC279" s="121"/>
      <c r="AD279" s="121"/>
      <c r="AE279" s="121"/>
    </row>
    <row r="280">
      <c r="A280" s="120" t="s">
        <v>7287</v>
      </c>
      <c r="B280" s="120" t="s">
        <v>7288</v>
      </c>
      <c r="C280" s="120" t="s">
        <v>7289</v>
      </c>
      <c r="D280" s="120" t="s">
        <v>7291</v>
      </c>
      <c r="E280" s="120" t="s">
        <v>6494</v>
      </c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  <c r="AA280" s="121"/>
      <c r="AB280" s="121"/>
      <c r="AC280" s="121"/>
      <c r="AD280" s="121"/>
      <c r="AE280" s="121"/>
    </row>
    <row r="281">
      <c r="A281" s="120" t="s">
        <v>7296</v>
      </c>
      <c r="B281" s="120" t="s">
        <v>7298</v>
      </c>
      <c r="C281" s="120" t="s">
        <v>7299</v>
      </c>
      <c r="D281" s="120" t="s">
        <v>7300</v>
      </c>
      <c r="E281" s="120" t="s">
        <v>4484</v>
      </c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  <c r="AA281" s="121"/>
      <c r="AB281" s="121"/>
      <c r="AC281" s="121"/>
      <c r="AD281" s="121"/>
      <c r="AE281" s="121"/>
    </row>
    <row r="282">
      <c r="A282" s="144"/>
      <c r="B282" s="144"/>
      <c r="C282" s="144"/>
      <c r="D282" s="58"/>
      <c r="E282" s="144"/>
      <c r="F282" s="58"/>
      <c r="G282" s="58"/>
      <c r="H282" s="58"/>
      <c r="I282" s="58"/>
      <c r="J282" s="58"/>
      <c r="K282" s="58"/>
      <c r="L282" s="58"/>
      <c r="M282" s="58"/>
      <c r="N282" s="58"/>
      <c r="O282" s="58"/>
      <c r="P282" s="58"/>
      <c r="Q282" s="58"/>
      <c r="R282" s="58"/>
      <c r="S282" s="58"/>
      <c r="T282" s="58"/>
      <c r="U282" s="58"/>
      <c r="V282" s="58"/>
      <c r="W282" s="58"/>
      <c r="X282" s="58"/>
      <c r="Y282" s="58"/>
      <c r="Z282" s="58"/>
      <c r="AA282" s="58"/>
      <c r="AB282" s="58"/>
      <c r="AC282" s="58"/>
      <c r="AD282" s="58"/>
      <c r="AE282" s="58"/>
    </row>
    <row r="283">
      <c r="A283" s="130"/>
      <c r="B283" s="130"/>
      <c r="C283" s="130"/>
      <c r="D283" s="58"/>
      <c r="E283" s="130"/>
      <c r="F283" s="58"/>
      <c r="G283" s="58"/>
      <c r="H283" s="58"/>
      <c r="I283" s="58"/>
      <c r="J283" s="58"/>
      <c r="K283" s="58"/>
      <c r="L283" s="117"/>
      <c r="M283" s="117"/>
      <c r="N283" s="117"/>
      <c r="O283" s="117"/>
      <c r="P283" s="117"/>
      <c r="Q283" s="117"/>
      <c r="R283" s="117"/>
      <c r="S283" s="117"/>
      <c r="T283" s="117"/>
      <c r="U283" s="117"/>
      <c r="V283" s="117"/>
      <c r="W283" s="117"/>
      <c r="X283" s="117"/>
      <c r="Y283" s="117"/>
      <c r="Z283" s="117"/>
      <c r="AA283" s="117"/>
      <c r="AB283" s="117"/>
      <c r="AC283" s="117"/>
      <c r="AD283" s="117"/>
      <c r="AE283" s="117"/>
    </row>
    <row r="284">
      <c r="A284" s="130"/>
      <c r="B284" s="130"/>
      <c r="C284" s="130"/>
      <c r="D284" s="58"/>
      <c r="E284" s="130"/>
      <c r="F284" s="58"/>
      <c r="G284" s="58"/>
      <c r="H284" s="58"/>
      <c r="I284" s="58"/>
      <c r="J284" s="58"/>
      <c r="K284" s="58"/>
      <c r="L284" s="117"/>
      <c r="M284" s="117"/>
      <c r="N284" s="117"/>
      <c r="O284" s="117"/>
      <c r="P284" s="117"/>
      <c r="Q284" s="117"/>
      <c r="R284" s="117"/>
      <c r="S284" s="117"/>
      <c r="T284" s="117"/>
      <c r="U284" s="117"/>
      <c r="V284" s="117"/>
      <c r="W284" s="117"/>
      <c r="X284" s="117"/>
      <c r="Y284" s="117"/>
      <c r="Z284" s="117"/>
      <c r="AA284" s="117"/>
      <c r="AB284" s="117"/>
      <c r="AC284" s="117"/>
      <c r="AD284" s="117"/>
      <c r="AE284" s="117"/>
    </row>
    <row r="285">
      <c r="A285" s="130"/>
      <c r="B285" s="130"/>
      <c r="C285" s="130"/>
      <c r="D285" s="58"/>
      <c r="E285" s="130"/>
      <c r="F285" s="58"/>
      <c r="G285" s="58"/>
      <c r="H285" s="58"/>
      <c r="I285" s="58"/>
      <c r="J285" s="58"/>
      <c r="K285" s="58"/>
      <c r="L285" s="117"/>
      <c r="M285" s="117"/>
      <c r="N285" s="117"/>
      <c r="O285" s="117"/>
      <c r="P285" s="117"/>
      <c r="Q285" s="117"/>
      <c r="R285" s="117"/>
      <c r="S285" s="117"/>
      <c r="T285" s="117"/>
      <c r="U285" s="117"/>
      <c r="V285" s="117"/>
      <c r="W285" s="117"/>
      <c r="X285" s="117"/>
      <c r="Y285" s="117"/>
      <c r="Z285" s="117"/>
      <c r="AA285" s="117"/>
      <c r="AB285" s="117"/>
      <c r="AC285" s="117"/>
      <c r="AD285" s="117"/>
      <c r="AE285" s="117"/>
    </row>
    <row r="286">
      <c r="A286" s="130"/>
      <c r="B286" s="130"/>
      <c r="C286" s="130"/>
      <c r="D286" s="58"/>
      <c r="E286" s="130"/>
      <c r="F286" s="58"/>
      <c r="G286" s="58"/>
      <c r="H286" s="58"/>
      <c r="I286" s="58"/>
      <c r="J286" s="58"/>
      <c r="K286" s="58"/>
      <c r="L286" s="117"/>
      <c r="M286" s="117"/>
      <c r="N286" s="117"/>
      <c r="O286" s="117"/>
      <c r="P286" s="117"/>
      <c r="Q286" s="117"/>
      <c r="R286" s="117"/>
      <c r="S286" s="117"/>
      <c r="T286" s="117"/>
      <c r="U286" s="117"/>
      <c r="V286" s="117"/>
      <c r="W286" s="117"/>
      <c r="X286" s="117"/>
      <c r="Y286" s="117"/>
      <c r="Z286" s="117"/>
      <c r="AA286" s="117"/>
      <c r="AB286" s="117"/>
      <c r="AC286" s="117"/>
      <c r="AD286" s="117"/>
      <c r="AE286" s="117"/>
    </row>
    <row r="287">
      <c r="A287" s="144"/>
      <c r="B287" s="144"/>
      <c r="C287" s="144"/>
      <c r="D287" s="58"/>
      <c r="E287" s="144"/>
      <c r="F287" s="58"/>
      <c r="G287" s="58"/>
      <c r="H287" s="58"/>
      <c r="I287" s="58"/>
      <c r="J287" s="58"/>
      <c r="K287" s="58"/>
      <c r="L287" s="117"/>
      <c r="M287" s="117"/>
      <c r="N287" s="117"/>
      <c r="O287" s="117"/>
      <c r="P287" s="117"/>
      <c r="Q287" s="117"/>
      <c r="R287" s="117"/>
      <c r="S287" s="117"/>
      <c r="T287" s="117"/>
      <c r="U287" s="117"/>
      <c r="V287" s="117"/>
      <c r="W287" s="117"/>
      <c r="X287" s="117"/>
      <c r="Y287" s="117"/>
      <c r="Z287" s="117"/>
      <c r="AA287" s="117"/>
      <c r="AB287" s="117"/>
      <c r="AC287" s="117"/>
      <c r="AD287" s="117"/>
      <c r="AE287" s="117"/>
    </row>
    <row r="288">
      <c r="A288" s="144"/>
      <c r="B288" s="144"/>
      <c r="C288" s="144"/>
      <c r="D288" s="58"/>
      <c r="E288" s="144"/>
      <c r="F288" s="58"/>
      <c r="G288" s="58"/>
      <c r="H288" s="58"/>
      <c r="I288" s="58"/>
      <c r="J288" s="58"/>
      <c r="K288" s="58"/>
      <c r="L288" s="117"/>
      <c r="M288" s="117"/>
      <c r="N288" s="117"/>
      <c r="O288" s="117"/>
      <c r="P288" s="117"/>
      <c r="Q288" s="117"/>
      <c r="R288" s="117"/>
      <c r="S288" s="117"/>
      <c r="T288" s="117"/>
      <c r="U288" s="117"/>
      <c r="V288" s="117"/>
      <c r="W288" s="117"/>
      <c r="X288" s="117"/>
      <c r="Y288" s="117"/>
      <c r="Z288" s="117"/>
      <c r="AA288" s="117"/>
      <c r="AB288" s="117"/>
      <c r="AC288" s="117"/>
      <c r="AD288" s="117"/>
      <c r="AE288" s="117"/>
    </row>
    <row r="289">
      <c r="A289" s="144"/>
      <c r="B289" s="144"/>
      <c r="C289" s="144"/>
      <c r="D289" s="58"/>
      <c r="E289" s="144"/>
      <c r="F289" s="58"/>
      <c r="G289" s="58"/>
      <c r="H289" s="58"/>
      <c r="I289" s="58"/>
      <c r="J289" s="58"/>
      <c r="K289" s="58"/>
      <c r="L289" s="117"/>
      <c r="M289" s="117"/>
      <c r="N289" s="117"/>
      <c r="O289" s="117"/>
      <c r="P289" s="117"/>
      <c r="Q289" s="117"/>
      <c r="R289" s="117"/>
      <c r="S289" s="117"/>
      <c r="T289" s="117"/>
      <c r="U289" s="117"/>
      <c r="V289" s="117"/>
      <c r="W289" s="117"/>
      <c r="X289" s="117"/>
      <c r="Y289" s="117"/>
      <c r="Z289" s="117"/>
      <c r="AA289" s="117"/>
      <c r="AB289" s="117"/>
      <c r="AC289" s="117"/>
      <c r="AD289" s="117"/>
      <c r="AE289" s="117"/>
    </row>
    <row r="290">
      <c r="A290" s="144"/>
      <c r="B290" s="144"/>
      <c r="C290" s="144"/>
      <c r="D290" s="58"/>
      <c r="E290" s="144"/>
      <c r="F290" s="58"/>
      <c r="G290" s="58"/>
      <c r="H290" s="58"/>
      <c r="I290" s="58"/>
      <c r="J290" s="58"/>
      <c r="K290" s="58"/>
      <c r="L290" s="117"/>
      <c r="M290" s="117"/>
      <c r="N290" s="117"/>
      <c r="O290" s="117"/>
      <c r="P290" s="117"/>
      <c r="Q290" s="117"/>
      <c r="R290" s="117"/>
      <c r="S290" s="117"/>
      <c r="T290" s="117"/>
      <c r="U290" s="117"/>
      <c r="V290" s="117"/>
      <c r="W290" s="117"/>
      <c r="X290" s="117"/>
      <c r="Y290" s="117"/>
      <c r="Z290" s="117"/>
      <c r="AA290" s="117"/>
      <c r="AB290" s="117"/>
      <c r="AC290" s="117"/>
      <c r="AD290" s="117"/>
      <c r="AE290" s="117"/>
    </row>
    <row r="291">
      <c r="A291" s="144"/>
      <c r="B291" s="144"/>
      <c r="C291" s="144"/>
      <c r="D291" s="58"/>
      <c r="E291" s="144"/>
      <c r="F291" s="58"/>
      <c r="G291" s="58"/>
      <c r="H291" s="58"/>
      <c r="I291" s="58"/>
      <c r="J291" s="58"/>
      <c r="K291" s="58"/>
      <c r="L291" s="117"/>
      <c r="M291" s="117"/>
      <c r="N291" s="117"/>
      <c r="O291" s="117"/>
      <c r="P291" s="117"/>
      <c r="Q291" s="117"/>
      <c r="R291" s="117"/>
      <c r="S291" s="117"/>
      <c r="T291" s="117"/>
      <c r="U291" s="117"/>
      <c r="V291" s="117"/>
      <c r="W291" s="117"/>
      <c r="X291" s="117"/>
      <c r="Y291" s="117"/>
      <c r="Z291" s="117"/>
      <c r="AA291" s="117"/>
      <c r="AB291" s="117"/>
      <c r="AC291" s="117"/>
      <c r="AD291" s="117"/>
      <c r="AE291" s="117"/>
    </row>
    <row r="292">
      <c r="A292" s="144"/>
      <c r="B292" s="144"/>
      <c r="C292" s="144"/>
      <c r="D292" s="58"/>
      <c r="E292" s="144"/>
      <c r="F292" s="58"/>
      <c r="G292" s="58"/>
      <c r="H292" s="58"/>
      <c r="I292" s="58"/>
      <c r="J292" s="58"/>
      <c r="K292" s="58"/>
      <c r="L292" s="117"/>
      <c r="M292" s="117"/>
      <c r="N292" s="117"/>
      <c r="O292" s="117"/>
      <c r="P292" s="117"/>
      <c r="Q292" s="117"/>
      <c r="R292" s="117"/>
      <c r="S292" s="117"/>
      <c r="T292" s="117"/>
      <c r="U292" s="117"/>
      <c r="V292" s="117"/>
      <c r="W292" s="117"/>
      <c r="X292" s="117"/>
      <c r="Y292" s="117"/>
      <c r="Z292" s="117"/>
      <c r="AA292" s="117"/>
      <c r="AB292" s="117"/>
      <c r="AC292" s="117"/>
      <c r="AD292" s="117"/>
      <c r="AE292" s="117"/>
    </row>
    <row r="293">
      <c r="A293" s="144"/>
      <c r="B293" s="144"/>
      <c r="C293" s="144"/>
      <c r="D293" s="58"/>
      <c r="E293" s="144"/>
      <c r="F293" s="58"/>
      <c r="G293" s="58"/>
      <c r="H293" s="58"/>
      <c r="I293" s="58"/>
      <c r="J293" s="58"/>
      <c r="K293" s="58"/>
      <c r="L293" s="117"/>
      <c r="M293" s="117"/>
      <c r="N293" s="117"/>
      <c r="O293" s="117"/>
      <c r="P293" s="117"/>
      <c r="Q293" s="117"/>
      <c r="R293" s="117"/>
      <c r="S293" s="117"/>
      <c r="T293" s="117"/>
      <c r="U293" s="117"/>
      <c r="V293" s="117"/>
      <c r="W293" s="117"/>
      <c r="X293" s="117"/>
      <c r="Y293" s="117"/>
      <c r="Z293" s="117"/>
      <c r="AA293" s="117"/>
      <c r="AB293" s="117"/>
      <c r="AC293" s="117"/>
      <c r="AD293" s="117"/>
      <c r="AE293" s="117"/>
    </row>
    <row r="294">
      <c r="A294" s="144"/>
      <c r="B294" s="144"/>
      <c r="C294" s="144"/>
      <c r="D294" s="58"/>
      <c r="E294" s="144"/>
      <c r="F294" s="58"/>
      <c r="G294" s="58"/>
      <c r="H294" s="58"/>
      <c r="I294" s="58"/>
      <c r="J294" s="58"/>
      <c r="K294" s="58"/>
      <c r="L294" s="117"/>
      <c r="M294" s="117"/>
      <c r="N294" s="117"/>
      <c r="O294" s="117"/>
      <c r="P294" s="117"/>
      <c r="Q294" s="117"/>
      <c r="R294" s="117"/>
      <c r="S294" s="117"/>
      <c r="T294" s="117"/>
      <c r="U294" s="117"/>
      <c r="V294" s="117"/>
      <c r="W294" s="117"/>
      <c r="X294" s="117"/>
      <c r="Y294" s="117"/>
      <c r="Z294" s="117"/>
      <c r="AA294" s="117"/>
      <c r="AB294" s="117"/>
      <c r="AC294" s="117"/>
      <c r="AD294" s="117"/>
      <c r="AE294" s="117"/>
    </row>
    <row r="295">
      <c r="A295" s="144"/>
      <c r="B295" s="144"/>
      <c r="C295" s="144"/>
      <c r="D295" s="58"/>
      <c r="E295" s="144"/>
      <c r="F295" s="58"/>
      <c r="G295" s="58"/>
      <c r="H295" s="58"/>
      <c r="I295" s="58"/>
      <c r="J295" s="58"/>
      <c r="K295" s="58"/>
      <c r="L295" s="117"/>
      <c r="M295" s="117"/>
      <c r="N295" s="117"/>
      <c r="O295" s="117"/>
      <c r="P295" s="117"/>
      <c r="Q295" s="117"/>
      <c r="R295" s="117"/>
      <c r="S295" s="117"/>
      <c r="T295" s="117"/>
      <c r="U295" s="117"/>
      <c r="V295" s="117"/>
      <c r="W295" s="117"/>
      <c r="X295" s="117"/>
      <c r="Y295" s="117"/>
      <c r="Z295" s="117"/>
      <c r="AA295" s="117"/>
      <c r="AB295" s="117"/>
      <c r="AC295" s="117"/>
      <c r="AD295" s="117"/>
      <c r="AE295" s="117"/>
    </row>
    <row r="296">
      <c r="A296" s="144"/>
      <c r="B296" s="144"/>
      <c r="C296" s="144"/>
      <c r="D296" s="58"/>
      <c r="E296" s="144"/>
      <c r="F296" s="58"/>
      <c r="G296" s="58"/>
      <c r="H296" s="58"/>
      <c r="I296" s="58"/>
      <c r="J296" s="58"/>
      <c r="K296" s="58"/>
      <c r="L296" s="117"/>
      <c r="M296" s="117"/>
      <c r="N296" s="117"/>
      <c r="O296" s="117"/>
      <c r="P296" s="117"/>
      <c r="Q296" s="117"/>
      <c r="R296" s="117"/>
      <c r="S296" s="117"/>
      <c r="T296" s="117"/>
      <c r="U296" s="117"/>
      <c r="V296" s="117"/>
      <c r="W296" s="117"/>
      <c r="X296" s="117"/>
      <c r="Y296" s="117"/>
      <c r="Z296" s="117"/>
      <c r="AA296" s="117"/>
      <c r="AB296" s="117"/>
      <c r="AC296" s="117"/>
      <c r="AD296" s="117"/>
      <c r="AE296" s="117"/>
    </row>
    <row r="297">
      <c r="A297" s="144"/>
      <c r="B297" s="144"/>
      <c r="C297" s="144"/>
      <c r="D297" s="58"/>
      <c r="E297" s="144"/>
      <c r="F297" s="58"/>
      <c r="G297" s="58"/>
      <c r="H297" s="58"/>
      <c r="I297" s="58"/>
      <c r="J297" s="58"/>
      <c r="K297" s="58"/>
      <c r="L297" s="117"/>
      <c r="M297" s="117"/>
      <c r="N297" s="117"/>
      <c r="O297" s="117"/>
      <c r="P297" s="117"/>
      <c r="Q297" s="117"/>
      <c r="R297" s="117"/>
      <c r="S297" s="117"/>
      <c r="T297" s="117"/>
      <c r="U297" s="117"/>
      <c r="V297" s="117"/>
      <c r="W297" s="117"/>
      <c r="X297" s="117"/>
      <c r="Y297" s="117"/>
      <c r="Z297" s="117"/>
      <c r="AA297" s="117"/>
      <c r="AB297" s="117"/>
      <c r="AC297" s="117"/>
      <c r="AD297" s="117"/>
      <c r="AE297" s="117"/>
    </row>
    <row r="298">
      <c r="A298" s="144"/>
      <c r="B298" s="144"/>
      <c r="C298" s="144"/>
      <c r="D298" s="58"/>
      <c r="E298" s="144"/>
      <c r="F298" s="58"/>
      <c r="G298" s="58"/>
      <c r="H298" s="58"/>
      <c r="I298" s="58"/>
      <c r="J298" s="58"/>
      <c r="K298" s="58"/>
      <c r="L298" s="117"/>
      <c r="M298" s="117"/>
      <c r="N298" s="117"/>
      <c r="O298" s="117"/>
      <c r="P298" s="117"/>
      <c r="Q298" s="117"/>
      <c r="R298" s="117"/>
      <c r="S298" s="117"/>
      <c r="T298" s="117"/>
      <c r="U298" s="117"/>
      <c r="V298" s="117"/>
      <c r="W298" s="117"/>
      <c r="X298" s="117"/>
      <c r="Y298" s="117"/>
      <c r="Z298" s="117"/>
      <c r="AA298" s="117"/>
      <c r="AB298" s="117"/>
      <c r="AC298" s="117"/>
      <c r="AD298" s="117"/>
      <c r="AE298" s="117"/>
    </row>
    <row r="299">
      <c r="A299" s="144"/>
      <c r="B299" s="144"/>
      <c r="C299" s="144"/>
      <c r="D299" s="58"/>
      <c r="E299" s="144"/>
      <c r="F299" s="58"/>
      <c r="G299" s="58"/>
      <c r="H299" s="58"/>
      <c r="I299" s="58"/>
      <c r="J299" s="58"/>
      <c r="K299" s="58"/>
      <c r="L299" s="117"/>
      <c r="M299" s="117"/>
      <c r="N299" s="117"/>
      <c r="O299" s="117"/>
      <c r="P299" s="117"/>
      <c r="Q299" s="117"/>
      <c r="R299" s="117"/>
      <c r="S299" s="117"/>
      <c r="T299" s="117"/>
      <c r="U299" s="117"/>
      <c r="V299" s="117"/>
      <c r="W299" s="117"/>
      <c r="X299" s="117"/>
      <c r="Y299" s="117"/>
      <c r="Z299" s="117"/>
      <c r="AA299" s="117"/>
      <c r="AB299" s="117"/>
      <c r="AC299" s="117"/>
      <c r="AD299" s="117"/>
      <c r="AE299" s="117"/>
    </row>
    <row r="300">
      <c r="A300" s="58"/>
      <c r="B300" s="58"/>
      <c r="C300" s="58"/>
      <c r="D300" s="58"/>
      <c r="E300" s="58"/>
      <c r="F300" s="58"/>
      <c r="G300" s="58"/>
      <c r="H300" s="58"/>
      <c r="I300" s="58"/>
      <c r="J300" s="58"/>
      <c r="K300" s="58"/>
      <c r="L300" s="117"/>
      <c r="M300" s="117"/>
      <c r="N300" s="117"/>
      <c r="O300" s="117"/>
      <c r="P300" s="117"/>
      <c r="Q300" s="117"/>
      <c r="R300" s="117"/>
      <c r="S300" s="117"/>
      <c r="T300" s="117"/>
      <c r="U300" s="117"/>
      <c r="V300" s="117"/>
      <c r="W300" s="117"/>
      <c r="X300" s="117"/>
      <c r="Y300" s="117"/>
      <c r="Z300" s="117"/>
      <c r="AA300" s="117"/>
      <c r="AB300" s="117"/>
      <c r="AC300" s="117"/>
      <c r="AD300" s="117"/>
      <c r="AE300" s="117"/>
    </row>
    <row r="301">
      <c r="A301" s="58"/>
      <c r="B301" s="58"/>
      <c r="C301" s="58"/>
      <c r="D301" s="58"/>
      <c r="E301" s="58"/>
      <c r="F301" s="58"/>
      <c r="G301" s="58"/>
      <c r="H301" s="58"/>
      <c r="I301" s="58"/>
      <c r="J301" s="58"/>
      <c r="K301" s="58"/>
      <c r="L301" s="117"/>
      <c r="M301" s="117"/>
      <c r="N301" s="117"/>
      <c r="O301" s="117"/>
      <c r="P301" s="117"/>
      <c r="Q301" s="117"/>
      <c r="R301" s="117"/>
      <c r="S301" s="117"/>
      <c r="T301" s="117"/>
      <c r="U301" s="117"/>
      <c r="V301" s="117"/>
      <c r="W301" s="117"/>
      <c r="X301" s="117"/>
      <c r="Y301" s="117"/>
      <c r="Z301" s="117"/>
      <c r="AA301" s="117"/>
      <c r="AB301" s="117"/>
      <c r="AC301" s="117"/>
      <c r="AD301" s="117"/>
      <c r="AE301" s="117"/>
    </row>
    <row r="302">
      <c r="A302" s="58"/>
      <c r="B302" s="58"/>
      <c r="C302" s="58"/>
      <c r="D302" s="58"/>
      <c r="E302" s="58"/>
      <c r="F302" s="58"/>
      <c r="G302" s="58"/>
      <c r="H302" s="58"/>
      <c r="I302" s="58"/>
      <c r="J302" s="58"/>
      <c r="K302" s="58"/>
      <c r="L302" s="117"/>
      <c r="M302" s="117"/>
      <c r="N302" s="117"/>
      <c r="O302" s="117"/>
      <c r="P302" s="117"/>
      <c r="Q302" s="117"/>
      <c r="R302" s="117"/>
      <c r="S302" s="117"/>
      <c r="T302" s="117"/>
      <c r="U302" s="117"/>
      <c r="V302" s="117"/>
      <c r="W302" s="117"/>
      <c r="X302" s="117"/>
      <c r="Y302" s="117"/>
      <c r="Z302" s="117"/>
      <c r="AA302" s="117"/>
      <c r="AB302" s="117"/>
      <c r="AC302" s="117"/>
      <c r="AD302" s="117"/>
      <c r="AE302" s="117"/>
    </row>
    <row r="303">
      <c r="A303" s="58"/>
      <c r="B303" s="58"/>
      <c r="C303" s="58"/>
      <c r="D303" s="58"/>
      <c r="E303" s="58"/>
      <c r="F303" s="58"/>
      <c r="G303" s="58"/>
      <c r="H303" s="58"/>
      <c r="I303" s="58"/>
      <c r="J303" s="58"/>
      <c r="K303" s="58"/>
      <c r="L303" s="117"/>
      <c r="M303" s="117"/>
      <c r="N303" s="117"/>
      <c r="O303" s="117"/>
      <c r="P303" s="117"/>
      <c r="Q303" s="117"/>
      <c r="R303" s="117"/>
      <c r="S303" s="117"/>
      <c r="T303" s="117"/>
      <c r="U303" s="117"/>
      <c r="V303" s="117"/>
      <c r="W303" s="117"/>
      <c r="X303" s="117"/>
      <c r="Y303" s="117"/>
      <c r="Z303" s="117"/>
      <c r="AA303" s="117"/>
      <c r="AB303" s="117"/>
      <c r="AC303" s="117"/>
      <c r="AD303" s="117"/>
      <c r="AE303" s="117"/>
    </row>
    <row r="304">
      <c r="A304" s="58"/>
      <c r="B304" s="58"/>
      <c r="C304" s="58"/>
      <c r="D304" s="58"/>
      <c r="E304" s="58"/>
      <c r="F304" s="58"/>
      <c r="G304" s="58"/>
      <c r="H304" s="58"/>
      <c r="I304" s="58"/>
      <c r="J304" s="58"/>
      <c r="K304" s="58"/>
      <c r="L304" s="117"/>
      <c r="M304" s="117"/>
      <c r="N304" s="117"/>
      <c r="O304" s="117"/>
      <c r="P304" s="117"/>
      <c r="Q304" s="117"/>
      <c r="R304" s="117"/>
      <c r="S304" s="117"/>
      <c r="T304" s="117"/>
      <c r="U304" s="117"/>
      <c r="V304" s="117"/>
      <c r="W304" s="117"/>
      <c r="X304" s="117"/>
      <c r="Y304" s="117"/>
      <c r="Z304" s="117"/>
      <c r="AA304" s="117"/>
      <c r="AB304" s="117"/>
      <c r="AC304" s="117"/>
      <c r="AD304" s="117"/>
      <c r="AE304" s="117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117"/>
      <c r="AB305" s="117"/>
      <c r="AC305" s="117"/>
      <c r="AD305" s="117"/>
      <c r="AE305" s="117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117"/>
      <c r="AB306" s="117"/>
      <c r="AC306" s="117"/>
      <c r="AD306" s="117"/>
      <c r="AE306" s="117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117"/>
      <c r="AB307" s="117"/>
      <c r="AC307" s="117"/>
      <c r="AD307" s="117"/>
      <c r="AE307" s="117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117"/>
      <c r="AB308" s="117"/>
      <c r="AC308" s="117"/>
      <c r="AD308" s="117"/>
      <c r="AE308" s="117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117"/>
      <c r="AB309" s="117"/>
      <c r="AC309" s="117"/>
      <c r="AD309" s="117"/>
      <c r="AE309" s="117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117"/>
      <c r="AB310" s="117"/>
      <c r="AC310" s="117"/>
      <c r="AD310" s="117"/>
      <c r="AE310" s="117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5"/>
      <c r="AB313" s="5"/>
      <c r="AC313" s="5"/>
      <c r="AD313" s="5"/>
      <c r="AE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/>
      <c r="AC314" s="5"/>
      <c r="AD314" s="5"/>
      <c r="AE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/>
      <c r="AD315" s="5"/>
      <c r="AE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5"/>
      <c r="AB316" s="5"/>
      <c r="AC316" s="5"/>
      <c r="AD316" s="5"/>
      <c r="AE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5"/>
      <c r="AB318" s="5"/>
      <c r="AC318" s="5"/>
      <c r="AD318" s="5"/>
      <c r="AE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5"/>
      <c r="AB322" s="5"/>
      <c r="AC322" s="5"/>
      <c r="AD322" s="5"/>
      <c r="AE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5"/>
      <c r="AB326" s="5"/>
      <c r="AC326" s="5"/>
      <c r="AD326" s="5"/>
      <c r="AE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5"/>
      <c r="AB327" s="5"/>
      <c r="AC327" s="5"/>
      <c r="AD327" s="5"/>
      <c r="AE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5"/>
      <c r="AB328" s="5"/>
      <c r="AC328" s="5"/>
      <c r="AD328" s="5"/>
      <c r="AE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5"/>
      <c r="AB330" s="5"/>
      <c r="AC330" s="5"/>
      <c r="AD330" s="5"/>
      <c r="AE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5"/>
      <c r="AB331" s="5"/>
      <c r="AC331" s="5"/>
      <c r="AD331" s="5"/>
      <c r="AE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5"/>
      <c r="AB337" s="5"/>
      <c r="AC337" s="5"/>
      <c r="AD337" s="5"/>
      <c r="AE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5"/>
      <c r="AB338" s="5"/>
      <c r="AC338" s="5"/>
      <c r="AD338" s="5"/>
      <c r="AE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5"/>
      <c r="AB339" s="5"/>
      <c r="AC339" s="5"/>
      <c r="AD339" s="5"/>
      <c r="AE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5"/>
      <c r="AB340" s="5"/>
      <c r="AC340" s="5"/>
      <c r="AD340" s="5"/>
      <c r="AE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5"/>
      <c r="AB341" s="5"/>
      <c r="AC341" s="5"/>
      <c r="AD341" s="5"/>
      <c r="AE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/>
      <c r="AB344" s="5"/>
      <c r="AC344" s="5"/>
      <c r="AD344" s="5"/>
      <c r="AE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/>
      <c r="AC345" s="5"/>
      <c r="AD345" s="5"/>
      <c r="AE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5"/>
      <c r="AB346" s="5"/>
      <c r="AC346" s="5"/>
      <c r="AD346" s="5"/>
      <c r="AE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5"/>
      <c r="AB347" s="5"/>
      <c r="AC347" s="5"/>
      <c r="AD347" s="5"/>
      <c r="AE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5"/>
      <c r="AB350" s="5"/>
      <c r="AC350" s="5"/>
      <c r="AD350" s="5"/>
      <c r="AE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5"/>
      <c r="AB360" s="5"/>
      <c r="AC360" s="5"/>
      <c r="AD360" s="5"/>
      <c r="AE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5"/>
      <c r="AB364" s="5"/>
      <c r="AC364" s="5"/>
      <c r="AD364" s="5"/>
      <c r="AE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5"/>
      <c r="AB365" s="5"/>
      <c r="AC365" s="5"/>
      <c r="AD365" s="5"/>
      <c r="AE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5"/>
      <c r="AB366" s="5"/>
      <c r="AC366" s="5"/>
      <c r="AD366" s="5"/>
      <c r="AE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5"/>
      <c r="AB367" s="5"/>
      <c r="AC367" s="5"/>
      <c r="AD367" s="5"/>
      <c r="AE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5"/>
      <c r="AB368" s="5"/>
      <c r="AC368" s="5"/>
      <c r="AD368" s="5"/>
      <c r="AE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5"/>
      <c r="AB369" s="5"/>
      <c r="AC369" s="5"/>
      <c r="AD369" s="5"/>
      <c r="AE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5"/>
      <c r="AB376" s="5"/>
      <c r="AC376" s="5"/>
      <c r="AD376" s="5"/>
      <c r="AE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5"/>
      <c r="AB378" s="5"/>
      <c r="AC378" s="5"/>
      <c r="AD378" s="5"/>
      <c r="AE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5"/>
      <c r="AB380" s="5"/>
      <c r="AC380" s="5"/>
      <c r="AD380" s="5"/>
      <c r="AE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/>
      <c r="AC386" s="5"/>
      <c r="AD386" s="5"/>
      <c r="AE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/>
      <c r="AE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5"/>
      <c r="AB389" s="5"/>
      <c r="AC389" s="5"/>
      <c r="AD389" s="5"/>
      <c r="AE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5"/>
      <c r="AB391" s="5"/>
      <c r="AC391" s="5"/>
      <c r="AD391" s="5"/>
      <c r="AE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5"/>
      <c r="AB393" s="5"/>
      <c r="AC393" s="5"/>
      <c r="AD393" s="5"/>
      <c r="AE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5"/>
      <c r="AB394" s="5"/>
      <c r="AC394" s="5"/>
      <c r="AD394" s="5"/>
      <c r="AE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5"/>
      <c r="AB395" s="5"/>
      <c r="AC395" s="5"/>
      <c r="AD395" s="5"/>
      <c r="AE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5"/>
      <c r="AB397" s="5"/>
      <c r="AC397" s="5"/>
      <c r="AD397" s="5"/>
      <c r="AE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5"/>
      <c r="AB398" s="5"/>
      <c r="AC398" s="5"/>
      <c r="AD398" s="5"/>
      <c r="AE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/>
      <c r="AC403" s="5"/>
      <c r="AD403" s="5"/>
      <c r="AE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5"/>
      <c r="AB406" s="5"/>
      <c r="AC406" s="5"/>
      <c r="AD406" s="5"/>
      <c r="AE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5"/>
      <c r="AB407" s="5"/>
      <c r="AC407" s="5"/>
      <c r="AD407" s="5"/>
      <c r="AE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5"/>
      <c r="AB409" s="5"/>
      <c r="AC409" s="5"/>
      <c r="AD409" s="5"/>
      <c r="AE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5"/>
      <c r="AB411" s="5"/>
      <c r="AC411" s="5"/>
      <c r="AD411" s="5"/>
      <c r="AE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5"/>
      <c r="AB412" s="5"/>
      <c r="AC412" s="5"/>
      <c r="AD412" s="5"/>
      <c r="AE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5"/>
      <c r="AB414" s="5"/>
      <c r="AC414" s="5"/>
      <c r="AD414" s="5"/>
      <c r="AE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5"/>
      <c r="AB415" s="5"/>
      <c r="AC415" s="5"/>
      <c r="AD415" s="5"/>
      <c r="AE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5"/>
      <c r="AB416" s="5"/>
      <c r="AC416" s="5"/>
      <c r="AD416" s="5"/>
      <c r="AE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5"/>
      <c r="AB417" s="5"/>
      <c r="AC417" s="5"/>
      <c r="AD417" s="5"/>
      <c r="AE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5"/>
      <c r="AB418" s="5"/>
      <c r="AC418" s="5"/>
      <c r="AD418" s="5"/>
      <c r="AE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/>
      <c r="AC419" s="5"/>
      <c r="AD419" s="5"/>
      <c r="AE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5"/>
      <c r="AB421" s="5"/>
      <c r="AC421" s="5"/>
      <c r="AD421" s="5"/>
      <c r="AE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5"/>
      <c r="AB422" s="5"/>
      <c r="AC422" s="5"/>
      <c r="AD422" s="5"/>
      <c r="AE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5"/>
      <c r="AB423" s="5"/>
      <c r="AC423" s="5"/>
      <c r="AD423" s="5"/>
      <c r="AE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5"/>
      <c r="AB426" s="5"/>
      <c r="AC426" s="5"/>
      <c r="AD426" s="5"/>
      <c r="AE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5"/>
      <c r="AB428" s="5"/>
      <c r="AC428" s="5"/>
      <c r="AD428" s="5"/>
      <c r="AE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5"/>
      <c r="AB430" s="5"/>
      <c r="AC430" s="5"/>
      <c r="AD430" s="5"/>
      <c r="AE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5"/>
      <c r="AB431" s="5"/>
      <c r="AC431" s="5"/>
      <c r="AD431" s="5"/>
      <c r="AE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/>
      <c r="AB434" s="5"/>
      <c r="AC434" s="5"/>
      <c r="AD434" s="5"/>
      <c r="AE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5"/>
      <c r="AB436" s="5"/>
      <c r="AC436" s="5"/>
      <c r="AD436" s="5"/>
      <c r="AE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5"/>
      <c r="AB437" s="5"/>
      <c r="AC437" s="5"/>
      <c r="AD437" s="5"/>
      <c r="AE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5"/>
      <c r="AB438" s="5"/>
      <c r="AC438" s="5"/>
      <c r="AD438" s="5"/>
      <c r="AE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/>
      <c r="AB440" s="5"/>
      <c r="AC440" s="5"/>
      <c r="AD440" s="5"/>
      <c r="AE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5"/>
      <c r="AB441" s="5"/>
      <c r="AC441" s="5"/>
      <c r="AD441" s="5"/>
      <c r="AE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5"/>
      <c r="AB442" s="5"/>
      <c r="AC442" s="5"/>
      <c r="AD442" s="5"/>
      <c r="AE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5"/>
      <c r="AB443" s="5"/>
      <c r="AC443" s="5"/>
      <c r="AD443" s="5"/>
      <c r="AE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5"/>
      <c r="AB444" s="5"/>
      <c r="AC444" s="5"/>
      <c r="AD444" s="5"/>
      <c r="AE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5"/>
      <c r="AB445" s="5"/>
      <c r="AC445" s="5"/>
      <c r="AD445" s="5"/>
      <c r="AE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5"/>
      <c r="AB446" s="5"/>
      <c r="AC446" s="5"/>
      <c r="AD446" s="5"/>
      <c r="AE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5"/>
      <c r="AB447" s="5"/>
      <c r="AC447" s="5"/>
      <c r="AD447" s="5"/>
      <c r="AE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/>
      <c r="AB448" s="5"/>
      <c r="AC448" s="5"/>
      <c r="AD448" s="5"/>
      <c r="AE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5"/>
      <c r="AB452" s="5"/>
      <c r="AC452" s="5"/>
      <c r="AD452" s="5"/>
      <c r="AE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5"/>
      <c r="AB455" s="5"/>
      <c r="AC455" s="5"/>
      <c r="AD455" s="5"/>
      <c r="AE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5"/>
      <c r="AB456" s="5"/>
      <c r="AC456" s="5"/>
      <c r="AD456" s="5"/>
      <c r="AE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5"/>
      <c r="AB457" s="5"/>
      <c r="AC457" s="5"/>
      <c r="AD457" s="5"/>
      <c r="AE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/>
      <c r="AB458" s="5"/>
      <c r="AC458" s="5"/>
      <c r="AD458" s="5"/>
      <c r="AE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5"/>
      <c r="AB462" s="5"/>
      <c r="AC462" s="5"/>
      <c r="AD462" s="5"/>
      <c r="AE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5"/>
      <c r="AB463" s="5"/>
      <c r="AC463" s="5"/>
      <c r="AD463" s="5"/>
      <c r="AE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5"/>
      <c r="AB464" s="5"/>
      <c r="AC464" s="5"/>
      <c r="AD464" s="5"/>
      <c r="AE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5"/>
      <c r="AB466" s="5"/>
      <c r="AC466" s="5"/>
      <c r="AD466" s="5"/>
      <c r="AE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5"/>
      <c r="AB468" s="5"/>
      <c r="AC468" s="5"/>
      <c r="AD468" s="5"/>
      <c r="AE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/>
      <c r="AC470" s="5"/>
      <c r="AD470" s="5"/>
      <c r="AE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/>
      <c r="AB472" s="5"/>
      <c r="AC472" s="5"/>
      <c r="AD472" s="5"/>
      <c r="AE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5"/>
      <c r="AB473" s="5"/>
      <c r="AC473" s="5"/>
      <c r="AD473" s="5"/>
      <c r="AE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5"/>
      <c r="AB474" s="5"/>
      <c r="AC474" s="5"/>
      <c r="AD474" s="5"/>
      <c r="AE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5"/>
      <c r="AB476" s="5"/>
      <c r="AC476" s="5"/>
      <c r="AD476" s="5"/>
      <c r="AE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5"/>
      <c r="AB477" s="5"/>
      <c r="AC477" s="5"/>
      <c r="AD477" s="5"/>
      <c r="AE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5"/>
      <c r="AB480" s="5"/>
      <c r="AC480" s="5"/>
      <c r="AD480" s="5"/>
      <c r="AE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5"/>
      <c r="AB482" s="5"/>
      <c r="AC482" s="5"/>
      <c r="AD482" s="5"/>
      <c r="AE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5"/>
      <c r="AB485" s="5"/>
      <c r="AC485" s="5"/>
      <c r="AD485" s="5"/>
      <c r="AE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5"/>
      <c r="AB486" s="5"/>
      <c r="AC486" s="5"/>
      <c r="AD486" s="5"/>
      <c r="AE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5"/>
      <c r="AB487" s="5"/>
      <c r="AC487" s="5"/>
      <c r="AD487" s="5"/>
      <c r="AE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5"/>
      <c r="AB488" s="5"/>
      <c r="AC488" s="5"/>
      <c r="AD488" s="5"/>
      <c r="AE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5"/>
      <c r="AB491" s="5"/>
      <c r="AC491" s="5"/>
      <c r="AD491" s="5"/>
      <c r="AE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/>
      <c r="AE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5"/>
      <c r="AB494" s="5"/>
      <c r="AC494" s="5"/>
      <c r="AD494" s="5"/>
      <c r="AE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5"/>
      <c r="AB497" s="5"/>
      <c r="AC497" s="5"/>
      <c r="AD497" s="5"/>
      <c r="AE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5"/>
      <c r="AB498" s="5"/>
      <c r="AC498" s="5"/>
      <c r="AD498" s="5"/>
      <c r="AE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5"/>
      <c r="AB502" s="5"/>
      <c r="AC502" s="5"/>
      <c r="AD502" s="5"/>
      <c r="AE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5"/>
      <c r="AB503" s="5"/>
      <c r="AC503" s="5"/>
      <c r="AD503" s="5"/>
      <c r="AE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5"/>
      <c r="AB505" s="5"/>
      <c r="AC505" s="5"/>
      <c r="AD505" s="5"/>
      <c r="AE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5"/>
      <c r="AB518" s="5"/>
      <c r="AC518" s="5"/>
      <c r="AD518" s="5"/>
      <c r="AE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5"/>
      <c r="AB520" s="5"/>
      <c r="AC520" s="5"/>
      <c r="AD520" s="5"/>
      <c r="AE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5"/>
      <c r="AB521" s="5"/>
      <c r="AC521" s="5"/>
      <c r="AD521" s="5"/>
      <c r="AE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5"/>
      <c r="AB523" s="5"/>
      <c r="AC523" s="5"/>
      <c r="AD523" s="5"/>
      <c r="AE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5"/>
      <c r="AB525" s="5"/>
      <c r="AC525" s="5"/>
      <c r="AD525" s="5"/>
      <c r="AE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5"/>
      <c r="AB526" s="5"/>
      <c r="AC526" s="5"/>
      <c r="AD526" s="5"/>
      <c r="AE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5"/>
      <c r="AB529" s="5"/>
      <c r="AC529" s="5"/>
      <c r="AD529" s="5"/>
      <c r="AE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5"/>
      <c r="AB530" s="5"/>
      <c r="AC530" s="5"/>
      <c r="AD530" s="5"/>
      <c r="AE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5"/>
      <c r="AB531" s="5"/>
      <c r="AC531" s="5"/>
      <c r="AD531" s="5"/>
      <c r="AE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/>
      <c r="AC532" s="5"/>
      <c r="AD532" s="5"/>
      <c r="AE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5"/>
      <c r="AB533" s="5"/>
      <c r="AC533" s="5"/>
      <c r="AD533" s="5"/>
      <c r="AE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5"/>
      <c r="AB535" s="5"/>
      <c r="AC535" s="5"/>
      <c r="AD535" s="5"/>
      <c r="AE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5"/>
      <c r="AB536" s="5"/>
      <c r="AC536" s="5"/>
      <c r="AD536" s="5"/>
      <c r="AE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5"/>
      <c r="AB538" s="5"/>
      <c r="AC538" s="5"/>
      <c r="AD538" s="5"/>
      <c r="AE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5"/>
      <c r="AB546" s="5"/>
      <c r="AC546" s="5"/>
      <c r="AD546" s="5"/>
      <c r="AE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5"/>
      <c r="AB552" s="5"/>
      <c r="AC552" s="5"/>
      <c r="AD552" s="5"/>
      <c r="AE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5"/>
      <c r="AB557" s="5"/>
      <c r="AC557" s="5"/>
      <c r="AD557" s="5"/>
      <c r="AE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5"/>
      <c r="AB560" s="5"/>
      <c r="AC560" s="5"/>
      <c r="AD560" s="5"/>
      <c r="AE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5"/>
      <c r="AB562" s="5"/>
      <c r="AC562" s="5"/>
      <c r="AD562" s="5"/>
      <c r="AE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5"/>
      <c r="AB563" s="5"/>
      <c r="AC563" s="5"/>
      <c r="AD563" s="5"/>
      <c r="AE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5"/>
      <c r="AB565" s="5"/>
      <c r="AC565" s="5"/>
      <c r="AD565" s="5"/>
      <c r="AE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5"/>
      <c r="AB566" s="5"/>
      <c r="AC566" s="5"/>
      <c r="AD566" s="5"/>
      <c r="AE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5"/>
      <c r="AB567" s="5"/>
      <c r="AC567" s="5"/>
      <c r="AD567" s="5"/>
      <c r="AE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5"/>
      <c r="AB574" s="5"/>
      <c r="AC574" s="5"/>
      <c r="AD574" s="5"/>
      <c r="AE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5"/>
      <c r="AB576" s="5"/>
      <c r="AC576" s="5"/>
      <c r="AD576" s="5"/>
      <c r="AE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5"/>
      <c r="AB577" s="5"/>
      <c r="AC577" s="5"/>
      <c r="AD577" s="5"/>
      <c r="AE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5"/>
      <c r="AB578" s="5"/>
      <c r="AC578" s="5"/>
      <c r="AD578" s="5"/>
      <c r="AE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5"/>
      <c r="AB579" s="5"/>
      <c r="AC579" s="5"/>
      <c r="AD579" s="5"/>
      <c r="AE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5"/>
      <c r="AB580" s="5"/>
      <c r="AC580" s="5"/>
      <c r="AD580" s="5"/>
      <c r="AE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5"/>
      <c r="AB581" s="5"/>
      <c r="AC581" s="5"/>
      <c r="AD581" s="5"/>
      <c r="AE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5"/>
      <c r="AB583" s="5"/>
      <c r="AC583" s="5"/>
      <c r="AD583" s="5"/>
      <c r="AE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/>
      <c r="AB587" s="5"/>
      <c r="AC587" s="5"/>
      <c r="AD587" s="5"/>
      <c r="AE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5"/>
      <c r="AB588" s="5"/>
      <c r="AC588" s="5"/>
      <c r="AD588" s="5"/>
      <c r="AE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5"/>
      <c r="AB589" s="5"/>
      <c r="AC589" s="5"/>
      <c r="AD589" s="5"/>
      <c r="AE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5"/>
      <c r="AB590" s="5"/>
      <c r="AC590" s="5"/>
      <c r="AD590" s="5"/>
      <c r="AE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5"/>
      <c r="AB591" s="5"/>
      <c r="AC591" s="5"/>
      <c r="AD591" s="5"/>
      <c r="AE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/>
      <c r="AD592" s="5"/>
      <c r="AE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5"/>
      <c r="AB593" s="5"/>
      <c r="AC593" s="5"/>
      <c r="AD593" s="5"/>
      <c r="AE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5"/>
      <c r="AB594" s="5"/>
      <c r="AC594" s="5"/>
      <c r="AD594" s="5"/>
      <c r="AE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5"/>
      <c r="AB595" s="5"/>
      <c r="AC595" s="5"/>
      <c r="AD595" s="5"/>
      <c r="AE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5"/>
      <c r="AB596" s="5"/>
      <c r="AC596" s="5"/>
      <c r="AD596" s="5"/>
      <c r="AE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5"/>
      <c r="AB597" s="5"/>
      <c r="AC597" s="5"/>
      <c r="AD597" s="5"/>
      <c r="AE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5"/>
      <c r="AB599" s="5"/>
      <c r="AC599" s="5"/>
      <c r="AD599" s="5"/>
      <c r="AE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5"/>
      <c r="AB602" s="5"/>
      <c r="AC602" s="5"/>
      <c r="AD602" s="5"/>
      <c r="AE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5"/>
      <c r="AB603" s="5"/>
      <c r="AC603" s="5"/>
      <c r="AD603" s="5"/>
      <c r="AE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/>
      <c r="AB605" s="5"/>
      <c r="AC605" s="5"/>
      <c r="AD605" s="5"/>
      <c r="AE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5"/>
      <c r="AB606" s="5"/>
      <c r="AC606" s="5"/>
      <c r="AD606" s="5"/>
      <c r="AE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5"/>
      <c r="AB608" s="5"/>
      <c r="AC608" s="5"/>
      <c r="AD608" s="5"/>
      <c r="AE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/>
      <c r="AE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5"/>
      <c r="AB617" s="5"/>
      <c r="AC617" s="5"/>
      <c r="AD617" s="5"/>
      <c r="AE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5"/>
      <c r="AB618" s="5"/>
      <c r="AC618" s="5"/>
      <c r="AD618" s="5"/>
      <c r="AE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5"/>
      <c r="AB619" s="5"/>
      <c r="AC619" s="5"/>
      <c r="AD619" s="5"/>
      <c r="AE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5"/>
      <c r="AB622" s="5"/>
      <c r="AC622" s="5"/>
      <c r="AD622" s="5"/>
      <c r="AE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5"/>
      <c r="AB625" s="5"/>
      <c r="AC625" s="5"/>
      <c r="AD625" s="5"/>
      <c r="AE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5"/>
      <c r="AB626" s="5"/>
      <c r="AC626" s="5"/>
      <c r="AD626" s="5"/>
      <c r="AE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5"/>
      <c r="AB627" s="5"/>
      <c r="AC627" s="5"/>
      <c r="AD627" s="5"/>
      <c r="AE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/>
      <c r="AE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5"/>
      <c r="AB629" s="5"/>
      <c r="AC629" s="5"/>
      <c r="AD629" s="5"/>
      <c r="AE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5"/>
      <c r="AB630" s="5"/>
      <c r="AC630" s="5"/>
      <c r="AD630" s="5"/>
      <c r="AE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/>
      <c r="AC631" s="5"/>
      <c r="AD631" s="5"/>
      <c r="AE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5"/>
      <c r="AB632" s="5"/>
      <c r="AC632" s="5"/>
      <c r="AD632" s="5"/>
      <c r="AE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5"/>
      <c r="AB633" s="5"/>
      <c r="AC633" s="5"/>
      <c r="AD633" s="5"/>
      <c r="AE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5"/>
      <c r="AB634" s="5"/>
      <c r="AC634" s="5"/>
      <c r="AD634" s="5"/>
      <c r="AE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5"/>
      <c r="AB655" s="5"/>
      <c r="AC655" s="5"/>
      <c r="AD655" s="5"/>
      <c r="AE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/>
      <c r="AB656" s="5"/>
      <c r="AC656" s="5"/>
      <c r="AD656" s="5"/>
      <c r="AE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5"/>
      <c r="AB657" s="5"/>
      <c r="AC657" s="5"/>
      <c r="AD657" s="5"/>
      <c r="AE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5"/>
      <c r="AB659" s="5"/>
      <c r="AC659" s="5"/>
      <c r="AD659" s="5"/>
      <c r="AE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5"/>
      <c r="AB662" s="5"/>
      <c r="AC662" s="5"/>
      <c r="AD662" s="5"/>
      <c r="AE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5"/>
      <c r="AB667" s="5"/>
      <c r="AC667" s="5"/>
      <c r="AD667" s="5"/>
      <c r="AE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5"/>
      <c r="AB670" s="5"/>
      <c r="AC670" s="5"/>
      <c r="AD670" s="5"/>
      <c r="AE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5"/>
      <c r="AB675" s="5"/>
      <c r="AC675" s="5"/>
      <c r="AD675" s="5"/>
      <c r="AE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5"/>
      <c r="AB676" s="5"/>
      <c r="AC676" s="5"/>
      <c r="AD676" s="5"/>
      <c r="AE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5"/>
      <c r="AB677" s="5"/>
      <c r="AC677" s="5"/>
      <c r="AD677" s="5"/>
      <c r="AE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5"/>
      <c r="AB678" s="5"/>
      <c r="AC678" s="5"/>
      <c r="AD678" s="5"/>
      <c r="AE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5"/>
      <c r="AB679" s="5"/>
      <c r="AC679" s="5"/>
      <c r="AD679" s="5"/>
      <c r="AE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5"/>
      <c r="AB681" s="5"/>
      <c r="AC681" s="5"/>
      <c r="AD681" s="5"/>
      <c r="AE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5"/>
      <c r="AB686" s="5"/>
      <c r="AC686" s="5"/>
      <c r="AD686" s="5"/>
      <c r="AE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5"/>
      <c r="AB687" s="5"/>
      <c r="AC687" s="5"/>
      <c r="AD687" s="5"/>
      <c r="AE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5"/>
      <c r="AB688" s="5"/>
      <c r="AC688" s="5"/>
      <c r="AD688" s="5"/>
      <c r="AE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5"/>
      <c r="AB689" s="5"/>
      <c r="AC689" s="5"/>
      <c r="AD689" s="5"/>
      <c r="AE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5"/>
      <c r="AB690" s="5"/>
      <c r="AC690" s="5"/>
      <c r="AD690" s="5"/>
      <c r="AE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5"/>
      <c r="AB691" s="5"/>
      <c r="AC691" s="5"/>
      <c r="AD691" s="5"/>
      <c r="AE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5"/>
      <c r="AB693" s="5"/>
      <c r="AC693" s="5"/>
      <c r="AD693" s="5"/>
      <c r="AE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5"/>
      <c r="AB695" s="5"/>
      <c r="AC695" s="5"/>
      <c r="AD695" s="5"/>
      <c r="AE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5"/>
      <c r="AB696" s="5"/>
      <c r="AC696" s="5"/>
      <c r="AD696" s="5"/>
      <c r="AE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5"/>
      <c r="AB697" s="5"/>
      <c r="AC697" s="5"/>
      <c r="AD697" s="5"/>
      <c r="AE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5"/>
      <c r="AB699" s="5"/>
      <c r="AC699" s="5"/>
      <c r="AD699" s="5"/>
      <c r="AE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5"/>
      <c r="AB700" s="5"/>
      <c r="AC700" s="5"/>
      <c r="AD700" s="5"/>
      <c r="AE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5"/>
      <c r="AB701" s="5"/>
      <c r="AC701" s="5"/>
      <c r="AD701" s="5"/>
      <c r="AE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5"/>
      <c r="AB703" s="5"/>
      <c r="AC703" s="5"/>
      <c r="AD703" s="5"/>
      <c r="AE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5"/>
      <c r="AB704" s="5"/>
      <c r="AC704" s="5"/>
      <c r="AD704" s="5"/>
      <c r="AE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5"/>
      <c r="AB705" s="5"/>
      <c r="AC705" s="5"/>
      <c r="AD705" s="5"/>
      <c r="AE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5"/>
      <c r="AB708" s="5"/>
      <c r="AC708" s="5"/>
      <c r="AD708" s="5"/>
      <c r="AE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5"/>
      <c r="AB729" s="5"/>
      <c r="AC729" s="5"/>
      <c r="AD729" s="5"/>
      <c r="AE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/>
      <c r="AB730" s="5"/>
      <c r="AC730" s="5"/>
      <c r="AD730" s="5"/>
      <c r="AE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5"/>
      <c r="AB744" s="5"/>
      <c r="AC744" s="5"/>
      <c r="AD744" s="5"/>
      <c r="AE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5"/>
      <c r="AB745" s="5"/>
      <c r="AC745" s="5"/>
      <c r="AD745" s="5"/>
      <c r="AE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5"/>
      <c r="AB747" s="5"/>
      <c r="AC747" s="5"/>
      <c r="AD747" s="5"/>
      <c r="AE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5"/>
      <c r="AB751" s="5"/>
      <c r="AC751" s="5"/>
      <c r="AD751" s="5"/>
      <c r="AE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5"/>
      <c r="AB752" s="5"/>
      <c r="AC752" s="5"/>
      <c r="AD752" s="5"/>
      <c r="AE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5"/>
      <c r="AB753" s="5"/>
      <c r="AC753" s="5"/>
      <c r="AD753" s="5"/>
      <c r="AE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5"/>
      <c r="AB754" s="5"/>
      <c r="AC754" s="5"/>
      <c r="AD754" s="5"/>
      <c r="AE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5"/>
      <c r="AB755" s="5"/>
      <c r="AC755" s="5"/>
      <c r="AD755" s="5"/>
      <c r="AE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5"/>
      <c r="AB756" s="5"/>
      <c r="AC756" s="5"/>
      <c r="AD756" s="5"/>
      <c r="AE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5"/>
      <c r="AB757" s="5"/>
      <c r="AC757" s="5"/>
      <c r="AD757" s="5"/>
      <c r="AE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5"/>
      <c r="AB763" s="5"/>
      <c r="AC763" s="5"/>
      <c r="AD763" s="5"/>
      <c r="AE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5"/>
      <c r="AB765" s="5"/>
      <c r="AC765" s="5"/>
      <c r="AD765" s="5"/>
      <c r="AE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5"/>
      <c r="AB766" s="5"/>
      <c r="AC766" s="5"/>
      <c r="AD766" s="5"/>
      <c r="AE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5"/>
      <c r="AB767" s="5"/>
      <c r="AC767" s="5"/>
      <c r="AD767" s="5"/>
      <c r="AE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5"/>
      <c r="AB768" s="5"/>
      <c r="AC768" s="5"/>
      <c r="AD768" s="5"/>
      <c r="AE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5"/>
      <c r="AB770" s="5"/>
      <c r="AC770" s="5"/>
      <c r="AD770" s="5"/>
      <c r="AE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5"/>
      <c r="AB776" s="5"/>
      <c r="AC776" s="5"/>
      <c r="AD776" s="5"/>
      <c r="AE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5"/>
      <c r="AB781" s="5"/>
      <c r="AC781" s="5"/>
      <c r="AD781" s="5"/>
      <c r="AE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5"/>
      <c r="AB787" s="5"/>
      <c r="AC787" s="5"/>
      <c r="AD787" s="5"/>
      <c r="AE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5"/>
      <c r="AB788" s="5"/>
      <c r="AC788" s="5"/>
      <c r="AD788" s="5"/>
      <c r="AE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5"/>
      <c r="AB789" s="5"/>
      <c r="AC789" s="5"/>
      <c r="AD789" s="5"/>
      <c r="AE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5"/>
      <c r="AB790" s="5"/>
      <c r="AC790" s="5"/>
      <c r="AD790" s="5"/>
      <c r="AE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5"/>
      <c r="AB791" s="5"/>
      <c r="AC791" s="5"/>
      <c r="AD791" s="5"/>
      <c r="AE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5"/>
      <c r="AB792" s="5"/>
      <c r="AC792" s="5"/>
      <c r="AD792" s="5"/>
      <c r="AE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5"/>
      <c r="AB793" s="5"/>
      <c r="AC793" s="5"/>
      <c r="AD793" s="5"/>
      <c r="AE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5"/>
      <c r="AB794" s="5"/>
      <c r="AC794" s="5"/>
      <c r="AD794" s="5"/>
      <c r="AE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5"/>
      <c r="AB796" s="5"/>
      <c r="AC796" s="5"/>
      <c r="AD796" s="5"/>
      <c r="AE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5"/>
      <c r="AB797" s="5"/>
      <c r="AC797" s="5"/>
      <c r="AD797" s="5"/>
      <c r="AE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5"/>
      <c r="AB798" s="5"/>
      <c r="AC798" s="5"/>
      <c r="AD798" s="5"/>
      <c r="AE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5"/>
      <c r="AB803" s="5"/>
      <c r="AC803" s="5"/>
      <c r="AD803" s="5"/>
      <c r="AE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/>
      <c r="AC810" s="5"/>
      <c r="AD810" s="5"/>
      <c r="AE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/>
      <c r="AC811" s="5"/>
      <c r="AD811" s="5"/>
      <c r="AE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/>
      <c r="AC814" s="5"/>
      <c r="AD814" s="5"/>
      <c r="AE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/>
      <c r="AD816" s="5"/>
      <c r="AE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/>
      <c r="AC819" s="5"/>
      <c r="AD819" s="5"/>
      <c r="AE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/>
      <c r="AD820" s="5"/>
      <c r="AE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/>
      <c r="AD823" s="5"/>
      <c r="AE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/>
      <c r="AC824" s="5"/>
      <c r="AD824" s="5"/>
      <c r="AE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/>
      <c r="AC825" s="5"/>
      <c r="AD825" s="5"/>
      <c r="AE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/>
      <c r="AC826" s="5"/>
      <c r="AD826" s="5"/>
      <c r="AE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/>
      <c r="AC830" s="5"/>
      <c r="AD830" s="5"/>
      <c r="AE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/>
      <c r="AC831" s="5"/>
      <c r="AD831" s="5"/>
      <c r="AE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/>
      <c r="AC832" s="5"/>
      <c r="AD832" s="5"/>
      <c r="AE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/>
      <c r="AC834" s="5"/>
      <c r="AD834" s="5"/>
      <c r="AE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/>
      <c r="AC836" s="5"/>
      <c r="AD836" s="5"/>
      <c r="AE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/>
      <c r="AD837" s="5"/>
      <c r="AE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/>
      <c r="AC838" s="5"/>
      <c r="AD838" s="5"/>
      <c r="AE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/>
      <c r="AC840" s="5"/>
      <c r="AD840" s="5"/>
      <c r="AE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/>
      <c r="AD850" s="5"/>
      <c r="AE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/>
      <c r="AE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5"/>
      <c r="AB856" s="5"/>
      <c r="AC856" s="5"/>
      <c r="AD856" s="5"/>
      <c r="AE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5"/>
      <c r="AB858" s="5"/>
      <c r="AC858" s="5"/>
      <c r="AD858" s="5"/>
      <c r="AE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5"/>
      <c r="AB859" s="5"/>
      <c r="AC859" s="5"/>
      <c r="AD859" s="5"/>
      <c r="AE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5"/>
      <c r="AB863" s="5"/>
      <c r="AC863" s="5"/>
      <c r="AD863" s="5"/>
      <c r="AE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/>
      <c r="AD866" s="5"/>
      <c r="AE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5"/>
      <c r="AB867" s="5"/>
      <c r="AC867" s="5"/>
      <c r="AD867" s="5"/>
      <c r="AE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5"/>
      <c r="AB869" s="5"/>
      <c r="AC869" s="5"/>
      <c r="AD869" s="5"/>
      <c r="AE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5"/>
      <c r="AB870" s="5"/>
      <c r="AC870" s="5"/>
      <c r="AD870" s="5"/>
      <c r="AE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5"/>
      <c r="AB872" s="5"/>
      <c r="AC872" s="5"/>
      <c r="AD872" s="5"/>
      <c r="AE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5"/>
      <c r="AB882" s="5"/>
      <c r="AC882" s="5"/>
      <c r="AD882" s="5"/>
      <c r="AE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5"/>
      <c r="AB883" s="5"/>
      <c r="AC883" s="5"/>
      <c r="AD883" s="5"/>
      <c r="AE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5"/>
      <c r="AB885" s="5"/>
      <c r="AC885" s="5"/>
      <c r="AD885" s="5"/>
      <c r="AE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5"/>
      <c r="AB886" s="5"/>
      <c r="AC886" s="5"/>
      <c r="AD886" s="5"/>
      <c r="AE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5"/>
      <c r="AB887" s="5"/>
      <c r="AC887" s="5"/>
      <c r="AD887" s="5"/>
      <c r="AE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5"/>
      <c r="AB888" s="5"/>
      <c r="AC888" s="5"/>
      <c r="AD888" s="5"/>
      <c r="AE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5"/>
      <c r="AB889" s="5"/>
      <c r="AC889" s="5"/>
      <c r="AD889" s="5"/>
      <c r="AE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5"/>
      <c r="AB890" s="5"/>
      <c r="AC890" s="5"/>
      <c r="AD890" s="5"/>
      <c r="AE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5"/>
      <c r="AB891" s="5"/>
      <c r="AC891" s="5"/>
      <c r="AD891" s="5"/>
      <c r="AE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5"/>
      <c r="AB892" s="5"/>
      <c r="AC892" s="5"/>
      <c r="AD892" s="5"/>
      <c r="AE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</row>
    <row r="1001">
      <c r="A1001" s="5"/>
      <c r="B1001" s="5"/>
      <c r="C1001" s="5"/>
      <c r="D1001" s="5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</row>
    <row r="1002">
      <c r="A1002" s="5"/>
      <c r="B1002" s="5"/>
      <c r="C1002" s="5"/>
      <c r="D1002" s="5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</row>
    <row r="1003">
      <c r="A1003" s="5"/>
      <c r="B1003" s="5"/>
      <c r="C1003" s="5"/>
      <c r="D1003" s="5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</row>
    <row r="1004">
      <c r="A1004" s="5"/>
      <c r="B1004" s="5"/>
      <c r="C1004" s="5"/>
      <c r="D1004" s="5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</row>
    <row r="1005">
      <c r="A1005" s="5"/>
      <c r="B1005" s="5"/>
      <c r="C1005" s="5"/>
      <c r="D1005" s="5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</row>
    <row r="1006">
      <c r="A1006" s="5"/>
      <c r="B1006" s="5"/>
      <c r="C1006" s="5"/>
      <c r="D1006" s="5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</row>
    <row r="1007">
      <c r="A1007" s="5"/>
      <c r="B1007" s="5"/>
      <c r="C1007" s="5"/>
      <c r="D1007" s="5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</row>
    <row r="1008">
      <c r="A1008" s="5"/>
      <c r="B1008" s="5"/>
      <c r="C1008" s="5"/>
      <c r="D1008" s="5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</row>
    <row r="1009">
      <c r="A1009" s="5"/>
      <c r="B1009" s="5"/>
      <c r="C1009" s="5"/>
      <c r="D1009" s="5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</row>
    <row r="1010">
      <c r="A1010" s="5"/>
      <c r="B1010" s="5"/>
      <c r="C1010" s="5"/>
      <c r="D1010" s="5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</row>
  </sheetData>
  <autoFilter ref="$E$1:$E$999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4.43" defaultRowHeight="15.0"/>
  <cols>
    <col customWidth="1" min="1" max="3" width="45.86"/>
    <col customWidth="1" min="4" max="4" width="54.29"/>
    <col customWidth="1" min="5" max="5" width="25.57"/>
    <col customWidth="1" min="6" max="6" width="66.57"/>
    <col customWidth="1" min="7" max="7" width="22.43"/>
  </cols>
  <sheetData>
    <row r="1">
      <c r="A1" s="1" t="s">
        <v>0</v>
      </c>
      <c r="B1" s="1" t="s">
        <v>1</v>
      </c>
      <c r="C1" s="1" t="s">
        <v>2</v>
      </c>
      <c r="D1" s="3" t="s">
        <v>3</v>
      </c>
      <c r="E1" s="1" t="s">
        <v>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141"/>
      <c r="AB1" s="141"/>
      <c r="AC1" s="141"/>
      <c r="AD1" s="141"/>
      <c r="AE1" s="141"/>
    </row>
    <row r="2">
      <c r="A2" s="17" t="s">
        <v>7051</v>
      </c>
      <c r="B2" s="17" t="s">
        <v>7053</v>
      </c>
      <c r="C2" s="17" t="s">
        <v>7054</v>
      </c>
      <c r="D2" s="20" t="s">
        <v>7058</v>
      </c>
      <c r="E2" s="142"/>
      <c r="F2" s="143"/>
      <c r="G2" s="143"/>
      <c r="H2" s="143"/>
      <c r="I2" s="143"/>
      <c r="J2" s="143"/>
      <c r="K2" s="143"/>
      <c r="L2" s="143"/>
      <c r="M2" s="143"/>
      <c r="N2" s="143"/>
      <c r="O2" s="143"/>
      <c r="P2" s="143"/>
      <c r="Q2" s="143"/>
      <c r="R2" s="143"/>
      <c r="S2" s="143"/>
      <c r="T2" s="143"/>
      <c r="U2" s="143"/>
      <c r="V2" s="143"/>
      <c r="W2" s="143"/>
      <c r="X2" s="143"/>
      <c r="Y2" s="143"/>
      <c r="Z2" s="143"/>
      <c r="AA2" s="143"/>
      <c r="AB2" s="143"/>
      <c r="AC2" s="143"/>
      <c r="AD2" s="143"/>
      <c r="AE2" s="143"/>
    </row>
    <row r="3">
      <c r="A3" s="17" t="s">
        <v>7067</v>
      </c>
      <c r="B3" s="17" t="s">
        <v>7068</v>
      </c>
      <c r="C3" s="17" t="s">
        <v>7070</v>
      </c>
      <c r="D3" s="9" t="s">
        <v>7071</v>
      </c>
      <c r="E3" s="142"/>
      <c r="F3" s="143"/>
      <c r="G3" s="143"/>
      <c r="H3" s="143"/>
      <c r="I3" s="143"/>
      <c r="J3" s="143"/>
      <c r="K3" s="143"/>
      <c r="L3" s="143"/>
      <c r="M3" s="143"/>
      <c r="N3" s="143"/>
      <c r="O3" s="143"/>
      <c r="P3" s="143"/>
      <c r="Q3" s="143"/>
      <c r="R3" s="143"/>
      <c r="S3" s="143"/>
      <c r="T3" s="143"/>
      <c r="U3" s="143"/>
      <c r="V3" s="143"/>
      <c r="W3" s="143"/>
      <c r="X3" s="143"/>
      <c r="Y3" s="143"/>
      <c r="Z3" s="143"/>
      <c r="AA3" s="143"/>
      <c r="AB3" s="143"/>
      <c r="AC3" s="143"/>
      <c r="AD3" s="143"/>
      <c r="AE3" s="143"/>
    </row>
    <row r="4">
      <c r="A4" s="17" t="s">
        <v>7075</v>
      </c>
      <c r="B4" s="17" t="s">
        <v>7076</v>
      </c>
      <c r="C4" s="17" t="s">
        <v>7078</v>
      </c>
      <c r="D4" s="9" t="s">
        <v>7079</v>
      </c>
      <c r="E4" s="142"/>
      <c r="F4" s="143"/>
      <c r="G4" s="143"/>
      <c r="H4" s="143"/>
      <c r="I4" s="143"/>
      <c r="J4" s="143"/>
      <c r="K4" s="143"/>
      <c r="L4" s="143"/>
      <c r="M4" s="143"/>
      <c r="N4" s="143"/>
      <c r="O4" s="143"/>
      <c r="P4" s="143"/>
      <c r="Q4" s="143"/>
      <c r="R4" s="143"/>
      <c r="S4" s="143"/>
      <c r="T4" s="143"/>
      <c r="U4" s="143"/>
      <c r="V4" s="143"/>
      <c r="W4" s="143"/>
      <c r="X4" s="143"/>
      <c r="Y4" s="143"/>
      <c r="Z4" s="143"/>
      <c r="AA4" s="143"/>
      <c r="AB4" s="143"/>
      <c r="AC4" s="143"/>
      <c r="AD4" s="143"/>
      <c r="AE4" s="143"/>
    </row>
    <row r="5">
      <c r="A5" s="17" t="s">
        <v>7080</v>
      </c>
      <c r="B5" s="17" t="s">
        <v>7081</v>
      </c>
      <c r="C5" s="17" t="s">
        <v>7082</v>
      </c>
      <c r="D5" s="20" t="s">
        <v>7083</v>
      </c>
      <c r="E5" s="142"/>
      <c r="F5" s="143"/>
      <c r="G5" s="143"/>
      <c r="H5" s="143"/>
      <c r="I5" s="143"/>
      <c r="J5" s="143"/>
      <c r="K5" s="143"/>
      <c r="L5" s="143"/>
      <c r="M5" s="143"/>
      <c r="N5" s="143"/>
      <c r="O5" s="143"/>
      <c r="P5" s="143"/>
      <c r="Q5" s="143"/>
      <c r="R5" s="143"/>
      <c r="S5" s="143"/>
      <c r="T5" s="143"/>
      <c r="U5" s="143"/>
      <c r="V5" s="143"/>
      <c r="W5" s="143"/>
      <c r="X5" s="143"/>
      <c r="Y5" s="143"/>
      <c r="Z5" s="143"/>
      <c r="AA5" s="143"/>
      <c r="AB5" s="143"/>
      <c r="AC5" s="143"/>
      <c r="AD5" s="143"/>
      <c r="AE5" s="143"/>
    </row>
    <row r="6">
      <c r="A6" s="17" t="s">
        <v>7086</v>
      </c>
      <c r="B6" s="17" t="s">
        <v>7088</v>
      </c>
      <c r="C6" s="17" t="s">
        <v>7089</v>
      </c>
      <c r="D6" s="20" t="s">
        <v>7090</v>
      </c>
      <c r="E6" s="142"/>
      <c r="F6" s="143"/>
      <c r="G6" s="143"/>
      <c r="H6" s="143"/>
      <c r="I6" s="143"/>
      <c r="J6" s="143"/>
      <c r="K6" s="143"/>
      <c r="L6" s="143"/>
      <c r="M6" s="143"/>
      <c r="N6" s="143"/>
      <c r="O6" s="143"/>
      <c r="P6" s="143"/>
      <c r="Q6" s="143"/>
      <c r="R6" s="143"/>
      <c r="S6" s="143"/>
      <c r="T6" s="143"/>
      <c r="U6" s="143"/>
      <c r="V6" s="143"/>
      <c r="W6" s="143"/>
      <c r="X6" s="143"/>
      <c r="Y6" s="143"/>
      <c r="Z6" s="143"/>
      <c r="AA6" s="143"/>
      <c r="AB6" s="143"/>
      <c r="AC6" s="143"/>
      <c r="AD6" s="143"/>
      <c r="AE6" s="143"/>
    </row>
    <row r="7">
      <c r="A7" s="17" t="s">
        <v>7094</v>
      </c>
      <c r="B7" s="17" t="s">
        <v>7095</v>
      </c>
      <c r="C7" s="17" t="s">
        <v>7097</v>
      </c>
      <c r="D7" s="9" t="s">
        <v>7098</v>
      </c>
      <c r="E7" s="142"/>
      <c r="F7" s="143"/>
      <c r="G7" s="143"/>
      <c r="H7" s="143"/>
      <c r="I7" s="143"/>
      <c r="J7" s="143"/>
      <c r="K7" s="143"/>
      <c r="L7" s="143"/>
      <c r="M7" s="143"/>
      <c r="N7" s="143"/>
      <c r="O7" s="143"/>
      <c r="P7" s="143"/>
      <c r="Q7" s="143"/>
      <c r="R7" s="143"/>
      <c r="S7" s="143"/>
      <c r="T7" s="143"/>
      <c r="U7" s="143"/>
      <c r="V7" s="143"/>
      <c r="W7" s="143"/>
      <c r="X7" s="143"/>
      <c r="Y7" s="143"/>
      <c r="Z7" s="143"/>
      <c r="AA7" s="143"/>
      <c r="AB7" s="143"/>
      <c r="AC7" s="143"/>
      <c r="AD7" s="143"/>
      <c r="AE7" s="143"/>
    </row>
    <row r="8">
      <c r="A8" s="17" t="s">
        <v>7100</v>
      </c>
      <c r="B8" s="17" t="s">
        <v>7102</v>
      </c>
      <c r="C8" s="17" t="s">
        <v>7104</v>
      </c>
      <c r="D8" s="20" t="s">
        <v>7105</v>
      </c>
      <c r="E8" s="142"/>
      <c r="F8" s="143"/>
      <c r="G8" s="143"/>
      <c r="H8" s="143"/>
      <c r="I8" s="143"/>
      <c r="J8" s="143"/>
      <c r="K8" s="143"/>
      <c r="L8" s="143"/>
      <c r="M8" s="143"/>
      <c r="N8" s="143"/>
      <c r="O8" s="143"/>
      <c r="P8" s="143"/>
      <c r="Q8" s="143"/>
      <c r="R8" s="143"/>
      <c r="S8" s="143"/>
      <c r="T8" s="143"/>
      <c r="U8" s="143"/>
      <c r="V8" s="143"/>
      <c r="W8" s="143"/>
      <c r="X8" s="143"/>
      <c r="Y8" s="143"/>
      <c r="Z8" s="143"/>
      <c r="AA8" s="143"/>
      <c r="AB8" s="143"/>
      <c r="AC8" s="143"/>
      <c r="AD8" s="143"/>
      <c r="AE8" s="143"/>
    </row>
    <row r="9">
      <c r="A9" s="17" t="s">
        <v>7106</v>
      </c>
      <c r="B9" s="17" t="s">
        <v>7107</v>
      </c>
      <c r="C9" s="9" t="s">
        <v>7108</v>
      </c>
      <c r="D9" s="20" t="s">
        <v>7109</v>
      </c>
      <c r="E9" s="142"/>
      <c r="F9" s="143"/>
      <c r="G9" s="143"/>
      <c r="H9" s="143"/>
      <c r="I9" s="143"/>
      <c r="J9" s="143"/>
      <c r="K9" s="143"/>
      <c r="L9" s="143"/>
      <c r="M9" s="143"/>
      <c r="N9" s="143"/>
      <c r="O9" s="143"/>
      <c r="P9" s="143"/>
      <c r="Q9" s="143"/>
      <c r="R9" s="143"/>
      <c r="S9" s="143"/>
      <c r="T9" s="143"/>
      <c r="U9" s="143"/>
      <c r="V9" s="143"/>
      <c r="W9" s="143"/>
      <c r="X9" s="143"/>
      <c r="Y9" s="143"/>
      <c r="Z9" s="143"/>
      <c r="AA9" s="143"/>
      <c r="AB9" s="143"/>
      <c r="AC9" s="143"/>
      <c r="AD9" s="143"/>
      <c r="AE9" s="143"/>
    </row>
    <row r="10">
      <c r="A10" s="17" t="s">
        <v>7111</v>
      </c>
      <c r="B10" s="17" t="s">
        <v>7112</v>
      </c>
      <c r="C10" s="17" t="s">
        <v>7113</v>
      </c>
      <c r="D10" s="20" t="s">
        <v>7115</v>
      </c>
      <c r="E10" s="142"/>
      <c r="F10" s="143"/>
      <c r="G10" s="143"/>
      <c r="H10" s="143"/>
      <c r="I10" s="143"/>
      <c r="J10" s="143"/>
      <c r="K10" s="143"/>
      <c r="L10" s="143"/>
      <c r="M10" s="143"/>
      <c r="N10" s="143"/>
      <c r="O10" s="143"/>
      <c r="P10" s="143"/>
      <c r="Q10" s="143"/>
      <c r="R10" s="143"/>
      <c r="S10" s="143"/>
      <c r="T10" s="143"/>
      <c r="U10" s="143"/>
      <c r="V10" s="143"/>
      <c r="W10" s="143"/>
      <c r="X10" s="143"/>
      <c r="Y10" s="143"/>
      <c r="Z10" s="143"/>
      <c r="AA10" s="143"/>
      <c r="AB10" s="143"/>
      <c r="AC10" s="143"/>
      <c r="AD10" s="143"/>
      <c r="AE10" s="143"/>
    </row>
    <row r="11">
      <c r="A11" s="17" t="s">
        <v>7120</v>
      </c>
      <c r="B11" s="17" t="s">
        <v>7121</v>
      </c>
      <c r="C11" s="17" t="s">
        <v>7122</v>
      </c>
      <c r="D11" s="20" t="s">
        <v>7123</v>
      </c>
      <c r="E11" s="142"/>
      <c r="F11" s="143"/>
      <c r="G11" s="143"/>
      <c r="H11" s="143"/>
      <c r="I11" s="143"/>
      <c r="J11" s="143"/>
      <c r="K11" s="143"/>
      <c r="L11" s="143"/>
      <c r="M11" s="143"/>
      <c r="N11" s="143"/>
      <c r="O11" s="143"/>
      <c r="P11" s="143"/>
      <c r="Q11" s="143"/>
      <c r="R11" s="143"/>
      <c r="S11" s="143"/>
      <c r="T11" s="143"/>
      <c r="U11" s="143"/>
      <c r="V11" s="143"/>
      <c r="W11" s="143"/>
      <c r="X11" s="143"/>
      <c r="Y11" s="143"/>
      <c r="Z11" s="143"/>
      <c r="AA11" s="143"/>
      <c r="AB11" s="143"/>
      <c r="AC11" s="143"/>
      <c r="AD11" s="143"/>
      <c r="AE11" s="143"/>
    </row>
    <row r="12">
      <c r="A12" s="17" t="s">
        <v>7127</v>
      </c>
      <c r="B12" s="9" t="s">
        <v>7129</v>
      </c>
      <c r="C12" s="9" t="s">
        <v>7130</v>
      </c>
      <c r="D12" s="9" t="s">
        <v>7131</v>
      </c>
      <c r="E12" s="9" t="s">
        <v>7132</v>
      </c>
      <c r="F12" s="143"/>
      <c r="G12" s="143"/>
      <c r="H12" s="143"/>
      <c r="I12" s="143"/>
      <c r="J12" s="143"/>
      <c r="K12" s="143"/>
      <c r="L12" s="143"/>
      <c r="M12" s="143"/>
      <c r="N12" s="143"/>
      <c r="O12" s="143"/>
      <c r="P12" s="143"/>
      <c r="Q12" s="143"/>
      <c r="R12" s="143"/>
      <c r="S12" s="143"/>
      <c r="T12" s="143"/>
      <c r="U12" s="14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</row>
    <row r="13">
      <c r="A13" s="17" t="s">
        <v>7135</v>
      </c>
      <c r="B13" s="17" t="s">
        <v>7137</v>
      </c>
      <c r="C13" s="17" t="s">
        <v>7138</v>
      </c>
      <c r="D13" s="20" t="s">
        <v>7140</v>
      </c>
      <c r="E13" s="142"/>
      <c r="F13" s="143"/>
      <c r="G13" s="143"/>
      <c r="H13" s="143"/>
      <c r="I13" s="143"/>
      <c r="J13" s="143"/>
      <c r="K13" s="143"/>
      <c r="L13" s="143"/>
      <c r="M13" s="143"/>
      <c r="N13" s="143"/>
      <c r="O13" s="143"/>
      <c r="P13" s="143"/>
      <c r="Q13" s="143"/>
      <c r="R13" s="143"/>
      <c r="S13" s="143"/>
      <c r="T13" s="143"/>
      <c r="U13" s="143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</row>
    <row r="14">
      <c r="A14" s="17" t="s">
        <v>7141</v>
      </c>
      <c r="B14" s="17" t="s">
        <v>7143</v>
      </c>
      <c r="C14" s="17" t="s">
        <v>7145</v>
      </c>
      <c r="D14" s="20" t="s">
        <v>7147</v>
      </c>
      <c r="E14" s="142"/>
      <c r="F14" s="143"/>
      <c r="G14" s="143"/>
      <c r="H14" s="143"/>
      <c r="I14" s="143"/>
      <c r="J14" s="143"/>
      <c r="K14" s="143"/>
      <c r="L14" s="143"/>
      <c r="M14" s="143"/>
      <c r="N14" s="143"/>
      <c r="O14" s="143"/>
      <c r="P14" s="143"/>
      <c r="Q14" s="143"/>
      <c r="R14" s="143"/>
      <c r="S14" s="143"/>
      <c r="T14" s="143"/>
      <c r="U14" s="143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</row>
    <row r="15">
      <c r="A15" s="17" t="s">
        <v>7149</v>
      </c>
      <c r="B15" s="17" t="s">
        <v>7150</v>
      </c>
      <c r="C15" s="17" t="s">
        <v>7151</v>
      </c>
      <c r="D15" s="20" t="s">
        <v>7154</v>
      </c>
      <c r="E15" s="142"/>
      <c r="F15" s="143"/>
      <c r="G15" s="143"/>
      <c r="H15" s="143"/>
      <c r="I15" s="143"/>
      <c r="J15" s="143"/>
      <c r="K15" s="143"/>
      <c r="L15" s="143"/>
      <c r="M15" s="143"/>
      <c r="N15" s="143"/>
      <c r="O15" s="143"/>
      <c r="P15" s="143"/>
      <c r="Q15" s="143"/>
      <c r="R15" s="143"/>
      <c r="S15" s="143"/>
      <c r="T15" s="143"/>
      <c r="U15" s="143"/>
      <c r="V15" s="143"/>
      <c r="W15" s="143"/>
      <c r="X15" s="143"/>
      <c r="Y15" s="143"/>
      <c r="Z15" s="143"/>
      <c r="AA15" s="143"/>
      <c r="AB15" s="143"/>
      <c r="AC15" s="143"/>
      <c r="AD15" s="143"/>
      <c r="AE15" s="143"/>
    </row>
    <row r="16">
      <c r="A16" s="17" t="s">
        <v>7162</v>
      </c>
      <c r="B16" s="17" t="s">
        <v>7163</v>
      </c>
      <c r="C16" s="17" t="s">
        <v>7164</v>
      </c>
      <c r="D16" s="20" t="s">
        <v>7165</v>
      </c>
      <c r="E16" s="142"/>
      <c r="F16" s="143"/>
      <c r="G16" s="143"/>
      <c r="H16" s="143"/>
      <c r="I16" s="143"/>
      <c r="J16" s="143"/>
      <c r="K16" s="143"/>
      <c r="L16" s="143"/>
      <c r="M16" s="143"/>
      <c r="N16" s="143"/>
      <c r="O16" s="143"/>
      <c r="P16" s="143"/>
      <c r="Q16" s="143"/>
      <c r="R16" s="143"/>
      <c r="S16" s="143"/>
      <c r="T16" s="143"/>
      <c r="U16" s="14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</row>
    <row r="17">
      <c r="A17" s="17" t="s">
        <v>7173</v>
      </c>
      <c r="B17" s="17" t="s">
        <v>7174</v>
      </c>
      <c r="C17" s="17" t="s">
        <v>7175</v>
      </c>
      <c r="D17" s="9" t="s">
        <v>7176</v>
      </c>
      <c r="E17" s="142"/>
      <c r="F17" s="143"/>
      <c r="G17" s="143"/>
      <c r="H17" s="143"/>
      <c r="I17" s="143"/>
      <c r="J17" s="143"/>
      <c r="K17" s="143"/>
      <c r="L17" s="143"/>
      <c r="M17" s="143"/>
      <c r="N17" s="143"/>
      <c r="O17" s="143"/>
      <c r="P17" s="143"/>
      <c r="Q17" s="143"/>
      <c r="R17" s="143"/>
      <c r="S17" s="143"/>
      <c r="T17" s="143"/>
      <c r="U17" s="143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</row>
    <row r="18">
      <c r="A18" s="17" t="s">
        <v>7181</v>
      </c>
      <c r="B18" s="17" t="s">
        <v>7182</v>
      </c>
      <c r="C18" s="17" t="s">
        <v>7183</v>
      </c>
      <c r="D18" s="20" t="s">
        <v>7184</v>
      </c>
      <c r="E18" s="142"/>
      <c r="F18" s="143"/>
      <c r="G18" s="143"/>
      <c r="H18" s="143"/>
      <c r="I18" s="143"/>
      <c r="J18" s="143"/>
      <c r="K18" s="143"/>
      <c r="L18" s="143"/>
      <c r="M18" s="143"/>
      <c r="N18" s="143"/>
      <c r="O18" s="143"/>
      <c r="P18" s="143"/>
      <c r="Q18" s="143"/>
      <c r="R18" s="143"/>
      <c r="S18" s="143"/>
      <c r="T18" s="143"/>
      <c r="U18" s="143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</row>
    <row r="19">
      <c r="A19" s="17" t="s">
        <v>7187</v>
      </c>
      <c r="B19" s="17" t="s">
        <v>7188</v>
      </c>
      <c r="C19" s="17" t="s">
        <v>7189</v>
      </c>
      <c r="D19" s="9" t="s">
        <v>7190</v>
      </c>
      <c r="E19" s="142"/>
      <c r="F19" s="143"/>
      <c r="G19" s="143"/>
      <c r="H19" s="143"/>
      <c r="I19" s="143"/>
      <c r="J19" s="143"/>
      <c r="K19" s="143"/>
      <c r="L19" s="143"/>
      <c r="M19" s="143"/>
      <c r="N19" s="143"/>
      <c r="O19" s="143"/>
      <c r="P19" s="143"/>
      <c r="Q19" s="143"/>
      <c r="R19" s="143"/>
      <c r="S19" s="143"/>
      <c r="T19" s="143"/>
      <c r="U19" s="143"/>
      <c r="V19" s="143"/>
      <c r="W19" s="143"/>
      <c r="X19" s="143"/>
      <c r="Y19" s="143"/>
      <c r="Z19" s="143"/>
      <c r="AA19" s="143"/>
      <c r="AB19" s="143"/>
      <c r="AC19" s="143"/>
      <c r="AD19" s="143"/>
      <c r="AE19" s="143"/>
    </row>
    <row r="20">
      <c r="A20" s="17" t="s">
        <v>7193</v>
      </c>
      <c r="B20" s="17" t="s">
        <v>7194</v>
      </c>
      <c r="C20" s="17" t="s">
        <v>7195</v>
      </c>
      <c r="D20" s="20" t="s">
        <v>7196</v>
      </c>
      <c r="E20" s="142"/>
      <c r="F20" s="143"/>
      <c r="G20" s="143"/>
      <c r="H20" s="143"/>
      <c r="I20" s="143"/>
      <c r="J20" s="143"/>
      <c r="K20" s="143"/>
      <c r="L20" s="143"/>
      <c r="M20" s="143"/>
      <c r="N20" s="143"/>
      <c r="O20" s="143"/>
      <c r="P20" s="143"/>
      <c r="Q20" s="143"/>
      <c r="R20" s="143"/>
      <c r="S20" s="143"/>
      <c r="T20" s="143"/>
      <c r="U20" s="143"/>
      <c r="V20" s="143"/>
      <c r="W20" s="143"/>
      <c r="X20" s="143"/>
      <c r="Y20" s="143"/>
      <c r="Z20" s="143"/>
      <c r="AA20" s="143"/>
      <c r="AB20" s="143"/>
      <c r="AC20" s="143"/>
      <c r="AD20" s="143"/>
      <c r="AE20" s="143"/>
    </row>
    <row r="21">
      <c r="A21" s="17" t="s">
        <v>7197</v>
      </c>
      <c r="B21" s="17" t="s">
        <v>7198</v>
      </c>
      <c r="C21" s="17" t="s">
        <v>7199</v>
      </c>
      <c r="D21" s="20" t="s">
        <v>7200</v>
      </c>
      <c r="E21" s="142"/>
      <c r="F21" s="143"/>
      <c r="G21" s="143"/>
      <c r="H21" s="143"/>
      <c r="I21" s="143"/>
      <c r="J21" s="143"/>
      <c r="K21" s="143"/>
      <c r="L21" s="143"/>
      <c r="M21" s="143"/>
      <c r="N21" s="143"/>
      <c r="O21" s="143"/>
      <c r="P21" s="143"/>
      <c r="Q21" s="143"/>
      <c r="R21" s="143"/>
      <c r="S21" s="143"/>
      <c r="T21" s="143"/>
      <c r="U21" s="143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</row>
    <row r="22">
      <c r="A22" s="17" t="s">
        <v>7201</v>
      </c>
      <c r="B22" s="17" t="s">
        <v>7202</v>
      </c>
      <c r="C22" s="17" t="s">
        <v>7203</v>
      </c>
      <c r="D22" s="20" t="s">
        <v>7204</v>
      </c>
      <c r="E22" s="142"/>
      <c r="F22" s="143"/>
      <c r="G22" s="143"/>
      <c r="H22" s="143"/>
      <c r="I22" s="143"/>
      <c r="J22" s="143"/>
      <c r="K22" s="143"/>
      <c r="L22" s="143"/>
      <c r="M22" s="143"/>
      <c r="N22" s="143"/>
      <c r="O22" s="143"/>
      <c r="P22" s="143"/>
      <c r="Q22" s="143"/>
      <c r="R22" s="143"/>
      <c r="S22" s="143"/>
      <c r="T22" s="143"/>
      <c r="U22" s="143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</row>
    <row r="23">
      <c r="A23" s="17" t="s">
        <v>7205</v>
      </c>
      <c r="B23" s="17" t="s">
        <v>7205</v>
      </c>
      <c r="C23" s="17" t="s">
        <v>7206</v>
      </c>
      <c r="D23" s="20" t="s">
        <v>7207</v>
      </c>
      <c r="E23" s="142"/>
      <c r="F23" s="143"/>
      <c r="G23" s="143"/>
      <c r="H23" s="143"/>
      <c r="I23" s="143"/>
      <c r="J23" s="143"/>
      <c r="K23" s="143"/>
      <c r="L23" s="143"/>
      <c r="M23" s="143"/>
      <c r="N23" s="143"/>
      <c r="O23" s="143"/>
      <c r="P23" s="143"/>
      <c r="Q23" s="143"/>
      <c r="R23" s="143"/>
      <c r="S23" s="143"/>
      <c r="T23" s="143"/>
      <c r="U23" s="143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</row>
    <row r="24">
      <c r="A24" s="17" t="s">
        <v>7208</v>
      </c>
      <c r="B24" s="17" t="s">
        <v>7208</v>
      </c>
      <c r="C24" s="17" t="s">
        <v>7209</v>
      </c>
      <c r="D24" s="20" t="s">
        <v>7210</v>
      </c>
      <c r="E24" s="142"/>
      <c r="F24" s="143"/>
      <c r="G24" s="143"/>
      <c r="H24" s="143"/>
      <c r="I24" s="143"/>
      <c r="J24" s="143"/>
      <c r="K24" s="143"/>
      <c r="L24" s="143"/>
      <c r="M24" s="143"/>
      <c r="N24" s="143"/>
      <c r="O24" s="143"/>
      <c r="P24" s="143"/>
      <c r="Q24" s="143"/>
      <c r="R24" s="143"/>
      <c r="S24" s="143"/>
      <c r="T24" s="143"/>
      <c r="U24" s="143"/>
      <c r="V24" s="143"/>
      <c r="W24" s="143"/>
      <c r="X24" s="143"/>
      <c r="Y24" s="143"/>
      <c r="Z24" s="143"/>
      <c r="AA24" s="143"/>
      <c r="AB24" s="143"/>
      <c r="AC24" s="143"/>
      <c r="AD24" s="143"/>
      <c r="AE24" s="143"/>
    </row>
    <row r="25">
      <c r="A25" s="17" t="s">
        <v>7211</v>
      </c>
      <c r="B25" s="17" t="s">
        <v>7211</v>
      </c>
      <c r="C25" s="17" t="s">
        <v>7212</v>
      </c>
      <c r="D25" s="20" t="s">
        <v>7213</v>
      </c>
      <c r="E25" s="142"/>
      <c r="F25" s="143"/>
      <c r="G25" s="143"/>
      <c r="H25" s="143"/>
      <c r="I25" s="143"/>
      <c r="J25" s="143"/>
      <c r="K25" s="143"/>
      <c r="L25" s="143"/>
      <c r="M25" s="143"/>
      <c r="N25" s="143"/>
      <c r="O25" s="143"/>
      <c r="P25" s="143"/>
      <c r="Q25" s="143"/>
      <c r="R25" s="143"/>
      <c r="S25" s="143"/>
      <c r="T25" s="143"/>
      <c r="U25" s="143"/>
      <c r="V25" s="143"/>
      <c r="W25" s="143"/>
      <c r="X25" s="143"/>
      <c r="Y25" s="143"/>
      <c r="Z25" s="143"/>
      <c r="AA25" s="143"/>
      <c r="AB25" s="143"/>
      <c r="AC25" s="143"/>
      <c r="AD25" s="143"/>
      <c r="AE25" s="143"/>
    </row>
    <row r="26">
      <c r="A26" s="17" t="s">
        <v>7214</v>
      </c>
      <c r="B26" s="17" t="s">
        <v>7214</v>
      </c>
      <c r="C26" s="17" t="s">
        <v>7215</v>
      </c>
      <c r="D26" s="20" t="s">
        <v>7216</v>
      </c>
      <c r="E26" s="142"/>
      <c r="F26" s="143"/>
      <c r="G26" s="143"/>
      <c r="H26" s="143"/>
      <c r="I26" s="143"/>
      <c r="J26" s="143"/>
      <c r="K26" s="143"/>
      <c r="L26" s="143"/>
      <c r="M26" s="143"/>
      <c r="N26" s="143"/>
      <c r="O26" s="143"/>
      <c r="P26" s="143"/>
      <c r="Q26" s="143"/>
      <c r="R26" s="143"/>
      <c r="S26" s="143"/>
      <c r="T26" s="143"/>
      <c r="U26" s="143"/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</row>
    <row r="27">
      <c r="A27" s="17" t="s">
        <v>7217</v>
      </c>
      <c r="B27" s="17" t="s">
        <v>7217</v>
      </c>
      <c r="C27" s="17" t="s">
        <v>7218</v>
      </c>
      <c r="D27" s="20" t="s">
        <v>7219</v>
      </c>
      <c r="E27" s="142"/>
      <c r="F27" s="143"/>
      <c r="G27" s="143"/>
      <c r="H27" s="143"/>
      <c r="I27" s="143"/>
      <c r="J27" s="143"/>
      <c r="K27" s="143"/>
      <c r="L27" s="143"/>
      <c r="M27" s="143"/>
      <c r="N27" s="143"/>
      <c r="O27" s="143"/>
      <c r="P27" s="143"/>
      <c r="Q27" s="143"/>
      <c r="R27" s="143"/>
      <c r="S27" s="143"/>
      <c r="T27" s="143"/>
      <c r="U27" s="143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</row>
    <row r="28">
      <c r="A28" s="17" t="s">
        <v>7051</v>
      </c>
      <c r="B28" s="17" t="s">
        <v>7051</v>
      </c>
      <c r="C28" s="17" t="s">
        <v>7054</v>
      </c>
      <c r="D28" s="20" t="s">
        <v>7220</v>
      </c>
      <c r="E28" s="142"/>
      <c r="F28" s="143"/>
      <c r="G28" s="143"/>
      <c r="H28" s="143"/>
      <c r="I28" s="143"/>
      <c r="J28" s="143"/>
      <c r="K28" s="143"/>
      <c r="L28" s="143"/>
      <c r="M28" s="143"/>
      <c r="N28" s="143"/>
      <c r="O28" s="143"/>
      <c r="P28" s="143"/>
      <c r="Q28" s="143"/>
      <c r="R28" s="143"/>
      <c r="S28" s="143"/>
      <c r="T28" s="143"/>
      <c r="U28" s="143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</row>
    <row r="29">
      <c r="A29" s="17" t="s">
        <v>7221</v>
      </c>
      <c r="B29" s="17" t="s">
        <v>7221</v>
      </c>
      <c r="C29" s="17" t="s">
        <v>7222</v>
      </c>
      <c r="D29" s="20" t="s">
        <v>7223</v>
      </c>
      <c r="E29" s="142"/>
      <c r="F29" s="143"/>
      <c r="G29" s="143"/>
      <c r="H29" s="143"/>
      <c r="I29" s="143"/>
      <c r="J29" s="143"/>
      <c r="K29" s="143"/>
      <c r="L29" s="143"/>
      <c r="M29" s="143"/>
      <c r="N29" s="143"/>
      <c r="O29" s="143"/>
      <c r="P29" s="143"/>
      <c r="Q29" s="143"/>
      <c r="R29" s="143"/>
      <c r="S29" s="143"/>
      <c r="T29" s="143"/>
      <c r="U29" s="143"/>
      <c r="V29" s="143"/>
      <c r="W29" s="143"/>
      <c r="X29" s="143"/>
      <c r="Y29" s="143"/>
      <c r="Z29" s="143"/>
      <c r="AA29" s="143"/>
      <c r="AB29" s="143"/>
      <c r="AC29" s="143"/>
      <c r="AD29" s="143"/>
      <c r="AE29" s="143"/>
    </row>
    <row r="30">
      <c r="A30" s="17" t="s">
        <v>7224</v>
      </c>
      <c r="B30" s="17" t="s">
        <v>7224</v>
      </c>
      <c r="C30" s="17" t="s">
        <v>7225</v>
      </c>
      <c r="D30" s="20" t="s">
        <v>7226</v>
      </c>
      <c r="E30" s="142"/>
      <c r="F30" s="143"/>
      <c r="G30" s="143"/>
      <c r="H30" s="143"/>
      <c r="I30" s="143"/>
      <c r="J30" s="143"/>
      <c r="K30" s="143"/>
      <c r="L30" s="143"/>
      <c r="M30" s="143"/>
      <c r="N30" s="143"/>
      <c r="O30" s="143"/>
      <c r="P30" s="143"/>
      <c r="Q30" s="143"/>
      <c r="R30" s="143"/>
      <c r="S30" s="143"/>
      <c r="T30" s="143"/>
      <c r="U30" s="143"/>
      <c r="V30" s="143"/>
      <c r="W30" s="143"/>
      <c r="X30" s="143"/>
      <c r="Y30" s="143"/>
      <c r="Z30" s="143"/>
      <c r="AA30" s="143"/>
      <c r="AB30" s="143"/>
      <c r="AC30" s="143"/>
      <c r="AD30" s="143"/>
      <c r="AE30" s="143"/>
    </row>
    <row r="31">
      <c r="A31" s="17" t="s">
        <v>7227</v>
      </c>
      <c r="B31" s="17" t="s">
        <v>7227</v>
      </c>
      <c r="C31" s="17" t="s">
        <v>7228</v>
      </c>
      <c r="D31" s="20" t="s">
        <v>7229</v>
      </c>
      <c r="E31" s="142"/>
      <c r="F31" s="143"/>
      <c r="G31" s="143"/>
      <c r="H31" s="143"/>
      <c r="I31" s="143"/>
      <c r="J31" s="143"/>
      <c r="K31" s="143"/>
      <c r="L31" s="143"/>
      <c r="M31" s="143"/>
      <c r="N31" s="143"/>
      <c r="O31" s="143"/>
      <c r="P31" s="143"/>
      <c r="Q31" s="143"/>
      <c r="R31" s="143"/>
      <c r="S31" s="143"/>
      <c r="T31" s="143"/>
      <c r="U31" s="143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</row>
    <row r="32">
      <c r="A32" s="17" t="s">
        <v>7234</v>
      </c>
      <c r="B32" s="17" t="s">
        <v>7234</v>
      </c>
      <c r="C32" s="17" t="s">
        <v>7235</v>
      </c>
      <c r="D32" s="20" t="s">
        <v>7236</v>
      </c>
      <c r="E32" s="142"/>
      <c r="F32" s="143"/>
      <c r="G32" s="143"/>
      <c r="H32" s="143"/>
      <c r="I32" s="143"/>
      <c r="J32" s="143"/>
      <c r="K32" s="143"/>
      <c r="L32" s="143"/>
      <c r="M32" s="143"/>
      <c r="N32" s="143"/>
      <c r="O32" s="143"/>
      <c r="P32" s="143"/>
      <c r="Q32" s="143"/>
      <c r="R32" s="143"/>
      <c r="S32" s="143"/>
      <c r="T32" s="143"/>
      <c r="U32" s="143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</row>
    <row r="33">
      <c r="A33" s="17" t="s">
        <v>7241</v>
      </c>
      <c r="B33" s="17" t="s">
        <v>7241</v>
      </c>
      <c r="C33" s="17" t="s">
        <v>7242</v>
      </c>
      <c r="D33" s="20" t="s">
        <v>7243</v>
      </c>
      <c r="E33" s="142"/>
      <c r="F33" s="143"/>
      <c r="G33" s="143"/>
      <c r="H33" s="143"/>
      <c r="I33" s="143"/>
      <c r="J33" s="143"/>
      <c r="K33" s="143"/>
      <c r="L33" s="143"/>
      <c r="M33" s="143"/>
      <c r="N33" s="143"/>
      <c r="O33" s="143"/>
      <c r="P33" s="143"/>
      <c r="Q33" s="143"/>
      <c r="R33" s="143"/>
      <c r="S33" s="143"/>
      <c r="T33" s="143"/>
      <c r="U33" s="143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</row>
    <row r="34">
      <c r="A34" s="17" t="s">
        <v>7244</v>
      </c>
      <c r="B34" s="17" t="s">
        <v>7244</v>
      </c>
      <c r="C34" s="17" t="s">
        <v>7245</v>
      </c>
      <c r="D34" s="20" t="s">
        <v>7246</v>
      </c>
      <c r="E34" s="142"/>
      <c r="F34" s="143"/>
      <c r="G34" s="143"/>
      <c r="H34" s="143"/>
      <c r="I34" s="143"/>
      <c r="J34" s="143"/>
      <c r="K34" s="143"/>
      <c r="L34" s="143"/>
      <c r="M34" s="143"/>
      <c r="N34" s="143"/>
      <c r="O34" s="143"/>
      <c r="P34" s="143"/>
      <c r="Q34" s="143"/>
      <c r="R34" s="143"/>
      <c r="S34" s="143"/>
      <c r="T34" s="143"/>
      <c r="U34" s="143"/>
      <c r="V34" s="143"/>
      <c r="W34" s="143"/>
      <c r="X34" s="143"/>
      <c r="Y34" s="143"/>
      <c r="Z34" s="143"/>
      <c r="AA34" s="143"/>
      <c r="AB34" s="143"/>
      <c r="AC34" s="143"/>
      <c r="AD34" s="143"/>
      <c r="AE34" s="143"/>
    </row>
    <row r="35">
      <c r="A35" s="17" t="s">
        <v>7247</v>
      </c>
      <c r="B35" s="17" t="s">
        <v>7247</v>
      </c>
      <c r="C35" s="17" t="s">
        <v>7248</v>
      </c>
      <c r="D35" s="20" t="s">
        <v>7249</v>
      </c>
      <c r="E35" s="142"/>
      <c r="F35" s="143"/>
      <c r="G35" s="143"/>
      <c r="H35" s="143"/>
      <c r="I35" s="143"/>
      <c r="J35" s="143"/>
      <c r="K35" s="143"/>
      <c r="L35" s="143"/>
      <c r="M35" s="143"/>
      <c r="N35" s="143"/>
      <c r="O35" s="143"/>
      <c r="P35" s="143"/>
      <c r="Q35" s="143"/>
      <c r="R35" s="143"/>
      <c r="S35" s="143"/>
      <c r="T35" s="143"/>
      <c r="U35" s="143"/>
      <c r="V35" s="143"/>
      <c r="W35" s="143"/>
      <c r="X35" s="143"/>
      <c r="Y35" s="143"/>
      <c r="Z35" s="143"/>
      <c r="AA35" s="143"/>
      <c r="AB35" s="143"/>
      <c r="AC35" s="143"/>
      <c r="AD35" s="143"/>
      <c r="AE35" s="143"/>
    </row>
    <row r="36">
      <c r="A36" s="17" t="s">
        <v>7250</v>
      </c>
      <c r="B36" s="17" t="s">
        <v>7250</v>
      </c>
      <c r="C36" s="9" t="s">
        <v>7251</v>
      </c>
      <c r="D36" s="20" t="s">
        <v>7252</v>
      </c>
      <c r="E36" s="142"/>
      <c r="F36" s="143"/>
      <c r="G36" s="143"/>
      <c r="H36" s="143"/>
      <c r="I36" s="143"/>
      <c r="J36" s="143"/>
      <c r="K36" s="143"/>
      <c r="L36" s="143"/>
      <c r="M36" s="143"/>
      <c r="N36" s="143"/>
      <c r="O36" s="143"/>
      <c r="P36" s="143"/>
      <c r="Q36" s="143"/>
      <c r="R36" s="143"/>
      <c r="S36" s="143"/>
      <c r="T36" s="143"/>
      <c r="U36" s="143"/>
      <c r="V36" s="143"/>
      <c r="W36" s="143"/>
      <c r="X36" s="143"/>
      <c r="Y36" s="143"/>
      <c r="Z36" s="143"/>
      <c r="AA36" s="143"/>
      <c r="AB36" s="143"/>
      <c r="AC36" s="143"/>
      <c r="AD36" s="143"/>
      <c r="AE36" s="143"/>
    </row>
    <row r="37">
      <c r="A37" s="17" t="s">
        <v>7253</v>
      </c>
      <c r="B37" s="17" t="s">
        <v>7253</v>
      </c>
      <c r="C37" s="17" t="s">
        <v>7254</v>
      </c>
      <c r="D37" s="20" t="s">
        <v>7255</v>
      </c>
      <c r="E37" s="142"/>
      <c r="F37" s="143"/>
      <c r="G37" s="143"/>
      <c r="H37" s="143"/>
      <c r="I37" s="143"/>
      <c r="J37" s="143"/>
      <c r="K37" s="143"/>
      <c r="L37" s="143"/>
      <c r="M37" s="143"/>
      <c r="N37" s="143"/>
      <c r="O37" s="143"/>
      <c r="P37" s="143"/>
      <c r="Q37" s="143"/>
      <c r="R37" s="143"/>
      <c r="S37" s="143"/>
      <c r="T37" s="143"/>
      <c r="U37" s="143"/>
      <c r="V37" s="143"/>
      <c r="W37" s="143"/>
      <c r="X37" s="143"/>
      <c r="Y37" s="143"/>
      <c r="Z37" s="143"/>
      <c r="AA37" s="143"/>
      <c r="AB37" s="143"/>
      <c r="AC37" s="143"/>
      <c r="AD37" s="143"/>
      <c r="AE37" s="143"/>
    </row>
    <row r="38">
      <c r="A38" s="17" t="s">
        <v>7256</v>
      </c>
      <c r="B38" s="17" t="s">
        <v>7256</v>
      </c>
      <c r="C38" s="17" t="s">
        <v>7257</v>
      </c>
      <c r="D38" s="20" t="s">
        <v>7258</v>
      </c>
      <c r="E38" s="142"/>
      <c r="F38" s="143"/>
      <c r="G38" s="143"/>
      <c r="H38" s="143"/>
      <c r="I38" s="143"/>
      <c r="J38" s="143"/>
      <c r="K38" s="143"/>
      <c r="L38" s="143"/>
      <c r="M38" s="143"/>
      <c r="N38" s="143"/>
      <c r="O38" s="143"/>
      <c r="P38" s="143"/>
      <c r="Q38" s="143"/>
      <c r="R38" s="143"/>
      <c r="S38" s="143"/>
      <c r="T38" s="143"/>
      <c r="U38" s="143"/>
      <c r="V38" s="143"/>
      <c r="W38" s="143"/>
      <c r="X38" s="143"/>
      <c r="Y38" s="143"/>
      <c r="Z38" s="143"/>
      <c r="AA38" s="143"/>
      <c r="AB38" s="143"/>
      <c r="AC38" s="143"/>
      <c r="AD38" s="143"/>
      <c r="AE38" s="143"/>
    </row>
    <row r="39">
      <c r="A39" s="17" t="s">
        <v>7259</v>
      </c>
      <c r="B39" s="17" t="s">
        <v>7259</v>
      </c>
      <c r="C39" s="17" t="s">
        <v>7260</v>
      </c>
      <c r="D39" s="20" t="s">
        <v>7261</v>
      </c>
      <c r="E39" s="142"/>
      <c r="F39" s="143"/>
      <c r="G39" s="143"/>
      <c r="H39" s="143"/>
      <c r="I39" s="143"/>
      <c r="J39" s="143"/>
      <c r="K39" s="143"/>
      <c r="L39" s="143"/>
      <c r="M39" s="143"/>
      <c r="N39" s="143"/>
      <c r="O39" s="143"/>
      <c r="P39" s="143"/>
      <c r="Q39" s="143"/>
      <c r="R39" s="143"/>
      <c r="S39" s="143"/>
      <c r="T39" s="143"/>
      <c r="U39" s="143"/>
      <c r="V39" s="143"/>
      <c r="W39" s="143"/>
      <c r="X39" s="143"/>
      <c r="Y39" s="143"/>
      <c r="Z39" s="143"/>
      <c r="AA39" s="143"/>
      <c r="AB39" s="143"/>
      <c r="AC39" s="143"/>
      <c r="AD39" s="143"/>
      <c r="AE39" s="143"/>
    </row>
    <row r="40">
      <c r="A40" s="17" t="s">
        <v>7262</v>
      </c>
      <c r="B40" s="17" t="s">
        <v>7262</v>
      </c>
      <c r="C40" s="17" t="s">
        <v>7263</v>
      </c>
      <c r="D40" s="20" t="s">
        <v>7264</v>
      </c>
      <c r="E40" s="142"/>
      <c r="F40" s="143"/>
      <c r="G40" s="143"/>
      <c r="H40" s="143"/>
      <c r="I40" s="143"/>
      <c r="J40" s="143"/>
      <c r="K40" s="143"/>
      <c r="L40" s="143"/>
      <c r="M40" s="143"/>
      <c r="N40" s="143"/>
      <c r="O40" s="143"/>
      <c r="P40" s="143"/>
      <c r="Q40" s="143"/>
      <c r="R40" s="143"/>
      <c r="S40" s="143"/>
      <c r="T40" s="143"/>
      <c r="U40" s="143"/>
      <c r="V40" s="143"/>
      <c r="W40" s="143"/>
      <c r="X40" s="143"/>
      <c r="Y40" s="143"/>
      <c r="Z40" s="143"/>
      <c r="AA40" s="143"/>
      <c r="AB40" s="143"/>
      <c r="AC40" s="143"/>
      <c r="AD40" s="143"/>
      <c r="AE40" s="143"/>
    </row>
    <row r="41">
      <c r="A41" s="17" t="s">
        <v>7265</v>
      </c>
      <c r="B41" s="17" t="s">
        <v>7265</v>
      </c>
      <c r="C41" s="17" t="s">
        <v>7266</v>
      </c>
      <c r="D41" s="20" t="s">
        <v>7267</v>
      </c>
      <c r="E41" s="142"/>
      <c r="F41" s="143"/>
      <c r="G41" s="143"/>
      <c r="H41" s="143"/>
      <c r="I41" s="143"/>
      <c r="J41" s="143"/>
      <c r="K41" s="143"/>
      <c r="L41" s="143"/>
      <c r="M41" s="143"/>
      <c r="N41" s="143"/>
      <c r="O41" s="143"/>
      <c r="P41" s="143"/>
      <c r="Q41" s="143"/>
      <c r="R41" s="143"/>
      <c r="S41" s="143"/>
      <c r="T41" s="143"/>
      <c r="U41" s="143"/>
      <c r="V41" s="143"/>
      <c r="W41" s="143"/>
      <c r="X41" s="143"/>
      <c r="Y41" s="143"/>
      <c r="Z41" s="143"/>
      <c r="AA41" s="143"/>
      <c r="AB41" s="143"/>
      <c r="AC41" s="143"/>
      <c r="AD41" s="143"/>
      <c r="AE41" s="143"/>
    </row>
    <row r="42">
      <c r="A42" s="17" t="s">
        <v>7268</v>
      </c>
      <c r="B42" s="17" t="s">
        <v>7268</v>
      </c>
      <c r="C42" s="9" t="s">
        <v>7269</v>
      </c>
      <c r="D42" s="20" t="s">
        <v>7270</v>
      </c>
      <c r="E42" s="142"/>
      <c r="F42" s="143"/>
      <c r="G42" s="143"/>
      <c r="H42" s="143"/>
      <c r="I42" s="143"/>
      <c r="J42" s="143"/>
      <c r="K42" s="143"/>
      <c r="L42" s="143"/>
      <c r="M42" s="143"/>
      <c r="N42" s="143"/>
      <c r="O42" s="143"/>
      <c r="P42" s="143"/>
      <c r="Q42" s="143"/>
      <c r="R42" s="143"/>
      <c r="S42" s="143"/>
      <c r="T42" s="143"/>
      <c r="U42" s="143"/>
      <c r="V42" s="143"/>
      <c r="W42" s="143"/>
      <c r="X42" s="143"/>
      <c r="Y42" s="143"/>
      <c r="Z42" s="143"/>
      <c r="AA42" s="143"/>
      <c r="AB42" s="143"/>
      <c r="AC42" s="143"/>
      <c r="AD42" s="143"/>
      <c r="AE42" s="143"/>
    </row>
    <row r="43">
      <c r="A43" s="17" t="s">
        <v>7271</v>
      </c>
      <c r="B43" s="17" t="s">
        <v>7271</v>
      </c>
      <c r="C43" s="17" t="s">
        <v>7272</v>
      </c>
      <c r="D43" s="20" t="s">
        <v>7273</v>
      </c>
      <c r="E43" s="142"/>
      <c r="F43" s="143"/>
      <c r="G43" s="143"/>
      <c r="H43" s="143"/>
      <c r="I43" s="143"/>
      <c r="J43" s="143"/>
      <c r="K43" s="143"/>
      <c r="L43" s="143"/>
      <c r="M43" s="143"/>
      <c r="N43" s="143"/>
      <c r="O43" s="143"/>
      <c r="P43" s="143"/>
      <c r="Q43" s="143"/>
      <c r="R43" s="143"/>
      <c r="S43" s="143"/>
      <c r="T43" s="143"/>
      <c r="U43" s="143"/>
      <c r="V43" s="143"/>
      <c r="W43" s="143"/>
      <c r="X43" s="143"/>
      <c r="Y43" s="143"/>
      <c r="Z43" s="143"/>
      <c r="AA43" s="143"/>
      <c r="AB43" s="143"/>
      <c r="AC43" s="143"/>
      <c r="AD43" s="143"/>
      <c r="AE43" s="143"/>
    </row>
    <row r="44">
      <c r="A44" s="17" t="s">
        <v>7274</v>
      </c>
      <c r="B44" s="17" t="s">
        <v>7274</v>
      </c>
      <c r="C44" s="17" t="s">
        <v>7275</v>
      </c>
      <c r="D44" s="20" t="s">
        <v>7276</v>
      </c>
      <c r="E44" s="142"/>
      <c r="F44" s="143"/>
      <c r="G44" s="143"/>
      <c r="H44" s="143"/>
      <c r="I44" s="143"/>
      <c r="J44" s="143"/>
      <c r="K44" s="143"/>
      <c r="L44" s="143"/>
      <c r="M44" s="143"/>
      <c r="N44" s="143"/>
      <c r="O44" s="143"/>
      <c r="P44" s="143"/>
      <c r="Q44" s="143"/>
      <c r="R44" s="143"/>
      <c r="S44" s="143"/>
      <c r="T44" s="143"/>
      <c r="U44" s="143"/>
      <c r="V44" s="143"/>
      <c r="W44" s="143"/>
      <c r="X44" s="143"/>
      <c r="Y44" s="143"/>
      <c r="Z44" s="143"/>
      <c r="AA44" s="143"/>
      <c r="AB44" s="143"/>
      <c r="AC44" s="143"/>
      <c r="AD44" s="143"/>
      <c r="AE44" s="143"/>
    </row>
    <row r="45">
      <c r="A45" s="17" t="s">
        <v>7280</v>
      </c>
      <c r="B45" s="17" t="s">
        <v>7280</v>
      </c>
      <c r="C45" s="17" t="s">
        <v>7282</v>
      </c>
      <c r="D45" s="20" t="s">
        <v>7283</v>
      </c>
      <c r="E45" s="142"/>
      <c r="F45" s="143"/>
      <c r="G45" s="143"/>
      <c r="H45" s="143"/>
      <c r="I45" s="143"/>
      <c r="J45" s="143"/>
      <c r="K45" s="143"/>
      <c r="L45" s="143"/>
      <c r="M45" s="143"/>
      <c r="N45" s="143"/>
      <c r="O45" s="143"/>
      <c r="P45" s="143"/>
      <c r="Q45" s="143"/>
      <c r="R45" s="143"/>
      <c r="S45" s="143"/>
      <c r="T45" s="143"/>
      <c r="U45" s="143"/>
      <c r="V45" s="143"/>
      <c r="W45" s="143"/>
      <c r="X45" s="143"/>
      <c r="Y45" s="143"/>
      <c r="Z45" s="143"/>
      <c r="AA45" s="143"/>
      <c r="AB45" s="143"/>
      <c r="AC45" s="143"/>
      <c r="AD45" s="143"/>
      <c r="AE45" s="143"/>
    </row>
    <row r="46">
      <c r="A46" s="17" t="s">
        <v>7284</v>
      </c>
      <c r="B46" s="17" t="s">
        <v>7284</v>
      </c>
      <c r="C46" s="17" t="s">
        <v>7285</v>
      </c>
      <c r="D46" s="20" t="s">
        <v>7286</v>
      </c>
      <c r="E46" s="142"/>
      <c r="F46" s="143"/>
      <c r="G46" s="143"/>
      <c r="H46" s="143"/>
      <c r="I46" s="143"/>
      <c r="J46" s="143"/>
      <c r="K46" s="143"/>
      <c r="L46" s="143"/>
      <c r="M46" s="143"/>
      <c r="N46" s="143"/>
      <c r="O46" s="143"/>
      <c r="P46" s="143"/>
      <c r="Q46" s="143"/>
      <c r="R46" s="143"/>
      <c r="S46" s="143"/>
      <c r="T46" s="143"/>
      <c r="U46" s="143"/>
      <c r="V46" s="143"/>
      <c r="W46" s="143"/>
      <c r="X46" s="143"/>
      <c r="Y46" s="143"/>
      <c r="Z46" s="143"/>
      <c r="AA46" s="143"/>
      <c r="AB46" s="143"/>
      <c r="AC46" s="143"/>
      <c r="AD46" s="143"/>
      <c r="AE46" s="143"/>
    </row>
    <row r="47">
      <c r="A47" s="17" t="s">
        <v>7290</v>
      </c>
      <c r="B47" s="17" t="s">
        <v>7290</v>
      </c>
      <c r="C47" s="17" t="s">
        <v>7292</v>
      </c>
      <c r="D47" s="20" t="s">
        <v>7293</v>
      </c>
      <c r="E47" s="142"/>
      <c r="F47" s="143"/>
      <c r="G47" s="143"/>
      <c r="H47" s="143"/>
      <c r="I47" s="143"/>
      <c r="J47" s="143"/>
      <c r="K47" s="143"/>
      <c r="L47" s="143"/>
      <c r="M47" s="143"/>
      <c r="N47" s="143"/>
      <c r="O47" s="143"/>
      <c r="P47" s="143"/>
      <c r="Q47" s="143"/>
      <c r="R47" s="143"/>
      <c r="S47" s="143"/>
      <c r="T47" s="143"/>
      <c r="U47" s="143"/>
      <c r="V47" s="143"/>
      <c r="W47" s="143"/>
      <c r="X47" s="143"/>
      <c r="Y47" s="143"/>
      <c r="Z47" s="143"/>
      <c r="AA47" s="143"/>
      <c r="AB47" s="143"/>
      <c r="AC47" s="143"/>
      <c r="AD47" s="143"/>
      <c r="AE47" s="143"/>
    </row>
    <row r="48">
      <c r="A48" s="17" t="s">
        <v>7294</v>
      </c>
      <c r="B48" s="17" t="s">
        <v>7294</v>
      </c>
      <c r="C48" s="17" t="s">
        <v>7295</v>
      </c>
      <c r="D48" s="20" t="s">
        <v>7297</v>
      </c>
      <c r="E48" s="142"/>
      <c r="F48" s="143"/>
      <c r="G48" s="143"/>
      <c r="H48" s="143"/>
      <c r="I48" s="143"/>
      <c r="J48" s="143"/>
      <c r="K48" s="143"/>
      <c r="L48" s="143"/>
      <c r="M48" s="143"/>
      <c r="N48" s="143"/>
      <c r="O48" s="143"/>
      <c r="P48" s="143"/>
      <c r="Q48" s="143"/>
      <c r="R48" s="143"/>
      <c r="S48" s="143"/>
      <c r="T48" s="143"/>
      <c r="U48" s="143"/>
      <c r="V48" s="143"/>
      <c r="W48" s="143"/>
      <c r="X48" s="143"/>
      <c r="Y48" s="143"/>
      <c r="Z48" s="143"/>
      <c r="AA48" s="143"/>
      <c r="AB48" s="143"/>
      <c r="AC48" s="143"/>
      <c r="AD48" s="143"/>
      <c r="AE48" s="143"/>
    </row>
    <row r="49">
      <c r="A49" s="17" t="s">
        <v>7301</v>
      </c>
      <c r="B49" s="17" t="s">
        <v>7301</v>
      </c>
      <c r="C49" s="9" t="s">
        <v>7302</v>
      </c>
      <c r="D49" s="20" t="s">
        <v>7303</v>
      </c>
      <c r="E49" s="142"/>
      <c r="F49" s="143"/>
      <c r="G49" s="143"/>
      <c r="H49" s="143"/>
      <c r="I49" s="143"/>
      <c r="J49" s="143"/>
      <c r="K49" s="143"/>
      <c r="L49" s="143"/>
      <c r="M49" s="143"/>
      <c r="N49" s="143"/>
      <c r="O49" s="143"/>
      <c r="P49" s="143"/>
      <c r="Q49" s="143"/>
      <c r="R49" s="143"/>
      <c r="S49" s="143"/>
      <c r="T49" s="143"/>
      <c r="U49" s="143"/>
      <c r="V49" s="143"/>
      <c r="W49" s="143"/>
      <c r="X49" s="143"/>
      <c r="Y49" s="143"/>
      <c r="Z49" s="143"/>
      <c r="AA49" s="143"/>
      <c r="AB49" s="143"/>
      <c r="AC49" s="143"/>
      <c r="AD49" s="143"/>
      <c r="AE49" s="143"/>
    </row>
    <row r="50">
      <c r="A50" s="17" t="s">
        <v>7304</v>
      </c>
      <c r="B50" s="17" t="s">
        <v>7304</v>
      </c>
      <c r="C50" s="17" t="s">
        <v>7305</v>
      </c>
      <c r="D50" s="20" t="s">
        <v>7306</v>
      </c>
      <c r="E50" s="142"/>
      <c r="F50" s="143"/>
      <c r="G50" s="143"/>
      <c r="H50" s="143"/>
      <c r="I50" s="143"/>
      <c r="J50" s="143"/>
      <c r="K50" s="143"/>
      <c r="L50" s="143"/>
      <c r="M50" s="143"/>
      <c r="N50" s="143"/>
      <c r="O50" s="143"/>
      <c r="P50" s="143"/>
      <c r="Q50" s="143"/>
      <c r="R50" s="143"/>
      <c r="S50" s="143"/>
      <c r="T50" s="143"/>
      <c r="U50" s="143"/>
      <c r="V50" s="143"/>
      <c r="W50" s="143"/>
      <c r="X50" s="143"/>
      <c r="Y50" s="143"/>
      <c r="Z50" s="143"/>
      <c r="AA50" s="143"/>
      <c r="AB50" s="143"/>
      <c r="AC50" s="143"/>
      <c r="AD50" s="143"/>
      <c r="AE50" s="143"/>
    </row>
    <row r="51">
      <c r="A51" s="17" t="s">
        <v>7307</v>
      </c>
      <c r="B51" s="17" t="s">
        <v>7307</v>
      </c>
      <c r="C51" s="17" t="s">
        <v>7308</v>
      </c>
      <c r="D51" s="20" t="s">
        <v>7309</v>
      </c>
      <c r="E51" s="142"/>
      <c r="F51" s="143"/>
      <c r="G51" s="143"/>
      <c r="H51" s="143"/>
      <c r="I51" s="143"/>
      <c r="J51" s="143"/>
      <c r="K51" s="143"/>
      <c r="L51" s="143"/>
      <c r="M51" s="143"/>
      <c r="N51" s="143"/>
      <c r="O51" s="143"/>
      <c r="P51" s="143"/>
      <c r="Q51" s="143"/>
      <c r="R51" s="143"/>
      <c r="S51" s="143"/>
      <c r="T51" s="143"/>
      <c r="U51" s="143"/>
      <c r="V51" s="143"/>
      <c r="W51" s="143"/>
      <c r="X51" s="143"/>
      <c r="Y51" s="143"/>
      <c r="Z51" s="143"/>
      <c r="AA51" s="143"/>
      <c r="AB51" s="143"/>
      <c r="AC51" s="143"/>
      <c r="AD51" s="143"/>
      <c r="AE51" s="143"/>
    </row>
    <row r="52">
      <c r="A52" s="17" t="s">
        <v>7310</v>
      </c>
      <c r="B52" s="17" t="s">
        <v>7310</v>
      </c>
      <c r="C52" s="17" t="s">
        <v>7311</v>
      </c>
      <c r="D52" s="20" t="s">
        <v>7312</v>
      </c>
      <c r="E52" s="142"/>
      <c r="F52" s="143"/>
      <c r="G52" s="143"/>
      <c r="H52" s="143"/>
      <c r="I52" s="143"/>
      <c r="J52" s="143"/>
      <c r="K52" s="143"/>
      <c r="L52" s="143"/>
      <c r="M52" s="143"/>
      <c r="N52" s="143"/>
      <c r="O52" s="143"/>
      <c r="P52" s="143"/>
      <c r="Q52" s="143"/>
      <c r="R52" s="143"/>
      <c r="S52" s="143"/>
      <c r="T52" s="143"/>
      <c r="U52" s="143"/>
      <c r="V52" s="143"/>
      <c r="W52" s="143"/>
      <c r="X52" s="143"/>
      <c r="Y52" s="143"/>
      <c r="Z52" s="143"/>
      <c r="AA52" s="143"/>
      <c r="AB52" s="143"/>
      <c r="AC52" s="143"/>
      <c r="AD52" s="143"/>
      <c r="AE52" s="143"/>
    </row>
    <row r="53">
      <c r="A53" s="17" t="s">
        <v>7313</v>
      </c>
      <c r="B53" s="17" t="s">
        <v>7313</v>
      </c>
      <c r="C53" s="17" t="s">
        <v>7314</v>
      </c>
      <c r="D53" s="9" t="s">
        <v>7315</v>
      </c>
      <c r="E53" s="142"/>
      <c r="F53" s="143"/>
      <c r="G53" s="143"/>
      <c r="H53" s="143"/>
      <c r="I53" s="143"/>
      <c r="J53" s="143"/>
      <c r="K53" s="143"/>
      <c r="L53" s="143"/>
      <c r="M53" s="143"/>
      <c r="N53" s="143"/>
      <c r="O53" s="143"/>
      <c r="P53" s="143"/>
      <c r="Q53" s="143"/>
      <c r="R53" s="143"/>
      <c r="S53" s="143"/>
      <c r="T53" s="143"/>
      <c r="U53" s="143"/>
      <c r="V53" s="143"/>
      <c r="W53" s="143"/>
      <c r="X53" s="143"/>
      <c r="Y53" s="143"/>
      <c r="Z53" s="143"/>
      <c r="AA53" s="143"/>
      <c r="AB53" s="143"/>
      <c r="AC53" s="143"/>
      <c r="AD53" s="143"/>
      <c r="AE53" s="143"/>
    </row>
    <row r="54">
      <c r="A54" s="17" t="s">
        <v>7316</v>
      </c>
      <c r="B54" s="17" t="s">
        <v>7316</v>
      </c>
      <c r="C54" s="17" t="s">
        <v>7317</v>
      </c>
      <c r="D54" s="9" t="s">
        <v>7318</v>
      </c>
      <c r="E54" s="142"/>
      <c r="F54" s="143"/>
      <c r="G54" s="143"/>
      <c r="H54" s="143"/>
      <c r="I54" s="143"/>
      <c r="J54" s="143"/>
      <c r="K54" s="143"/>
      <c r="L54" s="143"/>
      <c r="M54" s="143"/>
      <c r="N54" s="143"/>
      <c r="O54" s="143"/>
      <c r="P54" s="143"/>
      <c r="Q54" s="143"/>
      <c r="R54" s="143"/>
      <c r="S54" s="143"/>
      <c r="T54" s="143"/>
      <c r="U54" s="143"/>
      <c r="V54" s="143"/>
      <c r="W54" s="143"/>
      <c r="X54" s="143"/>
      <c r="Y54" s="143"/>
      <c r="Z54" s="143"/>
      <c r="AA54" s="143"/>
      <c r="AB54" s="143"/>
      <c r="AC54" s="143"/>
      <c r="AD54" s="143"/>
      <c r="AE54" s="143"/>
    </row>
    <row r="55">
      <c r="A55" s="17" t="s">
        <v>7319</v>
      </c>
      <c r="B55" s="17" t="s">
        <v>7319</v>
      </c>
      <c r="C55" s="17" t="s">
        <v>7320</v>
      </c>
      <c r="D55" s="9" t="s">
        <v>7321</v>
      </c>
      <c r="E55" s="142"/>
      <c r="F55" s="143"/>
      <c r="G55" s="143"/>
      <c r="H55" s="143"/>
      <c r="I55" s="143"/>
      <c r="J55" s="143"/>
      <c r="K55" s="143"/>
      <c r="L55" s="143"/>
      <c r="M55" s="143"/>
      <c r="N55" s="143"/>
      <c r="O55" s="143"/>
      <c r="P55" s="143"/>
      <c r="Q55" s="143"/>
      <c r="R55" s="143"/>
      <c r="S55" s="143"/>
      <c r="T55" s="143"/>
      <c r="U55" s="143"/>
      <c r="V55" s="143"/>
      <c r="W55" s="143"/>
      <c r="X55" s="143"/>
      <c r="Y55" s="143"/>
      <c r="Z55" s="143"/>
      <c r="AA55" s="143"/>
      <c r="AB55" s="143"/>
      <c r="AC55" s="143"/>
      <c r="AD55" s="143"/>
      <c r="AE55" s="143"/>
    </row>
    <row r="56">
      <c r="A56" s="17" t="s">
        <v>7322</v>
      </c>
      <c r="B56" s="17" t="s">
        <v>7322</v>
      </c>
      <c r="C56" s="17" t="s">
        <v>7323</v>
      </c>
      <c r="D56" s="9" t="s">
        <v>7324</v>
      </c>
      <c r="E56" s="142"/>
      <c r="F56" s="143"/>
      <c r="G56" s="143"/>
      <c r="H56" s="143"/>
      <c r="I56" s="143"/>
      <c r="J56" s="143"/>
      <c r="K56" s="143"/>
      <c r="L56" s="143"/>
      <c r="M56" s="143"/>
      <c r="N56" s="143"/>
      <c r="O56" s="143"/>
      <c r="P56" s="143"/>
      <c r="Q56" s="143"/>
      <c r="R56" s="143"/>
      <c r="S56" s="143"/>
      <c r="T56" s="143"/>
      <c r="U56" s="143"/>
      <c r="V56" s="143"/>
      <c r="W56" s="143"/>
      <c r="X56" s="143"/>
      <c r="Y56" s="143"/>
      <c r="Z56" s="143"/>
      <c r="AA56" s="143"/>
      <c r="AB56" s="143"/>
      <c r="AC56" s="143"/>
      <c r="AD56" s="143"/>
      <c r="AE56" s="143"/>
    </row>
    <row r="57">
      <c r="A57" s="17" t="s">
        <v>7325</v>
      </c>
      <c r="B57" s="17" t="s">
        <v>7325</v>
      </c>
      <c r="C57" s="9" t="s">
        <v>7326</v>
      </c>
      <c r="D57" s="9" t="s">
        <v>7327</v>
      </c>
      <c r="E57" s="142"/>
      <c r="F57" s="143"/>
      <c r="G57" s="143"/>
      <c r="H57" s="143"/>
      <c r="I57" s="143"/>
      <c r="J57" s="143"/>
      <c r="K57" s="143"/>
      <c r="L57" s="143"/>
      <c r="M57" s="143"/>
      <c r="N57" s="143"/>
      <c r="O57" s="143"/>
      <c r="P57" s="143"/>
      <c r="Q57" s="143"/>
      <c r="R57" s="143"/>
      <c r="S57" s="143"/>
      <c r="T57" s="143"/>
      <c r="U57" s="143"/>
      <c r="V57" s="143"/>
      <c r="W57" s="143"/>
      <c r="X57" s="143"/>
      <c r="Y57" s="143"/>
      <c r="Z57" s="143"/>
      <c r="AA57" s="143"/>
      <c r="AB57" s="143"/>
      <c r="AC57" s="143"/>
      <c r="AD57" s="143"/>
      <c r="AE57" s="143"/>
    </row>
    <row r="58">
      <c r="A58" s="17" t="s">
        <v>7328</v>
      </c>
      <c r="B58" s="17" t="s">
        <v>7328</v>
      </c>
      <c r="C58" s="17" t="s">
        <v>7329</v>
      </c>
      <c r="D58" s="9" t="s">
        <v>7330</v>
      </c>
      <c r="E58" s="142"/>
      <c r="F58" s="143"/>
      <c r="G58" s="143"/>
      <c r="H58" s="143"/>
      <c r="I58" s="143"/>
      <c r="J58" s="143"/>
      <c r="K58" s="143"/>
      <c r="L58" s="143"/>
      <c r="M58" s="143"/>
      <c r="N58" s="143"/>
      <c r="O58" s="143"/>
      <c r="P58" s="143"/>
      <c r="Q58" s="143"/>
      <c r="R58" s="143"/>
      <c r="S58" s="143"/>
      <c r="T58" s="143"/>
      <c r="U58" s="143"/>
      <c r="V58" s="143"/>
      <c r="W58" s="143"/>
      <c r="X58" s="143"/>
      <c r="Y58" s="143"/>
      <c r="Z58" s="143"/>
      <c r="AA58" s="143"/>
      <c r="AB58" s="143"/>
      <c r="AC58" s="143"/>
      <c r="AD58" s="143"/>
      <c r="AE58" s="143"/>
    </row>
    <row r="59">
      <c r="A59" s="17" t="s">
        <v>7331</v>
      </c>
      <c r="B59" s="17" t="s">
        <v>7331</v>
      </c>
      <c r="C59" s="17" t="s">
        <v>7332</v>
      </c>
      <c r="D59" s="9" t="s">
        <v>7333</v>
      </c>
      <c r="E59" s="142"/>
      <c r="F59" s="143"/>
      <c r="G59" s="143"/>
      <c r="H59" s="143"/>
      <c r="I59" s="143"/>
      <c r="J59" s="143"/>
      <c r="K59" s="143"/>
      <c r="L59" s="143"/>
      <c r="M59" s="143"/>
      <c r="N59" s="143"/>
      <c r="O59" s="143"/>
      <c r="P59" s="143"/>
      <c r="Q59" s="143"/>
      <c r="R59" s="143"/>
      <c r="S59" s="143"/>
      <c r="T59" s="143"/>
      <c r="U59" s="143"/>
      <c r="V59" s="143"/>
      <c r="W59" s="143"/>
      <c r="X59" s="143"/>
      <c r="Y59" s="143"/>
      <c r="Z59" s="143"/>
      <c r="AA59" s="143"/>
      <c r="AB59" s="143"/>
      <c r="AC59" s="143"/>
      <c r="AD59" s="143"/>
      <c r="AE59" s="143"/>
    </row>
    <row r="60">
      <c r="A60" s="17" t="s">
        <v>7334</v>
      </c>
      <c r="B60" s="17" t="s">
        <v>7334</v>
      </c>
      <c r="C60" s="17" t="s">
        <v>7335</v>
      </c>
      <c r="D60" s="9" t="s">
        <v>7336</v>
      </c>
      <c r="E60" s="142"/>
      <c r="F60" s="143"/>
      <c r="G60" s="143"/>
      <c r="H60" s="143"/>
      <c r="I60" s="143"/>
      <c r="J60" s="143"/>
      <c r="K60" s="143"/>
      <c r="L60" s="143"/>
      <c r="M60" s="143"/>
      <c r="N60" s="143"/>
      <c r="O60" s="143"/>
      <c r="P60" s="143"/>
      <c r="Q60" s="143"/>
      <c r="R60" s="143"/>
      <c r="S60" s="143"/>
      <c r="T60" s="143"/>
      <c r="U60" s="143"/>
      <c r="V60" s="143"/>
      <c r="W60" s="143"/>
      <c r="X60" s="143"/>
      <c r="Y60" s="143"/>
      <c r="Z60" s="143"/>
      <c r="AA60" s="143"/>
      <c r="AB60" s="143"/>
      <c r="AC60" s="143"/>
      <c r="AD60" s="143"/>
      <c r="AE60" s="143"/>
    </row>
    <row r="61">
      <c r="A61" s="17" t="s">
        <v>7337</v>
      </c>
      <c r="B61" s="17" t="s">
        <v>7337</v>
      </c>
      <c r="C61" s="17" t="s">
        <v>7338</v>
      </c>
      <c r="D61" s="20" t="s">
        <v>7339</v>
      </c>
      <c r="E61" s="142"/>
      <c r="F61" s="143"/>
      <c r="G61" s="143"/>
      <c r="H61" s="143"/>
      <c r="I61" s="143"/>
      <c r="J61" s="143"/>
      <c r="K61" s="143"/>
      <c r="L61" s="143"/>
      <c r="M61" s="143"/>
      <c r="N61" s="143"/>
      <c r="O61" s="143"/>
      <c r="P61" s="143"/>
      <c r="Q61" s="143"/>
      <c r="R61" s="143"/>
      <c r="S61" s="143"/>
      <c r="T61" s="143"/>
      <c r="U61" s="143"/>
      <c r="V61" s="143"/>
      <c r="W61" s="143"/>
      <c r="X61" s="143"/>
      <c r="Y61" s="143"/>
      <c r="Z61" s="143"/>
      <c r="AA61" s="143"/>
      <c r="AB61" s="143"/>
      <c r="AC61" s="143"/>
      <c r="AD61" s="143"/>
      <c r="AE61" s="143"/>
    </row>
    <row r="62">
      <c r="A62" s="17" t="s">
        <v>7340</v>
      </c>
      <c r="B62" s="17" t="s">
        <v>7340</v>
      </c>
      <c r="C62" s="17" t="s">
        <v>7341</v>
      </c>
      <c r="D62" s="9" t="s">
        <v>7342</v>
      </c>
      <c r="E62" s="142"/>
      <c r="F62" s="143"/>
      <c r="G62" s="143"/>
      <c r="H62" s="143"/>
      <c r="I62" s="143"/>
      <c r="J62" s="143"/>
      <c r="K62" s="143"/>
      <c r="L62" s="143"/>
      <c r="M62" s="143"/>
      <c r="N62" s="143"/>
      <c r="O62" s="143"/>
      <c r="P62" s="143"/>
      <c r="Q62" s="143"/>
      <c r="R62" s="143"/>
      <c r="S62" s="143"/>
      <c r="T62" s="143"/>
      <c r="U62" s="143"/>
      <c r="V62" s="143"/>
      <c r="W62" s="143"/>
      <c r="X62" s="143"/>
      <c r="Y62" s="143"/>
      <c r="Z62" s="143"/>
      <c r="AA62" s="143"/>
      <c r="AB62" s="143"/>
      <c r="AC62" s="143"/>
      <c r="AD62" s="143"/>
      <c r="AE62" s="143"/>
    </row>
    <row r="63">
      <c r="A63" s="17" t="s">
        <v>7343</v>
      </c>
      <c r="B63" s="17" t="s">
        <v>7343</v>
      </c>
      <c r="C63" s="17" t="s">
        <v>7344</v>
      </c>
      <c r="D63" s="20" t="s">
        <v>7345</v>
      </c>
      <c r="E63" s="142"/>
      <c r="F63" s="143"/>
      <c r="G63" s="143"/>
      <c r="H63" s="143"/>
      <c r="I63" s="143"/>
      <c r="J63" s="143"/>
      <c r="K63" s="143"/>
      <c r="L63" s="143"/>
      <c r="M63" s="143"/>
      <c r="N63" s="143"/>
      <c r="O63" s="143"/>
      <c r="P63" s="143"/>
      <c r="Q63" s="143"/>
      <c r="R63" s="143"/>
      <c r="S63" s="143"/>
      <c r="T63" s="143"/>
      <c r="U63" s="143"/>
      <c r="V63" s="143"/>
      <c r="W63" s="143"/>
      <c r="X63" s="143"/>
      <c r="Y63" s="143"/>
      <c r="Z63" s="143"/>
      <c r="AA63" s="143"/>
      <c r="AB63" s="143"/>
      <c r="AC63" s="143"/>
      <c r="AD63" s="143"/>
      <c r="AE63" s="143"/>
    </row>
    <row r="64">
      <c r="A64" s="17" t="s">
        <v>7346</v>
      </c>
      <c r="B64" s="17" t="s">
        <v>7346</v>
      </c>
      <c r="C64" s="17" t="s">
        <v>7347</v>
      </c>
      <c r="D64" s="20" t="s">
        <v>7348</v>
      </c>
      <c r="E64" s="142"/>
      <c r="F64" s="143"/>
      <c r="G64" s="143"/>
      <c r="H64" s="143"/>
      <c r="I64" s="143"/>
      <c r="J64" s="143"/>
      <c r="K64" s="143"/>
      <c r="L64" s="143"/>
      <c r="M64" s="143"/>
      <c r="N64" s="143"/>
      <c r="O64" s="143"/>
      <c r="P64" s="143"/>
      <c r="Q64" s="143"/>
      <c r="R64" s="143"/>
      <c r="S64" s="143"/>
      <c r="T64" s="143"/>
      <c r="U64" s="143"/>
      <c r="V64" s="143"/>
      <c r="W64" s="143"/>
      <c r="X64" s="143"/>
      <c r="Y64" s="143"/>
      <c r="Z64" s="143"/>
      <c r="AA64" s="143"/>
      <c r="AB64" s="143"/>
      <c r="AC64" s="143"/>
      <c r="AD64" s="143"/>
      <c r="AE64" s="143"/>
    </row>
    <row r="65">
      <c r="A65" s="17" t="s">
        <v>7349</v>
      </c>
      <c r="B65" s="17" t="s">
        <v>7349</v>
      </c>
      <c r="C65" s="17" t="s">
        <v>7350</v>
      </c>
      <c r="D65" s="20" t="s">
        <v>7351</v>
      </c>
      <c r="E65" s="142"/>
      <c r="F65" s="143"/>
      <c r="G65" s="143"/>
      <c r="H65" s="143"/>
      <c r="I65" s="143"/>
      <c r="J65" s="143"/>
      <c r="K65" s="143"/>
      <c r="L65" s="143"/>
      <c r="M65" s="143"/>
      <c r="N65" s="143"/>
      <c r="O65" s="143"/>
      <c r="P65" s="143"/>
      <c r="Q65" s="143"/>
      <c r="R65" s="143"/>
      <c r="S65" s="143"/>
      <c r="T65" s="143"/>
      <c r="U65" s="143"/>
      <c r="V65" s="143"/>
      <c r="W65" s="143"/>
      <c r="X65" s="143"/>
      <c r="Y65" s="143"/>
      <c r="Z65" s="143"/>
      <c r="AA65" s="143"/>
      <c r="AB65" s="143"/>
      <c r="AC65" s="143"/>
      <c r="AD65" s="143"/>
      <c r="AE65" s="143"/>
    </row>
    <row r="66">
      <c r="A66" s="17" t="s">
        <v>7352</v>
      </c>
      <c r="B66" s="17" t="s">
        <v>7352</v>
      </c>
      <c r="C66" s="17" t="s">
        <v>7353</v>
      </c>
      <c r="D66" s="20" t="s">
        <v>7354</v>
      </c>
      <c r="E66" s="142"/>
      <c r="F66" s="143"/>
      <c r="G66" s="143"/>
      <c r="H66" s="143"/>
      <c r="I66" s="143"/>
      <c r="J66" s="143"/>
      <c r="K66" s="143"/>
      <c r="L66" s="143"/>
      <c r="M66" s="143"/>
      <c r="N66" s="143"/>
      <c r="O66" s="143"/>
      <c r="P66" s="143"/>
      <c r="Q66" s="143"/>
      <c r="R66" s="143"/>
      <c r="S66" s="143"/>
      <c r="T66" s="143"/>
      <c r="U66" s="143"/>
      <c r="V66" s="143"/>
      <c r="W66" s="143"/>
      <c r="X66" s="143"/>
      <c r="Y66" s="143"/>
      <c r="Z66" s="143"/>
      <c r="AA66" s="143"/>
      <c r="AB66" s="143"/>
      <c r="AC66" s="143"/>
      <c r="AD66" s="143"/>
      <c r="AE66" s="143"/>
    </row>
    <row r="67">
      <c r="A67" s="17" t="s">
        <v>7355</v>
      </c>
      <c r="B67" s="17" t="s">
        <v>7355</v>
      </c>
      <c r="C67" s="17" t="s">
        <v>7356</v>
      </c>
      <c r="D67" s="20" t="s">
        <v>7357</v>
      </c>
      <c r="E67" s="142"/>
      <c r="F67" s="143"/>
      <c r="G67" s="143"/>
      <c r="H67" s="143"/>
      <c r="I67" s="143"/>
      <c r="J67" s="143"/>
      <c r="K67" s="143"/>
      <c r="L67" s="143"/>
      <c r="M67" s="143"/>
      <c r="N67" s="143"/>
      <c r="O67" s="143"/>
      <c r="P67" s="143"/>
      <c r="Q67" s="143"/>
      <c r="R67" s="143"/>
      <c r="S67" s="143"/>
      <c r="T67" s="143"/>
      <c r="U67" s="143"/>
      <c r="V67" s="143"/>
      <c r="W67" s="143"/>
      <c r="X67" s="143"/>
      <c r="Y67" s="143"/>
      <c r="Z67" s="143"/>
      <c r="AA67" s="143"/>
      <c r="AB67" s="143"/>
      <c r="AC67" s="143"/>
      <c r="AD67" s="143"/>
      <c r="AE67" s="143"/>
    </row>
    <row r="68">
      <c r="A68" s="17" t="s">
        <v>7358</v>
      </c>
      <c r="B68" s="17" t="s">
        <v>7358</v>
      </c>
      <c r="C68" s="17" t="s">
        <v>7359</v>
      </c>
      <c r="D68" s="20" t="s">
        <v>7360</v>
      </c>
      <c r="E68" s="142"/>
      <c r="F68" s="143"/>
      <c r="G68" s="143"/>
      <c r="H68" s="143"/>
      <c r="I68" s="143"/>
      <c r="J68" s="143"/>
      <c r="K68" s="143"/>
      <c r="L68" s="143"/>
      <c r="M68" s="143"/>
      <c r="N68" s="143"/>
      <c r="O68" s="143"/>
      <c r="P68" s="143"/>
      <c r="Q68" s="143"/>
      <c r="R68" s="143"/>
      <c r="S68" s="143"/>
      <c r="T68" s="143"/>
      <c r="U68" s="143"/>
      <c r="V68" s="143"/>
      <c r="W68" s="143"/>
      <c r="X68" s="143"/>
      <c r="Y68" s="143"/>
      <c r="Z68" s="143"/>
      <c r="AA68" s="143"/>
      <c r="AB68" s="143"/>
      <c r="AC68" s="143"/>
      <c r="AD68" s="143"/>
      <c r="AE68" s="143"/>
    </row>
    <row r="69">
      <c r="A69" s="17" t="s">
        <v>7361</v>
      </c>
      <c r="B69" s="17" t="s">
        <v>7361</v>
      </c>
      <c r="C69" s="17" t="s">
        <v>7362</v>
      </c>
      <c r="D69" s="20" t="s">
        <v>7363</v>
      </c>
      <c r="E69" s="142"/>
      <c r="F69" s="143"/>
      <c r="G69" s="143"/>
      <c r="H69" s="143"/>
      <c r="I69" s="143"/>
      <c r="J69" s="143"/>
      <c r="K69" s="143"/>
      <c r="L69" s="143"/>
      <c r="M69" s="143"/>
      <c r="N69" s="143"/>
      <c r="O69" s="143"/>
      <c r="P69" s="143"/>
      <c r="Q69" s="143"/>
      <c r="R69" s="143"/>
      <c r="S69" s="143"/>
      <c r="T69" s="143"/>
      <c r="U69" s="143"/>
      <c r="V69" s="143"/>
      <c r="W69" s="143"/>
      <c r="X69" s="143"/>
      <c r="Y69" s="143"/>
      <c r="Z69" s="143"/>
      <c r="AA69" s="143"/>
      <c r="AB69" s="143"/>
      <c r="AC69" s="143"/>
      <c r="AD69" s="143"/>
      <c r="AE69" s="143"/>
    </row>
    <row r="70">
      <c r="A70" s="17" t="s">
        <v>7364</v>
      </c>
      <c r="B70" s="17" t="s">
        <v>7364</v>
      </c>
      <c r="C70" s="17" t="s">
        <v>7365</v>
      </c>
      <c r="D70" s="20" t="s">
        <v>7366</v>
      </c>
      <c r="E70" s="142"/>
      <c r="F70" s="143"/>
      <c r="G70" s="143"/>
      <c r="H70" s="143"/>
      <c r="I70" s="143"/>
      <c r="J70" s="143"/>
      <c r="K70" s="143"/>
      <c r="L70" s="143"/>
      <c r="M70" s="143"/>
      <c r="N70" s="143"/>
      <c r="O70" s="143"/>
      <c r="P70" s="143"/>
      <c r="Q70" s="143"/>
      <c r="R70" s="143"/>
      <c r="S70" s="143"/>
      <c r="T70" s="143"/>
      <c r="U70" s="143"/>
      <c r="V70" s="143"/>
      <c r="W70" s="143"/>
      <c r="X70" s="143"/>
      <c r="Y70" s="143"/>
      <c r="Z70" s="143"/>
      <c r="AA70" s="143"/>
      <c r="AB70" s="143"/>
      <c r="AC70" s="143"/>
      <c r="AD70" s="143"/>
      <c r="AE70" s="143"/>
    </row>
    <row r="71">
      <c r="A71" s="17" t="s">
        <v>7367</v>
      </c>
      <c r="B71" s="17" t="s">
        <v>7367</v>
      </c>
      <c r="C71" s="17" t="s">
        <v>7368</v>
      </c>
      <c r="D71" s="20" t="s">
        <v>7369</v>
      </c>
      <c r="E71" s="142"/>
      <c r="F71" s="143"/>
      <c r="G71" s="143"/>
      <c r="H71" s="143"/>
      <c r="I71" s="143"/>
      <c r="J71" s="143"/>
      <c r="K71" s="143"/>
      <c r="L71" s="143"/>
      <c r="M71" s="143"/>
      <c r="N71" s="143"/>
      <c r="O71" s="143"/>
      <c r="P71" s="143"/>
      <c r="Q71" s="143"/>
      <c r="R71" s="143"/>
      <c r="S71" s="143"/>
      <c r="T71" s="143"/>
      <c r="U71" s="143"/>
      <c r="V71" s="143"/>
      <c r="W71" s="143"/>
      <c r="X71" s="143"/>
      <c r="Y71" s="143"/>
      <c r="Z71" s="143"/>
      <c r="AA71" s="143"/>
      <c r="AB71" s="143"/>
      <c r="AC71" s="143"/>
      <c r="AD71" s="143"/>
      <c r="AE71" s="143"/>
    </row>
    <row r="72">
      <c r="A72" s="17" t="s">
        <v>1900</v>
      </c>
      <c r="B72" s="17" t="s">
        <v>1900</v>
      </c>
      <c r="C72" s="17" t="s">
        <v>1902</v>
      </c>
      <c r="D72" s="20" t="s">
        <v>7370</v>
      </c>
      <c r="E72" s="142"/>
      <c r="F72" s="143"/>
      <c r="G72" s="143"/>
      <c r="H72" s="143"/>
      <c r="I72" s="143"/>
      <c r="J72" s="143"/>
      <c r="K72" s="143"/>
      <c r="L72" s="143"/>
      <c r="M72" s="143"/>
      <c r="N72" s="143"/>
      <c r="O72" s="143"/>
      <c r="P72" s="143"/>
      <c r="Q72" s="143"/>
      <c r="R72" s="143"/>
      <c r="S72" s="143"/>
      <c r="T72" s="143"/>
      <c r="U72" s="143"/>
      <c r="V72" s="143"/>
      <c r="W72" s="143"/>
      <c r="X72" s="143"/>
      <c r="Y72" s="143"/>
      <c r="Z72" s="143"/>
      <c r="AA72" s="143"/>
      <c r="AB72" s="143"/>
      <c r="AC72" s="143"/>
      <c r="AD72" s="143"/>
      <c r="AE72" s="143"/>
    </row>
    <row r="73">
      <c r="A73" s="17" t="s">
        <v>7371</v>
      </c>
      <c r="B73" s="17" t="s">
        <v>7371</v>
      </c>
      <c r="C73" s="17" t="s">
        <v>7372</v>
      </c>
      <c r="D73" s="20" t="s">
        <v>7373</v>
      </c>
      <c r="E73" s="142"/>
      <c r="F73" s="143"/>
      <c r="G73" s="143"/>
      <c r="H73" s="143"/>
      <c r="I73" s="143"/>
      <c r="J73" s="143"/>
      <c r="K73" s="143"/>
      <c r="L73" s="143"/>
      <c r="M73" s="143"/>
      <c r="N73" s="143"/>
      <c r="O73" s="143"/>
      <c r="P73" s="143"/>
      <c r="Q73" s="143"/>
      <c r="R73" s="143"/>
      <c r="S73" s="143"/>
      <c r="T73" s="143"/>
      <c r="U73" s="143"/>
      <c r="V73" s="143"/>
      <c r="W73" s="143"/>
      <c r="X73" s="143"/>
      <c r="Y73" s="143"/>
      <c r="Z73" s="143"/>
      <c r="AA73" s="143"/>
      <c r="AB73" s="143"/>
      <c r="AC73" s="143"/>
      <c r="AD73" s="143"/>
      <c r="AE73" s="143"/>
    </row>
    <row r="74">
      <c r="A74" s="17" t="s">
        <v>7374</v>
      </c>
      <c r="B74" s="17" t="s">
        <v>7374</v>
      </c>
      <c r="C74" s="17" t="s">
        <v>7375</v>
      </c>
      <c r="D74" s="20" t="s">
        <v>7376</v>
      </c>
      <c r="E74" s="142"/>
      <c r="F74" s="143"/>
      <c r="G74" s="143"/>
      <c r="H74" s="143"/>
      <c r="I74" s="143"/>
      <c r="J74" s="143"/>
      <c r="K74" s="143"/>
      <c r="L74" s="143"/>
      <c r="M74" s="143"/>
      <c r="N74" s="143"/>
      <c r="O74" s="143"/>
      <c r="P74" s="143"/>
      <c r="Q74" s="143"/>
      <c r="R74" s="143"/>
      <c r="S74" s="143"/>
      <c r="T74" s="143"/>
      <c r="U74" s="143"/>
      <c r="V74" s="143"/>
      <c r="W74" s="143"/>
      <c r="X74" s="143"/>
      <c r="Y74" s="143"/>
      <c r="Z74" s="143"/>
      <c r="AA74" s="145"/>
      <c r="AB74" s="145"/>
      <c r="AC74" s="145"/>
      <c r="AD74" s="145"/>
      <c r="AE74" s="145"/>
    </row>
    <row r="75">
      <c r="A75" s="17" t="s">
        <v>7377</v>
      </c>
      <c r="B75" s="17" t="s">
        <v>7377</v>
      </c>
      <c r="C75" s="17" t="s">
        <v>7378</v>
      </c>
      <c r="D75" s="20" t="s">
        <v>7379</v>
      </c>
      <c r="E75" s="142"/>
      <c r="F75" s="143"/>
      <c r="G75" s="143"/>
      <c r="H75" s="143"/>
      <c r="I75" s="143"/>
      <c r="J75" s="143"/>
      <c r="K75" s="143"/>
      <c r="L75" s="143"/>
      <c r="M75" s="143"/>
      <c r="N75" s="143"/>
      <c r="O75" s="143"/>
      <c r="P75" s="143"/>
      <c r="Q75" s="143"/>
      <c r="R75" s="143"/>
      <c r="S75" s="143"/>
      <c r="T75" s="143"/>
      <c r="U75" s="143"/>
      <c r="V75" s="143"/>
      <c r="W75" s="143"/>
      <c r="X75" s="143"/>
      <c r="Y75" s="143"/>
      <c r="Z75" s="143"/>
      <c r="AA75" s="143"/>
      <c r="AB75" s="143"/>
      <c r="AC75" s="143"/>
      <c r="AD75" s="143"/>
      <c r="AE75" s="143"/>
    </row>
    <row r="76">
      <c r="A76" s="17" t="s">
        <v>7380</v>
      </c>
      <c r="B76" s="17" t="s">
        <v>7380</v>
      </c>
      <c r="C76" s="17" t="s">
        <v>7381</v>
      </c>
      <c r="D76" s="20" t="s">
        <v>7382</v>
      </c>
      <c r="E76" s="142"/>
      <c r="F76" s="143"/>
      <c r="G76" s="143"/>
      <c r="H76" s="143"/>
      <c r="I76" s="143"/>
      <c r="J76" s="143"/>
      <c r="K76" s="143"/>
      <c r="L76" s="143"/>
      <c r="M76" s="143"/>
      <c r="N76" s="143"/>
      <c r="O76" s="143"/>
      <c r="P76" s="143"/>
      <c r="Q76" s="143"/>
      <c r="R76" s="143"/>
      <c r="S76" s="143"/>
      <c r="T76" s="143"/>
      <c r="U76" s="143"/>
      <c r="V76" s="143"/>
      <c r="W76" s="143"/>
      <c r="X76" s="143"/>
      <c r="Y76" s="143"/>
      <c r="Z76" s="143"/>
      <c r="AA76" s="143"/>
      <c r="AB76" s="143"/>
      <c r="AC76" s="143"/>
      <c r="AD76" s="143"/>
      <c r="AE76" s="143"/>
    </row>
    <row r="77">
      <c r="A77" s="17" t="s">
        <v>7383</v>
      </c>
      <c r="B77" s="17" t="s">
        <v>7383</v>
      </c>
      <c r="C77" s="17" t="s">
        <v>7384</v>
      </c>
      <c r="D77" s="20" t="s">
        <v>7385</v>
      </c>
      <c r="E77" s="142"/>
      <c r="F77" s="143"/>
      <c r="G77" s="143"/>
      <c r="H77" s="143"/>
      <c r="I77" s="143"/>
      <c r="J77" s="143"/>
      <c r="K77" s="143"/>
      <c r="L77" s="143"/>
      <c r="M77" s="143"/>
      <c r="N77" s="143"/>
      <c r="O77" s="143"/>
      <c r="P77" s="143"/>
      <c r="Q77" s="143"/>
      <c r="R77" s="143"/>
      <c r="S77" s="143"/>
      <c r="T77" s="143"/>
      <c r="U77" s="143"/>
      <c r="V77" s="143"/>
      <c r="W77" s="143"/>
      <c r="X77" s="143"/>
      <c r="Y77" s="143"/>
      <c r="Z77" s="143"/>
      <c r="AA77" s="143"/>
      <c r="AB77" s="143"/>
      <c r="AC77" s="143"/>
      <c r="AD77" s="143"/>
      <c r="AE77" s="143"/>
    </row>
    <row r="78">
      <c r="A78" s="17" t="s">
        <v>7386</v>
      </c>
      <c r="B78" s="17" t="s">
        <v>7386</v>
      </c>
      <c r="C78" s="17" t="s">
        <v>7387</v>
      </c>
      <c r="D78" s="20" t="s">
        <v>7388</v>
      </c>
      <c r="E78" s="142"/>
      <c r="F78" s="143"/>
      <c r="G78" s="143"/>
      <c r="H78" s="143"/>
      <c r="I78" s="143"/>
      <c r="J78" s="143"/>
      <c r="K78" s="143"/>
      <c r="L78" s="143"/>
      <c r="M78" s="143"/>
      <c r="N78" s="143"/>
      <c r="O78" s="143"/>
      <c r="P78" s="143"/>
      <c r="Q78" s="143"/>
      <c r="R78" s="143"/>
      <c r="S78" s="143"/>
      <c r="T78" s="143"/>
      <c r="U78" s="143"/>
      <c r="V78" s="143"/>
      <c r="W78" s="143"/>
      <c r="X78" s="143"/>
      <c r="Y78" s="143"/>
      <c r="Z78" s="143"/>
      <c r="AA78" s="143"/>
      <c r="AB78" s="143"/>
      <c r="AC78" s="143"/>
      <c r="AD78" s="143"/>
      <c r="AE78" s="143"/>
    </row>
    <row r="79">
      <c r="A79" s="17" t="s">
        <v>7389</v>
      </c>
      <c r="B79" s="17" t="s">
        <v>7389</v>
      </c>
      <c r="C79" s="17" t="s">
        <v>7390</v>
      </c>
      <c r="D79" s="17" t="s">
        <v>7391</v>
      </c>
      <c r="E79" s="142"/>
      <c r="F79" s="143"/>
      <c r="G79" s="143"/>
      <c r="H79" s="143"/>
      <c r="I79" s="143"/>
      <c r="J79" s="143"/>
      <c r="K79" s="143"/>
      <c r="L79" s="143"/>
      <c r="M79" s="143"/>
      <c r="N79" s="143"/>
      <c r="O79" s="143"/>
      <c r="P79" s="143"/>
      <c r="Q79" s="143"/>
      <c r="R79" s="143"/>
      <c r="S79" s="143"/>
      <c r="T79" s="143"/>
      <c r="U79" s="143"/>
      <c r="V79" s="143"/>
      <c r="W79" s="143"/>
      <c r="X79" s="143"/>
      <c r="Y79" s="143"/>
      <c r="Z79" s="143"/>
      <c r="AA79" s="143"/>
      <c r="AB79" s="143"/>
      <c r="AC79" s="143"/>
      <c r="AD79" s="143"/>
      <c r="AE79" s="143"/>
    </row>
    <row r="80">
      <c r="A80" s="17" t="s">
        <v>7392</v>
      </c>
      <c r="B80" s="17" t="s">
        <v>7392</v>
      </c>
      <c r="C80" s="17" t="s">
        <v>7393</v>
      </c>
      <c r="D80" s="20" t="s">
        <v>7394</v>
      </c>
      <c r="E80" s="142"/>
      <c r="F80" s="143"/>
      <c r="G80" s="143"/>
      <c r="H80" s="143"/>
      <c r="I80" s="143"/>
      <c r="J80" s="143"/>
      <c r="K80" s="143"/>
      <c r="L80" s="143"/>
      <c r="M80" s="143"/>
      <c r="N80" s="143"/>
      <c r="O80" s="143"/>
      <c r="P80" s="143"/>
      <c r="Q80" s="143"/>
      <c r="R80" s="143"/>
      <c r="S80" s="143"/>
      <c r="T80" s="143"/>
      <c r="U80" s="143"/>
      <c r="V80" s="143"/>
      <c r="W80" s="143"/>
      <c r="X80" s="143"/>
      <c r="Y80" s="143"/>
      <c r="Z80" s="143"/>
      <c r="AA80" s="143"/>
      <c r="AB80" s="143"/>
      <c r="AC80" s="143"/>
      <c r="AD80" s="143"/>
      <c r="AE80" s="143"/>
    </row>
    <row r="81">
      <c r="A81" s="17" t="s">
        <v>7395</v>
      </c>
      <c r="B81" s="17" t="s">
        <v>7395</v>
      </c>
      <c r="C81" s="17" t="s">
        <v>7396</v>
      </c>
      <c r="D81" s="20" t="s">
        <v>7397</v>
      </c>
      <c r="E81" s="142"/>
      <c r="F81" s="143"/>
      <c r="G81" s="143"/>
      <c r="H81" s="143"/>
      <c r="I81" s="143"/>
      <c r="J81" s="143"/>
      <c r="K81" s="143"/>
      <c r="L81" s="143"/>
      <c r="M81" s="143"/>
      <c r="N81" s="143"/>
      <c r="O81" s="143"/>
      <c r="P81" s="143"/>
      <c r="Q81" s="143"/>
      <c r="R81" s="143"/>
      <c r="S81" s="143"/>
      <c r="T81" s="143"/>
      <c r="U81" s="143"/>
      <c r="V81" s="143"/>
      <c r="W81" s="143"/>
      <c r="X81" s="143"/>
      <c r="Y81" s="143"/>
      <c r="Z81" s="143"/>
      <c r="AA81" s="143"/>
      <c r="AB81" s="143"/>
      <c r="AC81" s="143"/>
      <c r="AD81" s="143"/>
      <c r="AE81" s="143"/>
    </row>
    <row r="82">
      <c r="A82" s="17" t="s">
        <v>7398</v>
      </c>
      <c r="B82" s="17" t="s">
        <v>7398</v>
      </c>
      <c r="C82" s="17" t="s">
        <v>7399</v>
      </c>
      <c r="D82" s="20" t="s">
        <v>7400</v>
      </c>
      <c r="E82" s="142"/>
      <c r="F82" s="143"/>
      <c r="G82" s="143"/>
      <c r="H82" s="143"/>
      <c r="I82" s="143"/>
      <c r="J82" s="143"/>
      <c r="K82" s="143"/>
      <c r="L82" s="143"/>
      <c r="M82" s="143"/>
      <c r="N82" s="143"/>
      <c r="O82" s="143"/>
      <c r="P82" s="143"/>
      <c r="Q82" s="143"/>
      <c r="R82" s="143"/>
      <c r="S82" s="143"/>
      <c r="T82" s="143"/>
      <c r="U82" s="143"/>
      <c r="V82" s="143"/>
      <c r="W82" s="143"/>
      <c r="X82" s="143"/>
      <c r="Y82" s="143"/>
      <c r="Z82" s="143"/>
      <c r="AA82" s="143"/>
      <c r="AB82" s="143"/>
      <c r="AC82" s="143"/>
      <c r="AD82" s="143"/>
      <c r="AE82" s="143"/>
    </row>
    <row r="83">
      <c r="A83" s="17" t="s">
        <v>7401</v>
      </c>
      <c r="B83" s="17" t="s">
        <v>7401</v>
      </c>
      <c r="C83" s="17" t="s">
        <v>7402</v>
      </c>
      <c r="D83" s="20" t="s">
        <v>7403</v>
      </c>
      <c r="E83" s="142"/>
      <c r="F83" s="143"/>
      <c r="G83" s="143"/>
      <c r="H83" s="143"/>
      <c r="I83" s="143"/>
      <c r="J83" s="143"/>
      <c r="K83" s="143"/>
      <c r="L83" s="143"/>
      <c r="M83" s="143"/>
      <c r="N83" s="143"/>
      <c r="O83" s="143"/>
      <c r="P83" s="143"/>
      <c r="Q83" s="143"/>
      <c r="R83" s="143"/>
      <c r="S83" s="143"/>
      <c r="T83" s="143"/>
      <c r="U83" s="143"/>
      <c r="V83" s="143"/>
      <c r="W83" s="143"/>
      <c r="X83" s="143"/>
      <c r="Y83" s="143"/>
      <c r="Z83" s="143"/>
      <c r="AA83" s="143"/>
      <c r="AB83" s="143"/>
      <c r="AC83" s="143"/>
      <c r="AD83" s="143"/>
      <c r="AE83" s="143"/>
    </row>
    <row r="84">
      <c r="A84" s="17" t="s">
        <v>7404</v>
      </c>
      <c r="B84" s="17" t="s">
        <v>7404</v>
      </c>
      <c r="C84" s="17" t="s">
        <v>7405</v>
      </c>
      <c r="D84" s="20" t="s">
        <v>7406</v>
      </c>
      <c r="E84" s="142"/>
      <c r="F84" s="143"/>
      <c r="G84" s="143"/>
      <c r="H84" s="143"/>
      <c r="I84" s="143"/>
      <c r="J84" s="143"/>
      <c r="K84" s="143"/>
      <c r="L84" s="143"/>
      <c r="M84" s="143"/>
      <c r="N84" s="143"/>
      <c r="O84" s="143"/>
      <c r="P84" s="143"/>
      <c r="Q84" s="143"/>
      <c r="R84" s="143"/>
      <c r="S84" s="143"/>
      <c r="T84" s="143"/>
      <c r="U84" s="143"/>
      <c r="V84" s="143"/>
      <c r="W84" s="143"/>
      <c r="X84" s="143"/>
      <c r="Y84" s="143"/>
      <c r="Z84" s="143"/>
      <c r="AA84" s="143"/>
      <c r="AB84" s="143"/>
      <c r="AC84" s="143"/>
      <c r="AD84" s="143"/>
      <c r="AE84" s="143"/>
    </row>
    <row r="85">
      <c r="A85" s="17" t="s">
        <v>7407</v>
      </c>
      <c r="B85" s="17" t="s">
        <v>7407</v>
      </c>
      <c r="C85" s="17" t="s">
        <v>7408</v>
      </c>
      <c r="D85" s="20" t="s">
        <v>7409</v>
      </c>
      <c r="E85" s="142"/>
      <c r="F85" s="143"/>
      <c r="G85" s="143"/>
      <c r="H85" s="143"/>
      <c r="I85" s="143"/>
      <c r="J85" s="143"/>
      <c r="K85" s="143"/>
      <c r="L85" s="143"/>
      <c r="M85" s="143"/>
      <c r="N85" s="143"/>
      <c r="O85" s="143"/>
      <c r="P85" s="143"/>
      <c r="Q85" s="143"/>
      <c r="R85" s="143"/>
      <c r="S85" s="143"/>
      <c r="T85" s="143"/>
      <c r="U85" s="143"/>
      <c r="V85" s="143"/>
      <c r="W85" s="143"/>
      <c r="X85" s="143"/>
      <c r="Y85" s="143"/>
      <c r="Z85" s="143"/>
      <c r="AA85" s="143"/>
      <c r="AB85" s="143"/>
      <c r="AC85" s="143"/>
      <c r="AD85" s="143"/>
      <c r="AE85" s="143"/>
    </row>
    <row r="86">
      <c r="A86" s="17" t="s">
        <v>7410</v>
      </c>
      <c r="B86" s="17" t="s">
        <v>7410</v>
      </c>
      <c r="C86" s="17" t="s">
        <v>7411</v>
      </c>
      <c r="D86" s="9" t="s">
        <v>7412</v>
      </c>
      <c r="E86" s="142"/>
      <c r="F86" s="143"/>
      <c r="G86" s="143"/>
      <c r="H86" s="143"/>
      <c r="I86" s="143"/>
      <c r="J86" s="143"/>
      <c r="K86" s="143"/>
      <c r="L86" s="143"/>
      <c r="M86" s="143"/>
      <c r="N86" s="143"/>
      <c r="O86" s="143"/>
      <c r="P86" s="143"/>
      <c r="Q86" s="143"/>
      <c r="R86" s="143"/>
      <c r="S86" s="143"/>
      <c r="T86" s="143"/>
      <c r="U86" s="143"/>
      <c r="V86" s="143"/>
      <c r="W86" s="143"/>
      <c r="X86" s="143"/>
      <c r="Y86" s="143"/>
      <c r="Z86" s="143"/>
      <c r="AA86" s="143"/>
      <c r="AB86" s="143"/>
      <c r="AC86" s="143"/>
      <c r="AD86" s="143"/>
      <c r="AE86" s="143"/>
    </row>
    <row r="87">
      <c r="A87" s="17" t="s">
        <v>7413</v>
      </c>
      <c r="B87" s="17" t="s">
        <v>7413</v>
      </c>
      <c r="C87" s="17" t="s">
        <v>7414</v>
      </c>
      <c r="D87" s="9" t="s">
        <v>7415</v>
      </c>
      <c r="E87" s="142"/>
      <c r="F87" s="143"/>
      <c r="G87" s="143"/>
      <c r="H87" s="143"/>
      <c r="I87" s="143"/>
      <c r="J87" s="143"/>
      <c r="K87" s="143"/>
      <c r="L87" s="143"/>
      <c r="M87" s="143"/>
      <c r="N87" s="143"/>
      <c r="O87" s="143"/>
      <c r="P87" s="143"/>
      <c r="Q87" s="143"/>
      <c r="R87" s="143"/>
      <c r="S87" s="143"/>
      <c r="T87" s="143"/>
      <c r="U87" s="143"/>
      <c r="V87" s="143"/>
      <c r="W87" s="143"/>
      <c r="X87" s="143"/>
      <c r="Y87" s="143"/>
      <c r="Z87" s="143"/>
      <c r="AA87" s="146"/>
      <c r="AB87" s="146"/>
      <c r="AC87" s="146"/>
      <c r="AD87" s="146"/>
      <c r="AE87" s="146"/>
    </row>
    <row r="88">
      <c r="A88" s="17" t="s">
        <v>7416</v>
      </c>
      <c r="B88" s="17" t="s">
        <v>7416</v>
      </c>
      <c r="C88" s="17" t="s">
        <v>7417</v>
      </c>
      <c r="D88" s="9" t="s">
        <v>7418</v>
      </c>
      <c r="E88" s="142"/>
      <c r="F88" s="143"/>
      <c r="G88" s="143"/>
      <c r="H88" s="143"/>
      <c r="I88" s="143"/>
      <c r="J88" s="143"/>
      <c r="K88" s="143"/>
      <c r="L88" s="143"/>
      <c r="M88" s="143"/>
      <c r="N88" s="143"/>
      <c r="O88" s="143"/>
      <c r="P88" s="143"/>
      <c r="Q88" s="143"/>
      <c r="R88" s="143"/>
      <c r="S88" s="143"/>
      <c r="T88" s="143"/>
      <c r="U88" s="143"/>
      <c r="V88" s="143"/>
      <c r="W88" s="143"/>
      <c r="X88" s="143"/>
      <c r="Y88" s="143"/>
      <c r="Z88" s="143"/>
      <c r="AA88" s="146"/>
      <c r="AB88" s="146"/>
      <c r="AC88" s="146"/>
      <c r="AD88" s="146"/>
      <c r="AE88" s="146"/>
    </row>
    <row r="89">
      <c r="A89" s="17" t="s">
        <v>7419</v>
      </c>
      <c r="B89" s="17" t="s">
        <v>7419</v>
      </c>
      <c r="C89" s="17" t="s">
        <v>7420</v>
      </c>
      <c r="D89" s="9" t="s">
        <v>7421</v>
      </c>
      <c r="E89" s="142"/>
      <c r="F89" s="143"/>
      <c r="G89" s="143"/>
      <c r="H89" s="143"/>
      <c r="I89" s="143"/>
      <c r="J89" s="143"/>
      <c r="K89" s="143"/>
      <c r="L89" s="143"/>
      <c r="M89" s="143"/>
      <c r="N89" s="143"/>
      <c r="O89" s="143"/>
      <c r="P89" s="143"/>
      <c r="Q89" s="143"/>
      <c r="R89" s="143"/>
      <c r="S89" s="143"/>
      <c r="T89" s="143"/>
      <c r="U89" s="143"/>
      <c r="V89" s="143"/>
      <c r="W89" s="143"/>
      <c r="X89" s="143"/>
      <c r="Y89" s="143"/>
      <c r="Z89" s="143"/>
      <c r="AA89" s="146"/>
      <c r="AB89" s="146"/>
      <c r="AC89" s="146"/>
      <c r="AD89" s="146"/>
      <c r="AE89" s="146"/>
    </row>
    <row r="90">
      <c r="A90" s="17" t="s">
        <v>7422</v>
      </c>
      <c r="B90" s="17" t="s">
        <v>7422</v>
      </c>
      <c r="C90" s="17" t="s">
        <v>7423</v>
      </c>
      <c r="D90" s="20" t="s">
        <v>7424</v>
      </c>
      <c r="E90" s="142"/>
      <c r="F90" s="143"/>
      <c r="G90" s="143"/>
      <c r="H90" s="143"/>
      <c r="I90" s="143"/>
      <c r="J90" s="143"/>
      <c r="K90" s="143"/>
      <c r="L90" s="143"/>
      <c r="M90" s="143"/>
      <c r="N90" s="143"/>
      <c r="O90" s="143"/>
      <c r="P90" s="143"/>
      <c r="Q90" s="143"/>
      <c r="R90" s="143"/>
      <c r="S90" s="143"/>
      <c r="T90" s="143"/>
      <c r="U90" s="143"/>
      <c r="V90" s="143"/>
      <c r="W90" s="143"/>
      <c r="X90" s="143"/>
      <c r="Y90" s="143"/>
      <c r="Z90" s="143"/>
      <c r="AA90" s="146"/>
      <c r="AB90" s="146"/>
      <c r="AC90" s="146"/>
      <c r="AD90" s="146"/>
      <c r="AE90" s="146"/>
    </row>
    <row r="91">
      <c r="A91" s="17" t="s">
        <v>7425</v>
      </c>
      <c r="B91" s="17" t="s">
        <v>7425</v>
      </c>
      <c r="C91" s="17" t="s">
        <v>7426</v>
      </c>
      <c r="D91" s="20" t="s">
        <v>7427</v>
      </c>
      <c r="E91" s="142"/>
      <c r="F91" s="143"/>
      <c r="G91" s="143"/>
      <c r="H91" s="143"/>
      <c r="I91" s="143"/>
      <c r="J91" s="143"/>
      <c r="K91" s="143"/>
      <c r="L91" s="143"/>
      <c r="M91" s="143"/>
      <c r="N91" s="143"/>
      <c r="O91" s="143"/>
      <c r="P91" s="143"/>
      <c r="Q91" s="143"/>
      <c r="R91" s="143"/>
      <c r="S91" s="143"/>
      <c r="T91" s="143"/>
      <c r="U91" s="143"/>
      <c r="V91" s="143"/>
      <c r="W91" s="143"/>
      <c r="X91" s="143"/>
      <c r="Y91" s="143"/>
      <c r="Z91" s="143"/>
      <c r="AA91" s="146"/>
      <c r="AB91" s="146"/>
      <c r="AC91" s="146"/>
      <c r="AD91" s="146"/>
      <c r="AE91" s="146"/>
    </row>
    <row r="92">
      <c r="A92" s="17" t="s">
        <v>7428</v>
      </c>
      <c r="B92" s="17" t="s">
        <v>7428</v>
      </c>
      <c r="C92" s="17" t="s">
        <v>7429</v>
      </c>
      <c r="D92" s="20" t="s">
        <v>7430</v>
      </c>
      <c r="E92" s="142"/>
      <c r="F92" s="143"/>
      <c r="G92" s="143"/>
      <c r="H92" s="143"/>
      <c r="I92" s="143"/>
      <c r="J92" s="143"/>
      <c r="K92" s="143"/>
      <c r="L92" s="143"/>
      <c r="M92" s="143"/>
      <c r="N92" s="143"/>
      <c r="O92" s="143"/>
      <c r="P92" s="143"/>
      <c r="Q92" s="143"/>
      <c r="R92" s="143"/>
      <c r="S92" s="143"/>
      <c r="T92" s="143"/>
      <c r="U92" s="143"/>
      <c r="V92" s="143"/>
      <c r="W92" s="143"/>
      <c r="X92" s="143"/>
      <c r="Y92" s="143"/>
      <c r="Z92" s="143"/>
      <c r="AA92" s="146"/>
      <c r="AB92" s="146"/>
      <c r="AC92" s="146"/>
      <c r="AD92" s="146"/>
      <c r="AE92" s="146"/>
    </row>
    <row r="93">
      <c r="A93" s="9" t="s">
        <v>7431</v>
      </c>
      <c r="B93" s="9" t="s">
        <v>7432</v>
      </c>
      <c r="C93" s="9" t="s">
        <v>7433</v>
      </c>
      <c r="D93" s="9" t="s">
        <v>7434</v>
      </c>
      <c r="E93" s="9" t="s">
        <v>7435</v>
      </c>
      <c r="F93" s="143"/>
      <c r="G93" s="143"/>
      <c r="H93" s="143"/>
      <c r="I93" s="143"/>
      <c r="J93" s="143"/>
      <c r="K93" s="143"/>
      <c r="L93" s="143"/>
      <c r="M93" s="143"/>
      <c r="N93" s="143"/>
      <c r="O93" s="143"/>
      <c r="P93" s="143"/>
      <c r="Q93" s="143"/>
      <c r="R93" s="143"/>
      <c r="S93" s="143"/>
      <c r="T93" s="143"/>
      <c r="U93" s="143"/>
      <c r="V93" s="143"/>
      <c r="W93" s="143"/>
      <c r="X93" s="143"/>
      <c r="Y93" s="143"/>
      <c r="Z93" s="143"/>
      <c r="AA93" s="146"/>
      <c r="AB93" s="146"/>
      <c r="AC93" s="146"/>
      <c r="AD93" s="146"/>
      <c r="AE93" s="146"/>
    </row>
    <row r="94">
      <c r="A94" s="9" t="s">
        <v>7436</v>
      </c>
      <c r="B94" s="9" t="s">
        <v>7437</v>
      </c>
      <c r="C94" s="9" t="s">
        <v>7438</v>
      </c>
      <c r="D94" s="9" t="s">
        <v>7439</v>
      </c>
      <c r="E94" s="9" t="s">
        <v>7435</v>
      </c>
      <c r="F94" s="143"/>
      <c r="G94" s="143"/>
      <c r="H94" s="143"/>
      <c r="I94" s="143"/>
      <c r="J94" s="143"/>
      <c r="K94" s="143"/>
      <c r="L94" s="143"/>
      <c r="M94" s="143"/>
      <c r="N94" s="143"/>
      <c r="O94" s="143"/>
      <c r="P94" s="143"/>
      <c r="Q94" s="143"/>
      <c r="R94" s="143"/>
      <c r="S94" s="143"/>
      <c r="T94" s="143"/>
      <c r="U94" s="143"/>
      <c r="V94" s="143"/>
      <c r="W94" s="143"/>
      <c r="X94" s="143"/>
      <c r="Y94" s="143"/>
      <c r="Z94" s="143"/>
      <c r="AA94" s="143"/>
      <c r="AB94" s="143"/>
      <c r="AC94" s="143"/>
      <c r="AD94" s="143"/>
      <c r="AE94" s="143"/>
    </row>
    <row r="95">
      <c r="A95" s="9" t="s">
        <v>7440</v>
      </c>
      <c r="B95" s="9" t="s">
        <v>7441</v>
      </c>
      <c r="C95" s="9" t="s">
        <v>7442</v>
      </c>
      <c r="D95" s="9" t="s">
        <v>7443</v>
      </c>
      <c r="E95" s="9" t="s">
        <v>7435</v>
      </c>
      <c r="F95" s="143"/>
      <c r="G95" s="143"/>
      <c r="H95" s="143"/>
      <c r="I95" s="143"/>
      <c r="J95" s="143"/>
      <c r="K95" s="143"/>
      <c r="L95" s="143"/>
      <c r="M95" s="143"/>
      <c r="N95" s="143"/>
      <c r="O95" s="143"/>
      <c r="P95" s="143"/>
      <c r="Q95" s="143"/>
      <c r="R95" s="143"/>
      <c r="S95" s="143"/>
      <c r="T95" s="143"/>
      <c r="U95" s="143"/>
      <c r="V95" s="143"/>
      <c r="W95" s="143"/>
      <c r="X95" s="143"/>
      <c r="Y95" s="143"/>
      <c r="Z95" s="143"/>
      <c r="AA95" s="146"/>
      <c r="AB95" s="146"/>
      <c r="AC95" s="146"/>
      <c r="AD95" s="146"/>
      <c r="AE95" s="146"/>
    </row>
    <row r="96">
      <c r="A96" s="9" t="s">
        <v>7444</v>
      </c>
      <c r="B96" s="9" t="s">
        <v>7445</v>
      </c>
      <c r="C96" s="9" t="s">
        <v>7446</v>
      </c>
      <c r="D96" s="9" t="s">
        <v>7447</v>
      </c>
      <c r="E96" s="9" t="s">
        <v>7435</v>
      </c>
      <c r="F96" s="143"/>
      <c r="G96" s="143"/>
      <c r="H96" s="143"/>
      <c r="I96" s="143"/>
      <c r="J96" s="143"/>
      <c r="K96" s="143"/>
      <c r="L96" s="143"/>
      <c r="M96" s="143"/>
      <c r="N96" s="143"/>
      <c r="O96" s="143"/>
      <c r="P96" s="143"/>
      <c r="Q96" s="143"/>
      <c r="R96" s="143"/>
      <c r="S96" s="143"/>
      <c r="T96" s="143"/>
      <c r="U96" s="143"/>
      <c r="V96" s="143"/>
      <c r="W96" s="143"/>
      <c r="X96" s="143"/>
      <c r="Y96" s="143"/>
      <c r="Z96" s="143"/>
      <c r="AA96" s="143"/>
      <c r="AB96" s="143"/>
      <c r="AC96" s="143"/>
      <c r="AD96" s="143"/>
      <c r="AE96" s="143"/>
    </row>
    <row r="97">
      <c r="A97" s="9" t="s">
        <v>7448</v>
      </c>
      <c r="B97" s="9" t="s">
        <v>7449</v>
      </c>
      <c r="C97" s="9" t="s">
        <v>7450</v>
      </c>
      <c r="D97" s="9" t="s">
        <v>7451</v>
      </c>
      <c r="E97" s="9" t="s">
        <v>7435</v>
      </c>
      <c r="F97" s="143"/>
      <c r="G97" s="143"/>
      <c r="H97" s="143"/>
      <c r="I97" s="143"/>
      <c r="J97" s="143"/>
      <c r="K97" s="143"/>
      <c r="L97" s="143"/>
      <c r="M97" s="143"/>
      <c r="N97" s="143"/>
      <c r="O97" s="143"/>
      <c r="P97" s="143"/>
      <c r="Q97" s="143"/>
      <c r="R97" s="143"/>
      <c r="S97" s="143"/>
      <c r="T97" s="143"/>
      <c r="U97" s="143"/>
      <c r="V97" s="143"/>
      <c r="W97" s="143"/>
      <c r="X97" s="143"/>
      <c r="Y97" s="143"/>
      <c r="Z97" s="143"/>
      <c r="AA97" s="143"/>
      <c r="AB97" s="143"/>
      <c r="AC97" s="143"/>
      <c r="AD97" s="143"/>
      <c r="AE97" s="143"/>
    </row>
    <row r="98">
      <c r="A98" s="9" t="s">
        <v>7452</v>
      </c>
      <c r="B98" s="9" t="s">
        <v>7453</v>
      </c>
      <c r="C98" s="9" t="s">
        <v>7454</v>
      </c>
      <c r="D98" s="9" t="s">
        <v>7455</v>
      </c>
      <c r="E98" s="9" t="s">
        <v>7456</v>
      </c>
      <c r="F98" s="143"/>
      <c r="G98" s="143"/>
      <c r="H98" s="143"/>
      <c r="I98" s="143"/>
      <c r="J98" s="143"/>
      <c r="K98" s="143"/>
      <c r="L98" s="143"/>
      <c r="M98" s="143"/>
      <c r="N98" s="143"/>
      <c r="O98" s="143"/>
      <c r="P98" s="143"/>
      <c r="Q98" s="143"/>
      <c r="R98" s="143"/>
      <c r="S98" s="143"/>
      <c r="T98" s="143"/>
      <c r="U98" s="143"/>
      <c r="V98" s="143"/>
      <c r="W98" s="143"/>
      <c r="X98" s="143"/>
      <c r="Y98" s="143"/>
      <c r="Z98" s="143"/>
      <c r="AA98" s="143"/>
      <c r="AB98" s="143"/>
      <c r="AC98" s="143"/>
      <c r="AD98" s="143"/>
      <c r="AE98" s="143"/>
    </row>
    <row r="99">
      <c r="A99" s="9" t="s">
        <v>7457</v>
      </c>
      <c r="B99" s="9" t="s">
        <v>7458</v>
      </c>
      <c r="C99" s="9" t="s">
        <v>7459</v>
      </c>
      <c r="D99" s="9" t="s">
        <v>7460</v>
      </c>
      <c r="E99" s="9" t="s">
        <v>7456</v>
      </c>
      <c r="F99" s="143"/>
      <c r="G99" s="143"/>
      <c r="H99" s="143"/>
      <c r="I99" s="143"/>
      <c r="J99" s="143"/>
      <c r="K99" s="143"/>
      <c r="L99" s="143"/>
      <c r="M99" s="143"/>
      <c r="N99" s="143"/>
      <c r="O99" s="143"/>
      <c r="P99" s="143"/>
      <c r="Q99" s="143"/>
      <c r="R99" s="143"/>
      <c r="S99" s="143"/>
      <c r="T99" s="143"/>
      <c r="U99" s="143"/>
      <c r="V99" s="143"/>
      <c r="W99" s="143"/>
      <c r="X99" s="143"/>
      <c r="Y99" s="143"/>
      <c r="Z99" s="143"/>
      <c r="AA99" s="143"/>
      <c r="AB99" s="143"/>
      <c r="AC99" s="143"/>
      <c r="AD99" s="143"/>
      <c r="AE99" s="143"/>
    </row>
    <row r="100">
      <c r="A100" s="9" t="s">
        <v>7461</v>
      </c>
      <c r="B100" s="9" t="s">
        <v>7462</v>
      </c>
      <c r="C100" s="9" t="s">
        <v>7463</v>
      </c>
      <c r="D100" s="9" t="s">
        <v>7464</v>
      </c>
      <c r="E100" s="9" t="s">
        <v>7456</v>
      </c>
      <c r="F100" s="143"/>
      <c r="G100" s="143"/>
      <c r="H100" s="143"/>
      <c r="I100" s="143"/>
      <c r="J100" s="143"/>
      <c r="K100" s="143"/>
      <c r="L100" s="143"/>
      <c r="M100" s="143"/>
      <c r="N100" s="143"/>
      <c r="O100" s="143"/>
      <c r="P100" s="143"/>
      <c r="Q100" s="143"/>
      <c r="R100" s="143"/>
      <c r="S100" s="143"/>
      <c r="T100" s="143"/>
      <c r="U100" s="143"/>
      <c r="V100" s="143"/>
      <c r="W100" s="143"/>
      <c r="X100" s="143"/>
      <c r="Y100" s="143"/>
      <c r="Z100" s="143"/>
      <c r="AA100" s="143"/>
      <c r="AB100" s="143"/>
      <c r="AC100" s="143"/>
      <c r="AD100" s="143"/>
      <c r="AE100" s="143"/>
    </row>
    <row r="101">
      <c r="A101" s="9" t="s">
        <v>7465</v>
      </c>
      <c r="B101" s="9" t="s">
        <v>7466</v>
      </c>
      <c r="C101" s="9" t="s">
        <v>7467</v>
      </c>
      <c r="D101" s="9" t="s">
        <v>7468</v>
      </c>
      <c r="E101" s="9" t="s">
        <v>7456</v>
      </c>
      <c r="F101" s="143"/>
      <c r="G101" s="143"/>
      <c r="H101" s="143"/>
      <c r="I101" s="143"/>
      <c r="J101" s="143"/>
      <c r="K101" s="143"/>
      <c r="L101" s="143"/>
      <c r="M101" s="143"/>
      <c r="N101" s="143"/>
      <c r="O101" s="143"/>
      <c r="P101" s="143"/>
      <c r="Q101" s="143"/>
      <c r="R101" s="143"/>
      <c r="S101" s="143"/>
      <c r="T101" s="143"/>
      <c r="U101" s="143"/>
      <c r="V101" s="143"/>
      <c r="W101" s="143"/>
      <c r="X101" s="143"/>
      <c r="Y101" s="143"/>
      <c r="Z101" s="143"/>
      <c r="AA101" s="143"/>
      <c r="AB101" s="143"/>
      <c r="AC101" s="143"/>
      <c r="AD101" s="143"/>
      <c r="AE101" s="143"/>
    </row>
    <row r="102">
      <c r="A102" s="9" t="s">
        <v>7469</v>
      </c>
      <c r="B102" s="9" t="s">
        <v>7470</v>
      </c>
      <c r="C102" s="9" t="s">
        <v>7471</v>
      </c>
      <c r="D102" s="9" t="s">
        <v>7472</v>
      </c>
      <c r="E102" s="9" t="s">
        <v>7456</v>
      </c>
      <c r="F102" s="143"/>
      <c r="G102" s="143"/>
      <c r="H102" s="143"/>
      <c r="I102" s="143"/>
      <c r="J102" s="143"/>
      <c r="K102" s="143"/>
      <c r="L102" s="143"/>
      <c r="M102" s="143"/>
      <c r="N102" s="143"/>
      <c r="O102" s="143"/>
      <c r="P102" s="143"/>
      <c r="Q102" s="143"/>
      <c r="R102" s="143"/>
      <c r="S102" s="143"/>
      <c r="T102" s="143"/>
      <c r="U102" s="143"/>
      <c r="V102" s="143"/>
      <c r="W102" s="143"/>
      <c r="X102" s="143"/>
      <c r="Y102" s="143"/>
      <c r="Z102" s="143"/>
      <c r="AA102" s="143"/>
      <c r="AB102" s="143"/>
      <c r="AC102" s="143"/>
      <c r="AD102" s="143"/>
      <c r="AE102" s="143"/>
    </row>
    <row r="103">
      <c r="A103" s="9" t="s">
        <v>7473</v>
      </c>
      <c r="B103" s="9" t="s">
        <v>7474</v>
      </c>
      <c r="C103" s="9" t="s">
        <v>7475</v>
      </c>
      <c r="D103" s="9" t="s">
        <v>7476</v>
      </c>
      <c r="E103" s="9" t="s">
        <v>7456</v>
      </c>
      <c r="F103" s="143"/>
      <c r="G103" s="143"/>
      <c r="H103" s="143"/>
      <c r="I103" s="143"/>
      <c r="J103" s="143"/>
      <c r="K103" s="143"/>
      <c r="L103" s="143"/>
      <c r="M103" s="143"/>
      <c r="N103" s="143"/>
      <c r="O103" s="143"/>
      <c r="P103" s="143"/>
      <c r="Q103" s="143"/>
      <c r="R103" s="143"/>
      <c r="S103" s="143"/>
      <c r="T103" s="143"/>
      <c r="U103" s="143"/>
      <c r="V103" s="143"/>
      <c r="W103" s="143"/>
      <c r="X103" s="143"/>
      <c r="Y103" s="143"/>
      <c r="Z103" s="143"/>
      <c r="AA103" s="143"/>
      <c r="AB103" s="143"/>
      <c r="AC103" s="143"/>
      <c r="AD103" s="143"/>
      <c r="AE103" s="143"/>
    </row>
    <row r="104">
      <c r="A104" s="17" t="s">
        <v>7477</v>
      </c>
      <c r="B104" s="17" t="s">
        <v>7478</v>
      </c>
      <c r="C104" s="17" t="s">
        <v>7479</v>
      </c>
      <c r="D104" s="9" t="s">
        <v>7480</v>
      </c>
      <c r="E104" s="17" t="s">
        <v>800</v>
      </c>
      <c r="F104" s="143"/>
      <c r="G104" s="143"/>
      <c r="H104" s="143"/>
      <c r="I104" s="143"/>
      <c r="J104" s="143"/>
      <c r="K104" s="143"/>
      <c r="L104" s="143"/>
      <c r="M104" s="143"/>
      <c r="N104" s="143"/>
      <c r="O104" s="143"/>
      <c r="P104" s="143"/>
      <c r="Q104" s="143"/>
      <c r="R104" s="143"/>
      <c r="S104" s="143"/>
      <c r="T104" s="143"/>
      <c r="U104" s="143"/>
      <c r="V104" s="143"/>
      <c r="W104" s="143"/>
      <c r="X104" s="143"/>
      <c r="Y104" s="143"/>
      <c r="Z104" s="143"/>
      <c r="AA104" s="143"/>
      <c r="AB104" s="143"/>
      <c r="AC104" s="143"/>
      <c r="AD104" s="143"/>
      <c r="AE104" s="143"/>
    </row>
    <row r="105">
      <c r="A105" s="17" t="s">
        <v>7481</v>
      </c>
      <c r="B105" s="17" t="s">
        <v>7482</v>
      </c>
      <c r="C105" s="17" t="s">
        <v>7483</v>
      </c>
      <c r="D105" s="9" t="s">
        <v>7484</v>
      </c>
      <c r="E105" s="17" t="s">
        <v>800</v>
      </c>
      <c r="F105" s="143"/>
      <c r="G105" s="143"/>
      <c r="H105" s="143"/>
      <c r="I105" s="143"/>
      <c r="J105" s="143"/>
      <c r="K105" s="143"/>
      <c r="L105" s="143"/>
      <c r="M105" s="143"/>
      <c r="N105" s="143"/>
      <c r="O105" s="143"/>
      <c r="P105" s="143"/>
      <c r="Q105" s="143"/>
      <c r="R105" s="143"/>
      <c r="S105" s="143"/>
      <c r="T105" s="143"/>
      <c r="U105" s="143"/>
      <c r="V105" s="143"/>
      <c r="W105" s="143"/>
      <c r="X105" s="143"/>
      <c r="Y105" s="143"/>
      <c r="Z105" s="143"/>
      <c r="AA105" s="143"/>
      <c r="AB105" s="143"/>
      <c r="AC105" s="143"/>
      <c r="AD105" s="143"/>
      <c r="AE105" s="143"/>
    </row>
    <row r="106">
      <c r="A106" s="17" t="s">
        <v>7485</v>
      </c>
      <c r="B106" s="17" t="s">
        <v>7486</v>
      </c>
      <c r="C106" s="17" t="s">
        <v>7487</v>
      </c>
      <c r="D106" s="9" t="s">
        <v>7488</v>
      </c>
      <c r="E106" s="17" t="s">
        <v>800</v>
      </c>
      <c r="F106" s="143"/>
      <c r="G106" s="143"/>
      <c r="H106" s="143"/>
      <c r="I106" s="143"/>
      <c r="J106" s="143"/>
      <c r="K106" s="143"/>
      <c r="L106" s="143"/>
      <c r="M106" s="143"/>
      <c r="N106" s="143"/>
      <c r="O106" s="143"/>
      <c r="P106" s="143"/>
      <c r="Q106" s="143"/>
      <c r="R106" s="143"/>
      <c r="S106" s="143"/>
      <c r="T106" s="143"/>
      <c r="U106" s="143"/>
      <c r="V106" s="143"/>
      <c r="W106" s="143"/>
      <c r="X106" s="143"/>
      <c r="Y106" s="143"/>
      <c r="Z106" s="143"/>
      <c r="AA106" s="143"/>
      <c r="AB106" s="143"/>
      <c r="AC106" s="143"/>
      <c r="AD106" s="143"/>
      <c r="AE106" s="143"/>
    </row>
    <row r="107">
      <c r="A107" s="17" t="s">
        <v>7489</v>
      </c>
      <c r="B107" s="17" t="s">
        <v>7490</v>
      </c>
      <c r="C107" s="17" t="s">
        <v>7491</v>
      </c>
      <c r="D107" s="9" t="s">
        <v>7492</v>
      </c>
      <c r="E107" s="17" t="s">
        <v>800</v>
      </c>
      <c r="F107" s="143"/>
      <c r="G107" s="143"/>
      <c r="H107" s="143"/>
      <c r="I107" s="143"/>
      <c r="J107" s="143"/>
      <c r="K107" s="143"/>
      <c r="L107" s="143"/>
      <c r="M107" s="143"/>
      <c r="N107" s="143"/>
      <c r="O107" s="143"/>
      <c r="P107" s="143"/>
      <c r="Q107" s="143"/>
      <c r="R107" s="143"/>
      <c r="S107" s="143"/>
      <c r="T107" s="143"/>
      <c r="U107" s="143"/>
      <c r="V107" s="143"/>
      <c r="W107" s="143"/>
      <c r="X107" s="143"/>
      <c r="Y107" s="143"/>
      <c r="Z107" s="143"/>
      <c r="AA107" s="143"/>
      <c r="AB107" s="143"/>
      <c r="AC107" s="143"/>
      <c r="AD107" s="143"/>
      <c r="AE107" s="143"/>
    </row>
    <row r="108">
      <c r="A108" s="17" t="s">
        <v>7493</v>
      </c>
      <c r="B108" s="17" t="s">
        <v>7494</v>
      </c>
      <c r="C108" s="17" t="s">
        <v>7495</v>
      </c>
      <c r="D108" s="9" t="s">
        <v>7496</v>
      </c>
      <c r="E108" s="17" t="s">
        <v>800</v>
      </c>
      <c r="F108" s="143"/>
      <c r="G108" s="143"/>
      <c r="H108" s="143"/>
      <c r="I108" s="143"/>
      <c r="J108" s="143"/>
      <c r="K108" s="143"/>
      <c r="L108" s="143"/>
      <c r="M108" s="143"/>
      <c r="N108" s="143"/>
      <c r="O108" s="143"/>
      <c r="P108" s="143"/>
      <c r="Q108" s="143"/>
      <c r="R108" s="143"/>
      <c r="S108" s="143"/>
      <c r="T108" s="143"/>
      <c r="U108" s="143"/>
      <c r="V108" s="143"/>
      <c r="W108" s="143"/>
      <c r="X108" s="143"/>
      <c r="Y108" s="143"/>
      <c r="Z108" s="143"/>
      <c r="AA108" s="143"/>
      <c r="AB108" s="143"/>
      <c r="AC108" s="143"/>
      <c r="AD108" s="143"/>
      <c r="AE108" s="143"/>
    </row>
    <row r="109">
      <c r="A109" s="9" t="s">
        <v>7497</v>
      </c>
      <c r="B109" s="9" t="s">
        <v>7498</v>
      </c>
      <c r="C109" s="9" t="s">
        <v>7499</v>
      </c>
      <c r="D109" s="9" t="s">
        <v>7500</v>
      </c>
      <c r="E109" s="9" t="s">
        <v>419</v>
      </c>
      <c r="F109" s="143"/>
      <c r="G109" s="143"/>
      <c r="H109" s="143"/>
      <c r="I109" s="143"/>
      <c r="J109" s="143"/>
      <c r="K109" s="143"/>
      <c r="L109" s="143"/>
      <c r="M109" s="143"/>
      <c r="N109" s="143"/>
      <c r="O109" s="143"/>
      <c r="P109" s="143"/>
      <c r="Q109" s="143"/>
      <c r="R109" s="143"/>
      <c r="S109" s="143"/>
      <c r="T109" s="143"/>
      <c r="U109" s="143"/>
      <c r="V109" s="143"/>
      <c r="W109" s="143"/>
      <c r="X109" s="143"/>
      <c r="Y109" s="143"/>
      <c r="Z109" s="143"/>
      <c r="AA109" s="143"/>
      <c r="AB109" s="143"/>
      <c r="AC109" s="143"/>
      <c r="AD109" s="143"/>
      <c r="AE109" s="143"/>
    </row>
    <row r="110">
      <c r="A110" s="9" t="s">
        <v>7501</v>
      </c>
      <c r="B110" s="9" t="s">
        <v>7502</v>
      </c>
      <c r="C110" s="9" t="s">
        <v>7503</v>
      </c>
      <c r="D110" s="9" t="s">
        <v>7504</v>
      </c>
      <c r="E110" s="9" t="s">
        <v>419</v>
      </c>
      <c r="F110" s="143"/>
      <c r="G110" s="143"/>
      <c r="H110" s="143"/>
      <c r="I110" s="143"/>
      <c r="J110" s="143"/>
      <c r="K110" s="143"/>
      <c r="L110" s="143"/>
      <c r="M110" s="143"/>
      <c r="N110" s="143"/>
      <c r="O110" s="143"/>
      <c r="P110" s="143"/>
      <c r="Q110" s="143"/>
      <c r="R110" s="143"/>
      <c r="S110" s="143"/>
      <c r="T110" s="143"/>
      <c r="U110" s="143"/>
      <c r="V110" s="143"/>
      <c r="W110" s="143"/>
      <c r="X110" s="143"/>
      <c r="Y110" s="143"/>
      <c r="Z110" s="143"/>
      <c r="AA110" s="143"/>
      <c r="AB110" s="143"/>
      <c r="AC110" s="143"/>
      <c r="AD110" s="143"/>
      <c r="AE110" s="143"/>
    </row>
    <row r="111">
      <c r="A111" s="9" t="s">
        <v>7505</v>
      </c>
      <c r="B111" s="9" t="s">
        <v>7506</v>
      </c>
      <c r="C111" s="9" t="s">
        <v>7507</v>
      </c>
      <c r="D111" s="9" t="s">
        <v>7508</v>
      </c>
      <c r="E111" s="9" t="s">
        <v>419</v>
      </c>
      <c r="F111" s="143"/>
      <c r="G111" s="143"/>
      <c r="H111" s="143"/>
      <c r="I111" s="143"/>
      <c r="J111" s="143"/>
      <c r="K111" s="143"/>
      <c r="L111" s="143"/>
      <c r="M111" s="143"/>
      <c r="N111" s="143"/>
      <c r="O111" s="143"/>
      <c r="P111" s="143"/>
      <c r="Q111" s="143"/>
      <c r="R111" s="143"/>
      <c r="S111" s="143"/>
      <c r="T111" s="143"/>
      <c r="U111" s="143"/>
      <c r="V111" s="143"/>
      <c r="W111" s="143"/>
      <c r="X111" s="143"/>
      <c r="Y111" s="143"/>
      <c r="Z111" s="143"/>
      <c r="AA111" s="143"/>
      <c r="AB111" s="143"/>
      <c r="AC111" s="143"/>
      <c r="AD111" s="143"/>
      <c r="AE111" s="143"/>
    </row>
    <row r="112">
      <c r="A112" s="9" t="s">
        <v>7509</v>
      </c>
      <c r="B112" s="9" t="s">
        <v>7510</v>
      </c>
      <c r="C112" s="9" t="s">
        <v>7511</v>
      </c>
      <c r="D112" s="9" t="s">
        <v>7512</v>
      </c>
      <c r="E112" s="9" t="s">
        <v>419</v>
      </c>
      <c r="F112" s="143"/>
      <c r="G112" s="143"/>
      <c r="H112" s="143"/>
      <c r="I112" s="143"/>
      <c r="J112" s="143"/>
      <c r="K112" s="143"/>
      <c r="L112" s="143"/>
      <c r="M112" s="143"/>
      <c r="N112" s="143"/>
      <c r="O112" s="143"/>
      <c r="P112" s="143"/>
      <c r="Q112" s="143"/>
      <c r="R112" s="143"/>
      <c r="S112" s="143"/>
      <c r="T112" s="143"/>
      <c r="U112" s="143"/>
      <c r="V112" s="143"/>
      <c r="W112" s="143"/>
      <c r="X112" s="143"/>
      <c r="Y112" s="143"/>
      <c r="Z112" s="143"/>
      <c r="AA112" s="143"/>
      <c r="AB112" s="143"/>
      <c r="AC112" s="143"/>
      <c r="AD112" s="143"/>
      <c r="AE112" s="143"/>
    </row>
    <row r="113">
      <c r="A113" s="9" t="s">
        <v>7513</v>
      </c>
      <c r="B113" s="9" t="s">
        <v>7514</v>
      </c>
      <c r="C113" s="9" t="s">
        <v>7515</v>
      </c>
      <c r="D113" s="9" t="s">
        <v>7516</v>
      </c>
      <c r="E113" s="9" t="s">
        <v>419</v>
      </c>
      <c r="F113" s="143"/>
      <c r="G113" s="143"/>
      <c r="H113" s="143"/>
      <c r="I113" s="143"/>
      <c r="J113" s="143"/>
      <c r="K113" s="143"/>
      <c r="L113" s="143"/>
      <c r="M113" s="143"/>
      <c r="N113" s="143"/>
      <c r="O113" s="143"/>
      <c r="P113" s="143"/>
      <c r="Q113" s="143"/>
      <c r="R113" s="143"/>
      <c r="S113" s="143"/>
      <c r="T113" s="143"/>
      <c r="U113" s="143"/>
      <c r="V113" s="143"/>
      <c r="W113" s="143"/>
      <c r="X113" s="143"/>
      <c r="Y113" s="143"/>
      <c r="Z113" s="143"/>
      <c r="AA113" s="143"/>
      <c r="AB113" s="143"/>
      <c r="AC113" s="143"/>
      <c r="AD113" s="143"/>
      <c r="AE113" s="143"/>
    </row>
    <row r="114">
      <c r="A114" s="9" t="s">
        <v>7517</v>
      </c>
      <c r="B114" s="9" t="s">
        <v>7518</v>
      </c>
      <c r="C114" s="9" t="s">
        <v>7519</v>
      </c>
      <c r="D114" s="29" t="s">
        <v>7520</v>
      </c>
      <c r="E114" s="9" t="s">
        <v>68</v>
      </c>
      <c r="F114" s="143"/>
      <c r="G114" s="143"/>
      <c r="H114" s="143"/>
      <c r="I114" s="143"/>
      <c r="J114" s="143"/>
      <c r="K114" s="143"/>
      <c r="L114" s="143"/>
      <c r="M114" s="143"/>
      <c r="N114" s="143"/>
      <c r="O114" s="143"/>
      <c r="P114" s="143"/>
      <c r="Q114" s="143"/>
      <c r="R114" s="143"/>
      <c r="S114" s="143"/>
      <c r="T114" s="143"/>
      <c r="U114" s="143"/>
      <c r="V114" s="143"/>
      <c r="W114" s="143"/>
      <c r="X114" s="143"/>
      <c r="Y114" s="143"/>
      <c r="Z114" s="143"/>
      <c r="AA114" s="143"/>
      <c r="AB114" s="143"/>
      <c r="AC114" s="143"/>
      <c r="AD114" s="143"/>
      <c r="AE114" s="143"/>
    </row>
    <row r="115">
      <c r="A115" s="9" t="s">
        <v>7521</v>
      </c>
      <c r="B115" s="9" t="s">
        <v>7522</v>
      </c>
      <c r="C115" s="9" t="s">
        <v>7523</v>
      </c>
      <c r="D115" s="29" t="s">
        <v>7524</v>
      </c>
      <c r="E115" s="9" t="s">
        <v>68</v>
      </c>
      <c r="F115" s="143"/>
      <c r="G115" s="143"/>
      <c r="H115" s="143"/>
      <c r="I115" s="143"/>
      <c r="J115" s="143"/>
      <c r="K115" s="143"/>
      <c r="L115" s="143"/>
      <c r="M115" s="143"/>
      <c r="N115" s="143"/>
      <c r="O115" s="143"/>
      <c r="P115" s="143"/>
      <c r="Q115" s="143"/>
      <c r="R115" s="143"/>
      <c r="S115" s="143"/>
      <c r="T115" s="143"/>
      <c r="U115" s="143"/>
      <c r="V115" s="143"/>
      <c r="W115" s="143"/>
      <c r="X115" s="143"/>
      <c r="Y115" s="143"/>
      <c r="Z115" s="143"/>
      <c r="AA115" s="143"/>
      <c r="AB115" s="143"/>
      <c r="AC115" s="143"/>
      <c r="AD115" s="143"/>
      <c r="AE115" s="143"/>
    </row>
    <row r="116">
      <c r="A116" s="9" t="s">
        <v>7525</v>
      </c>
      <c r="B116" s="9" t="s">
        <v>7526</v>
      </c>
      <c r="C116" s="9" t="s">
        <v>7527</v>
      </c>
      <c r="D116" s="29" t="s">
        <v>7528</v>
      </c>
      <c r="E116" s="9" t="s">
        <v>68</v>
      </c>
      <c r="F116" s="143"/>
      <c r="G116" s="143"/>
      <c r="H116" s="143"/>
      <c r="I116" s="143"/>
      <c r="J116" s="143"/>
      <c r="K116" s="143"/>
      <c r="L116" s="143"/>
      <c r="M116" s="143"/>
      <c r="N116" s="143"/>
      <c r="O116" s="143"/>
      <c r="P116" s="143"/>
      <c r="Q116" s="143"/>
      <c r="R116" s="143"/>
      <c r="S116" s="143"/>
      <c r="T116" s="143"/>
      <c r="U116" s="143"/>
      <c r="V116" s="143"/>
      <c r="W116" s="143"/>
      <c r="X116" s="143"/>
      <c r="Y116" s="143"/>
      <c r="Z116" s="143"/>
      <c r="AA116" s="143"/>
      <c r="AB116" s="143"/>
      <c r="AC116" s="143"/>
      <c r="AD116" s="143"/>
      <c r="AE116" s="143"/>
    </row>
    <row r="117">
      <c r="A117" s="9" t="s">
        <v>7529</v>
      </c>
      <c r="B117" s="9" t="s">
        <v>7530</v>
      </c>
      <c r="C117" s="9" t="s">
        <v>7531</v>
      </c>
      <c r="D117" s="29" t="s">
        <v>7532</v>
      </c>
      <c r="E117" s="9" t="s">
        <v>68</v>
      </c>
      <c r="F117" s="143"/>
      <c r="G117" s="143"/>
      <c r="H117" s="143"/>
      <c r="I117" s="143"/>
      <c r="J117" s="143"/>
      <c r="K117" s="143"/>
      <c r="L117" s="143"/>
      <c r="M117" s="143"/>
      <c r="N117" s="143"/>
      <c r="O117" s="143"/>
      <c r="P117" s="143"/>
      <c r="Q117" s="143"/>
      <c r="R117" s="143"/>
      <c r="S117" s="143"/>
      <c r="T117" s="143"/>
      <c r="U117" s="143"/>
      <c r="V117" s="143"/>
      <c r="W117" s="143"/>
      <c r="X117" s="143"/>
      <c r="Y117" s="143"/>
      <c r="Z117" s="143"/>
      <c r="AA117" s="143"/>
      <c r="AB117" s="143"/>
      <c r="AC117" s="143"/>
      <c r="AD117" s="143"/>
      <c r="AE117" s="143"/>
    </row>
    <row r="118">
      <c r="A118" s="9" t="s">
        <v>7533</v>
      </c>
      <c r="B118" s="9" t="s">
        <v>7534</v>
      </c>
      <c r="C118" s="9" t="s">
        <v>7535</v>
      </c>
      <c r="D118" s="29" t="s">
        <v>7536</v>
      </c>
      <c r="E118" s="9" t="s">
        <v>68</v>
      </c>
      <c r="F118" s="143"/>
      <c r="G118" s="143"/>
      <c r="H118" s="143"/>
      <c r="I118" s="143"/>
      <c r="J118" s="143"/>
      <c r="K118" s="143"/>
      <c r="L118" s="143"/>
      <c r="M118" s="143"/>
      <c r="N118" s="143"/>
      <c r="O118" s="143"/>
      <c r="P118" s="143"/>
      <c r="Q118" s="143"/>
      <c r="R118" s="143"/>
      <c r="S118" s="143"/>
      <c r="T118" s="143"/>
      <c r="U118" s="143"/>
      <c r="V118" s="143"/>
      <c r="W118" s="143"/>
      <c r="X118" s="143"/>
      <c r="Y118" s="143"/>
      <c r="Z118" s="143"/>
      <c r="AA118" s="143"/>
      <c r="AB118" s="143"/>
      <c r="AC118" s="143"/>
      <c r="AD118" s="143"/>
      <c r="AE118" s="143"/>
    </row>
    <row r="119">
      <c r="A119" s="9" t="s">
        <v>7537</v>
      </c>
      <c r="B119" s="9" t="s">
        <v>7538</v>
      </c>
      <c r="C119" s="9" t="s">
        <v>7539</v>
      </c>
      <c r="D119" s="29" t="s">
        <v>7540</v>
      </c>
      <c r="E119" s="9" t="s">
        <v>68</v>
      </c>
      <c r="F119" s="143"/>
      <c r="G119" s="143"/>
      <c r="H119" s="143"/>
      <c r="I119" s="143"/>
      <c r="J119" s="143"/>
      <c r="K119" s="143"/>
      <c r="L119" s="143"/>
      <c r="M119" s="143"/>
      <c r="N119" s="143"/>
      <c r="O119" s="143"/>
      <c r="P119" s="143"/>
      <c r="Q119" s="143"/>
      <c r="R119" s="143"/>
      <c r="S119" s="143"/>
      <c r="T119" s="143"/>
      <c r="U119" s="143"/>
      <c r="V119" s="143"/>
      <c r="W119" s="143"/>
      <c r="X119" s="143"/>
      <c r="Y119" s="143"/>
      <c r="Z119" s="143"/>
      <c r="AA119" s="143"/>
      <c r="AB119" s="143"/>
      <c r="AC119" s="143"/>
      <c r="AD119" s="143"/>
      <c r="AE119" s="143"/>
    </row>
    <row r="120">
      <c r="A120" s="9" t="s">
        <v>7541</v>
      </c>
      <c r="B120" s="9" t="s">
        <v>7542</v>
      </c>
      <c r="C120" s="9" t="s">
        <v>7543</v>
      </c>
      <c r="D120" s="29" t="s">
        <v>7544</v>
      </c>
      <c r="E120" s="9" t="s">
        <v>68</v>
      </c>
      <c r="F120" s="143"/>
      <c r="G120" s="143"/>
      <c r="H120" s="143"/>
      <c r="I120" s="143"/>
      <c r="J120" s="143"/>
      <c r="K120" s="143"/>
      <c r="L120" s="143"/>
      <c r="M120" s="143"/>
      <c r="N120" s="143"/>
      <c r="O120" s="143"/>
      <c r="P120" s="143"/>
      <c r="Q120" s="143"/>
      <c r="R120" s="143"/>
      <c r="S120" s="143"/>
      <c r="T120" s="143"/>
      <c r="U120" s="143"/>
      <c r="V120" s="143"/>
      <c r="W120" s="143"/>
      <c r="X120" s="143"/>
      <c r="Y120" s="143"/>
      <c r="Z120" s="143"/>
      <c r="AA120" s="143"/>
      <c r="AB120" s="143"/>
      <c r="AC120" s="143"/>
      <c r="AD120" s="143"/>
      <c r="AE120" s="143"/>
    </row>
    <row r="121">
      <c r="A121" s="9" t="s">
        <v>7545</v>
      </c>
      <c r="B121" s="9" t="s">
        <v>7546</v>
      </c>
      <c r="C121" s="9" t="s">
        <v>7547</v>
      </c>
      <c r="D121" s="29" t="s">
        <v>7548</v>
      </c>
      <c r="E121" s="9" t="s">
        <v>68</v>
      </c>
      <c r="F121" s="143"/>
      <c r="G121" s="143"/>
      <c r="H121" s="143"/>
      <c r="I121" s="143"/>
      <c r="J121" s="143"/>
      <c r="K121" s="143"/>
      <c r="L121" s="143"/>
      <c r="M121" s="143"/>
      <c r="N121" s="143"/>
      <c r="O121" s="143"/>
      <c r="P121" s="143"/>
      <c r="Q121" s="143"/>
      <c r="R121" s="143"/>
      <c r="S121" s="143"/>
      <c r="T121" s="143"/>
      <c r="U121" s="143"/>
      <c r="V121" s="143"/>
      <c r="W121" s="143"/>
      <c r="X121" s="143"/>
      <c r="Y121" s="143"/>
      <c r="Z121" s="143"/>
      <c r="AA121" s="143"/>
      <c r="AB121" s="143"/>
      <c r="AC121" s="143"/>
      <c r="AD121" s="143"/>
      <c r="AE121" s="143"/>
    </row>
    <row r="122">
      <c r="A122" s="17" t="s">
        <v>7549</v>
      </c>
      <c r="B122" s="17" t="s">
        <v>7550</v>
      </c>
      <c r="C122" s="17" t="s">
        <v>7551</v>
      </c>
      <c r="D122" s="12" t="s">
        <v>7552</v>
      </c>
      <c r="E122" s="9" t="s">
        <v>7553</v>
      </c>
      <c r="F122" s="143"/>
      <c r="G122" s="143"/>
      <c r="H122" s="143"/>
      <c r="I122" s="143"/>
      <c r="J122" s="143"/>
      <c r="K122" s="143"/>
      <c r="L122" s="143"/>
      <c r="M122" s="143"/>
      <c r="N122" s="143"/>
      <c r="O122" s="143"/>
      <c r="P122" s="143"/>
      <c r="Q122" s="143"/>
      <c r="R122" s="143"/>
      <c r="S122" s="143"/>
      <c r="T122" s="143"/>
      <c r="U122" s="143"/>
      <c r="V122" s="143"/>
      <c r="W122" s="143"/>
      <c r="X122" s="143"/>
      <c r="Y122" s="143"/>
      <c r="Z122" s="143"/>
      <c r="AA122" s="143"/>
      <c r="AB122" s="143"/>
      <c r="AC122" s="143"/>
      <c r="AD122" s="143"/>
      <c r="AE122" s="143"/>
    </row>
    <row r="123">
      <c r="A123" s="17" t="s">
        <v>7554</v>
      </c>
      <c r="B123" s="17" t="s">
        <v>7555</v>
      </c>
      <c r="C123" s="17" t="s">
        <v>7556</v>
      </c>
      <c r="D123" s="12" t="s">
        <v>7557</v>
      </c>
      <c r="E123" s="9" t="s">
        <v>7553</v>
      </c>
      <c r="F123" s="143"/>
      <c r="G123" s="143"/>
      <c r="H123" s="143"/>
      <c r="I123" s="143"/>
      <c r="J123" s="143"/>
      <c r="K123" s="143"/>
      <c r="L123" s="143"/>
      <c r="M123" s="143"/>
      <c r="N123" s="143"/>
      <c r="O123" s="143"/>
      <c r="P123" s="143"/>
      <c r="Q123" s="143"/>
      <c r="R123" s="143"/>
      <c r="S123" s="143"/>
      <c r="T123" s="143"/>
      <c r="U123" s="143"/>
      <c r="V123" s="143"/>
      <c r="W123" s="143"/>
      <c r="X123" s="143"/>
      <c r="Y123" s="143"/>
      <c r="Z123" s="143"/>
      <c r="AA123" s="143"/>
      <c r="AB123" s="143"/>
      <c r="AC123" s="143"/>
      <c r="AD123" s="143"/>
      <c r="AE123" s="143"/>
    </row>
    <row r="124">
      <c r="A124" s="17" t="s">
        <v>7558</v>
      </c>
      <c r="B124" s="17" t="s">
        <v>7559</v>
      </c>
      <c r="C124" s="17" t="s">
        <v>7560</v>
      </c>
      <c r="D124" s="20" t="s">
        <v>7561</v>
      </c>
      <c r="E124" s="9" t="s">
        <v>7553</v>
      </c>
      <c r="F124" s="143"/>
      <c r="G124" s="143"/>
      <c r="H124" s="143"/>
      <c r="I124" s="143"/>
      <c r="J124" s="143"/>
      <c r="K124" s="143"/>
      <c r="L124" s="143"/>
      <c r="M124" s="143"/>
      <c r="N124" s="143"/>
      <c r="O124" s="143"/>
      <c r="P124" s="143"/>
      <c r="Q124" s="143"/>
      <c r="R124" s="143"/>
      <c r="S124" s="143"/>
      <c r="T124" s="143"/>
      <c r="U124" s="143"/>
      <c r="V124" s="143"/>
      <c r="W124" s="143"/>
      <c r="X124" s="143"/>
      <c r="Y124" s="143"/>
      <c r="Z124" s="143"/>
      <c r="AA124" s="143"/>
      <c r="AB124" s="143"/>
      <c r="AC124" s="143"/>
      <c r="AD124" s="143"/>
      <c r="AE124" s="143"/>
    </row>
    <row r="125">
      <c r="A125" s="17" t="s">
        <v>7562</v>
      </c>
      <c r="B125" s="17" t="s">
        <v>7563</v>
      </c>
      <c r="C125" s="17" t="s">
        <v>7564</v>
      </c>
      <c r="D125" s="9" t="s">
        <v>7565</v>
      </c>
      <c r="E125" s="17" t="s">
        <v>7566</v>
      </c>
      <c r="F125" s="143"/>
      <c r="G125" s="143"/>
      <c r="H125" s="143"/>
      <c r="I125" s="143"/>
      <c r="J125" s="143"/>
      <c r="K125" s="143"/>
      <c r="L125" s="143"/>
      <c r="M125" s="143"/>
      <c r="N125" s="143"/>
      <c r="O125" s="143"/>
      <c r="P125" s="143"/>
      <c r="Q125" s="143"/>
      <c r="R125" s="143"/>
      <c r="S125" s="143"/>
      <c r="T125" s="143"/>
      <c r="U125" s="143"/>
      <c r="V125" s="143"/>
      <c r="W125" s="143"/>
      <c r="X125" s="143"/>
      <c r="Y125" s="143"/>
      <c r="Z125" s="143"/>
      <c r="AA125" s="143"/>
      <c r="AB125" s="143"/>
      <c r="AC125" s="143"/>
      <c r="AD125" s="143"/>
      <c r="AE125" s="143"/>
    </row>
    <row r="126">
      <c r="A126" s="17" t="s">
        <v>7567</v>
      </c>
      <c r="B126" s="17" t="s">
        <v>7568</v>
      </c>
      <c r="C126" s="17" t="s">
        <v>7569</v>
      </c>
      <c r="D126" s="9" t="s">
        <v>7570</v>
      </c>
      <c r="E126" s="17" t="s">
        <v>7566</v>
      </c>
      <c r="F126" s="143"/>
      <c r="G126" s="143"/>
      <c r="H126" s="143"/>
      <c r="I126" s="143"/>
      <c r="J126" s="143"/>
      <c r="K126" s="143"/>
      <c r="L126" s="143"/>
      <c r="M126" s="143"/>
      <c r="N126" s="143"/>
      <c r="O126" s="143"/>
      <c r="P126" s="143"/>
      <c r="Q126" s="143"/>
      <c r="R126" s="143"/>
      <c r="S126" s="143"/>
      <c r="T126" s="143"/>
      <c r="U126" s="143"/>
      <c r="V126" s="143"/>
      <c r="W126" s="143"/>
      <c r="X126" s="143"/>
      <c r="Y126" s="143"/>
      <c r="Z126" s="143"/>
      <c r="AA126" s="143"/>
      <c r="AB126" s="143"/>
      <c r="AC126" s="143"/>
      <c r="AD126" s="143"/>
      <c r="AE126" s="143"/>
    </row>
    <row r="127">
      <c r="A127" s="17" t="s">
        <v>7571</v>
      </c>
      <c r="B127" s="17" t="s">
        <v>7572</v>
      </c>
      <c r="C127" s="17" t="s">
        <v>7573</v>
      </c>
      <c r="D127" s="9" t="s">
        <v>7574</v>
      </c>
      <c r="E127" s="17" t="s">
        <v>7566</v>
      </c>
      <c r="F127" s="143"/>
      <c r="G127" s="143"/>
      <c r="H127" s="143"/>
      <c r="I127" s="143"/>
      <c r="J127" s="143"/>
      <c r="K127" s="143"/>
      <c r="L127" s="143"/>
      <c r="M127" s="143"/>
      <c r="N127" s="143"/>
      <c r="O127" s="143"/>
      <c r="P127" s="143"/>
      <c r="Q127" s="143"/>
      <c r="R127" s="143"/>
      <c r="S127" s="143"/>
      <c r="T127" s="143"/>
      <c r="U127" s="143"/>
      <c r="V127" s="143"/>
      <c r="W127" s="143"/>
      <c r="X127" s="143"/>
      <c r="Y127" s="143"/>
      <c r="Z127" s="143"/>
      <c r="AA127" s="143"/>
      <c r="AB127" s="143"/>
      <c r="AC127" s="143"/>
      <c r="AD127" s="143"/>
      <c r="AE127" s="143"/>
    </row>
    <row r="128">
      <c r="A128" s="17" t="s">
        <v>7575</v>
      </c>
      <c r="B128" s="17" t="s">
        <v>7576</v>
      </c>
      <c r="C128" s="17" t="s">
        <v>7577</v>
      </c>
      <c r="D128" s="9" t="s">
        <v>7578</v>
      </c>
      <c r="E128" s="17" t="s">
        <v>7566</v>
      </c>
      <c r="F128" s="143"/>
      <c r="G128" s="143"/>
      <c r="H128" s="143"/>
      <c r="I128" s="143"/>
      <c r="J128" s="143"/>
      <c r="K128" s="143"/>
      <c r="L128" s="143"/>
      <c r="M128" s="143"/>
      <c r="N128" s="143"/>
      <c r="O128" s="143"/>
      <c r="P128" s="143"/>
      <c r="Q128" s="143"/>
      <c r="R128" s="143"/>
      <c r="S128" s="143"/>
      <c r="T128" s="143"/>
      <c r="U128" s="143"/>
      <c r="V128" s="143"/>
      <c r="W128" s="143"/>
      <c r="X128" s="143"/>
      <c r="Y128" s="143"/>
      <c r="Z128" s="143"/>
      <c r="AA128" s="143"/>
      <c r="AB128" s="143"/>
      <c r="AC128" s="143"/>
      <c r="AD128" s="143"/>
      <c r="AE128" s="143"/>
    </row>
    <row r="129">
      <c r="A129" s="17" t="s">
        <v>7579</v>
      </c>
      <c r="B129" s="17" t="s">
        <v>7580</v>
      </c>
      <c r="C129" s="17" t="s">
        <v>7581</v>
      </c>
      <c r="D129" s="9" t="s">
        <v>7582</v>
      </c>
      <c r="E129" s="17" t="s">
        <v>7566</v>
      </c>
      <c r="F129" s="143"/>
      <c r="G129" s="143"/>
      <c r="H129" s="143"/>
      <c r="I129" s="143"/>
      <c r="J129" s="143"/>
      <c r="K129" s="143"/>
      <c r="L129" s="143"/>
      <c r="M129" s="143"/>
      <c r="N129" s="143"/>
      <c r="O129" s="143"/>
      <c r="P129" s="143"/>
      <c r="Q129" s="143"/>
      <c r="R129" s="143"/>
      <c r="S129" s="143"/>
      <c r="T129" s="143"/>
      <c r="U129" s="143"/>
      <c r="V129" s="143"/>
      <c r="W129" s="143"/>
      <c r="X129" s="143"/>
      <c r="Y129" s="143"/>
      <c r="Z129" s="143"/>
      <c r="AA129" s="143"/>
      <c r="AB129" s="143"/>
      <c r="AC129" s="143"/>
      <c r="AD129" s="143"/>
      <c r="AE129" s="143"/>
    </row>
    <row r="130">
      <c r="A130" s="17" t="s">
        <v>7583</v>
      </c>
      <c r="B130" s="17" t="s">
        <v>7584</v>
      </c>
      <c r="C130" s="17" t="s">
        <v>7585</v>
      </c>
      <c r="D130" s="9" t="s">
        <v>7586</v>
      </c>
      <c r="E130" s="17" t="s">
        <v>7566</v>
      </c>
      <c r="F130" s="143"/>
      <c r="G130" s="143"/>
      <c r="H130" s="143"/>
      <c r="I130" s="143"/>
      <c r="J130" s="143"/>
      <c r="K130" s="143"/>
      <c r="L130" s="143"/>
      <c r="M130" s="143"/>
      <c r="N130" s="143"/>
      <c r="O130" s="143"/>
      <c r="P130" s="143"/>
      <c r="Q130" s="143"/>
      <c r="R130" s="143"/>
      <c r="S130" s="143"/>
      <c r="T130" s="143"/>
      <c r="U130" s="143"/>
      <c r="V130" s="143"/>
      <c r="W130" s="143"/>
      <c r="X130" s="143"/>
      <c r="Y130" s="143"/>
      <c r="Z130" s="143"/>
      <c r="AA130" s="143"/>
      <c r="AB130" s="143"/>
      <c r="AC130" s="143"/>
      <c r="AD130" s="143"/>
      <c r="AE130" s="143"/>
    </row>
    <row r="131">
      <c r="A131" s="17" t="s">
        <v>7587</v>
      </c>
      <c r="B131" s="17" t="s">
        <v>7588</v>
      </c>
      <c r="C131" s="17" t="s">
        <v>7589</v>
      </c>
      <c r="D131" s="9" t="s">
        <v>7590</v>
      </c>
      <c r="E131" s="17" t="s">
        <v>320</v>
      </c>
      <c r="F131" s="143"/>
      <c r="G131" s="143"/>
      <c r="H131" s="143"/>
      <c r="I131" s="143"/>
      <c r="J131" s="143"/>
      <c r="K131" s="143"/>
      <c r="L131" s="143"/>
      <c r="M131" s="143"/>
      <c r="N131" s="143"/>
      <c r="O131" s="143"/>
      <c r="P131" s="143"/>
      <c r="Q131" s="143"/>
      <c r="R131" s="143"/>
      <c r="S131" s="143"/>
      <c r="T131" s="143"/>
      <c r="U131" s="143"/>
      <c r="V131" s="143"/>
      <c r="W131" s="143"/>
      <c r="X131" s="143"/>
      <c r="Y131" s="143"/>
      <c r="Z131" s="143"/>
      <c r="AA131" s="143"/>
      <c r="AB131" s="143"/>
      <c r="AC131" s="143"/>
      <c r="AD131" s="143"/>
      <c r="AE131" s="143"/>
    </row>
    <row r="132">
      <c r="A132" s="17" t="s">
        <v>7591</v>
      </c>
      <c r="B132" s="17" t="s">
        <v>7592</v>
      </c>
      <c r="C132" s="17" t="s">
        <v>7593</v>
      </c>
      <c r="D132" s="9" t="s">
        <v>7594</v>
      </c>
      <c r="E132" s="17" t="s">
        <v>320</v>
      </c>
      <c r="F132" s="143"/>
      <c r="G132" s="143"/>
      <c r="H132" s="143"/>
      <c r="I132" s="143"/>
      <c r="J132" s="143"/>
      <c r="K132" s="143"/>
      <c r="L132" s="143"/>
      <c r="M132" s="143"/>
      <c r="N132" s="143"/>
      <c r="O132" s="143"/>
      <c r="P132" s="143"/>
      <c r="Q132" s="143"/>
      <c r="R132" s="143"/>
      <c r="S132" s="143"/>
      <c r="T132" s="143"/>
      <c r="U132" s="143"/>
      <c r="V132" s="143"/>
      <c r="W132" s="143"/>
      <c r="X132" s="143"/>
      <c r="Y132" s="143"/>
      <c r="Z132" s="143"/>
      <c r="AA132" s="143"/>
      <c r="AB132" s="143"/>
      <c r="AC132" s="143"/>
      <c r="AD132" s="143"/>
      <c r="AE132" s="143"/>
    </row>
    <row r="133">
      <c r="A133" s="17" t="s">
        <v>7595</v>
      </c>
      <c r="B133" s="17" t="s">
        <v>7596</v>
      </c>
      <c r="C133" s="17" t="s">
        <v>7597</v>
      </c>
      <c r="D133" s="9" t="s">
        <v>7598</v>
      </c>
      <c r="E133" s="17" t="s">
        <v>320</v>
      </c>
      <c r="F133" s="143"/>
      <c r="G133" s="143"/>
      <c r="H133" s="143"/>
      <c r="I133" s="143"/>
      <c r="J133" s="143"/>
      <c r="K133" s="143"/>
      <c r="L133" s="143"/>
      <c r="M133" s="143"/>
      <c r="N133" s="143"/>
      <c r="O133" s="143"/>
      <c r="P133" s="143"/>
      <c r="Q133" s="143"/>
      <c r="R133" s="143"/>
      <c r="S133" s="143"/>
      <c r="T133" s="143"/>
      <c r="U133" s="143"/>
      <c r="V133" s="143"/>
      <c r="W133" s="143"/>
      <c r="X133" s="143"/>
      <c r="Y133" s="143"/>
      <c r="Z133" s="143"/>
      <c r="AA133" s="143"/>
      <c r="AB133" s="143"/>
      <c r="AC133" s="143"/>
      <c r="AD133" s="143"/>
      <c r="AE133" s="143"/>
    </row>
    <row r="134">
      <c r="A134" s="17" t="s">
        <v>7599</v>
      </c>
      <c r="B134" s="17" t="s">
        <v>7600</v>
      </c>
      <c r="C134" s="17" t="s">
        <v>7601</v>
      </c>
      <c r="D134" s="9" t="s">
        <v>7602</v>
      </c>
      <c r="E134" s="17" t="s">
        <v>1563</v>
      </c>
      <c r="F134" s="143"/>
      <c r="G134" s="143"/>
      <c r="H134" s="143"/>
      <c r="I134" s="143"/>
      <c r="J134" s="143"/>
      <c r="K134" s="143"/>
      <c r="L134" s="143"/>
      <c r="M134" s="143"/>
      <c r="N134" s="143"/>
      <c r="O134" s="143"/>
      <c r="P134" s="143"/>
      <c r="Q134" s="143"/>
      <c r="R134" s="143"/>
      <c r="S134" s="143"/>
      <c r="T134" s="143"/>
      <c r="U134" s="143"/>
      <c r="V134" s="143"/>
      <c r="W134" s="143"/>
      <c r="X134" s="143"/>
      <c r="Y134" s="143"/>
      <c r="Z134" s="143"/>
      <c r="AA134" s="143"/>
      <c r="AB134" s="143"/>
      <c r="AC134" s="143"/>
      <c r="AD134" s="143"/>
      <c r="AE134" s="143"/>
    </row>
    <row r="135">
      <c r="A135" s="17" t="s">
        <v>7603</v>
      </c>
      <c r="B135" s="17" t="s">
        <v>7604</v>
      </c>
      <c r="C135" s="17" t="s">
        <v>7605</v>
      </c>
      <c r="D135" s="9" t="s">
        <v>7606</v>
      </c>
      <c r="E135" s="17" t="s">
        <v>1563</v>
      </c>
      <c r="F135" s="143"/>
      <c r="G135" s="143"/>
      <c r="H135" s="143"/>
      <c r="I135" s="143"/>
      <c r="J135" s="143"/>
      <c r="K135" s="143"/>
      <c r="L135" s="143"/>
      <c r="M135" s="143"/>
      <c r="N135" s="143"/>
      <c r="O135" s="143"/>
      <c r="P135" s="143"/>
      <c r="Q135" s="143"/>
      <c r="R135" s="143"/>
      <c r="S135" s="143"/>
      <c r="T135" s="143"/>
      <c r="U135" s="143"/>
      <c r="V135" s="143"/>
      <c r="W135" s="143"/>
      <c r="X135" s="143"/>
      <c r="Y135" s="143"/>
      <c r="Z135" s="143"/>
      <c r="AA135" s="143"/>
      <c r="AB135" s="143"/>
      <c r="AC135" s="143"/>
      <c r="AD135" s="143"/>
      <c r="AE135" s="143"/>
    </row>
    <row r="136">
      <c r="A136" s="17" t="s">
        <v>7607</v>
      </c>
      <c r="B136" s="17" t="s">
        <v>7608</v>
      </c>
      <c r="C136" s="17" t="s">
        <v>7609</v>
      </c>
      <c r="D136" s="9" t="s">
        <v>7610</v>
      </c>
      <c r="E136" s="17" t="s">
        <v>1563</v>
      </c>
      <c r="F136" s="143"/>
      <c r="G136" s="143"/>
      <c r="H136" s="143"/>
      <c r="I136" s="143"/>
      <c r="J136" s="143"/>
      <c r="K136" s="143"/>
      <c r="L136" s="143"/>
      <c r="M136" s="143"/>
      <c r="N136" s="143"/>
      <c r="O136" s="143"/>
      <c r="P136" s="143"/>
      <c r="Q136" s="143"/>
      <c r="R136" s="143"/>
      <c r="S136" s="143"/>
      <c r="T136" s="143"/>
      <c r="U136" s="143"/>
      <c r="V136" s="143"/>
      <c r="W136" s="143"/>
      <c r="X136" s="143"/>
      <c r="Y136" s="143"/>
      <c r="Z136" s="143"/>
      <c r="AA136" s="143"/>
      <c r="AB136" s="143"/>
      <c r="AC136" s="143"/>
      <c r="AD136" s="143"/>
      <c r="AE136" s="143"/>
    </row>
    <row r="137">
      <c r="A137" s="9" t="s">
        <v>7611</v>
      </c>
      <c r="B137" s="9" t="s">
        <v>7612</v>
      </c>
      <c r="C137" s="9" t="s">
        <v>7613</v>
      </c>
      <c r="D137" s="9" t="s">
        <v>7614</v>
      </c>
      <c r="E137" s="9" t="s">
        <v>20</v>
      </c>
      <c r="F137" s="143"/>
      <c r="G137" s="143"/>
      <c r="H137" s="143"/>
      <c r="I137" s="143"/>
      <c r="J137" s="143"/>
      <c r="K137" s="143"/>
      <c r="L137" s="143"/>
      <c r="M137" s="143"/>
      <c r="N137" s="143"/>
      <c r="O137" s="143"/>
      <c r="P137" s="143"/>
      <c r="Q137" s="143"/>
      <c r="R137" s="143"/>
      <c r="S137" s="143"/>
      <c r="T137" s="143"/>
      <c r="U137" s="143"/>
      <c r="V137" s="143"/>
      <c r="W137" s="143"/>
      <c r="X137" s="143"/>
      <c r="Y137" s="143"/>
      <c r="Z137" s="143"/>
      <c r="AA137" s="143"/>
      <c r="AB137" s="143"/>
      <c r="AC137" s="143"/>
      <c r="AD137" s="143"/>
      <c r="AE137" s="143"/>
    </row>
    <row r="138">
      <c r="A138" s="9" t="s">
        <v>7615</v>
      </c>
      <c r="B138" s="9" t="s">
        <v>7616</v>
      </c>
      <c r="C138" s="9" t="s">
        <v>7617</v>
      </c>
      <c r="D138" s="9" t="s">
        <v>7618</v>
      </c>
      <c r="E138" s="9" t="s">
        <v>20</v>
      </c>
      <c r="F138" s="143"/>
      <c r="G138" s="143"/>
      <c r="H138" s="143"/>
      <c r="I138" s="143"/>
      <c r="J138" s="143"/>
      <c r="K138" s="143"/>
      <c r="L138" s="143"/>
      <c r="M138" s="143"/>
      <c r="N138" s="143"/>
      <c r="O138" s="143"/>
      <c r="P138" s="143"/>
      <c r="Q138" s="143"/>
      <c r="R138" s="143"/>
      <c r="S138" s="143"/>
      <c r="T138" s="143"/>
      <c r="U138" s="143"/>
      <c r="V138" s="143"/>
      <c r="W138" s="143"/>
      <c r="X138" s="143"/>
      <c r="Y138" s="143"/>
      <c r="Z138" s="143"/>
      <c r="AA138" s="143"/>
      <c r="AB138" s="143"/>
      <c r="AC138" s="143"/>
      <c r="AD138" s="143"/>
      <c r="AE138" s="143"/>
    </row>
    <row r="139">
      <c r="A139" s="9" t="s">
        <v>7611</v>
      </c>
      <c r="B139" s="9" t="s">
        <v>7612</v>
      </c>
      <c r="C139" s="9" t="s">
        <v>7613</v>
      </c>
      <c r="D139" s="9" t="s">
        <v>7619</v>
      </c>
      <c r="E139" s="9" t="s">
        <v>20</v>
      </c>
      <c r="F139" s="143"/>
      <c r="G139" s="143"/>
      <c r="H139" s="143"/>
      <c r="I139" s="143"/>
      <c r="J139" s="143"/>
      <c r="K139" s="143"/>
      <c r="L139" s="143"/>
      <c r="M139" s="143"/>
      <c r="N139" s="143"/>
      <c r="O139" s="143"/>
      <c r="P139" s="143"/>
      <c r="Q139" s="143"/>
      <c r="R139" s="143"/>
      <c r="S139" s="143"/>
      <c r="T139" s="143"/>
      <c r="U139" s="143"/>
      <c r="V139" s="143"/>
      <c r="W139" s="143"/>
      <c r="X139" s="143"/>
      <c r="Y139" s="143"/>
      <c r="Z139" s="143"/>
      <c r="AA139" s="143"/>
      <c r="AB139" s="143"/>
      <c r="AC139" s="143"/>
      <c r="AD139" s="143"/>
      <c r="AE139" s="143"/>
    </row>
    <row r="140">
      <c r="A140" s="9" t="s">
        <v>7615</v>
      </c>
      <c r="B140" s="9" t="s">
        <v>7616</v>
      </c>
      <c r="C140" s="9" t="s">
        <v>7617</v>
      </c>
      <c r="D140" s="9" t="s">
        <v>7618</v>
      </c>
      <c r="E140" s="9" t="s">
        <v>20</v>
      </c>
      <c r="F140" s="143"/>
      <c r="G140" s="143"/>
      <c r="H140" s="143"/>
      <c r="I140" s="143"/>
      <c r="J140" s="143"/>
      <c r="K140" s="143"/>
      <c r="L140" s="143"/>
      <c r="M140" s="143"/>
      <c r="N140" s="143"/>
      <c r="O140" s="143"/>
      <c r="P140" s="143"/>
      <c r="Q140" s="143"/>
      <c r="R140" s="143"/>
      <c r="S140" s="143"/>
      <c r="T140" s="143"/>
      <c r="U140" s="143"/>
      <c r="V140" s="143"/>
      <c r="W140" s="143"/>
      <c r="X140" s="143"/>
      <c r="Y140" s="143"/>
      <c r="Z140" s="143"/>
      <c r="AA140" s="143"/>
      <c r="AB140" s="143"/>
      <c r="AC140" s="143"/>
      <c r="AD140" s="143"/>
      <c r="AE140" s="143"/>
    </row>
    <row r="141">
      <c r="A141" s="9" t="s">
        <v>7620</v>
      </c>
      <c r="B141" s="9" t="s">
        <v>7621</v>
      </c>
      <c r="C141" s="9" t="s">
        <v>7622</v>
      </c>
      <c r="D141" s="9" t="s">
        <v>7623</v>
      </c>
      <c r="E141" s="9" t="s">
        <v>7624</v>
      </c>
      <c r="F141" s="143"/>
      <c r="G141" s="143"/>
      <c r="H141" s="143"/>
      <c r="I141" s="143"/>
      <c r="J141" s="143"/>
      <c r="K141" s="143"/>
      <c r="L141" s="143"/>
      <c r="M141" s="143"/>
      <c r="N141" s="143"/>
      <c r="O141" s="143"/>
      <c r="P141" s="143"/>
      <c r="Q141" s="143"/>
      <c r="R141" s="143"/>
      <c r="S141" s="143"/>
      <c r="T141" s="143"/>
      <c r="U141" s="143"/>
      <c r="V141" s="143"/>
      <c r="W141" s="143"/>
      <c r="X141" s="143"/>
      <c r="Y141" s="143"/>
      <c r="Z141" s="143"/>
      <c r="AA141" s="143"/>
      <c r="AB141" s="143"/>
      <c r="AC141" s="143"/>
      <c r="AD141" s="143"/>
      <c r="AE141" s="143"/>
    </row>
    <row r="142">
      <c r="A142" s="29" t="s">
        <v>7625</v>
      </c>
      <c r="B142" s="29" t="s">
        <v>7625</v>
      </c>
      <c r="C142" s="29" t="s">
        <v>7626</v>
      </c>
      <c r="D142" s="29" t="s">
        <v>7627</v>
      </c>
      <c r="E142" s="29" t="s">
        <v>1335</v>
      </c>
      <c r="F142" s="146"/>
      <c r="G142" s="146"/>
      <c r="H142" s="146"/>
      <c r="I142" s="146"/>
      <c r="J142" s="146"/>
      <c r="K142" s="146"/>
      <c r="L142" s="146"/>
      <c r="M142" s="146"/>
      <c r="N142" s="146"/>
      <c r="O142" s="146"/>
      <c r="P142" s="146"/>
      <c r="Q142" s="146"/>
      <c r="R142" s="146"/>
      <c r="S142" s="146"/>
      <c r="T142" s="146"/>
      <c r="U142" s="146"/>
      <c r="V142" s="146"/>
      <c r="W142" s="146"/>
      <c r="X142" s="146"/>
      <c r="Y142" s="146"/>
      <c r="Z142" s="146"/>
      <c r="AA142" s="146"/>
      <c r="AB142" s="146"/>
      <c r="AC142" s="146"/>
      <c r="AD142" s="146"/>
      <c r="AE142" s="146"/>
    </row>
    <row r="143">
      <c r="A143" s="29" t="s">
        <v>7628</v>
      </c>
      <c r="B143" s="29" t="s">
        <v>7629</v>
      </c>
      <c r="C143" s="29" t="s">
        <v>7630</v>
      </c>
      <c r="D143" s="29" t="s">
        <v>7631</v>
      </c>
      <c r="E143" s="29" t="s">
        <v>1335</v>
      </c>
      <c r="F143" s="146"/>
      <c r="G143" s="146"/>
      <c r="H143" s="146"/>
      <c r="I143" s="146"/>
      <c r="J143" s="146"/>
      <c r="K143" s="146"/>
      <c r="L143" s="146"/>
      <c r="M143" s="146"/>
      <c r="N143" s="146"/>
      <c r="O143" s="146"/>
      <c r="P143" s="146"/>
      <c r="Q143" s="146"/>
      <c r="R143" s="146"/>
      <c r="S143" s="146"/>
      <c r="T143" s="146"/>
      <c r="U143" s="146"/>
      <c r="V143" s="146"/>
      <c r="W143" s="146"/>
      <c r="X143" s="146"/>
      <c r="Y143" s="146"/>
      <c r="Z143" s="146"/>
      <c r="AA143" s="146"/>
      <c r="AB143" s="146"/>
      <c r="AC143" s="146"/>
      <c r="AD143" s="146"/>
      <c r="AE143" s="146"/>
    </row>
    <row r="144">
      <c r="A144" s="17" t="s">
        <v>7632</v>
      </c>
      <c r="B144" s="17" t="s">
        <v>7633</v>
      </c>
      <c r="C144" s="17" t="s">
        <v>7634</v>
      </c>
      <c r="D144" s="9" t="s">
        <v>7635</v>
      </c>
      <c r="E144" s="17" t="s">
        <v>7636</v>
      </c>
      <c r="F144" s="143"/>
      <c r="G144" s="143"/>
      <c r="H144" s="143"/>
      <c r="I144" s="143"/>
      <c r="J144" s="143"/>
      <c r="K144" s="143"/>
      <c r="L144" s="143"/>
      <c r="M144" s="143"/>
      <c r="N144" s="143"/>
      <c r="O144" s="143"/>
      <c r="P144" s="143"/>
      <c r="Q144" s="143"/>
      <c r="R144" s="143"/>
      <c r="S144" s="143"/>
      <c r="T144" s="143"/>
      <c r="U144" s="143"/>
      <c r="V144" s="143"/>
      <c r="W144" s="143"/>
      <c r="X144" s="143"/>
      <c r="Y144" s="143"/>
      <c r="Z144" s="143"/>
      <c r="AA144" s="143"/>
      <c r="AB144" s="143"/>
      <c r="AC144" s="143"/>
      <c r="AD144" s="143"/>
      <c r="AE144" s="143"/>
    </row>
    <row r="145">
      <c r="A145" s="17" t="s">
        <v>7637</v>
      </c>
      <c r="B145" s="17" t="s">
        <v>7638</v>
      </c>
      <c r="C145" s="17" t="s">
        <v>7639</v>
      </c>
      <c r="D145" s="9" t="s">
        <v>7640</v>
      </c>
      <c r="E145" s="17" t="s">
        <v>7636</v>
      </c>
      <c r="F145" s="143"/>
      <c r="G145" s="143"/>
      <c r="H145" s="143"/>
      <c r="I145" s="143"/>
      <c r="J145" s="143"/>
      <c r="K145" s="143"/>
      <c r="L145" s="143"/>
      <c r="M145" s="143"/>
      <c r="N145" s="143"/>
      <c r="O145" s="143"/>
      <c r="P145" s="143"/>
      <c r="Q145" s="143"/>
      <c r="R145" s="143"/>
      <c r="S145" s="143"/>
      <c r="T145" s="143"/>
      <c r="U145" s="143"/>
      <c r="V145" s="143"/>
      <c r="W145" s="143"/>
      <c r="X145" s="143"/>
      <c r="Y145" s="143"/>
      <c r="Z145" s="143"/>
      <c r="AA145" s="143"/>
      <c r="AB145" s="143"/>
      <c r="AC145" s="143"/>
      <c r="AD145" s="143"/>
      <c r="AE145" s="143"/>
    </row>
    <row r="146">
      <c r="A146" s="17" t="s">
        <v>7641</v>
      </c>
      <c r="B146" s="17" t="s">
        <v>7642</v>
      </c>
      <c r="C146" s="17" t="s">
        <v>7643</v>
      </c>
      <c r="D146" s="9" t="s">
        <v>7644</v>
      </c>
      <c r="E146" s="17" t="s">
        <v>7636</v>
      </c>
      <c r="F146" s="143"/>
      <c r="G146" s="143"/>
      <c r="H146" s="143"/>
      <c r="I146" s="143"/>
      <c r="J146" s="143"/>
      <c r="K146" s="143"/>
      <c r="L146" s="143"/>
      <c r="M146" s="143"/>
      <c r="N146" s="143"/>
      <c r="O146" s="143"/>
      <c r="P146" s="143"/>
      <c r="Q146" s="143"/>
      <c r="R146" s="143"/>
      <c r="S146" s="143"/>
      <c r="T146" s="143"/>
      <c r="U146" s="143"/>
      <c r="V146" s="143"/>
      <c r="W146" s="143"/>
      <c r="X146" s="143"/>
      <c r="Y146" s="143"/>
      <c r="Z146" s="143"/>
      <c r="AA146" s="143"/>
      <c r="AB146" s="143"/>
      <c r="AC146" s="143"/>
      <c r="AD146" s="143"/>
      <c r="AE146" s="143"/>
    </row>
    <row r="147">
      <c r="A147" s="29" t="s">
        <v>7645</v>
      </c>
      <c r="B147" s="29" t="s">
        <v>7646</v>
      </c>
      <c r="C147" s="29" t="s">
        <v>7647</v>
      </c>
      <c r="D147" s="29" t="s">
        <v>7648</v>
      </c>
      <c r="E147" s="29" t="s">
        <v>1335</v>
      </c>
      <c r="F147" s="146"/>
      <c r="G147" s="146"/>
      <c r="H147" s="146"/>
      <c r="I147" s="146"/>
      <c r="J147" s="146"/>
      <c r="K147" s="146"/>
      <c r="L147" s="146"/>
      <c r="M147" s="146"/>
      <c r="N147" s="146"/>
      <c r="O147" s="146"/>
      <c r="P147" s="146"/>
      <c r="Q147" s="146"/>
      <c r="R147" s="146"/>
      <c r="S147" s="146"/>
      <c r="T147" s="146"/>
      <c r="U147" s="146"/>
      <c r="V147" s="146"/>
      <c r="W147" s="146"/>
      <c r="X147" s="146"/>
      <c r="Y147" s="146"/>
      <c r="Z147" s="146"/>
      <c r="AA147" s="146"/>
      <c r="AB147" s="146"/>
      <c r="AC147" s="146"/>
      <c r="AD147" s="146"/>
      <c r="AE147" s="146"/>
    </row>
    <row r="148">
      <c r="A148" s="29" t="s">
        <v>7649</v>
      </c>
      <c r="B148" s="29" t="s">
        <v>7650</v>
      </c>
      <c r="C148" s="29" t="s">
        <v>7651</v>
      </c>
      <c r="D148" s="29" t="s">
        <v>7652</v>
      </c>
      <c r="E148" s="29" t="s">
        <v>1335</v>
      </c>
      <c r="F148" s="146"/>
      <c r="G148" s="146"/>
      <c r="H148" s="146"/>
      <c r="I148" s="146"/>
      <c r="J148" s="146"/>
      <c r="K148" s="146"/>
      <c r="L148" s="146"/>
      <c r="M148" s="146"/>
      <c r="N148" s="146"/>
      <c r="O148" s="146"/>
      <c r="P148" s="146"/>
      <c r="Q148" s="146"/>
      <c r="R148" s="146"/>
      <c r="S148" s="146"/>
      <c r="T148" s="146"/>
      <c r="U148" s="146"/>
      <c r="V148" s="146"/>
      <c r="W148" s="146"/>
      <c r="X148" s="146"/>
      <c r="Y148" s="146"/>
      <c r="Z148" s="146"/>
      <c r="AA148" s="146"/>
      <c r="AB148" s="146"/>
      <c r="AC148" s="146"/>
      <c r="AD148" s="146"/>
      <c r="AE148" s="146"/>
    </row>
    <row r="149">
      <c r="A149" s="29" t="s">
        <v>7653</v>
      </c>
      <c r="B149" s="29" t="s">
        <v>7654</v>
      </c>
      <c r="C149" s="29" t="s">
        <v>7655</v>
      </c>
      <c r="D149" s="29" t="s">
        <v>7656</v>
      </c>
      <c r="E149" s="29" t="s">
        <v>1335</v>
      </c>
      <c r="F149" s="146"/>
      <c r="G149" s="146"/>
      <c r="H149" s="146"/>
      <c r="I149" s="146"/>
      <c r="J149" s="146"/>
      <c r="K149" s="146"/>
      <c r="L149" s="146"/>
      <c r="M149" s="146"/>
      <c r="N149" s="146"/>
      <c r="O149" s="146"/>
      <c r="P149" s="146"/>
      <c r="Q149" s="146"/>
      <c r="R149" s="146"/>
      <c r="S149" s="146"/>
      <c r="T149" s="146"/>
      <c r="U149" s="146"/>
      <c r="V149" s="146"/>
      <c r="W149" s="146"/>
      <c r="X149" s="146"/>
      <c r="Y149" s="146"/>
      <c r="Z149" s="146"/>
      <c r="AA149" s="146"/>
      <c r="AB149" s="146"/>
      <c r="AC149" s="146"/>
      <c r="AD149" s="146"/>
      <c r="AE149" s="146"/>
    </row>
    <row r="150">
      <c r="A150" s="29" t="s">
        <v>7657</v>
      </c>
      <c r="B150" s="29" t="s">
        <v>7658</v>
      </c>
      <c r="C150" s="29" t="s">
        <v>7659</v>
      </c>
      <c r="D150" s="29" t="s">
        <v>7660</v>
      </c>
      <c r="E150" s="29" t="s">
        <v>1335</v>
      </c>
      <c r="F150" s="146"/>
      <c r="G150" s="146"/>
      <c r="H150" s="146"/>
      <c r="I150" s="146"/>
      <c r="J150" s="146"/>
      <c r="K150" s="146"/>
      <c r="L150" s="146"/>
      <c r="M150" s="146"/>
      <c r="N150" s="146"/>
      <c r="O150" s="146"/>
      <c r="P150" s="146"/>
      <c r="Q150" s="146"/>
      <c r="R150" s="146"/>
      <c r="S150" s="146"/>
      <c r="T150" s="146"/>
      <c r="U150" s="146"/>
      <c r="V150" s="146"/>
      <c r="W150" s="146"/>
      <c r="X150" s="146"/>
      <c r="Y150" s="146"/>
      <c r="Z150" s="146"/>
      <c r="AA150" s="146"/>
      <c r="AB150" s="146"/>
      <c r="AC150" s="146"/>
      <c r="AD150" s="146"/>
      <c r="AE150" s="146"/>
    </row>
    <row r="151">
      <c r="A151" s="9" t="s">
        <v>7661</v>
      </c>
      <c r="B151" s="9" t="s">
        <v>7662</v>
      </c>
      <c r="C151" s="9" t="s">
        <v>7663</v>
      </c>
      <c r="D151" s="9" t="s">
        <v>7664</v>
      </c>
      <c r="E151" s="9" t="s">
        <v>1335</v>
      </c>
      <c r="F151" s="143"/>
      <c r="G151" s="143"/>
      <c r="H151" s="143"/>
      <c r="I151" s="143"/>
      <c r="J151" s="143"/>
      <c r="K151" s="143"/>
      <c r="L151" s="143"/>
      <c r="M151" s="143"/>
      <c r="N151" s="143"/>
      <c r="O151" s="143"/>
      <c r="P151" s="143"/>
      <c r="Q151" s="143"/>
      <c r="R151" s="143"/>
      <c r="S151" s="143"/>
      <c r="T151" s="143"/>
      <c r="U151" s="143"/>
      <c r="V151" s="143"/>
      <c r="W151" s="143"/>
      <c r="X151" s="143"/>
      <c r="Y151" s="143"/>
      <c r="Z151" s="143"/>
      <c r="AA151" s="143"/>
      <c r="AB151" s="143"/>
      <c r="AC151" s="143"/>
      <c r="AD151" s="143"/>
      <c r="AE151" s="143"/>
    </row>
    <row r="152">
      <c r="A152" s="29" t="s">
        <v>7665</v>
      </c>
      <c r="B152" s="29" t="s">
        <v>7666</v>
      </c>
      <c r="C152" s="29" t="s">
        <v>7667</v>
      </c>
      <c r="D152" s="29" t="s">
        <v>7656</v>
      </c>
      <c r="E152" s="29" t="s">
        <v>1335</v>
      </c>
      <c r="F152" s="146"/>
      <c r="G152" s="146"/>
      <c r="H152" s="146"/>
      <c r="I152" s="146"/>
      <c r="J152" s="146"/>
      <c r="K152" s="146"/>
      <c r="L152" s="146"/>
      <c r="M152" s="146"/>
      <c r="N152" s="146"/>
      <c r="O152" s="146"/>
      <c r="P152" s="146"/>
      <c r="Q152" s="146"/>
      <c r="R152" s="146"/>
      <c r="S152" s="146"/>
      <c r="T152" s="146"/>
      <c r="U152" s="146"/>
      <c r="V152" s="146"/>
      <c r="W152" s="146"/>
      <c r="X152" s="146"/>
      <c r="Y152" s="146"/>
      <c r="Z152" s="146"/>
      <c r="AA152" s="146"/>
      <c r="AB152" s="146"/>
      <c r="AC152" s="146"/>
      <c r="AD152" s="146"/>
      <c r="AE152" s="146"/>
    </row>
    <row r="153">
      <c r="A153" s="9" t="s">
        <v>7668</v>
      </c>
      <c r="B153" s="9" t="s">
        <v>7669</v>
      </c>
      <c r="C153" s="9" t="s">
        <v>7670</v>
      </c>
      <c r="D153" s="9" t="s">
        <v>7671</v>
      </c>
      <c r="E153" s="9" t="s">
        <v>1335</v>
      </c>
      <c r="F153" s="143"/>
      <c r="G153" s="143"/>
      <c r="H153" s="143"/>
      <c r="I153" s="143"/>
      <c r="J153" s="143"/>
      <c r="K153" s="143"/>
      <c r="L153" s="143"/>
      <c r="M153" s="143"/>
      <c r="N153" s="143"/>
      <c r="O153" s="143"/>
      <c r="P153" s="143"/>
      <c r="Q153" s="143"/>
      <c r="R153" s="143"/>
      <c r="S153" s="143"/>
      <c r="T153" s="143"/>
      <c r="U153" s="143"/>
      <c r="V153" s="143"/>
      <c r="W153" s="143"/>
      <c r="X153" s="143"/>
      <c r="Y153" s="143"/>
      <c r="Z153" s="143"/>
      <c r="AA153" s="143"/>
      <c r="AB153" s="143"/>
      <c r="AC153" s="143"/>
      <c r="AD153" s="143"/>
      <c r="AE153" s="143"/>
    </row>
    <row r="154">
      <c r="A154" s="9" t="s">
        <v>7672</v>
      </c>
      <c r="B154" s="9" t="s">
        <v>7673</v>
      </c>
      <c r="C154" s="9" t="s">
        <v>7674</v>
      </c>
      <c r="D154" s="9" t="s">
        <v>7675</v>
      </c>
      <c r="E154" s="9" t="s">
        <v>1335</v>
      </c>
      <c r="F154" s="143"/>
      <c r="G154" s="143"/>
      <c r="H154" s="143"/>
      <c r="I154" s="143"/>
      <c r="J154" s="143"/>
      <c r="K154" s="143"/>
      <c r="L154" s="143"/>
      <c r="M154" s="143"/>
      <c r="N154" s="143"/>
      <c r="O154" s="143"/>
      <c r="P154" s="143"/>
      <c r="Q154" s="143"/>
      <c r="R154" s="143"/>
      <c r="S154" s="143"/>
      <c r="T154" s="143"/>
      <c r="U154" s="143"/>
      <c r="V154" s="143"/>
      <c r="W154" s="143"/>
      <c r="X154" s="143"/>
      <c r="Y154" s="143"/>
      <c r="Z154" s="143"/>
      <c r="AA154" s="143"/>
      <c r="AB154" s="143"/>
      <c r="AC154" s="143"/>
      <c r="AD154" s="143"/>
      <c r="AE154" s="143"/>
    </row>
    <row r="155">
      <c r="A155" s="34" t="s">
        <v>7676</v>
      </c>
      <c r="B155" s="34" t="s">
        <v>7677</v>
      </c>
      <c r="C155" s="34" t="s">
        <v>7678</v>
      </c>
      <c r="D155" s="34" t="s">
        <v>7679</v>
      </c>
      <c r="E155" s="34" t="s">
        <v>7132</v>
      </c>
      <c r="F155" s="147"/>
      <c r="G155" s="147"/>
      <c r="H155" s="147"/>
      <c r="I155" s="147"/>
      <c r="J155" s="147"/>
      <c r="K155" s="147"/>
      <c r="L155" s="147"/>
      <c r="M155" s="147"/>
      <c r="N155" s="147"/>
      <c r="O155" s="147"/>
      <c r="P155" s="147"/>
      <c r="Q155" s="147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  <c r="AD155" s="147"/>
      <c r="AE155" s="147"/>
    </row>
    <row r="156">
      <c r="A156" s="9" t="s">
        <v>7680</v>
      </c>
      <c r="B156" s="9" t="s">
        <v>7681</v>
      </c>
      <c r="C156" s="9" t="s">
        <v>7682</v>
      </c>
      <c r="D156" s="9" t="s">
        <v>7683</v>
      </c>
      <c r="E156" s="9" t="s">
        <v>7132</v>
      </c>
      <c r="F156" s="143"/>
      <c r="G156" s="143"/>
      <c r="H156" s="143"/>
      <c r="I156" s="143"/>
      <c r="J156" s="143"/>
      <c r="K156" s="143"/>
      <c r="L156" s="143"/>
      <c r="M156" s="143"/>
      <c r="N156" s="143"/>
      <c r="O156" s="143"/>
      <c r="P156" s="143"/>
      <c r="Q156" s="143"/>
      <c r="R156" s="143"/>
      <c r="S156" s="143"/>
      <c r="T156" s="143"/>
      <c r="U156" s="143"/>
      <c r="V156" s="143"/>
      <c r="W156" s="143"/>
      <c r="X156" s="143"/>
      <c r="Y156" s="143"/>
      <c r="Z156" s="143"/>
      <c r="AA156" s="143"/>
      <c r="AB156" s="143"/>
      <c r="AC156" s="143"/>
      <c r="AD156" s="143"/>
      <c r="AE156" s="143"/>
    </row>
    <row r="157">
      <c r="A157" s="17" t="s">
        <v>7684</v>
      </c>
      <c r="B157" s="9" t="s">
        <v>7685</v>
      </c>
      <c r="C157" s="9" t="s">
        <v>7686</v>
      </c>
      <c r="D157" s="9" t="s">
        <v>7687</v>
      </c>
      <c r="E157" s="9" t="s">
        <v>7688</v>
      </c>
      <c r="F157" s="143"/>
      <c r="G157" s="143"/>
      <c r="H157" s="143"/>
      <c r="I157" s="143"/>
      <c r="J157" s="143"/>
      <c r="K157" s="143"/>
      <c r="L157" s="143"/>
      <c r="M157" s="143"/>
      <c r="N157" s="143"/>
      <c r="O157" s="143"/>
      <c r="P157" s="143"/>
      <c r="Q157" s="143"/>
      <c r="R157" s="143"/>
      <c r="S157" s="143"/>
      <c r="T157" s="143"/>
      <c r="U157" s="143"/>
      <c r="V157" s="143"/>
      <c r="W157" s="143"/>
      <c r="X157" s="143"/>
      <c r="Y157" s="143"/>
      <c r="Z157" s="143"/>
      <c r="AA157" s="143"/>
      <c r="AB157" s="143"/>
      <c r="AC157" s="143"/>
      <c r="AD157" s="143"/>
      <c r="AE157" s="143"/>
    </row>
    <row r="158">
      <c r="A158" s="17" t="s">
        <v>7689</v>
      </c>
      <c r="B158" s="17" t="s">
        <v>7690</v>
      </c>
      <c r="C158" s="17" t="s">
        <v>7691</v>
      </c>
      <c r="D158" s="9" t="s">
        <v>7692</v>
      </c>
      <c r="E158" s="17" t="s">
        <v>7693</v>
      </c>
      <c r="F158" s="143"/>
      <c r="G158" s="143"/>
      <c r="H158" s="143"/>
      <c r="I158" s="143"/>
      <c r="J158" s="143"/>
      <c r="K158" s="143"/>
      <c r="L158" s="143"/>
      <c r="M158" s="143"/>
      <c r="N158" s="143"/>
      <c r="O158" s="143"/>
      <c r="P158" s="143"/>
      <c r="Q158" s="143"/>
      <c r="R158" s="143"/>
      <c r="S158" s="143"/>
      <c r="T158" s="143"/>
      <c r="U158" s="143"/>
      <c r="V158" s="143"/>
      <c r="W158" s="143"/>
      <c r="X158" s="143"/>
      <c r="Y158" s="143"/>
      <c r="Z158" s="143"/>
      <c r="AA158" s="143"/>
      <c r="AB158" s="143"/>
      <c r="AC158" s="143"/>
      <c r="AD158" s="143"/>
      <c r="AE158" s="143"/>
    </row>
    <row r="159">
      <c r="A159" s="27" t="s">
        <v>7694</v>
      </c>
      <c r="B159" s="27" t="s">
        <v>7695</v>
      </c>
      <c r="C159" s="27" t="s">
        <v>7696</v>
      </c>
      <c r="D159" s="27" t="s">
        <v>7697</v>
      </c>
      <c r="E159" s="27" t="s">
        <v>7698</v>
      </c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</row>
    <row r="160">
      <c r="A160" s="9" t="s">
        <v>7699</v>
      </c>
      <c r="B160" s="9" t="s">
        <v>7700</v>
      </c>
      <c r="C160" s="9" t="s">
        <v>7701</v>
      </c>
      <c r="D160" s="9" t="s">
        <v>7702</v>
      </c>
      <c r="E160" s="9" t="s">
        <v>7698</v>
      </c>
      <c r="F160" s="143"/>
      <c r="G160" s="143"/>
      <c r="H160" s="143"/>
      <c r="I160" s="143"/>
      <c r="J160" s="143"/>
      <c r="K160" s="143"/>
      <c r="L160" s="143"/>
      <c r="M160" s="143"/>
      <c r="N160" s="143"/>
      <c r="O160" s="143"/>
      <c r="P160" s="143"/>
      <c r="Q160" s="143"/>
      <c r="R160" s="143"/>
      <c r="S160" s="143"/>
      <c r="T160" s="143"/>
      <c r="U160" s="143"/>
      <c r="V160" s="143"/>
      <c r="W160" s="143"/>
      <c r="X160" s="143"/>
      <c r="Y160" s="143"/>
      <c r="Z160" s="143"/>
      <c r="AA160" s="143"/>
      <c r="AB160" s="143"/>
      <c r="AC160" s="143"/>
      <c r="AD160" s="143"/>
      <c r="AE160" s="143"/>
    </row>
    <row r="161">
      <c r="A161" s="17" t="s">
        <v>7703</v>
      </c>
      <c r="B161" s="17" t="s">
        <v>7704</v>
      </c>
      <c r="C161" s="17" t="s">
        <v>7705</v>
      </c>
      <c r="D161" s="9" t="s">
        <v>7706</v>
      </c>
      <c r="E161" s="9" t="s">
        <v>7435</v>
      </c>
      <c r="F161" s="143"/>
      <c r="G161" s="143"/>
      <c r="H161" s="143"/>
      <c r="I161" s="143"/>
      <c r="J161" s="143"/>
      <c r="K161" s="143"/>
      <c r="L161" s="143"/>
      <c r="M161" s="143"/>
      <c r="N161" s="143"/>
      <c r="O161" s="143"/>
      <c r="P161" s="143"/>
      <c r="Q161" s="143"/>
      <c r="R161" s="143"/>
      <c r="S161" s="143"/>
      <c r="T161" s="143"/>
      <c r="U161" s="143"/>
      <c r="V161" s="143"/>
      <c r="W161" s="143"/>
      <c r="X161" s="143"/>
      <c r="Y161" s="143"/>
      <c r="Z161" s="143"/>
      <c r="AA161" s="143"/>
      <c r="AB161" s="143"/>
      <c r="AC161" s="143"/>
      <c r="AD161" s="143"/>
      <c r="AE161" s="143"/>
    </row>
    <row r="162">
      <c r="A162" s="29" t="s">
        <v>7707</v>
      </c>
      <c r="B162" s="29" t="s">
        <v>7708</v>
      </c>
      <c r="C162" s="29" t="s">
        <v>7709</v>
      </c>
      <c r="D162" s="29" t="s">
        <v>7710</v>
      </c>
      <c r="E162" s="29" t="s">
        <v>5990</v>
      </c>
      <c r="F162" s="146"/>
      <c r="G162" s="146"/>
      <c r="H162" s="146"/>
      <c r="I162" s="146"/>
      <c r="J162" s="146"/>
      <c r="K162" s="146"/>
      <c r="L162" s="146"/>
      <c r="M162" s="146"/>
      <c r="N162" s="146"/>
      <c r="O162" s="146"/>
      <c r="P162" s="146"/>
      <c r="Q162" s="146"/>
      <c r="R162" s="146"/>
      <c r="S162" s="146"/>
      <c r="T162" s="146"/>
      <c r="U162" s="146"/>
      <c r="V162" s="146"/>
      <c r="W162" s="146"/>
      <c r="X162" s="146"/>
      <c r="Y162" s="146"/>
      <c r="Z162" s="146"/>
      <c r="AA162" s="146"/>
      <c r="AB162" s="146"/>
      <c r="AC162" s="146"/>
      <c r="AD162" s="146"/>
      <c r="AE162" s="146"/>
    </row>
    <row r="163">
      <c r="A163" s="9" t="s">
        <v>7711</v>
      </c>
      <c r="B163" s="9" t="s">
        <v>7712</v>
      </c>
      <c r="C163" s="9" t="s">
        <v>7713</v>
      </c>
      <c r="D163" s="29" t="s">
        <v>7714</v>
      </c>
      <c r="E163" s="9" t="s">
        <v>5990</v>
      </c>
      <c r="F163" s="143"/>
      <c r="G163" s="143"/>
      <c r="H163" s="143"/>
      <c r="I163" s="143"/>
      <c r="J163" s="143"/>
      <c r="K163" s="143"/>
      <c r="L163" s="143"/>
      <c r="M163" s="143"/>
      <c r="N163" s="143"/>
      <c r="O163" s="143"/>
      <c r="P163" s="143"/>
      <c r="Q163" s="143"/>
      <c r="R163" s="143"/>
      <c r="S163" s="143"/>
      <c r="T163" s="143"/>
      <c r="U163" s="143"/>
      <c r="V163" s="143"/>
      <c r="W163" s="143"/>
      <c r="X163" s="143"/>
      <c r="Y163" s="143"/>
      <c r="Z163" s="143"/>
      <c r="AA163" s="143"/>
      <c r="AB163" s="143"/>
      <c r="AC163" s="143"/>
      <c r="AD163" s="143"/>
      <c r="AE163" s="143"/>
    </row>
    <row r="164">
      <c r="A164" s="9" t="s">
        <v>7715</v>
      </c>
      <c r="B164" s="9" t="s">
        <v>7716</v>
      </c>
      <c r="C164" s="9" t="s">
        <v>7717</v>
      </c>
      <c r="D164" s="29" t="s">
        <v>7718</v>
      </c>
      <c r="E164" s="9" t="s">
        <v>5990</v>
      </c>
      <c r="F164" s="143"/>
      <c r="G164" s="143"/>
      <c r="H164" s="143"/>
      <c r="I164" s="143"/>
      <c r="J164" s="143"/>
      <c r="K164" s="143"/>
      <c r="L164" s="143"/>
      <c r="M164" s="143"/>
      <c r="N164" s="143"/>
      <c r="O164" s="143"/>
      <c r="P164" s="143"/>
      <c r="Q164" s="143"/>
      <c r="R164" s="143"/>
      <c r="S164" s="143"/>
      <c r="T164" s="143"/>
      <c r="U164" s="143"/>
      <c r="V164" s="143"/>
      <c r="W164" s="143"/>
      <c r="X164" s="143"/>
      <c r="Y164" s="143"/>
      <c r="Z164" s="143"/>
      <c r="AA164" s="143"/>
      <c r="AB164" s="143"/>
      <c r="AC164" s="143"/>
      <c r="AD164" s="143"/>
      <c r="AE164" s="143"/>
    </row>
    <row r="165">
      <c r="A165" s="9" t="s">
        <v>7719</v>
      </c>
      <c r="B165" s="9" t="s">
        <v>7720</v>
      </c>
      <c r="C165" s="9" t="s">
        <v>7721</v>
      </c>
      <c r="D165" s="29" t="s">
        <v>7722</v>
      </c>
      <c r="E165" s="9" t="s">
        <v>5990</v>
      </c>
      <c r="F165" s="143"/>
      <c r="G165" s="143"/>
      <c r="H165" s="143"/>
      <c r="I165" s="143"/>
      <c r="J165" s="143"/>
      <c r="K165" s="143"/>
      <c r="L165" s="143"/>
      <c r="M165" s="143"/>
      <c r="N165" s="143"/>
      <c r="O165" s="143"/>
      <c r="P165" s="143"/>
      <c r="Q165" s="143"/>
      <c r="R165" s="143"/>
      <c r="S165" s="143"/>
      <c r="T165" s="143"/>
      <c r="U165" s="143"/>
      <c r="V165" s="143"/>
      <c r="W165" s="143"/>
      <c r="X165" s="143"/>
      <c r="Y165" s="143"/>
      <c r="Z165" s="143"/>
      <c r="AA165" s="143"/>
      <c r="AB165" s="143"/>
      <c r="AC165" s="143"/>
      <c r="AD165" s="143"/>
      <c r="AE165" s="143"/>
    </row>
    <row r="166">
      <c r="A166" s="9" t="s">
        <v>7723</v>
      </c>
      <c r="B166" s="9" t="s">
        <v>7724</v>
      </c>
      <c r="C166" s="9" t="s">
        <v>7725</v>
      </c>
      <c r="D166" s="29" t="s">
        <v>7726</v>
      </c>
      <c r="E166" s="9" t="s">
        <v>5990</v>
      </c>
      <c r="F166" s="143"/>
      <c r="G166" s="143"/>
      <c r="H166" s="143"/>
      <c r="I166" s="143"/>
      <c r="J166" s="143"/>
      <c r="K166" s="143"/>
      <c r="L166" s="143"/>
      <c r="M166" s="143"/>
      <c r="N166" s="143"/>
      <c r="O166" s="143"/>
      <c r="P166" s="143"/>
      <c r="Q166" s="143"/>
      <c r="R166" s="143"/>
      <c r="S166" s="143"/>
      <c r="T166" s="143"/>
      <c r="U166" s="143"/>
      <c r="V166" s="143"/>
      <c r="W166" s="143"/>
      <c r="X166" s="143"/>
      <c r="Y166" s="143"/>
      <c r="Z166" s="143"/>
      <c r="AA166" s="143"/>
      <c r="AB166" s="143"/>
      <c r="AC166" s="143"/>
      <c r="AD166" s="143"/>
      <c r="AE166" s="143"/>
    </row>
    <row r="167">
      <c r="A167" s="9" t="s">
        <v>7727</v>
      </c>
      <c r="B167" s="9" t="s">
        <v>7728</v>
      </c>
      <c r="C167" s="9" t="s">
        <v>7729</v>
      </c>
      <c r="D167" s="29" t="s">
        <v>7730</v>
      </c>
      <c r="E167" s="9" t="s">
        <v>1100</v>
      </c>
      <c r="F167" s="143"/>
      <c r="G167" s="143"/>
      <c r="H167" s="143"/>
      <c r="I167" s="143"/>
      <c r="J167" s="143"/>
      <c r="K167" s="143"/>
      <c r="L167" s="143"/>
      <c r="M167" s="143"/>
      <c r="N167" s="143"/>
      <c r="O167" s="143"/>
      <c r="P167" s="143"/>
      <c r="Q167" s="143"/>
      <c r="R167" s="143"/>
      <c r="S167" s="143"/>
      <c r="T167" s="143"/>
      <c r="U167" s="143"/>
      <c r="V167" s="143"/>
      <c r="W167" s="143"/>
      <c r="X167" s="143"/>
      <c r="Y167" s="143"/>
      <c r="Z167" s="143"/>
      <c r="AA167" s="143"/>
      <c r="AB167" s="143"/>
      <c r="AC167" s="143"/>
      <c r="AD167" s="143"/>
      <c r="AE167" s="143"/>
    </row>
    <row r="168">
      <c r="A168" s="9" t="s">
        <v>7731</v>
      </c>
      <c r="B168" s="9" t="s">
        <v>7732</v>
      </c>
      <c r="C168" s="9" t="s">
        <v>7733</v>
      </c>
      <c r="D168" s="29" t="s">
        <v>7734</v>
      </c>
      <c r="E168" s="9" t="s">
        <v>1100</v>
      </c>
      <c r="F168" s="143"/>
      <c r="G168" s="143"/>
      <c r="H168" s="143"/>
      <c r="I168" s="143"/>
      <c r="J168" s="143"/>
      <c r="K168" s="143"/>
      <c r="L168" s="143"/>
      <c r="M168" s="143"/>
      <c r="N168" s="143"/>
      <c r="O168" s="143"/>
      <c r="P168" s="143"/>
      <c r="Q168" s="143"/>
      <c r="R168" s="143"/>
      <c r="S168" s="143"/>
      <c r="T168" s="143"/>
      <c r="U168" s="143"/>
      <c r="V168" s="143"/>
      <c r="W168" s="143"/>
      <c r="X168" s="143"/>
      <c r="Y168" s="143"/>
      <c r="Z168" s="143"/>
      <c r="AA168" s="143"/>
      <c r="AB168" s="143"/>
      <c r="AC168" s="143"/>
      <c r="AD168" s="143"/>
      <c r="AE168" s="143"/>
    </row>
    <row r="169">
      <c r="A169" s="9" t="s">
        <v>7735</v>
      </c>
      <c r="B169" s="9" t="s">
        <v>7736</v>
      </c>
      <c r="C169" s="9" t="s">
        <v>7737</v>
      </c>
      <c r="D169" s="29" t="s">
        <v>7738</v>
      </c>
      <c r="E169" s="9" t="s">
        <v>1100</v>
      </c>
      <c r="F169" s="143"/>
      <c r="G169" s="143"/>
      <c r="H169" s="143"/>
      <c r="I169" s="143"/>
      <c r="J169" s="143"/>
      <c r="K169" s="143"/>
      <c r="L169" s="143"/>
      <c r="M169" s="143"/>
      <c r="N169" s="143"/>
      <c r="O169" s="143"/>
      <c r="P169" s="143"/>
      <c r="Q169" s="143"/>
      <c r="R169" s="143"/>
      <c r="S169" s="143"/>
      <c r="T169" s="143"/>
      <c r="U169" s="143"/>
      <c r="V169" s="143"/>
      <c r="W169" s="143"/>
      <c r="X169" s="143"/>
      <c r="Y169" s="143"/>
      <c r="Z169" s="143"/>
      <c r="AA169" s="143"/>
      <c r="AB169" s="143"/>
      <c r="AC169" s="143"/>
      <c r="AD169" s="143"/>
      <c r="AE169" s="143"/>
    </row>
    <row r="170">
      <c r="A170" s="9" t="s">
        <v>7739</v>
      </c>
      <c r="B170" s="9" t="s">
        <v>7740</v>
      </c>
      <c r="C170" s="9" t="s">
        <v>7741</v>
      </c>
      <c r="D170" s="29" t="s">
        <v>7742</v>
      </c>
      <c r="E170" s="9" t="s">
        <v>1100</v>
      </c>
      <c r="F170" s="143"/>
      <c r="G170" s="143"/>
      <c r="H170" s="143"/>
      <c r="I170" s="143"/>
      <c r="J170" s="143"/>
      <c r="K170" s="143"/>
      <c r="L170" s="143"/>
      <c r="M170" s="143"/>
      <c r="N170" s="143"/>
      <c r="O170" s="143"/>
      <c r="P170" s="143"/>
      <c r="Q170" s="143"/>
      <c r="R170" s="143"/>
      <c r="S170" s="143"/>
      <c r="T170" s="143"/>
      <c r="U170" s="143"/>
      <c r="V170" s="143"/>
      <c r="W170" s="143"/>
      <c r="X170" s="143"/>
      <c r="Y170" s="143"/>
      <c r="Z170" s="143"/>
      <c r="AA170" s="143"/>
      <c r="AB170" s="143"/>
      <c r="AC170" s="143"/>
      <c r="AD170" s="143"/>
      <c r="AE170" s="143"/>
    </row>
    <row r="171">
      <c r="A171" s="9" t="s">
        <v>7743</v>
      </c>
      <c r="B171" s="9" t="s">
        <v>7744</v>
      </c>
      <c r="C171" s="9" t="s">
        <v>7745</v>
      </c>
      <c r="D171" s="29" t="s">
        <v>7746</v>
      </c>
      <c r="E171" s="9" t="s">
        <v>1100</v>
      </c>
      <c r="F171" s="143"/>
      <c r="G171" s="143"/>
      <c r="H171" s="143"/>
      <c r="I171" s="143"/>
      <c r="J171" s="143"/>
      <c r="K171" s="143"/>
      <c r="L171" s="143"/>
      <c r="M171" s="143"/>
      <c r="N171" s="143"/>
      <c r="O171" s="143"/>
      <c r="P171" s="143"/>
      <c r="Q171" s="143"/>
      <c r="R171" s="143"/>
      <c r="S171" s="143"/>
      <c r="T171" s="143"/>
      <c r="U171" s="143"/>
      <c r="V171" s="143"/>
      <c r="W171" s="143"/>
      <c r="X171" s="143"/>
      <c r="Y171" s="143"/>
      <c r="Z171" s="143"/>
      <c r="AA171" s="143"/>
      <c r="AB171" s="143"/>
      <c r="AC171" s="143"/>
      <c r="AD171" s="143"/>
      <c r="AE171" s="143"/>
    </row>
    <row r="172">
      <c r="A172" s="9" t="s">
        <v>7747</v>
      </c>
      <c r="B172" s="9" t="s">
        <v>7748</v>
      </c>
      <c r="C172" s="9" t="s">
        <v>7749</v>
      </c>
      <c r="D172" s="29" t="s">
        <v>7750</v>
      </c>
      <c r="E172" s="9" t="s">
        <v>1090</v>
      </c>
      <c r="F172" s="143"/>
      <c r="G172" s="143"/>
      <c r="H172" s="143"/>
      <c r="I172" s="143"/>
      <c r="J172" s="143"/>
      <c r="K172" s="143"/>
      <c r="L172" s="143"/>
      <c r="M172" s="143"/>
      <c r="N172" s="143"/>
      <c r="O172" s="143"/>
      <c r="P172" s="143"/>
      <c r="Q172" s="143"/>
      <c r="R172" s="143"/>
      <c r="S172" s="143"/>
      <c r="T172" s="143"/>
      <c r="U172" s="143"/>
      <c r="V172" s="143"/>
      <c r="W172" s="143"/>
      <c r="X172" s="143"/>
      <c r="Y172" s="143"/>
      <c r="Z172" s="143"/>
      <c r="AA172" s="143"/>
      <c r="AB172" s="143"/>
      <c r="AC172" s="143"/>
      <c r="AD172" s="143"/>
      <c r="AE172" s="143"/>
    </row>
    <row r="173">
      <c r="A173" s="27" t="s">
        <v>7751</v>
      </c>
      <c r="B173" s="27" t="s">
        <v>7752</v>
      </c>
      <c r="C173" s="27" t="s">
        <v>7753</v>
      </c>
      <c r="D173" s="27" t="s">
        <v>7754</v>
      </c>
      <c r="E173" s="27" t="s">
        <v>1090</v>
      </c>
      <c r="F173" s="148"/>
      <c r="G173" s="148"/>
      <c r="H173" s="148"/>
      <c r="I173" s="148"/>
      <c r="J173" s="148"/>
      <c r="K173" s="148"/>
      <c r="L173" s="148"/>
      <c r="M173" s="148"/>
      <c r="N173" s="148"/>
      <c r="O173" s="148"/>
      <c r="P173" s="148"/>
      <c r="Q173" s="148"/>
      <c r="R173" s="148"/>
      <c r="S173" s="148"/>
      <c r="T173" s="148"/>
      <c r="U173" s="148"/>
      <c r="V173" s="148"/>
      <c r="W173" s="148"/>
      <c r="X173" s="148"/>
      <c r="Y173" s="148"/>
      <c r="Z173" s="148"/>
      <c r="AA173" s="148"/>
      <c r="AB173" s="148"/>
      <c r="AC173" s="148"/>
      <c r="AD173" s="148"/>
      <c r="AE173" s="148"/>
    </row>
    <row r="174">
      <c r="A174" s="9" t="s">
        <v>7755</v>
      </c>
      <c r="B174" s="9" t="s">
        <v>7756</v>
      </c>
      <c r="C174" s="9" t="s">
        <v>7757</v>
      </c>
      <c r="D174" s="29" t="s">
        <v>7758</v>
      </c>
      <c r="E174" s="9" t="s">
        <v>1090</v>
      </c>
      <c r="F174" s="143"/>
      <c r="G174" s="143"/>
      <c r="H174" s="143"/>
      <c r="I174" s="143"/>
      <c r="J174" s="143"/>
      <c r="K174" s="143"/>
      <c r="L174" s="143"/>
      <c r="M174" s="143"/>
      <c r="N174" s="143"/>
      <c r="O174" s="143"/>
      <c r="P174" s="143"/>
      <c r="Q174" s="143"/>
      <c r="R174" s="143"/>
      <c r="S174" s="143"/>
      <c r="T174" s="143"/>
      <c r="U174" s="143"/>
      <c r="V174" s="143"/>
      <c r="W174" s="143"/>
      <c r="X174" s="143"/>
      <c r="Y174" s="143"/>
      <c r="Z174" s="143"/>
      <c r="AA174" s="143"/>
      <c r="AB174" s="143"/>
      <c r="AC174" s="143"/>
      <c r="AD174" s="143"/>
      <c r="AE174" s="143"/>
    </row>
    <row r="175">
      <c r="A175" s="9" t="s">
        <v>7759</v>
      </c>
      <c r="B175" s="9" t="s">
        <v>7760</v>
      </c>
      <c r="C175" s="9" t="s">
        <v>7761</v>
      </c>
      <c r="D175" s="29" t="s">
        <v>7762</v>
      </c>
      <c r="E175" s="9" t="s">
        <v>7763</v>
      </c>
      <c r="F175" s="143"/>
      <c r="G175" s="143"/>
      <c r="H175" s="143"/>
      <c r="I175" s="143"/>
      <c r="J175" s="143"/>
      <c r="K175" s="143"/>
      <c r="L175" s="143"/>
      <c r="M175" s="143"/>
      <c r="N175" s="143"/>
      <c r="O175" s="143"/>
      <c r="P175" s="143"/>
      <c r="Q175" s="143"/>
      <c r="R175" s="143"/>
      <c r="S175" s="143"/>
      <c r="T175" s="143"/>
      <c r="U175" s="143"/>
      <c r="V175" s="143"/>
      <c r="W175" s="143"/>
      <c r="X175" s="143"/>
      <c r="Y175" s="143"/>
      <c r="Z175" s="143"/>
      <c r="AA175" s="143"/>
      <c r="AB175" s="143"/>
      <c r="AC175" s="143"/>
      <c r="AD175" s="143"/>
      <c r="AE175" s="143"/>
    </row>
    <row r="176">
      <c r="A176" s="9" t="s">
        <v>7764</v>
      </c>
      <c r="B176" s="9" t="s">
        <v>7765</v>
      </c>
      <c r="C176" s="9" t="s">
        <v>7766</v>
      </c>
      <c r="D176" s="29" t="s">
        <v>7767</v>
      </c>
      <c r="E176" s="9" t="s">
        <v>7763</v>
      </c>
      <c r="F176" s="143"/>
      <c r="G176" s="143"/>
      <c r="H176" s="143"/>
      <c r="I176" s="143"/>
      <c r="J176" s="143"/>
      <c r="K176" s="143"/>
      <c r="L176" s="143"/>
      <c r="M176" s="143"/>
      <c r="N176" s="143"/>
      <c r="O176" s="143"/>
      <c r="P176" s="143"/>
      <c r="Q176" s="143"/>
      <c r="R176" s="143"/>
      <c r="S176" s="143"/>
      <c r="T176" s="143"/>
      <c r="U176" s="143"/>
      <c r="V176" s="143"/>
      <c r="W176" s="143"/>
      <c r="X176" s="143"/>
      <c r="Y176" s="143"/>
      <c r="Z176" s="143"/>
      <c r="AA176" s="143"/>
      <c r="AB176" s="143"/>
      <c r="AC176" s="143"/>
      <c r="AD176" s="143"/>
      <c r="AE176" s="143"/>
    </row>
    <row r="177">
      <c r="A177" s="9" t="s">
        <v>7768</v>
      </c>
      <c r="B177" s="9" t="s">
        <v>7769</v>
      </c>
      <c r="C177" s="9" t="s">
        <v>7770</v>
      </c>
      <c r="D177" s="29" t="s">
        <v>7771</v>
      </c>
      <c r="E177" s="9" t="s">
        <v>7763</v>
      </c>
      <c r="F177" s="143"/>
      <c r="G177" s="143"/>
      <c r="H177" s="143"/>
      <c r="I177" s="143"/>
      <c r="J177" s="143"/>
      <c r="K177" s="143"/>
      <c r="L177" s="143"/>
      <c r="M177" s="143"/>
      <c r="N177" s="143"/>
      <c r="O177" s="143"/>
      <c r="P177" s="143"/>
      <c r="Q177" s="143"/>
      <c r="R177" s="143"/>
      <c r="S177" s="143"/>
      <c r="T177" s="143"/>
      <c r="U177" s="143"/>
      <c r="V177" s="143"/>
      <c r="W177" s="143"/>
      <c r="X177" s="143"/>
      <c r="Y177" s="143"/>
      <c r="Z177" s="143"/>
      <c r="AA177" s="143"/>
      <c r="AB177" s="143"/>
      <c r="AC177" s="143"/>
      <c r="AD177" s="143"/>
      <c r="AE177" s="143"/>
    </row>
    <row r="178">
      <c r="A178" s="9" t="s">
        <v>7772</v>
      </c>
      <c r="B178" s="9" t="s">
        <v>7773</v>
      </c>
      <c r="C178" s="9" t="s">
        <v>7774</v>
      </c>
      <c r="D178" s="29" t="s">
        <v>7775</v>
      </c>
      <c r="E178" s="9" t="s">
        <v>7763</v>
      </c>
      <c r="F178" s="143"/>
      <c r="G178" s="143"/>
      <c r="H178" s="143"/>
      <c r="I178" s="143"/>
      <c r="J178" s="143"/>
      <c r="K178" s="143"/>
      <c r="L178" s="143"/>
      <c r="M178" s="143"/>
      <c r="N178" s="143"/>
      <c r="O178" s="143"/>
      <c r="P178" s="143"/>
      <c r="Q178" s="143"/>
      <c r="R178" s="143"/>
      <c r="S178" s="143"/>
      <c r="T178" s="143"/>
      <c r="U178" s="143"/>
      <c r="V178" s="143"/>
      <c r="W178" s="143"/>
      <c r="X178" s="143"/>
      <c r="Y178" s="143"/>
      <c r="Z178" s="143"/>
      <c r="AA178" s="143"/>
      <c r="AB178" s="143"/>
      <c r="AC178" s="143"/>
      <c r="AD178" s="143"/>
      <c r="AE178" s="143"/>
    </row>
    <row r="179">
      <c r="A179" s="9" t="s">
        <v>7776</v>
      </c>
      <c r="B179" s="9" t="s">
        <v>7777</v>
      </c>
      <c r="C179" s="9" t="s">
        <v>7778</v>
      </c>
      <c r="D179" s="29" t="s">
        <v>7779</v>
      </c>
      <c r="E179" s="9" t="s">
        <v>7763</v>
      </c>
      <c r="F179" s="143"/>
      <c r="G179" s="143"/>
      <c r="H179" s="143"/>
      <c r="I179" s="143"/>
      <c r="J179" s="143"/>
      <c r="K179" s="143"/>
      <c r="L179" s="143"/>
      <c r="M179" s="143"/>
      <c r="N179" s="143"/>
      <c r="O179" s="143"/>
      <c r="P179" s="143"/>
      <c r="Q179" s="143"/>
      <c r="R179" s="143"/>
      <c r="S179" s="143"/>
      <c r="T179" s="143"/>
      <c r="U179" s="143"/>
      <c r="V179" s="143"/>
      <c r="W179" s="143"/>
      <c r="X179" s="143"/>
      <c r="Y179" s="143"/>
      <c r="Z179" s="143"/>
      <c r="AA179" s="143"/>
      <c r="AB179" s="143"/>
      <c r="AC179" s="143"/>
      <c r="AD179" s="143"/>
      <c r="AE179" s="143"/>
    </row>
    <row r="180">
      <c r="A180" s="34" t="s">
        <v>7780</v>
      </c>
      <c r="B180" s="34" t="s">
        <v>7781</v>
      </c>
      <c r="C180" s="34" t="s">
        <v>7782</v>
      </c>
      <c r="D180" s="34" t="s">
        <v>7783</v>
      </c>
      <c r="E180" s="34" t="s">
        <v>7784</v>
      </c>
      <c r="F180" s="147"/>
      <c r="G180" s="147"/>
      <c r="H180" s="147"/>
      <c r="I180" s="147"/>
      <c r="J180" s="147"/>
      <c r="K180" s="147"/>
      <c r="L180" s="147"/>
      <c r="M180" s="147"/>
      <c r="N180" s="147"/>
      <c r="O180" s="147"/>
      <c r="P180" s="147"/>
      <c r="Q180" s="147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  <c r="AD180" s="147"/>
      <c r="AE180" s="147"/>
    </row>
    <row r="181">
      <c r="A181" s="9" t="s">
        <v>7785</v>
      </c>
      <c r="B181" s="9" t="s">
        <v>7786</v>
      </c>
      <c r="C181" s="9" t="s">
        <v>7787</v>
      </c>
      <c r="D181" s="9" t="s">
        <v>7788</v>
      </c>
      <c r="E181" s="9" t="s">
        <v>7784</v>
      </c>
      <c r="F181" s="143"/>
      <c r="G181" s="143"/>
      <c r="H181" s="143"/>
      <c r="I181" s="143"/>
      <c r="J181" s="143"/>
      <c r="K181" s="143"/>
      <c r="L181" s="143"/>
      <c r="M181" s="143"/>
      <c r="N181" s="143"/>
      <c r="O181" s="143"/>
      <c r="P181" s="143"/>
      <c r="Q181" s="143"/>
      <c r="R181" s="143"/>
      <c r="S181" s="143"/>
      <c r="T181" s="143"/>
      <c r="U181" s="143"/>
      <c r="V181" s="143"/>
      <c r="W181" s="143"/>
      <c r="X181" s="143"/>
      <c r="Y181" s="143"/>
      <c r="Z181" s="143"/>
      <c r="AA181" s="143"/>
      <c r="AB181" s="143"/>
      <c r="AC181" s="143"/>
      <c r="AD181" s="143"/>
      <c r="AE181" s="143"/>
    </row>
    <row r="182">
      <c r="A182" s="9" t="s">
        <v>7789</v>
      </c>
      <c r="B182" s="9" t="s">
        <v>7790</v>
      </c>
      <c r="C182" s="9" t="s">
        <v>7791</v>
      </c>
      <c r="D182" s="9" t="s">
        <v>7792</v>
      </c>
      <c r="E182" s="9" t="s">
        <v>7784</v>
      </c>
      <c r="F182" s="143"/>
      <c r="G182" s="143"/>
      <c r="H182" s="143"/>
      <c r="I182" s="143"/>
      <c r="J182" s="143"/>
      <c r="K182" s="143"/>
      <c r="L182" s="143"/>
      <c r="M182" s="143"/>
      <c r="N182" s="143"/>
      <c r="O182" s="143"/>
      <c r="P182" s="143"/>
      <c r="Q182" s="143"/>
      <c r="R182" s="143"/>
      <c r="S182" s="143"/>
      <c r="T182" s="143"/>
      <c r="U182" s="143"/>
      <c r="V182" s="143"/>
      <c r="W182" s="143"/>
      <c r="X182" s="143"/>
      <c r="Y182" s="143"/>
      <c r="Z182" s="143"/>
      <c r="AA182" s="143"/>
      <c r="AB182" s="143"/>
      <c r="AC182" s="143"/>
      <c r="AD182" s="143"/>
      <c r="AE182" s="143"/>
    </row>
    <row r="183">
      <c r="A183" s="9" t="s">
        <v>7793</v>
      </c>
      <c r="B183" s="9" t="s">
        <v>7794</v>
      </c>
      <c r="C183" s="9" t="s">
        <v>7795</v>
      </c>
      <c r="D183" s="9" t="s">
        <v>7796</v>
      </c>
      <c r="E183" s="9" t="s">
        <v>7784</v>
      </c>
      <c r="F183" s="143"/>
      <c r="G183" s="143"/>
      <c r="H183" s="143"/>
      <c r="I183" s="143"/>
      <c r="J183" s="143"/>
      <c r="K183" s="143"/>
      <c r="L183" s="143"/>
      <c r="M183" s="143"/>
      <c r="N183" s="143"/>
      <c r="O183" s="143"/>
      <c r="P183" s="143"/>
      <c r="Q183" s="143"/>
      <c r="R183" s="143"/>
      <c r="S183" s="143"/>
      <c r="T183" s="143"/>
      <c r="U183" s="143"/>
      <c r="V183" s="143"/>
      <c r="W183" s="143"/>
      <c r="X183" s="143"/>
      <c r="Y183" s="143"/>
      <c r="Z183" s="143"/>
      <c r="AA183" s="143"/>
      <c r="AB183" s="143"/>
      <c r="AC183" s="143"/>
      <c r="AD183" s="143"/>
      <c r="AE183" s="143"/>
    </row>
    <row r="184">
      <c r="A184" s="9" t="s">
        <v>7797</v>
      </c>
      <c r="B184" s="9" t="s">
        <v>7798</v>
      </c>
      <c r="C184" s="9" t="s">
        <v>7799</v>
      </c>
      <c r="D184" s="9" t="s">
        <v>7800</v>
      </c>
      <c r="E184" s="9" t="s">
        <v>7784</v>
      </c>
      <c r="F184" s="143"/>
      <c r="G184" s="143"/>
      <c r="H184" s="143"/>
      <c r="I184" s="143"/>
      <c r="J184" s="143"/>
      <c r="K184" s="143"/>
      <c r="L184" s="143"/>
      <c r="M184" s="143"/>
      <c r="N184" s="143"/>
      <c r="O184" s="143"/>
      <c r="P184" s="143"/>
      <c r="Q184" s="143"/>
      <c r="R184" s="143"/>
      <c r="S184" s="143"/>
      <c r="T184" s="143"/>
      <c r="U184" s="143"/>
      <c r="V184" s="143"/>
      <c r="W184" s="143"/>
      <c r="X184" s="143"/>
      <c r="Y184" s="143"/>
      <c r="Z184" s="143"/>
      <c r="AA184" s="143"/>
      <c r="AB184" s="143"/>
      <c r="AC184" s="143"/>
      <c r="AD184" s="143"/>
      <c r="AE184" s="143"/>
    </row>
    <row r="185">
      <c r="A185" s="9" t="s">
        <v>7801</v>
      </c>
      <c r="B185" s="9" t="s">
        <v>7802</v>
      </c>
      <c r="C185" s="9" t="s">
        <v>7803</v>
      </c>
      <c r="D185" s="9" t="s">
        <v>7804</v>
      </c>
      <c r="E185" s="9" t="s">
        <v>7805</v>
      </c>
      <c r="F185" s="143"/>
      <c r="G185" s="143"/>
      <c r="H185" s="143"/>
      <c r="I185" s="143"/>
      <c r="J185" s="143"/>
      <c r="K185" s="143"/>
      <c r="L185" s="143"/>
      <c r="M185" s="143"/>
      <c r="N185" s="143"/>
      <c r="O185" s="143"/>
      <c r="P185" s="143"/>
      <c r="Q185" s="143"/>
      <c r="R185" s="143"/>
      <c r="S185" s="143"/>
      <c r="T185" s="143"/>
      <c r="U185" s="143"/>
      <c r="V185" s="143"/>
      <c r="W185" s="143"/>
      <c r="X185" s="143"/>
      <c r="Y185" s="143"/>
      <c r="Z185" s="143"/>
      <c r="AA185" s="143"/>
      <c r="AB185" s="143"/>
      <c r="AC185" s="143"/>
      <c r="AD185" s="143"/>
      <c r="AE185" s="143"/>
    </row>
    <row r="186">
      <c r="A186" s="9" t="s">
        <v>7806</v>
      </c>
      <c r="B186" s="9" t="s">
        <v>7807</v>
      </c>
      <c r="C186" s="9" t="s">
        <v>7808</v>
      </c>
      <c r="D186" s="9" t="s">
        <v>7809</v>
      </c>
      <c r="E186" s="9" t="s">
        <v>7805</v>
      </c>
      <c r="F186" s="143"/>
      <c r="G186" s="143"/>
      <c r="H186" s="143"/>
      <c r="I186" s="143"/>
      <c r="J186" s="143"/>
      <c r="K186" s="143"/>
      <c r="L186" s="143"/>
      <c r="M186" s="143"/>
      <c r="N186" s="143"/>
      <c r="O186" s="143"/>
      <c r="P186" s="143"/>
      <c r="Q186" s="143"/>
      <c r="R186" s="143"/>
      <c r="S186" s="143"/>
      <c r="T186" s="143"/>
      <c r="U186" s="143"/>
      <c r="V186" s="143"/>
      <c r="W186" s="143"/>
      <c r="X186" s="143"/>
      <c r="Y186" s="143"/>
      <c r="Z186" s="143"/>
      <c r="AA186" s="143"/>
      <c r="AB186" s="143"/>
      <c r="AC186" s="143"/>
      <c r="AD186" s="143"/>
      <c r="AE186" s="143"/>
    </row>
    <row r="187">
      <c r="A187" s="9" t="s">
        <v>7810</v>
      </c>
      <c r="B187" s="9" t="s">
        <v>7811</v>
      </c>
      <c r="C187" s="9" t="s">
        <v>7812</v>
      </c>
      <c r="D187" s="9" t="s">
        <v>7813</v>
      </c>
      <c r="E187" s="9" t="s">
        <v>7805</v>
      </c>
      <c r="F187" s="143"/>
      <c r="G187" s="143"/>
      <c r="H187" s="143"/>
      <c r="I187" s="143"/>
      <c r="J187" s="143"/>
      <c r="K187" s="143"/>
      <c r="L187" s="143"/>
      <c r="M187" s="143"/>
      <c r="N187" s="143"/>
      <c r="O187" s="143"/>
      <c r="P187" s="143"/>
      <c r="Q187" s="143"/>
      <c r="R187" s="143"/>
      <c r="S187" s="143"/>
      <c r="T187" s="143"/>
      <c r="U187" s="143"/>
      <c r="V187" s="143"/>
      <c r="W187" s="143"/>
      <c r="X187" s="143"/>
      <c r="Y187" s="143"/>
      <c r="Z187" s="143"/>
      <c r="AA187" s="143"/>
      <c r="AB187" s="143"/>
      <c r="AC187" s="143"/>
      <c r="AD187" s="143"/>
      <c r="AE187" s="143"/>
    </row>
    <row r="188">
      <c r="A188" s="9" t="s">
        <v>7814</v>
      </c>
      <c r="B188" s="9" t="s">
        <v>7815</v>
      </c>
      <c r="C188" s="9" t="s">
        <v>7816</v>
      </c>
      <c r="D188" s="9" t="s">
        <v>7817</v>
      </c>
      <c r="E188" s="9" t="s">
        <v>7818</v>
      </c>
      <c r="F188" s="143"/>
      <c r="G188" s="143"/>
      <c r="H188" s="143"/>
      <c r="I188" s="143"/>
      <c r="J188" s="143"/>
      <c r="K188" s="143"/>
      <c r="L188" s="143"/>
      <c r="M188" s="143"/>
      <c r="N188" s="143"/>
      <c r="O188" s="143"/>
      <c r="P188" s="143"/>
      <c r="Q188" s="143"/>
      <c r="R188" s="143"/>
      <c r="S188" s="143"/>
      <c r="T188" s="143"/>
      <c r="U188" s="143"/>
      <c r="V188" s="143"/>
      <c r="W188" s="143"/>
      <c r="X188" s="143"/>
      <c r="Y188" s="143"/>
      <c r="Z188" s="143"/>
      <c r="AA188" s="143"/>
      <c r="AB188" s="143"/>
      <c r="AC188" s="143"/>
      <c r="AD188" s="143"/>
      <c r="AE188" s="143"/>
    </row>
    <row r="189">
      <c r="A189" s="9" t="s">
        <v>7819</v>
      </c>
      <c r="B189" s="9" t="s">
        <v>7820</v>
      </c>
      <c r="C189" s="9" t="s">
        <v>7821</v>
      </c>
      <c r="D189" s="9" t="s">
        <v>7822</v>
      </c>
      <c r="E189" s="9" t="s">
        <v>7818</v>
      </c>
      <c r="F189" s="143"/>
      <c r="G189" s="143"/>
      <c r="H189" s="143"/>
      <c r="I189" s="143"/>
      <c r="J189" s="143"/>
      <c r="K189" s="143"/>
      <c r="L189" s="143"/>
      <c r="M189" s="143"/>
      <c r="N189" s="143"/>
      <c r="O189" s="143"/>
      <c r="P189" s="143"/>
      <c r="Q189" s="143"/>
      <c r="R189" s="143"/>
      <c r="S189" s="143"/>
      <c r="T189" s="143"/>
      <c r="U189" s="143"/>
      <c r="V189" s="143"/>
      <c r="W189" s="143"/>
      <c r="X189" s="143"/>
      <c r="Y189" s="143"/>
      <c r="Z189" s="143"/>
      <c r="AA189" s="143"/>
      <c r="AB189" s="143"/>
      <c r="AC189" s="143"/>
      <c r="AD189" s="143"/>
      <c r="AE189" s="143"/>
    </row>
    <row r="190">
      <c r="A190" s="9" t="s">
        <v>7823</v>
      </c>
      <c r="B190" s="9" t="s">
        <v>7824</v>
      </c>
      <c r="C190" s="9" t="s">
        <v>7825</v>
      </c>
      <c r="D190" s="9" t="s">
        <v>7826</v>
      </c>
      <c r="E190" s="9" t="s">
        <v>7818</v>
      </c>
      <c r="F190" s="143"/>
      <c r="G190" s="143"/>
      <c r="H190" s="143"/>
      <c r="I190" s="143"/>
      <c r="J190" s="143"/>
      <c r="K190" s="143"/>
      <c r="L190" s="143"/>
      <c r="M190" s="143"/>
      <c r="N190" s="143"/>
      <c r="O190" s="143"/>
      <c r="P190" s="143"/>
      <c r="Q190" s="143"/>
      <c r="R190" s="143"/>
      <c r="S190" s="143"/>
      <c r="T190" s="143"/>
      <c r="U190" s="143"/>
      <c r="V190" s="143"/>
      <c r="W190" s="143"/>
      <c r="X190" s="143"/>
      <c r="Y190" s="143"/>
      <c r="Z190" s="143"/>
      <c r="AA190" s="143"/>
      <c r="AB190" s="143"/>
      <c r="AC190" s="143"/>
      <c r="AD190" s="143"/>
      <c r="AE190" s="143"/>
    </row>
    <row r="191">
      <c r="A191" s="9" t="s">
        <v>7827</v>
      </c>
      <c r="B191" s="9" t="s">
        <v>7828</v>
      </c>
      <c r="C191" s="9" t="s">
        <v>7829</v>
      </c>
      <c r="D191" s="9" t="s">
        <v>7830</v>
      </c>
      <c r="E191" s="9" t="s">
        <v>7831</v>
      </c>
      <c r="F191" s="143"/>
      <c r="G191" s="143"/>
      <c r="H191" s="143"/>
      <c r="I191" s="143"/>
      <c r="J191" s="143"/>
      <c r="K191" s="143"/>
      <c r="L191" s="143"/>
      <c r="M191" s="143"/>
      <c r="N191" s="143"/>
      <c r="O191" s="143"/>
      <c r="P191" s="143"/>
      <c r="Q191" s="143"/>
      <c r="R191" s="143"/>
      <c r="S191" s="143"/>
      <c r="T191" s="143"/>
      <c r="U191" s="143"/>
      <c r="V191" s="143"/>
      <c r="W191" s="143"/>
      <c r="X191" s="143"/>
      <c r="Y191" s="143"/>
      <c r="Z191" s="143"/>
      <c r="AA191" s="143"/>
      <c r="AB191" s="143"/>
      <c r="AC191" s="143"/>
      <c r="AD191" s="143"/>
      <c r="AE191" s="143"/>
    </row>
    <row r="192">
      <c r="A192" s="9" t="s">
        <v>7832</v>
      </c>
      <c r="B192" s="9" t="s">
        <v>7833</v>
      </c>
      <c r="C192" s="9" t="s">
        <v>7834</v>
      </c>
      <c r="D192" s="9" t="s">
        <v>7835</v>
      </c>
      <c r="E192" s="9" t="s">
        <v>7831</v>
      </c>
      <c r="F192" s="143"/>
      <c r="G192" s="143"/>
      <c r="H192" s="143"/>
      <c r="I192" s="143"/>
      <c r="J192" s="143"/>
      <c r="K192" s="143"/>
      <c r="L192" s="143"/>
      <c r="M192" s="143"/>
      <c r="N192" s="143"/>
      <c r="O192" s="143"/>
      <c r="P192" s="143"/>
      <c r="Q192" s="143"/>
      <c r="R192" s="143"/>
      <c r="S192" s="143"/>
      <c r="T192" s="143"/>
      <c r="U192" s="143"/>
      <c r="V192" s="143"/>
      <c r="W192" s="143"/>
      <c r="X192" s="143"/>
      <c r="Y192" s="143"/>
      <c r="Z192" s="143"/>
      <c r="AA192" s="143"/>
      <c r="AB192" s="143"/>
      <c r="AC192" s="143"/>
      <c r="AD192" s="143"/>
      <c r="AE192" s="143"/>
    </row>
    <row r="193">
      <c r="A193" s="9" t="s">
        <v>7836</v>
      </c>
      <c r="B193" s="9" t="s">
        <v>7837</v>
      </c>
      <c r="C193" s="9" t="s">
        <v>7838</v>
      </c>
      <c r="D193" s="9" t="s">
        <v>7839</v>
      </c>
      <c r="E193" s="9" t="s">
        <v>7831</v>
      </c>
      <c r="F193" s="143"/>
      <c r="G193" s="143"/>
      <c r="H193" s="143"/>
      <c r="I193" s="143"/>
      <c r="J193" s="143"/>
      <c r="K193" s="143"/>
      <c r="L193" s="143"/>
      <c r="M193" s="143"/>
      <c r="N193" s="143"/>
      <c r="O193" s="143"/>
      <c r="P193" s="143"/>
      <c r="Q193" s="143"/>
      <c r="R193" s="143"/>
      <c r="S193" s="143"/>
      <c r="T193" s="143"/>
      <c r="U193" s="143"/>
      <c r="V193" s="143"/>
      <c r="W193" s="143"/>
      <c r="X193" s="143"/>
      <c r="Y193" s="143"/>
      <c r="Z193" s="143"/>
      <c r="AA193" s="143"/>
      <c r="AB193" s="143"/>
      <c r="AC193" s="143"/>
      <c r="AD193" s="143"/>
      <c r="AE193" s="143"/>
    </row>
    <row r="194">
      <c r="A194" s="9" t="s">
        <v>7840</v>
      </c>
      <c r="B194" s="9" t="s">
        <v>7841</v>
      </c>
      <c r="C194" s="9" t="s">
        <v>7842</v>
      </c>
      <c r="D194" s="9" t="s">
        <v>7843</v>
      </c>
      <c r="E194" s="9" t="s">
        <v>6096</v>
      </c>
      <c r="F194" s="143"/>
      <c r="G194" s="143"/>
      <c r="H194" s="143"/>
      <c r="I194" s="143"/>
      <c r="J194" s="143"/>
      <c r="K194" s="143"/>
      <c r="L194" s="143"/>
      <c r="M194" s="143"/>
      <c r="N194" s="143"/>
      <c r="O194" s="143"/>
      <c r="P194" s="143"/>
      <c r="Q194" s="143"/>
      <c r="R194" s="143"/>
      <c r="S194" s="143"/>
      <c r="T194" s="143"/>
      <c r="U194" s="143"/>
      <c r="V194" s="143"/>
      <c r="W194" s="143"/>
      <c r="X194" s="143"/>
      <c r="Y194" s="143"/>
      <c r="Z194" s="143"/>
      <c r="AA194" s="143"/>
      <c r="AB194" s="143"/>
      <c r="AC194" s="143"/>
      <c r="AD194" s="143"/>
      <c r="AE194" s="143"/>
    </row>
    <row r="195">
      <c r="A195" s="9" t="s">
        <v>7844</v>
      </c>
      <c r="B195" s="9" t="s">
        <v>7845</v>
      </c>
      <c r="C195" s="9" t="s">
        <v>7846</v>
      </c>
      <c r="D195" s="9" t="s">
        <v>7847</v>
      </c>
      <c r="E195" s="9" t="s">
        <v>6096</v>
      </c>
      <c r="F195" s="143"/>
      <c r="G195" s="143"/>
      <c r="H195" s="143"/>
      <c r="I195" s="143"/>
      <c r="J195" s="143"/>
      <c r="K195" s="143"/>
      <c r="L195" s="143"/>
      <c r="M195" s="143"/>
      <c r="N195" s="143"/>
      <c r="O195" s="143"/>
      <c r="P195" s="143"/>
      <c r="Q195" s="143"/>
      <c r="R195" s="143"/>
      <c r="S195" s="143"/>
      <c r="T195" s="143"/>
      <c r="U195" s="143"/>
      <c r="V195" s="143"/>
      <c r="W195" s="143"/>
      <c r="X195" s="143"/>
      <c r="Y195" s="143"/>
      <c r="Z195" s="143"/>
      <c r="AA195" s="143"/>
      <c r="AB195" s="143"/>
      <c r="AC195" s="143"/>
      <c r="AD195" s="143"/>
      <c r="AE195" s="143"/>
    </row>
    <row r="196">
      <c r="A196" s="9" t="s">
        <v>7848</v>
      </c>
      <c r="B196" s="9" t="s">
        <v>7849</v>
      </c>
      <c r="C196" s="9" t="s">
        <v>7850</v>
      </c>
      <c r="D196" s="9" t="s">
        <v>7851</v>
      </c>
      <c r="E196" s="9" t="s">
        <v>6096</v>
      </c>
      <c r="F196" s="143"/>
      <c r="G196" s="143"/>
      <c r="H196" s="143"/>
      <c r="I196" s="143"/>
      <c r="J196" s="143"/>
      <c r="K196" s="143"/>
      <c r="L196" s="143"/>
      <c r="M196" s="143"/>
      <c r="N196" s="143"/>
      <c r="O196" s="143"/>
      <c r="P196" s="143"/>
      <c r="Q196" s="143"/>
      <c r="R196" s="143"/>
      <c r="S196" s="143"/>
      <c r="T196" s="143"/>
      <c r="U196" s="143"/>
      <c r="V196" s="143"/>
      <c r="W196" s="143"/>
      <c r="X196" s="143"/>
      <c r="Y196" s="143"/>
      <c r="Z196" s="143"/>
      <c r="AA196" s="143"/>
      <c r="AB196" s="143"/>
      <c r="AC196" s="143"/>
      <c r="AD196" s="143"/>
      <c r="AE196" s="143"/>
    </row>
    <row r="197">
      <c r="A197" s="17" t="s">
        <v>7852</v>
      </c>
      <c r="B197" s="17" t="s">
        <v>7853</v>
      </c>
      <c r="C197" s="17" t="s">
        <v>7854</v>
      </c>
      <c r="D197" s="9" t="s">
        <v>7855</v>
      </c>
      <c r="E197" s="17" t="s">
        <v>7856</v>
      </c>
      <c r="F197" s="143"/>
      <c r="G197" s="143"/>
      <c r="H197" s="143"/>
      <c r="I197" s="143"/>
      <c r="J197" s="143"/>
      <c r="K197" s="143"/>
      <c r="L197" s="143"/>
      <c r="M197" s="143"/>
      <c r="N197" s="143"/>
      <c r="O197" s="143"/>
      <c r="P197" s="143"/>
      <c r="Q197" s="143"/>
      <c r="R197" s="143"/>
      <c r="S197" s="143"/>
      <c r="T197" s="143"/>
      <c r="U197" s="143"/>
      <c r="V197" s="143"/>
      <c r="W197" s="143"/>
      <c r="X197" s="143"/>
      <c r="Y197" s="143"/>
      <c r="Z197" s="143"/>
      <c r="AA197" s="143"/>
      <c r="AB197" s="143"/>
      <c r="AC197" s="143"/>
      <c r="AD197" s="143"/>
      <c r="AE197" s="143"/>
    </row>
    <row r="198">
      <c r="A198" s="17" t="s">
        <v>7857</v>
      </c>
      <c r="B198" s="17" t="s">
        <v>7858</v>
      </c>
      <c r="C198" s="17" t="s">
        <v>7859</v>
      </c>
      <c r="D198" s="9" t="s">
        <v>7860</v>
      </c>
      <c r="E198" s="17" t="s">
        <v>7856</v>
      </c>
      <c r="F198" s="143"/>
      <c r="G198" s="143"/>
      <c r="H198" s="143"/>
      <c r="I198" s="143"/>
      <c r="J198" s="143"/>
      <c r="K198" s="143"/>
      <c r="L198" s="143"/>
      <c r="M198" s="143"/>
      <c r="N198" s="143"/>
      <c r="O198" s="143"/>
      <c r="P198" s="143"/>
      <c r="Q198" s="143"/>
      <c r="R198" s="143"/>
      <c r="S198" s="143"/>
      <c r="T198" s="143"/>
      <c r="U198" s="143"/>
      <c r="V198" s="143"/>
      <c r="W198" s="143"/>
      <c r="X198" s="143"/>
      <c r="Y198" s="143"/>
      <c r="Z198" s="143"/>
      <c r="AA198" s="143"/>
      <c r="AB198" s="143"/>
      <c r="AC198" s="143"/>
      <c r="AD198" s="143"/>
      <c r="AE198" s="143"/>
    </row>
    <row r="199">
      <c r="A199" s="17" t="s">
        <v>7861</v>
      </c>
      <c r="B199" s="17" t="s">
        <v>7862</v>
      </c>
      <c r="C199" s="17" t="s">
        <v>7863</v>
      </c>
      <c r="D199" s="9" t="s">
        <v>7864</v>
      </c>
      <c r="E199" s="17" t="s">
        <v>7856</v>
      </c>
      <c r="F199" s="143"/>
      <c r="G199" s="143"/>
      <c r="H199" s="143"/>
      <c r="I199" s="143"/>
      <c r="J199" s="143"/>
      <c r="K199" s="143"/>
      <c r="L199" s="143"/>
      <c r="M199" s="143"/>
      <c r="N199" s="143"/>
      <c r="O199" s="143"/>
      <c r="P199" s="143"/>
      <c r="Q199" s="143"/>
      <c r="R199" s="143"/>
      <c r="S199" s="143"/>
      <c r="T199" s="143"/>
      <c r="U199" s="143"/>
      <c r="V199" s="143"/>
      <c r="W199" s="143"/>
      <c r="X199" s="143"/>
      <c r="Y199" s="143"/>
      <c r="Z199" s="143"/>
      <c r="AA199" s="143"/>
      <c r="AB199" s="143"/>
      <c r="AC199" s="143"/>
      <c r="AD199" s="143"/>
      <c r="AE199" s="143"/>
    </row>
    <row r="200">
      <c r="A200" s="17" t="s">
        <v>7865</v>
      </c>
      <c r="B200" s="17" t="s">
        <v>7866</v>
      </c>
      <c r="C200" s="17" t="s">
        <v>7867</v>
      </c>
      <c r="D200" s="9" t="s">
        <v>7868</v>
      </c>
      <c r="E200" s="17" t="s">
        <v>7869</v>
      </c>
      <c r="F200" s="143"/>
      <c r="G200" s="143"/>
      <c r="H200" s="143"/>
      <c r="I200" s="143"/>
      <c r="J200" s="143"/>
      <c r="K200" s="143"/>
      <c r="L200" s="143"/>
      <c r="M200" s="143"/>
      <c r="N200" s="143"/>
      <c r="O200" s="143"/>
      <c r="P200" s="143"/>
      <c r="Q200" s="143"/>
      <c r="R200" s="143"/>
      <c r="S200" s="143"/>
      <c r="T200" s="143"/>
      <c r="U200" s="143"/>
      <c r="V200" s="143"/>
      <c r="W200" s="143"/>
      <c r="X200" s="143"/>
      <c r="Y200" s="143"/>
      <c r="Z200" s="143"/>
      <c r="AA200" s="143"/>
      <c r="AB200" s="143"/>
      <c r="AC200" s="143"/>
      <c r="AD200" s="143"/>
      <c r="AE200" s="143"/>
    </row>
    <row r="201">
      <c r="A201" s="17" t="s">
        <v>7870</v>
      </c>
      <c r="B201" s="17" t="s">
        <v>7871</v>
      </c>
      <c r="C201" s="17" t="s">
        <v>7872</v>
      </c>
      <c r="D201" s="9" t="s">
        <v>7873</v>
      </c>
      <c r="E201" s="17" t="s">
        <v>7869</v>
      </c>
      <c r="F201" s="143"/>
      <c r="G201" s="143"/>
      <c r="H201" s="143"/>
      <c r="I201" s="143"/>
      <c r="J201" s="143"/>
      <c r="K201" s="143"/>
      <c r="L201" s="143"/>
      <c r="M201" s="143"/>
      <c r="N201" s="143"/>
      <c r="O201" s="143"/>
      <c r="P201" s="143"/>
      <c r="Q201" s="143"/>
      <c r="R201" s="143"/>
      <c r="S201" s="143"/>
      <c r="T201" s="143"/>
      <c r="U201" s="143"/>
      <c r="V201" s="143"/>
      <c r="W201" s="143"/>
      <c r="X201" s="143"/>
      <c r="Y201" s="143"/>
      <c r="Z201" s="143"/>
      <c r="AA201" s="143"/>
      <c r="AB201" s="143"/>
      <c r="AC201" s="143"/>
      <c r="AD201" s="143"/>
      <c r="AE201" s="143"/>
    </row>
    <row r="202">
      <c r="A202" s="17" t="s">
        <v>7874</v>
      </c>
      <c r="B202" s="17" t="s">
        <v>7875</v>
      </c>
      <c r="C202" s="17" t="s">
        <v>7876</v>
      </c>
      <c r="D202" s="9" t="s">
        <v>7877</v>
      </c>
      <c r="E202" s="17" t="s">
        <v>7869</v>
      </c>
      <c r="F202" s="143"/>
      <c r="G202" s="143"/>
      <c r="H202" s="143"/>
      <c r="I202" s="143"/>
      <c r="J202" s="143"/>
      <c r="K202" s="143"/>
      <c r="L202" s="143"/>
      <c r="M202" s="143"/>
      <c r="N202" s="143"/>
      <c r="O202" s="143"/>
      <c r="P202" s="143"/>
      <c r="Q202" s="143"/>
      <c r="R202" s="143"/>
      <c r="S202" s="143"/>
      <c r="T202" s="143"/>
      <c r="U202" s="143"/>
      <c r="V202" s="143"/>
      <c r="W202" s="143"/>
      <c r="X202" s="143"/>
      <c r="Y202" s="143"/>
      <c r="Z202" s="143"/>
      <c r="AA202" s="143"/>
      <c r="AB202" s="143"/>
      <c r="AC202" s="143"/>
      <c r="AD202" s="143"/>
      <c r="AE202" s="143"/>
    </row>
    <row r="203">
      <c r="A203" s="9" t="s">
        <v>7878</v>
      </c>
      <c r="B203" s="9" t="s">
        <v>7879</v>
      </c>
      <c r="C203" s="9" t="s">
        <v>7880</v>
      </c>
      <c r="D203" s="9" t="s">
        <v>7881</v>
      </c>
      <c r="E203" s="9" t="s">
        <v>7882</v>
      </c>
      <c r="F203" s="143"/>
      <c r="G203" s="143"/>
      <c r="H203" s="143"/>
      <c r="I203" s="143"/>
      <c r="J203" s="143"/>
      <c r="K203" s="143"/>
      <c r="L203" s="143"/>
      <c r="M203" s="143"/>
      <c r="N203" s="143"/>
      <c r="O203" s="143"/>
      <c r="P203" s="143"/>
      <c r="Q203" s="143"/>
      <c r="R203" s="143"/>
      <c r="S203" s="143"/>
      <c r="T203" s="143"/>
      <c r="U203" s="143"/>
      <c r="V203" s="143"/>
      <c r="W203" s="143"/>
      <c r="X203" s="143"/>
      <c r="Y203" s="143"/>
      <c r="Z203" s="143"/>
      <c r="AA203" s="143"/>
      <c r="AB203" s="143"/>
      <c r="AC203" s="143"/>
      <c r="AD203" s="143"/>
      <c r="AE203" s="143"/>
    </row>
    <row r="204">
      <c r="A204" s="9" t="s">
        <v>7883</v>
      </c>
      <c r="B204" s="9" t="s">
        <v>7884</v>
      </c>
      <c r="C204" s="9" t="s">
        <v>7885</v>
      </c>
      <c r="D204" s="9" t="s">
        <v>7886</v>
      </c>
      <c r="E204" s="9" t="s">
        <v>7882</v>
      </c>
      <c r="F204" s="143"/>
      <c r="G204" s="143"/>
      <c r="H204" s="143"/>
      <c r="I204" s="143"/>
      <c r="J204" s="143"/>
      <c r="K204" s="143"/>
      <c r="L204" s="143"/>
      <c r="M204" s="143"/>
      <c r="N204" s="143"/>
      <c r="O204" s="143"/>
      <c r="P204" s="143"/>
      <c r="Q204" s="143"/>
      <c r="R204" s="143"/>
      <c r="S204" s="143"/>
      <c r="T204" s="143"/>
      <c r="U204" s="143"/>
      <c r="V204" s="143"/>
      <c r="W204" s="143"/>
      <c r="X204" s="143"/>
      <c r="Y204" s="143"/>
      <c r="Z204" s="143"/>
      <c r="AA204" s="143"/>
      <c r="AB204" s="143"/>
      <c r="AC204" s="143"/>
      <c r="AD204" s="143"/>
      <c r="AE204" s="143"/>
    </row>
    <row r="205">
      <c r="A205" s="9" t="s">
        <v>7887</v>
      </c>
      <c r="B205" s="9" t="s">
        <v>7888</v>
      </c>
      <c r="C205" s="9" t="s">
        <v>7889</v>
      </c>
      <c r="D205" s="9" t="s">
        <v>7890</v>
      </c>
      <c r="E205" s="9" t="s">
        <v>7882</v>
      </c>
      <c r="F205" s="143"/>
      <c r="G205" s="143"/>
      <c r="H205" s="143"/>
      <c r="I205" s="143"/>
      <c r="J205" s="143"/>
      <c r="K205" s="143"/>
      <c r="L205" s="143"/>
      <c r="M205" s="143"/>
      <c r="N205" s="143"/>
      <c r="O205" s="143"/>
      <c r="P205" s="143"/>
      <c r="Q205" s="143"/>
      <c r="R205" s="143"/>
      <c r="S205" s="143"/>
      <c r="T205" s="143"/>
      <c r="U205" s="143"/>
      <c r="V205" s="143"/>
      <c r="W205" s="143"/>
      <c r="X205" s="143"/>
      <c r="Y205" s="143"/>
      <c r="Z205" s="143"/>
      <c r="AA205" s="143"/>
      <c r="AB205" s="143"/>
      <c r="AC205" s="143"/>
      <c r="AD205" s="143"/>
      <c r="AE205" s="143"/>
    </row>
    <row r="206">
      <c r="A206" s="9" t="s">
        <v>7891</v>
      </c>
      <c r="B206" s="9" t="s">
        <v>7892</v>
      </c>
      <c r="C206" s="9" t="s">
        <v>7893</v>
      </c>
      <c r="D206" s="9" t="s">
        <v>7894</v>
      </c>
      <c r="E206" s="9" t="s">
        <v>7895</v>
      </c>
      <c r="F206" s="143"/>
      <c r="G206" s="143"/>
      <c r="H206" s="143"/>
      <c r="I206" s="143"/>
      <c r="J206" s="143"/>
      <c r="K206" s="143"/>
      <c r="L206" s="143"/>
      <c r="M206" s="143"/>
      <c r="N206" s="143"/>
      <c r="O206" s="143"/>
      <c r="P206" s="143"/>
      <c r="Q206" s="143"/>
      <c r="R206" s="143"/>
      <c r="S206" s="143"/>
      <c r="T206" s="143"/>
      <c r="U206" s="143"/>
      <c r="V206" s="143"/>
      <c r="W206" s="143"/>
      <c r="X206" s="143"/>
      <c r="Y206" s="143"/>
      <c r="Z206" s="143"/>
      <c r="AA206" s="143"/>
      <c r="AB206" s="143"/>
      <c r="AC206" s="143"/>
      <c r="AD206" s="143"/>
      <c r="AE206" s="143"/>
    </row>
    <row r="207">
      <c r="A207" s="9" t="s">
        <v>7896</v>
      </c>
      <c r="B207" s="9" t="s">
        <v>7897</v>
      </c>
      <c r="C207" s="9" t="s">
        <v>7898</v>
      </c>
      <c r="D207" s="9" t="s">
        <v>7899</v>
      </c>
      <c r="E207" s="9" t="s">
        <v>7895</v>
      </c>
      <c r="F207" s="143"/>
      <c r="G207" s="143"/>
      <c r="H207" s="143"/>
      <c r="I207" s="143"/>
      <c r="J207" s="143"/>
      <c r="K207" s="143"/>
      <c r="L207" s="143"/>
      <c r="M207" s="143"/>
      <c r="N207" s="143"/>
      <c r="O207" s="143"/>
      <c r="P207" s="143"/>
      <c r="Q207" s="143"/>
      <c r="R207" s="143"/>
      <c r="S207" s="143"/>
      <c r="T207" s="143"/>
      <c r="U207" s="143"/>
      <c r="V207" s="143"/>
      <c r="W207" s="143"/>
      <c r="X207" s="143"/>
      <c r="Y207" s="143"/>
      <c r="Z207" s="143"/>
      <c r="AA207" s="143"/>
      <c r="AB207" s="143"/>
      <c r="AC207" s="143"/>
      <c r="AD207" s="143"/>
      <c r="AE207" s="143"/>
    </row>
    <row r="208">
      <c r="A208" s="9" t="s">
        <v>7900</v>
      </c>
      <c r="B208" s="9" t="s">
        <v>7901</v>
      </c>
      <c r="C208" s="9" t="s">
        <v>7902</v>
      </c>
      <c r="D208" s="9" t="s">
        <v>7903</v>
      </c>
      <c r="E208" s="9" t="s">
        <v>7895</v>
      </c>
      <c r="F208" s="143"/>
      <c r="G208" s="143"/>
      <c r="H208" s="143"/>
      <c r="I208" s="143"/>
      <c r="J208" s="143"/>
      <c r="K208" s="143"/>
      <c r="L208" s="143"/>
      <c r="M208" s="143"/>
      <c r="N208" s="143"/>
      <c r="O208" s="143"/>
      <c r="P208" s="143"/>
      <c r="Q208" s="143"/>
      <c r="R208" s="143"/>
      <c r="S208" s="143"/>
      <c r="T208" s="143"/>
      <c r="U208" s="143"/>
      <c r="V208" s="143"/>
      <c r="W208" s="143"/>
      <c r="X208" s="143"/>
      <c r="Y208" s="143"/>
      <c r="Z208" s="143"/>
      <c r="AA208" s="143"/>
      <c r="AB208" s="143"/>
      <c r="AC208" s="143"/>
      <c r="AD208" s="143"/>
      <c r="AE208" s="143"/>
    </row>
    <row r="209">
      <c r="A209" s="9" t="s">
        <v>7904</v>
      </c>
      <c r="B209" s="9" t="s">
        <v>7905</v>
      </c>
      <c r="C209" s="9" t="s">
        <v>7906</v>
      </c>
      <c r="D209" s="9" t="s">
        <v>7907</v>
      </c>
      <c r="E209" s="9" t="s">
        <v>7908</v>
      </c>
      <c r="F209" s="143"/>
      <c r="G209" s="143"/>
      <c r="H209" s="143"/>
      <c r="I209" s="143"/>
      <c r="J209" s="143"/>
      <c r="K209" s="143"/>
      <c r="L209" s="143"/>
      <c r="M209" s="143"/>
      <c r="N209" s="143"/>
      <c r="O209" s="143"/>
      <c r="P209" s="143"/>
      <c r="Q209" s="143"/>
      <c r="R209" s="143"/>
      <c r="S209" s="143"/>
      <c r="T209" s="143"/>
      <c r="U209" s="143"/>
      <c r="V209" s="143"/>
      <c r="W209" s="143"/>
      <c r="X209" s="143"/>
      <c r="Y209" s="143"/>
      <c r="Z209" s="143"/>
      <c r="AA209" s="143"/>
      <c r="AB209" s="143"/>
      <c r="AC209" s="143"/>
      <c r="AD209" s="143"/>
      <c r="AE209" s="143"/>
    </row>
    <row r="210">
      <c r="A210" s="9" t="s">
        <v>7909</v>
      </c>
      <c r="B210" s="9" t="s">
        <v>7910</v>
      </c>
      <c r="C210" s="9" t="s">
        <v>7911</v>
      </c>
      <c r="D210" s="9" t="s">
        <v>7912</v>
      </c>
      <c r="E210" s="9" t="s">
        <v>7913</v>
      </c>
      <c r="F210" s="143"/>
      <c r="G210" s="143"/>
      <c r="H210" s="143"/>
      <c r="I210" s="143"/>
      <c r="J210" s="143"/>
      <c r="K210" s="143"/>
      <c r="L210" s="143"/>
      <c r="M210" s="143"/>
      <c r="N210" s="143"/>
      <c r="O210" s="143"/>
      <c r="P210" s="143"/>
      <c r="Q210" s="143"/>
      <c r="R210" s="143"/>
      <c r="S210" s="143"/>
      <c r="T210" s="143"/>
      <c r="U210" s="143"/>
      <c r="V210" s="143"/>
      <c r="W210" s="143"/>
      <c r="X210" s="143"/>
      <c r="Y210" s="143"/>
      <c r="Z210" s="143"/>
      <c r="AA210" s="143"/>
      <c r="AB210" s="143"/>
      <c r="AC210" s="143"/>
      <c r="AD210" s="143"/>
      <c r="AE210" s="143"/>
    </row>
    <row r="211">
      <c r="A211" s="9" t="s">
        <v>7914</v>
      </c>
      <c r="B211" s="9" t="s">
        <v>7915</v>
      </c>
      <c r="C211" s="9" t="s">
        <v>7916</v>
      </c>
      <c r="D211" s="29" t="s">
        <v>7917</v>
      </c>
      <c r="E211" s="9" t="s">
        <v>7918</v>
      </c>
      <c r="F211" s="143"/>
      <c r="G211" s="143"/>
      <c r="H211" s="143"/>
      <c r="I211" s="143"/>
      <c r="J211" s="143"/>
      <c r="K211" s="143"/>
      <c r="L211" s="143"/>
      <c r="M211" s="143"/>
      <c r="N211" s="143"/>
      <c r="O211" s="143"/>
      <c r="P211" s="143"/>
      <c r="Q211" s="143"/>
      <c r="R211" s="143"/>
      <c r="S211" s="143"/>
      <c r="T211" s="143"/>
      <c r="U211" s="143"/>
      <c r="V211" s="143"/>
      <c r="W211" s="143"/>
      <c r="X211" s="143"/>
      <c r="Y211" s="143"/>
      <c r="Z211" s="143"/>
      <c r="AA211" s="143"/>
      <c r="AB211" s="143"/>
      <c r="AC211" s="143"/>
      <c r="AD211" s="143"/>
      <c r="AE211" s="143"/>
    </row>
    <row r="212">
      <c r="A212" s="9" t="s">
        <v>7919</v>
      </c>
      <c r="B212" s="9" t="s">
        <v>7920</v>
      </c>
      <c r="C212" s="9" t="s">
        <v>7921</v>
      </c>
      <c r="D212" s="9" t="s">
        <v>7922</v>
      </c>
      <c r="E212" s="9" t="s">
        <v>7923</v>
      </c>
      <c r="F212" s="143"/>
      <c r="G212" s="143"/>
      <c r="H212" s="143"/>
      <c r="I212" s="143"/>
      <c r="J212" s="143"/>
      <c r="K212" s="143"/>
      <c r="L212" s="143"/>
      <c r="M212" s="143"/>
      <c r="N212" s="143"/>
      <c r="O212" s="143"/>
      <c r="P212" s="143"/>
      <c r="Q212" s="143"/>
      <c r="R212" s="143"/>
      <c r="S212" s="143"/>
      <c r="T212" s="143"/>
      <c r="U212" s="143"/>
      <c r="V212" s="143"/>
      <c r="W212" s="143"/>
      <c r="X212" s="143"/>
      <c r="Y212" s="143"/>
      <c r="Z212" s="143"/>
      <c r="AA212" s="143"/>
      <c r="AB212" s="143"/>
      <c r="AC212" s="143"/>
      <c r="AD212" s="143"/>
      <c r="AE212" s="143"/>
    </row>
    <row r="213">
      <c r="A213" s="9" t="s">
        <v>7924</v>
      </c>
      <c r="B213" s="9" t="s">
        <v>7925</v>
      </c>
      <c r="C213" s="9" t="s">
        <v>7926</v>
      </c>
      <c r="D213" s="9" t="s">
        <v>7927</v>
      </c>
      <c r="E213" s="9" t="s">
        <v>7928</v>
      </c>
      <c r="F213" s="143"/>
      <c r="G213" s="143"/>
      <c r="H213" s="143"/>
      <c r="I213" s="143"/>
      <c r="J213" s="143"/>
      <c r="K213" s="143"/>
      <c r="L213" s="143"/>
      <c r="M213" s="143"/>
      <c r="N213" s="143"/>
      <c r="O213" s="143"/>
      <c r="P213" s="143"/>
      <c r="Q213" s="143"/>
      <c r="R213" s="143"/>
      <c r="S213" s="143"/>
      <c r="T213" s="143"/>
      <c r="U213" s="143"/>
      <c r="V213" s="143"/>
      <c r="W213" s="143"/>
      <c r="X213" s="143"/>
      <c r="Y213" s="143"/>
      <c r="Z213" s="143"/>
      <c r="AA213" s="143"/>
      <c r="AB213" s="143"/>
      <c r="AC213" s="143"/>
      <c r="AD213" s="143"/>
      <c r="AE213" s="143"/>
    </row>
    <row r="214">
      <c r="A214" s="9" t="s">
        <v>7929</v>
      </c>
      <c r="B214" s="9" t="s">
        <v>7930</v>
      </c>
      <c r="C214" s="9" t="s">
        <v>7931</v>
      </c>
      <c r="D214" s="29" t="s">
        <v>7932</v>
      </c>
      <c r="E214" s="9" t="s">
        <v>7933</v>
      </c>
      <c r="F214" s="143"/>
      <c r="G214" s="143"/>
      <c r="H214" s="143"/>
      <c r="I214" s="143"/>
      <c r="J214" s="143"/>
      <c r="K214" s="143"/>
      <c r="L214" s="143"/>
      <c r="M214" s="143"/>
      <c r="N214" s="143"/>
      <c r="O214" s="143"/>
      <c r="P214" s="143"/>
      <c r="Q214" s="143"/>
      <c r="R214" s="143"/>
      <c r="S214" s="143"/>
      <c r="T214" s="143"/>
      <c r="U214" s="143"/>
      <c r="V214" s="143"/>
      <c r="W214" s="143"/>
      <c r="X214" s="143"/>
      <c r="Y214" s="143"/>
      <c r="Z214" s="143"/>
      <c r="AA214" s="143"/>
      <c r="AB214" s="143"/>
      <c r="AC214" s="143"/>
      <c r="AD214" s="143"/>
      <c r="AE214" s="143"/>
    </row>
    <row r="215">
      <c r="A215" s="9" t="s">
        <v>7934</v>
      </c>
      <c r="B215" s="9" t="s">
        <v>7935</v>
      </c>
      <c r="C215" s="9" t="s">
        <v>7936</v>
      </c>
      <c r="D215" s="29" t="s">
        <v>7937</v>
      </c>
      <c r="E215" s="9" t="s">
        <v>7933</v>
      </c>
      <c r="F215" s="143"/>
      <c r="G215" s="143"/>
      <c r="H215" s="143"/>
      <c r="I215" s="143"/>
      <c r="J215" s="143"/>
      <c r="K215" s="143"/>
      <c r="L215" s="143"/>
      <c r="M215" s="143"/>
      <c r="N215" s="143"/>
      <c r="O215" s="143"/>
      <c r="P215" s="143"/>
      <c r="Q215" s="143"/>
      <c r="R215" s="143"/>
      <c r="S215" s="143"/>
      <c r="T215" s="143"/>
      <c r="U215" s="143"/>
      <c r="V215" s="143"/>
      <c r="W215" s="143"/>
      <c r="X215" s="143"/>
      <c r="Y215" s="143"/>
      <c r="Z215" s="143"/>
      <c r="AA215" s="143"/>
      <c r="AB215" s="143"/>
      <c r="AC215" s="143"/>
      <c r="AD215" s="143"/>
      <c r="AE215" s="143"/>
    </row>
    <row r="216">
      <c r="A216" s="9" t="s">
        <v>7938</v>
      </c>
      <c r="B216" s="9" t="s">
        <v>7939</v>
      </c>
      <c r="C216" s="9" t="s">
        <v>7940</v>
      </c>
      <c r="D216" s="9" t="s">
        <v>7941</v>
      </c>
      <c r="E216" s="9" t="s">
        <v>7942</v>
      </c>
      <c r="F216" s="143"/>
      <c r="G216" s="143"/>
      <c r="H216" s="143"/>
      <c r="I216" s="143"/>
      <c r="J216" s="143"/>
      <c r="K216" s="143"/>
      <c r="L216" s="143"/>
      <c r="M216" s="143"/>
      <c r="N216" s="143"/>
      <c r="O216" s="143"/>
      <c r="P216" s="143"/>
      <c r="Q216" s="143"/>
      <c r="R216" s="143"/>
      <c r="S216" s="143"/>
      <c r="T216" s="143"/>
      <c r="U216" s="143"/>
      <c r="V216" s="143"/>
      <c r="W216" s="143"/>
      <c r="X216" s="143"/>
      <c r="Y216" s="143"/>
      <c r="Z216" s="143"/>
      <c r="AA216" s="143"/>
      <c r="AB216" s="143"/>
      <c r="AC216" s="143"/>
      <c r="AD216" s="143"/>
      <c r="AE216" s="143"/>
    </row>
    <row r="217">
      <c r="A217" s="9" t="s">
        <v>7943</v>
      </c>
      <c r="B217" s="9" t="s">
        <v>7944</v>
      </c>
      <c r="C217" s="9" t="s">
        <v>7945</v>
      </c>
      <c r="D217" s="29" t="s">
        <v>7946</v>
      </c>
      <c r="E217" s="9" t="s">
        <v>7947</v>
      </c>
      <c r="F217" s="143"/>
      <c r="G217" s="143"/>
      <c r="H217" s="143"/>
      <c r="I217" s="143"/>
      <c r="J217" s="143"/>
      <c r="K217" s="143"/>
      <c r="L217" s="143"/>
      <c r="M217" s="143"/>
      <c r="N217" s="143"/>
      <c r="O217" s="143"/>
      <c r="P217" s="143"/>
      <c r="Q217" s="143"/>
      <c r="R217" s="143"/>
      <c r="S217" s="143"/>
      <c r="T217" s="143"/>
      <c r="U217" s="143"/>
      <c r="V217" s="143"/>
      <c r="W217" s="143"/>
      <c r="X217" s="143"/>
      <c r="Y217" s="143"/>
      <c r="Z217" s="143"/>
      <c r="AA217" s="143"/>
      <c r="AB217" s="143"/>
      <c r="AC217" s="143"/>
      <c r="AD217" s="143"/>
      <c r="AE217" s="143"/>
    </row>
    <row r="218">
      <c r="A218" s="9" t="s">
        <v>7948</v>
      </c>
      <c r="B218" s="9" t="s">
        <v>7949</v>
      </c>
      <c r="C218" s="9" t="s">
        <v>7950</v>
      </c>
      <c r="D218" s="29" t="s">
        <v>7951</v>
      </c>
      <c r="E218" s="9" t="s">
        <v>7947</v>
      </c>
      <c r="F218" s="143"/>
      <c r="G218" s="143"/>
      <c r="H218" s="143"/>
      <c r="I218" s="143"/>
      <c r="J218" s="143"/>
      <c r="K218" s="143"/>
      <c r="L218" s="143"/>
      <c r="M218" s="143"/>
      <c r="N218" s="143"/>
      <c r="O218" s="143"/>
      <c r="P218" s="143"/>
      <c r="Q218" s="143"/>
      <c r="R218" s="143"/>
      <c r="S218" s="143"/>
      <c r="T218" s="143"/>
      <c r="U218" s="143"/>
      <c r="V218" s="143"/>
      <c r="W218" s="143"/>
      <c r="X218" s="143"/>
      <c r="Y218" s="143"/>
      <c r="Z218" s="143"/>
      <c r="AA218" s="143"/>
      <c r="AB218" s="143"/>
      <c r="AC218" s="143"/>
      <c r="AD218" s="143"/>
      <c r="AE218" s="143"/>
    </row>
    <row r="219">
      <c r="A219" s="34" t="s">
        <v>7952</v>
      </c>
      <c r="B219" s="34" t="s">
        <v>7953</v>
      </c>
      <c r="C219" s="34" t="s">
        <v>7954</v>
      </c>
      <c r="D219" s="34" t="s">
        <v>7955</v>
      </c>
      <c r="E219" s="34" t="s">
        <v>7947</v>
      </c>
      <c r="F219" s="147"/>
      <c r="G219" s="147"/>
      <c r="H219" s="147"/>
      <c r="I219" s="147"/>
      <c r="J219" s="147"/>
      <c r="K219" s="147"/>
      <c r="L219" s="147"/>
      <c r="M219" s="147"/>
      <c r="N219" s="147"/>
      <c r="O219" s="147"/>
      <c r="P219" s="147"/>
      <c r="Q219" s="147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  <c r="AD219" s="147"/>
      <c r="AE219" s="147"/>
    </row>
    <row r="220">
      <c r="A220" s="9" t="s">
        <v>7956</v>
      </c>
      <c r="B220" s="9" t="s">
        <v>7957</v>
      </c>
      <c r="C220" s="9" t="s">
        <v>7958</v>
      </c>
      <c r="D220" s="9" t="s">
        <v>7959</v>
      </c>
      <c r="E220" s="9" t="s">
        <v>7960</v>
      </c>
      <c r="F220" s="143"/>
      <c r="G220" s="143"/>
      <c r="H220" s="143"/>
      <c r="I220" s="143"/>
      <c r="J220" s="143"/>
      <c r="K220" s="143"/>
      <c r="L220" s="143"/>
      <c r="M220" s="143"/>
      <c r="N220" s="143"/>
      <c r="O220" s="143"/>
      <c r="P220" s="143"/>
      <c r="Q220" s="143"/>
      <c r="R220" s="143"/>
      <c r="S220" s="143"/>
      <c r="T220" s="143"/>
      <c r="U220" s="143"/>
      <c r="V220" s="143"/>
      <c r="W220" s="143"/>
      <c r="X220" s="143"/>
      <c r="Y220" s="143"/>
      <c r="Z220" s="143"/>
      <c r="AA220" s="146"/>
      <c r="AB220" s="146"/>
      <c r="AC220" s="146"/>
      <c r="AD220" s="146"/>
      <c r="AE220" s="146"/>
    </row>
    <row r="221">
      <c r="A221" s="9" t="s">
        <v>7961</v>
      </c>
      <c r="B221" s="9" t="s">
        <v>7962</v>
      </c>
      <c r="C221" s="9" t="s">
        <v>7963</v>
      </c>
      <c r="D221" s="9" t="s">
        <v>7964</v>
      </c>
      <c r="E221" s="9" t="s">
        <v>7960</v>
      </c>
      <c r="F221" s="143"/>
      <c r="G221" s="143"/>
      <c r="H221" s="143"/>
      <c r="I221" s="143"/>
      <c r="J221" s="143"/>
      <c r="K221" s="143"/>
      <c r="L221" s="143"/>
      <c r="M221" s="143"/>
      <c r="N221" s="143"/>
      <c r="O221" s="143"/>
      <c r="P221" s="143"/>
      <c r="Q221" s="143"/>
      <c r="R221" s="143"/>
      <c r="S221" s="143"/>
      <c r="T221" s="143"/>
      <c r="U221" s="143"/>
      <c r="V221" s="143"/>
      <c r="W221" s="143"/>
      <c r="X221" s="143"/>
      <c r="Y221" s="143"/>
      <c r="Z221" s="143"/>
      <c r="AA221" s="143"/>
      <c r="AB221" s="143"/>
      <c r="AC221" s="143"/>
      <c r="AD221" s="143"/>
      <c r="AE221" s="143"/>
    </row>
    <row r="222">
      <c r="A222" s="9" t="s">
        <v>7965</v>
      </c>
      <c r="B222" s="9" t="s">
        <v>7966</v>
      </c>
      <c r="C222" s="9" t="s">
        <v>7967</v>
      </c>
      <c r="D222" s="9" t="s">
        <v>7968</v>
      </c>
      <c r="E222" s="9" t="s">
        <v>7960</v>
      </c>
      <c r="F222" s="143"/>
      <c r="G222" s="143"/>
      <c r="H222" s="143"/>
      <c r="I222" s="143"/>
      <c r="J222" s="143"/>
      <c r="K222" s="143"/>
      <c r="L222" s="143"/>
      <c r="M222" s="143"/>
      <c r="N222" s="143"/>
      <c r="O222" s="143"/>
      <c r="P222" s="143"/>
      <c r="Q222" s="143"/>
      <c r="R222" s="143"/>
      <c r="S222" s="143"/>
      <c r="T222" s="143"/>
      <c r="U222" s="143"/>
      <c r="V222" s="143"/>
      <c r="W222" s="143"/>
      <c r="X222" s="143"/>
      <c r="Y222" s="143"/>
      <c r="Z222" s="143"/>
      <c r="AA222" s="143"/>
      <c r="AB222" s="143"/>
      <c r="AC222" s="143"/>
      <c r="AD222" s="143"/>
      <c r="AE222" s="143"/>
    </row>
    <row r="223">
      <c r="A223" s="9" t="s">
        <v>7969</v>
      </c>
      <c r="B223" s="9" t="s">
        <v>7970</v>
      </c>
      <c r="C223" s="9" t="s">
        <v>7971</v>
      </c>
      <c r="D223" s="9" t="s">
        <v>7972</v>
      </c>
      <c r="E223" s="9" t="s">
        <v>7973</v>
      </c>
      <c r="F223" s="143"/>
      <c r="G223" s="143"/>
      <c r="H223" s="143"/>
      <c r="I223" s="143"/>
      <c r="J223" s="143"/>
      <c r="K223" s="143"/>
      <c r="L223" s="143"/>
      <c r="M223" s="143"/>
      <c r="N223" s="143"/>
      <c r="O223" s="143"/>
      <c r="P223" s="143"/>
      <c r="Q223" s="143"/>
      <c r="R223" s="143"/>
      <c r="S223" s="143"/>
      <c r="T223" s="143"/>
      <c r="U223" s="143"/>
      <c r="V223" s="143"/>
      <c r="W223" s="143"/>
      <c r="X223" s="143"/>
      <c r="Y223" s="143"/>
      <c r="Z223" s="143"/>
      <c r="AA223" s="143"/>
      <c r="AB223" s="143"/>
      <c r="AC223" s="143"/>
      <c r="AD223" s="143"/>
      <c r="AE223" s="143"/>
    </row>
    <row r="224">
      <c r="A224" s="9" t="s">
        <v>7974</v>
      </c>
      <c r="B224" s="9" t="s">
        <v>7975</v>
      </c>
      <c r="C224" s="9" t="s">
        <v>7976</v>
      </c>
      <c r="D224" s="9" t="s">
        <v>7977</v>
      </c>
      <c r="E224" s="9" t="s">
        <v>7973</v>
      </c>
      <c r="F224" s="143"/>
      <c r="G224" s="143"/>
      <c r="H224" s="143"/>
      <c r="I224" s="143"/>
      <c r="J224" s="143"/>
      <c r="K224" s="143"/>
      <c r="L224" s="143"/>
      <c r="M224" s="143"/>
      <c r="N224" s="143"/>
      <c r="O224" s="143"/>
      <c r="P224" s="143"/>
      <c r="Q224" s="143"/>
      <c r="R224" s="143"/>
      <c r="S224" s="143"/>
      <c r="T224" s="143"/>
      <c r="U224" s="143"/>
      <c r="V224" s="143"/>
      <c r="W224" s="143"/>
      <c r="X224" s="143"/>
      <c r="Y224" s="143"/>
      <c r="Z224" s="143"/>
      <c r="AA224" s="143"/>
      <c r="AB224" s="143"/>
      <c r="AC224" s="143"/>
      <c r="AD224" s="143"/>
      <c r="AE224" s="143"/>
    </row>
    <row r="225">
      <c r="A225" s="9" t="s">
        <v>7978</v>
      </c>
      <c r="B225" s="9" t="s">
        <v>7979</v>
      </c>
      <c r="C225" s="9" t="s">
        <v>7980</v>
      </c>
      <c r="D225" s="9" t="s">
        <v>7981</v>
      </c>
      <c r="E225" s="9" t="s">
        <v>7982</v>
      </c>
      <c r="F225" s="143"/>
      <c r="G225" s="143"/>
      <c r="H225" s="143"/>
      <c r="I225" s="143"/>
      <c r="J225" s="143"/>
      <c r="K225" s="143"/>
      <c r="L225" s="143"/>
      <c r="M225" s="143"/>
      <c r="N225" s="143"/>
      <c r="O225" s="143"/>
      <c r="P225" s="143"/>
      <c r="Q225" s="143"/>
      <c r="R225" s="143"/>
      <c r="S225" s="143"/>
      <c r="T225" s="143"/>
      <c r="U225" s="143"/>
      <c r="V225" s="143"/>
      <c r="W225" s="143"/>
      <c r="X225" s="143"/>
      <c r="Y225" s="143"/>
      <c r="Z225" s="143"/>
      <c r="AA225" s="143"/>
      <c r="AB225" s="143"/>
      <c r="AC225" s="143"/>
      <c r="AD225" s="143"/>
      <c r="AE225" s="143"/>
    </row>
    <row r="226">
      <c r="A226" s="9" t="s">
        <v>7983</v>
      </c>
      <c r="B226" s="9" t="s">
        <v>7984</v>
      </c>
      <c r="C226" s="9" t="s">
        <v>7985</v>
      </c>
      <c r="D226" s="9" t="s">
        <v>7986</v>
      </c>
      <c r="E226" s="9" t="s">
        <v>7982</v>
      </c>
      <c r="F226" s="143"/>
      <c r="G226" s="143"/>
      <c r="H226" s="143"/>
      <c r="I226" s="143"/>
      <c r="J226" s="143"/>
      <c r="K226" s="143"/>
      <c r="L226" s="143"/>
      <c r="M226" s="143"/>
      <c r="N226" s="143"/>
      <c r="O226" s="143"/>
      <c r="P226" s="143"/>
      <c r="Q226" s="143"/>
      <c r="R226" s="143"/>
      <c r="S226" s="143"/>
      <c r="T226" s="143"/>
      <c r="U226" s="143"/>
      <c r="V226" s="143"/>
      <c r="W226" s="143"/>
      <c r="X226" s="143"/>
      <c r="Y226" s="143"/>
      <c r="Z226" s="143"/>
      <c r="AA226" s="143"/>
      <c r="AB226" s="143"/>
      <c r="AC226" s="143"/>
      <c r="AD226" s="143"/>
      <c r="AE226" s="143"/>
    </row>
    <row r="227">
      <c r="A227" s="9" t="s">
        <v>7987</v>
      </c>
      <c r="B227" s="9" t="s">
        <v>7988</v>
      </c>
      <c r="C227" s="9" t="s">
        <v>7989</v>
      </c>
      <c r="D227" s="9" t="s">
        <v>7990</v>
      </c>
      <c r="E227" s="9" t="s">
        <v>7991</v>
      </c>
      <c r="F227" s="143"/>
      <c r="G227" s="143"/>
      <c r="H227" s="143"/>
      <c r="I227" s="143"/>
      <c r="J227" s="143"/>
      <c r="K227" s="143"/>
      <c r="L227" s="143"/>
      <c r="M227" s="143"/>
      <c r="N227" s="143"/>
      <c r="O227" s="143"/>
      <c r="P227" s="143"/>
      <c r="Q227" s="143"/>
      <c r="R227" s="143"/>
      <c r="S227" s="143"/>
      <c r="T227" s="143"/>
      <c r="U227" s="143"/>
      <c r="V227" s="143"/>
      <c r="W227" s="143"/>
      <c r="X227" s="143"/>
      <c r="Y227" s="143"/>
      <c r="Z227" s="143"/>
      <c r="AA227" s="143"/>
      <c r="AB227" s="143"/>
      <c r="AC227" s="143"/>
      <c r="AD227" s="143"/>
      <c r="AE227" s="143"/>
    </row>
    <row r="228">
      <c r="A228" s="27" t="s">
        <v>7992</v>
      </c>
      <c r="B228" s="27" t="s">
        <v>7993</v>
      </c>
      <c r="C228" s="27" t="s">
        <v>7994</v>
      </c>
      <c r="D228" s="27" t="s">
        <v>7995</v>
      </c>
      <c r="E228" s="27" t="s">
        <v>7991</v>
      </c>
      <c r="F228" s="148"/>
      <c r="G228" s="148"/>
      <c r="H228" s="148"/>
      <c r="I228" s="148"/>
      <c r="J228" s="148"/>
      <c r="K228" s="148"/>
      <c r="L228" s="148"/>
      <c r="M228" s="148"/>
      <c r="N228" s="148"/>
      <c r="O228" s="148"/>
      <c r="P228" s="148"/>
      <c r="Q228" s="148"/>
      <c r="R228" s="148"/>
      <c r="S228" s="148"/>
      <c r="T228" s="148"/>
      <c r="U228" s="148"/>
      <c r="V228" s="148"/>
      <c r="W228" s="148"/>
      <c r="X228" s="148"/>
      <c r="Y228" s="148"/>
      <c r="Z228" s="148"/>
      <c r="AA228" s="148"/>
      <c r="AB228" s="148"/>
      <c r="AC228" s="148"/>
      <c r="AD228" s="148"/>
      <c r="AE228" s="148"/>
    </row>
    <row r="229">
      <c r="A229" s="9" t="s">
        <v>7996</v>
      </c>
      <c r="B229" s="9" t="s">
        <v>7997</v>
      </c>
      <c r="C229" s="9" t="s">
        <v>7998</v>
      </c>
      <c r="D229" s="9" t="s">
        <v>7999</v>
      </c>
      <c r="E229" s="9" t="s">
        <v>7991</v>
      </c>
      <c r="F229" s="143"/>
      <c r="G229" s="143"/>
      <c r="H229" s="143"/>
      <c r="I229" s="143"/>
      <c r="J229" s="143"/>
      <c r="K229" s="143"/>
      <c r="L229" s="143"/>
      <c r="M229" s="143"/>
      <c r="N229" s="143"/>
      <c r="O229" s="143"/>
      <c r="P229" s="143"/>
      <c r="Q229" s="143"/>
      <c r="R229" s="143"/>
      <c r="S229" s="143"/>
      <c r="T229" s="143"/>
      <c r="U229" s="143"/>
      <c r="V229" s="143"/>
      <c r="W229" s="143"/>
      <c r="X229" s="143"/>
      <c r="Y229" s="143"/>
      <c r="Z229" s="143"/>
      <c r="AA229" s="145"/>
      <c r="AB229" s="145"/>
      <c r="AC229" s="145"/>
      <c r="AD229" s="145"/>
      <c r="AE229" s="145"/>
    </row>
    <row r="230">
      <c r="A230" s="29" t="s">
        <v>8000</v>
      </c>
      <c r="B230" s="29" t="s">
        <v>8001</v>
      </c>
      <c r="C230" s="29" t="s">
        <v>8002</v>
      </c>
      <c r="D230" s="29" t="s">
        <v>8003</v>
      </c>
      <c r="E230" s="29" t="s">
        <v>8004</v>
      </c>
      <c r="F230" s="146"/>
      <c r="G230" s="146"/>
      <c r="H230" s="146"/>
      <c r="I230" s="146"/>
      <c r="J230" s="146"/>
      <c r="K230" s="146"/>
      <c r="L230" s="146"/>
      <c r="M230" s="146"/>
      <c r="N230" s="146"/>
      <c r="O230" s="146"/>
      <c r="P230" s="146"/>
      <c r="Q230" s="146"/>
      <c r="R230" s="146"/>
      <c r="S230" s="146"/>
      <c r="T230" s="146"/>
      <c r="U230" s="146"/>
      <c r="V230" s="146"/>
      <c r="W230" s="146"/>
      <c r="X230" s="146"/>
      <c r="Y230" s="146"/>
      <c r="Z230" s="146"/>
      <c r="AA230" s="146"/>
      <c r="AB230" s="146"/>
      <c r="AC230" s="146"/>
      <c r="AD230" s="146"/>
      <c r="AE230" s="146"/>
    </row>
    <row r="231">
      <c r="A231" s="34" t="s">
        <v>8005</v>
      </c>
      <c r="B231" s="34" t="s">
        <v>8006</v>
      </c>
      <c r="C231" s="34" t="s">
        <v>8007</v>
      </c>
      <c r="D231" s="34" t="s">
        <v>8008</v>
      </c>
      <c r="E231" s="34" t="s">
        <v>8004</v>
      </c>
      <c r="F231" s="147"/>
      <c r="G231" s="147"/>
      <c r="H231" s="147"/>
      <c r="I231" s="147"/>
      <c r="J231" s="147"/>
      <c r="K231" s="147"/>
      <c r="L231" s="147"/>
      <c r="M231" s="147"/>
      <c r="N231" s="147"/>
      <c r="O231" s="147"/>
      <c r="P231" s="147"/>
      <c r="Q231" s="147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  <c r="AD231" s="147"/>
      <c r="AE231" s="147"/>
    </row>
    <row r="232">
      <c r="A232" s="29" t="s">
        <v>8009</v>
      </c>
      <c r="B232" s="29" t="s">
        <v>8010</v>
      </c>
      <c r="C232" s="29" t="s">
        <v>8011</v>
      </c>
      <c r="D232" s="29" t="s">
        <v>8012</v>
      </c>
      <c r="E232" s="29" t="s">
        <v>8013</v>
      </c>
      <c r="F232" s="146"/>
      <c r="G232" s="146"/>
      <c r="H232" s="146"/>
      <c r="I232" s="146"/>
      <c r="J232" s="146"/>
      <c r="K232" s="146"/>
      <c r="L232" s="146"/>
      <c r="M232" s="146"/>
      <c r="N232" s="146"/>
      <c r="O232" s="146"/>
      <c r="P232" s="146"/>
      <c r="Q232" s="146"/>
      <c r="R232" s="146"/>
      <c r="S232" s="146"/>
      <c r="T232" s="146"/>
      <c r="U232" s="146"/>
      <c r="V232" s="146"/>
      <c r="W232" s="146"/>
      <c r="X232" s="146"/>
      <c r="Y232" s="146"/>
      <c r="Z232" s="146"/>
      <c r="AA232" s="146"/>
      <c r="AB232" s="146"/>
      <c r="AC232" s="146"/>
      <c r="AD232" s="146"/>
      <c r="AE232" s="146"/>
    </row>
    <row r="233">
      <c r="A233" s="29" t="s">
        <v>8014</v>
      </c>
      <c r="B233" s="29" t="s">
        <v>8015</v>
      </c>
      <c r="C233" s="29" t="s">
        <v>8016</v>
      </c>
      <c r="D233" s="29" t="s">
        <v>8017</v>
      </c>
      <c r="E233" s="29" t="s">
        <v>8013</v>
      </c>
      <c r="F233" s="146"/>
      <c r="G233" s="146"/>
      <c r="H233" s="146"/>
      <c r="I233" s="146"/>
      <c r="J233" s="146"/>
      <c r="K233" s="146"/>
      <c r="L233" s="146"/>
      <c r="M233" s="146"/>
      <c r="N233" s="146"/>
      <c r="O233" s="146"/>
      <c r="P233" s="146"/>
      <c r="Q233" s="146"/>
      <c r="R233" s="146"/>
      <c r="S233" s="146"/>
      <c r="T233" s="146"/>
      <c r="U233" s="146"/>
      <c r="V233" s="146"/>
      <c r="W233" s="146"/>
      <c r="X233" s="146"/>
      <c r="Y233" s="146"/>
      <c r="Z233" s="146"/>
      <c r="AA233" s="146"/>
      <c r="AB233" s="146"/>
      <c r="AC233" s="146"/>
      <c r="AD233" s="146"/>
      <c r="AE233" s="146"/>
    </row>
    <row r="234">
      <c r="A234" s="29" t="s">
        <v>8018</v>
      </c>
      <c r="B234" s="29" t="s">
        <v>8019</v>
      </c>
      <c r="C234" s="29" t="s">
        <v>8020</v>
      </c>
      <c r="D234" s="29" t="s">
        <v>8021</v>
      </c>
      <c r="E234" s="29" t="s">
        <v>8013</v>
      </c>
      <c r="F234" s="146"/>
      <c r="G234" s="146"/>
      <c r="H234" s="146"/>
      <c r="I234" s="146"/>
      <c r="J234" s="146"/>
      <c r="K234" s="146"/>
      <c r="L234" s="146"/>
      <c r="M234" s="146"/>
      <c r="N234" s="146"/>
      <c r="O234" s="146"/>
      <c r="P234" s="146"/>
      <c r="Q234" s="146"/>
      <c r="R234" s="146"/>
      <c r="S234" s="146"/>
      <c r="T234" s="146"/>
      <c r="U234" s="146"/>
      <c r="V234" s="146"/>
      <c r="W234" s="146"/>
      <c r="X234" s="146"/>
      <c r="Y234" s="146"/>
      <c r="Z234" s="146"/>
      <c r="AA234" s="146"/>
      <c r="AB234" s="146"/>
      <c r="AC234" s="146"/>
      <c r="AD234" s="146"/>
      <c r="AE234" s="146"/>
    </row>
    <row r="235">
      <c r="A235" s="9" t="s">
        <v>8022</v>
      </c>
      <c r="B235" s="9" t="s">
        <v>8023</v>
      </c>
      <c r="C235" s="9" t="s">
        <v>8024</v>
      </c>
      <c r="D235" s="9" t="s">
        <v>8025</v>
      </c>
      <c r="E235" s="9" t="s">
        <v>8026</v>
      </c>
      <c r="F235" s="143"/>
      <c r="G235" s="143"/>
      <c r="H235" s="143"/>
      <c r="I235" s="143"/>
      <c r="J235" s="143"/>
      <c r="K235" s="143"/>
      <c r="L235" s="143"/>
      <c r="M235" s="143"/>
      <c r="N235" s="143"/>
      <c r="O235" s="143"/>
      <c r="P235" s="143"/>
      <c r="Q235" s="143"/>
      <c r="R235" s="143"/>
      <c r="S235" s="143"/>
      <c r="T235" s="143"/>
      <c r="U235" s="143"/>
      <c r="V235" s="143"/>
      <c r="W235" s="143"/>
      <c r="X235" s="143"/>
      <c r="Y235" s="143"/>
      <c r="Z235" s="143"/>
      <c r="AA235" s="145"/>
      <c r="AB235" s="145"/>
      <c r="AC235" s="145"/>
      <c r="AD235" s="145"/>
      <c r="AE235" s="145"/>
    </row>
    <row r="236">
      <c r="A236" s="9" t="s">
        <v>8027</v>
      </c>
      <c r="B236" s="9" t="s">
        <v>8028</v>
      </c>
      <c r="C236" s="9" t="s">
        <v>8029</v>
      </c>
      <c r="D236" s="9" t="s">
        <v>8030</v>
      </c>
      <c r="E236" s="9" t="s">
        <v>8031</v>
      </c>
      <c r="F236" s="143"/>
      <c r="G236" s="143"/>
      <c r="H236" s="143"/>
      <c r="I236" s="143"/>
      <c r="J236" s="143"/>
      <c r="K236" s="143"/>
      <c r="L236" s="143"/>
      <c r="M236" s="143"/>
      <c r="N236" s="143"/>
      <c r="O236" s="143"/>
      <c r="P236" s="143"/>
      <c r="Q236" s="143"/>
      <c r="R236" s="143"/>
      <c r="S236" s="143"/>
      <c r="T236" s="143"/>
      <c r="U236" s="143"/>
      <c r="V236" s="143"/>
      <c r="W236" s="143"/>
      <c r="X236" s="143"/>
      <c r="Y236" s="143"/>
      <c r="Z236" s="143"/>
      <c r="AA236" s="145"/>
      <c r="AB236" s="145"/>
      <c r="AC236" s="145"/>
      <c r="AD236" s="145"/>
      <c r="AE236" s="145"/>
    </row>
    <row r="237">
      <c r="A237" s="17" t="s">
        <v>8032</v>
      </c>
      <c r="B237" s="17" t="s">
        <v>8033</v>
      </c>
      <c r="C237" s="17" t="s">
        <v>8034</v>
      </c>
      <c r="D237" s="9" t="s">
        <v>8035</v>
      </c>
      <c r="E237" s="17" t="s">
        <v>8036</v>
      </c>
      <c r="F237" s="143"/>
      <c r="G237" s="143"/>
      <c r="H237" s="143"/>
      <c r="I237" s="143"/>
      <c r="J237" s="143"/>
      <c r="K237" s="143"/>
      <c r="L237" s="143"/>
      <c r="M237" s="143"/>
      <c r="N237" s="143"/>
      <c r="O237" s="143"/>
      <c r="P237" s="143"/>
      <c r="Q237" s="143"/>
      <c r="R237" s="143"/>
      <c r="S237" s="143"/>
      <c r="T237" s="143"/>
      <c r="U237" s="143"/>
      <c r="V237" s="143"/>
      <c r="W237" s="143"/>
      <c r="X237" s="143"/>
      <c r="Y237" s="143"/>
      <c r="Z237" s="143"/>
      <c r="AA237" s="145"/>
      <c r="AB237" s="145"/>
      <c r="AC237" s="145"/>
      <c r="AD237" s="145"/>
      <c r="AE237" s="145"/>
    </row>
    <row r="238">
      <c r="A238" s="17" t="s">
        <v>8037</v>
      </c>
      <c r="B238" s="17" t="s">
        <v>8038</v>
      </c>
      <c r="C238" s="17" t="s">
        <v>8039</v>
      </c>
      <c r="D238" s="9" t="s">
        <v>8040</v>
      </c>
      <c r="E238" s="17" t="s">
        <v>8036</v>
      </c>
      <c r="F238" s="143"/>
      <c r="G238" s="143"/>
      <c r="H238" s="143"/>
      <c r="I238" s="143"/>
      <c r="J238" s="143"/>
      <c r="K238" s="143"/>
      <c r="L238" s="143"/>
      <c r="M238" s="143"/>
      <c r="N238" s="143"/>
      <c r="O238" s="143"/>
      <c r="P238" s="143"/>
      <c r="Q238" s="143"/>
      <c r="R238" s="143"/>
      <c r="S238" s="143"/>
      <c r="T238" s="143"/>
      <c r="U238" s="143"/>
      <c r="V238" s="143"/>
      <c r="W238" s="143"/>
      <c r="X238" s="143"/>
      <c r="Y238" s="143"/>
      <c r="Z238" s="143"/>
      <c r="AA238" s="145"/>
      <c r="AB238" s="145"/>
      <c r="AC238" s="145"/>
      <c r="AD238" s="145"/>
      <c r="AE238" s="145"/>
    </row>
    <row r="239">
      <c r="A239" s="17" t="s">
        <v>8041</v>
      </c>
      <c r="B239" s="17" t="s">
        <v>8042</v>
      </c>
      <c r="C239" s="17" t="s">
        <v>8043</v>
      </c>
      <c r="D239" s="9" t="s">
        <v>8044</v>
      </c>
      <c r="E239" s="17" t="s">
        <v>8036</v>
      </c>
      <c r="F239" s="143"/>
      <c r="G239" s="143"/>
      <c r="H239" s="143"/>
      <c r="I239" s="143"/>
      <c r="J239" s="143"/>
      <c r="K239" s="143"/>
      <c r="L239" s="143"/>
      <c r="M239" s="143"/>
      <c r="N239" s="143"/>
      <c r="O239" s="143"/>
      <c r="P239" s="143"/>
      <c r="Q239" s="143"/>
      <c r="R239" s="143"/>
      <c r="S239" s="143"/>
      <c r="T239" s="143"/>
      <c r="U239" s="143"/>
      <c r="V239" s="143"/>
      <c r="W239" s="143"/>
      <c r="X239" s="143"/>
      <c r="Y239" s="143"/>
      <c r="Z239" s="143"/>
      <c r="AA239" s="145"/>
      <c r="AB239" s="145"/>
      <c r="AC239" s="145"/>
      <c r="AD239" s="145"/>
      <c r="AE239" s="145"/>
    </row>
    <row r="240">
      <c r="A240" s="9" t="s">
        <v>8045</v>
      </c>
      <c r="B240" s="9" t="s">
        <v>8046</v>
      </c>
      <c r="C240" s="9" t="s">
        <v>8047</v>
      </c>
      <c r="D240" s="29" t="s">
        <v>8048</v>
      </c>
      <c r="E240" s="9" t="s">
        <v>8049</v>
      </c>
      <c r="F240" s="143"/>
      <c r="G240" s="143"/>
      <c r="H240" s="143"/>
      <c r="I240" s="143"/>
      <c r="J240" s="143"/>
      <c r="K240" s="143"/>
      <c r="L240" s="143"/>
      <c r="M240" s="143"/>
      <c r="N240" s="143"/>
      <c r="O240" s="143"/>
      <c r="P240" s="143"/>
      <c r="Q240" s="143"/>
      <c r="R240" s="143"/>
      <c r="S240" s="143"/>
      <c r="T240" s="143"/>
      <c r="U240" s="143"/>
      <c r="V240" s="143"/>
      <c r="W240" s="143"/>
      <c r="X240" s="143"/>
      <c r="Y240" s="143"/>
      <c r="Z240" s="143"/>
      <c r="AA240" s="145"/>
      <c r="AB240" s="145"/>
      <c r="AC240" s="145"/>
      <c r="AD240" s="145"/>
      <c r="AE240" s="145"/>
    </row>
    <row r="241">
      <c r="A241" s="9" t="s">
        <v>8050</v>
      </c>
      <c r="B241" s="9" t="s">
        <v>8051</v>
      </c>
      <c r="C241" s="9" t="s">
        <v>8052</v>
      </c>
      <c r="D241" s="29" t="s">
        <v>8053</v>
      </c>
      <c r="E241" s="9" t="s">
        <v>8049</v>
      </c>
      <c r="F241" s="143"/>
      <c r="G241" s="143"/>
      <c r="H241" s="143"/>
      <c r="I241" s="143"/>
      <c r="J241" s="143"/>
      <c r="K241" s="143"/>
      <c r="L241" s="143"/>
      <c r="M241" s="143"/>
      <c r="N241" s="143"/>
      <c r="O241" s="143"/>
      <c r="P241" s="143"/>
      <c r="Q241" s="143"/>
      <c r="R241" s="143"/>
      <c r="S241" s="143"/>
      <c r="T241" s="143"/>
      <c r="U241" s="143"/>
      <c r="V241" s="143"/>
      <c r="W241" s="143"/>
      <c r="X241" s="143"/>
      <c r="Y241" s="143"/>
      <c r="Z241" s="143"/>
      <c r="AA241" s="145"/>
      <c r="AB241" s="145"/>
      <c r="AC241" s="145"/>
      <c r="AD241" s="145"/>
      <c r="AE241" s="145"/>
    </row>
    <row r="242">
      <c r="A242" s="9" t="s">
        <v>8054</v>
      </c>
      <c r="B242" s="9" t="s">
        <v>8055</v>
      </c>
      <c r="C242" s="90" t="s">
        <v>8056</v>
      </c>
      <c r="D242" s="9" t="s">
        <v>8057</v>
      </c>
      <c r="E242" s="90" t="s">
        <v>1350</v>
      </c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  <c r="AA242" s="149"/>
      <c r="AB242" s="149"/>
      <c r="AC242" s="149"/>
      <c r="AD242" s="149"/>
      <c r="AE242" s="149"/>
    </row>
    <row r="243">
      <c r="A243" s="9" t="s">
        <v>8058</v>
      </c>
      <c r="B243" s="9" t="s">
        <v>8059</v>
      </c>
      <c r="C243" s="90" t="s">
        <v>8056</v>
      </c>
      <c r="D243" s="9" t="s">
        <v>8060</v>
      </c>
      <c r="E243" s="90" t="s">
        <v>1350</v>
      </c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  <c r="AA243" s="149"/>
      <c r="AB243" s="149"/>
      <c r="AC243" s="149"/>
      <c r="AD243" s="149"/>
      <c r="AE243" s="149"/>
    </row>
    <row r="244">
      <c r="A244" s="9" t="s">
        <v>8061</v>
      </c>
      <c r="B244" s="9" t="s">
        <v>8062</v>
      </c>
      <c r="C244" s="90" t="s">
        <v>8063</v>
      </c>
      <c r="D244" s="9" t="s">
        <v>8064</v>
      </c>
      <c r="E244" s="90" t="s">
        <v>1350</v>
      </c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  <c r="AA244" s="149"/>
      <c r="AB244" s="149"/>
      <c r="AC244" s="149"/>
      <c r="AD244" s="149"/>
      <c r="AE244" s="149"/>
    </row>
    <row r="245">
      <c r="A245" s="29" t="s">
        <v>8065</v>
      </c>
      <c r="B245" s="29" t="s">
        <v>8066</v>
      </c>
      <c r="C245" s="90" t="s">
        <v>8067</v>
      </c>
      <c r="D245" s="9" t="s">
        <v>8068</v>
      </c>
      <c r="E245" s="90" t="s">
        <v>254</v>
      </c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  <c r="AA245" s="149"/>
      <c r="AB245" s="149"/>
      <c r="AC245" s="149"/>
      <c r="AD245" s="149"/>
      <c r="AE245" s="149"/>
    </row>
    <row r="246">
      <c r="A246" s="29" t="s">
        <v>8069</v>
      </c>
      <c r="B246" s="29" t="s">
        <v>8070</v>
      </c>
      <c r="C246" s="90" t="s">
        <v>8071</v>
      </c>
      <c r="D246" s="9" t="s">
        <v>8072</v>
      </c>
      <c r="E246" s="90" t="s">
        <v>254</v>
      </c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  <c r="AA246" s="149"/>
      <c r="AB246" s="149"/>
      <c r="AC246" s="149"/>
      <c r="AD246" s="149"/>
      <c r="AE246" s="149"/>
    </row>
    <row r="247">
      <c r="A247" s="9" t="s">
        <v>8073</v>
      </c>
      <c r="B247" s="9" t="s">
        <v>8074</v>
      </c>
      <c r="C247" s="90" t="s">
        <v>8075</v>
      </c>
      <c r="D247" s="9" t="s">
        <v>8076</v>
      </c>
      <c r="E247" s="90" t="s">
        <v>1378</v>
      </c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  <c r="AA247" s="149"/>
      <c r="AB247" s="149"/>
      <c r="AC247" s="149"/>
      <c r="AD247" s="149"/>
      <c r="AE247" s="149"/>
    </row>
    <row r="248">
      <c r="A248" s="9" t="s">
        <v>8077</v>
      </c>
      <c r="B248" s="9" t="s">
        <v>8078</v>
      </c>
      <c r="C248" s="90" t="s">
        <v>8079</v>
      </c>
      <c r="D248" s="9" t="s">
        <v>8080</v>
      </c>
      <c r="E248" s="90" t="s">
        <v>1378</v>
      </c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  <c r="AA248" s="149"/>
      <c r="AB248" s="149"/>
      <c r="AC248" s="149"/>
      <c r="AD248" s="149"/>
      <c r="AE248" s="149"/>
    </row>
    <row r="249">
      <c r="A249" s="9" t="s">
        <v>8081</v>
      </c>
      <c r="B249" s="150" t="s">
        <v>8082</v>
      </c>
      <c r="C249" s="90" t="s">
        <v>8083</v>
      </c>
      <c r="D249" s="9" t="s">
        <v>8084</v>
      </c>
      <c r="E249" s="142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  <c r="AA249" s="149"/>
      <c r="AB249" s="149"/>
      <c r="AC249" s="149"/>
      <c r="AD249" s="149"/>
      <c r="AE249" s="149"/>
    </row>
    <row r="250">
      <c r="A250" s="29"/>
      <c r="B250" s="142"/>
      <c r="C250" s="142"/>
      <c r="D250" s="20"/>
      <c r="E250" s="142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  <c r="AA250" s="149"/>
      <c r="AB250" s="149"/>
      <c r="AC250" s="149"/>
      <c r="AD250" s="149"/>
      <c r="AE250" s="149"/>
    </row>
    <row r="251">
      <c r="A251" s="9"/>
      <c r="B251" s="142"/>
      <c r="C251" s="142"/>
      <c r="D251" s="20"/>
      <c r="E251" s="142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  <c r="AA251" s="149"/>
      <c r="AB251" s="149"/>
      <c r="AC251" s="149"/>
      <c r="AD251" s="149"/>
      <c r="AE251" s="149"/>
    </row>
    <row r="252">
      <c r="A252" s="9"/>
      <c r="B252" s="142"/>
      <c r="C252" s="142"/>
      <c r="D252" s="20"/>
      <c r="E252" s="142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  <c r="AA252" s="149"/>
      <c r="AB252" s="149"/>
      <c r="AC252" s="149"/>
      <c r="AD252" s="149"/>
      <c r="AE252" s="149"/>
    </row>
    <row r="253">
      <c r="A253" s="29"/>
      <c r="B253" s="151"/>
      <c r="C253" s="151"/>
      <c r="D253" s="12"/>
      <c r="E253" s="151"/>
      <c r="F253" s="152"/>
      <c r="G253" s="152"/>
      <c r="H253" s="152"/>
      <c r="I253" s="152"/>
      <c r="J253" s="152"/>
      <c r="K253" s="152"/>
      <c r="L253" s="152"/>
      <c r="M253" s="152"/>
      <c r="N253" s="152"/>
      <c r="O253" s="152"/>
      <c r="P253" s="152"/>
      <c r="Q253" s="152"/>
      <c r="R253" s="152"/>
      <c r="S253" s="152"/>
      <c r="T253" s="152"/>
      <c r="U253" s="152"/>
      <c r="V253" s="152"/>
      <c r="W253" s="152"/>
      <c r="X253" s="152"/>
      <c r="Y253" s="152"/>
      <c r="Z253" s="152"/>
      <c r="AA253" s="152"/>
      <c r="AB253" s="152"/>
      <c r="AC253" s="152"/>
      <c r="AD253" s="152"/>
      <c r="AE253" s="152"/>
    </row>
    <row r="254">
      <c r="A254" s="29"/>
      <c r="B254" s="151"/>
      <c r="C254" s="151"/>
      <c r="D254" s="12"/>
      <c r="E254" s="151"/>
      <c r="F254" s="152"/>
      <c r="G254" s="152"/>
      <c r="H254" s="152"/>
      <c r="I254" s="152"/>
      <c r="J254" s="152"/>
      <c r="K254" s="152"/>
      <c r="L254" s="152"/>
      <c r="M254" s="152"/>
      <c r="N254" s="152"/>
      <c r="O254" s="152"/>
      <c r="P254" s="152"/>
      <c r="Q254" s="152"/>
      <c r="R254" s="152"/>
      <c r="S254" s="152"/>
      <c r="T254" s="152"/>
      <c r="U254" s="152"/>
      <c r="V254" s="152"/>
      <c r="W254" s="152"/>
      <c r="X254" s="152"/>
      <c r="Y254" s="152"/>
      <c r="Z254" s="152"/>
      <c r="AA254" s="152"/>
      <c r="AB254" s="152"/>
      <c r="AC254" s="152"/>
      <c r="AD254" s="152"/>
      <c r="AE254" s="152"/>
    </row>
    <row r="255">
      <c r="A255" s="56"/>
      <c r="B255" s="151"/>
      <c r="C255" s="151"/>
      <c r="D255" s="12"/>
      <c r="E255" s="151"/>
      <c r="F255" s="152"/>
      <c r="G255" s="152"/>
      <c r="H255" s="152"/>
      <c r="I255" s="152"/>
      <c r="J255" s="152"/>
      <c r="K255" s="152"/>
      <c r="L255" s="152"/>
      <c r="M255" s="152"/>
      <c r="N255" s="152"/>
      <c r="O255" s="152"/>
      <c r="P255" s="152"/>
      <c r="Q255" s="152"/>
      <c r="R255" s="152"/>
      <c r="S255" s="152"/>
      <c r="T255" s="152"/>
      <c r="U255" s="152"/>
      <c r="V255" s="152"/>
      <c r="W255" s="152"/>
      <c r="X255" s="152"/>
      <c r="Y255" s="152"/>
      <c r="Z255" s="152"/>
      <c r="AA255" s="152"/>
      <c r="AB255" s="152"/>
      <c r="AC255" s="152"/>
      <c r="AD255" s="152"/>
      <c r="AE255" s="152"/>
    </row>
    <row r="256">
      <c r="A256" s="56"/>
      <c r="B256" s="151"/>
      <c r="C256" s="151"/>
      <c r="D256" s="12"/>
      <c r="E256" s="151"/>
      <c r="F256" s="152"/>
      <c r="G256" s="152"/>
      <c r="H256" s="152"/>
      <c r="I256" s="152"/>
      <c r="J256" s="152"/>
      <c r="K256" s="152"/>
      <c r="L256" s="152"/>
      <c r="M256" s="152"/>
      <c r="N256" s="152"/>
      <c r="O256" s="152"/>
      <c r="P256" s="152"/>
      <c r="Q256" s="152"/>
      <c r="R256" s="152"/>
      <c r="S256" s="152"/>
      <c r="T256" s="152"/>
      <c r="U256" s="152"/>
      <c r="V256" s="152"/>
      <c r="W256" s="152"/>
      <c r="X256" s="152"/>
      <c r="Y256" s="152"/>
      <c r="Z256" s="152"/>
      <c r="AA256" s="152"/>
      <c r="AB256" s="152"/>
      <c r="AC256" s="152"/>
      <c r="AD256" s="152"/>
      <c r="AE256" s="152"/>
    </row>
    <row r="257">
      <c r="A257" s="29"/>
      <c r="B257" s="151"/>
      <c r="C257" s="151"/>
      <c r="D257" s="12"/>
      <c r="E257" s="151"/>
      <c r="F257" s="152"/>
      <c r="G257" s="152"/>
      <c r="H257" s="152"/>
      <c r="I257" s="152"/>
      <c r="J257" s="152"/>
      <c r="K257" s="152"/>
      <c r="L257" s="152"/>
      <c r="M257" s="152"/>
      <c r="N257" s="152"/>
      <c r="O257" s="152"/>
      <c r="P257" s="152"/>
      <c r="Q257" s="152"/>
      <c r="R257" s="152"/>
      <c r="S257" s="152"/>
      <c r="T257" s="152"/>
      <c r="U257" s="152"/>
      <c r="V257" s="152"/>
      <c r="W257" s="152"/>
      <c r="X257" s="152"/>
      <c r="Y257" s="152"/>
      <c r="Z257" s="152"/>
      <c r="AA257" s="152"/>
      <c r="AB257" s="152"/>
      <c r="AC257" s="152"/>
      <c r="AD257" s="152"/>
      <c r="AE257" s="152"/>
    </row>
    <row r="258">
      <c r="A258" s="9"/>
      <c r="B258" s="142"/>
      <c r="C258" s="142"/>
      <c r="D258" s="20"/>
      <c r="E258" s="142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  <c r="AA258" s="149"/>
      <c r="AB258" s="149"/>
      <c r="AC258" s="149"/>
      <c r="AD258" s="149"/>
      <c r="AE258" s="149"/>
    </row>
    <row r="259">
      <c r="A259" s="17"/>
      <c r="B259" s="142"/>
      <c r="C259" s="142"/>
      <c r="D259" s="20"/>
      <c r="E259" s="142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  <c r="AA259" s="149"/>
      <c r="AB259" s="149"/>
      <c r="AC259" s="149"/>
      <c r="AD259" s="149"/>
      <c r="AE259" s="149"/>
    </row>
    <row r="260">
      <c r="A260" s="29"/>
      <c r="B260" s="142"/>
      <c r="C260" s="142"/>
      <c r="D260" s="20"/>
      <c r="E260" s="142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  <c r="AA260" s="149"/>
      <c r="AB260" s="149"/>
      <c r="AC260" s="149"/>
      <c r="AD260" s="149"/>
      <c r="AE260" s="149"/>
    </row>
    <row r="261">
      <c r="A261" s="9"/>
      <c r="B261" s="153"/>
      <c r="C261" s="153"/>
      <c r="D261" s="154"/>
      <c r="E261" s="153"/>
      <c r="F261" s="143"/>
      <c r="G261" s="143"/>
      <c r="H261" s="143"/>
      <c r="I261" s="143"/>
      <c r="J261" s="143"/>
      <c r="K261" s="143"/>
      <c r="L261" s="143"/>
      <c r="M261" s="143"/>
      <c r="N261" s="143"/>
      <c r="O261" s="143"/>
      <c r="P261" s="143"/>
      <c r="Q261" s="143"/>
      <c r="R261" s="143"/>
      <c r="S261" s="143"/>
      <c r="T261" s="143"/>
      <c r="U261" s="143"/>
      <c r="V261" s="143"/>
      <c r="W261" s="143"/>
      <c r="X261" s="143"/>
      <c r="Y261" s="143"/>
      <c r="Z261" s="143"/>
      <c r="AA261" s="145"/>
      <c r="AB261" s="145"/>
      <c r="AC261" s="145"/>
      <c r="AD261" s="145"/>
      <c r="AE261" s="145"/>
    </row>
    <row r="262">
      <c r="A262" s="9"/>
      <c r="B262" s="153"/>
      <c r="C262" s="153"/>
      <c r="D262" s="154"/>
      <c r="E262" s="153"/>
      <c r="F262" s="143"/>
      <c r="G262" s="143"/>
      <c r="H262" s="143"/>
      <c r="I262" s="143"/>
      <c r="J262" s="143"/>
      <c r="K262" s="143"/>
      <c r="L262" s="143"/>
      <c r="M262" s="143"/>
      <c r="N262" s="143"/>
      <c r="O262" s="143"/>
      <c r="P262" s="143"/>
      <c r="Q262" s="143"/>
      <c r="R262" s="143"/>
      <c r="S262" s="143"/>
      <c r="T262" s="143"/>
      <c r="U262" s="143"/>
      <c r="V262" s="143"/>
      <c r="W262" s="143"/>
      <c r="X262" s="143"/>
      <c r="Y262" s="143"/>
      <c r="Z262" s="143"/>
      <c r="AA262" s="145"/>
      <c r="AB262" s="145"/>
      <c r="AC262" s="145"/>
      <c r="AD262" s="145"/>
      <c r="AE262" s="145"/>
    </row>
    <row r="263">
      <c r="A263" s="9"/>
      <c r="B263" s="153"/>
      <c r="C263" s="153"/>
      <c r="D263" s="154"/>
      <c r="E263" s="153"/>
      <c r="F263" s="143"/>
      <c r="G263" s="143"/>
      <c r="H263" s="143"/>
      <c r="I263" s="143"/>
      <c r="J263" s="143"/>
      <c r="K263" s="143"/>
      <c r="L263" s="143"/>
      <c r="M263" s="143"/>
      <c r="N263" s="143"/>
      <c r="O263" s="143"/>
      <c r="P263" s="143"/>
      <c r="Q263" s="143"/>
      <c r="R263" s="143"/>
      <c r="S263" s="143"/>
      <c r="T263" s="143"/>
      <c r="U263" s="143"/>
      <c r="V263" s="143"/>
      <c r="W263" s="143"/>
      <c r="X263" s="143"/>
      <c r="Y263" s="143"/>
      <c r="Z263" s="143"/>
      <c r="AA263" s="145"/>
      <c r="AB263" s="145"/>
      <c r="AC263" s="145"/>
      <c r="AD263" s="145"/>
      <c r="AE263" s="145"/>
    </row>
    <row r="264">
      <c r="A264" s="9"/>
      <c r="B264" s="153"/>
      <c r="C264" s="153"/>
      <c r="D264" s="154"/>
      <c r="E264" s="153"/>
      <c r="F264" s="143"/>
      <c r="G264" s="143"/>
      <c r="H264" s="143"/>
      <c r="I264" s="143"/>
      <c r="J264" s="143"/>
      <c r="K264" s="143"/>
      <c r="L264" s="143"/>
      <c r="M264" s="143"/>
      <c r="N264" s="143"/>
      <c r="O264" s="143"/>
      <c r="P264" s="143"/>
      <c r="Q264" s="143"/>
      <c r="R264" s="143"/>
      <c r="S264" s="143"/>
      <c r="T264" s="143"/>
      <c r="U264" s="143"/>
      <c r="V264" s="143"/>
      <c r="W264" s="143"/>
      <c r="X264" s="143"/>
      <c r="Y264" s="143"/>
      <c r="Z264" s="143"/>
      <c r="AA264" s="145"/>
      <c r="AB264" s="145"/>
      <c r="AC264" s="145"/>
      <c r="AD264" s="145"/>
      <c r="AE264" s="145"/>
    </row>
    <row r="265">
      <c r="A265" s="9"/>
      <c r="B265" s="153"/>
      <c r="C265" s="153"/>
      <c r="D265" s="154"/>
      <c r="E265" s="153"/>
      <c r="F265" s="143"/>
      <c r="G265" s="143"/>
      <c r="H265" s="143"/>
      <c r="I265" s="143"/>
      <c r="J265" s="143"/>
      <c r="K265" s="143"/>
      <c r="L265" s="143"/>
      <c r="M265" s="143"/>
      <c r="N265" s="143"/>
      <c r="O265" s="143"/>
      <c r="P265" s="143"/>
      <c r="Q265" s="143"/>
      <c r="R265" s="143"/>
      <c r="S265" s="143"/>
      <c r="T265" s="143"/>
      <c r="U265" s="143"/>
      <c r="V265" s="143"/>
      <c r="W265" s="143"/>
      <c r="X265" s="143"/>
      <c r="Y265" s="143"/>
      <c r="Z265" s="143"/>
      <c r="AA265" s="145"/>
      <c r="AB265" s="145"/>
      <c r="AC265" s="145"/>
      <c r="AD265" s="145"/>
      <c r="AE265" s="145"/>
    </row>
    <row r="266">
      <c r="A266" s="9"/>
      <c r="B266" s="153"/>
      <c r="C266" s="153"/>
      <c r="D266" s="154"/>
      <c r="E266" s="153"/>
      <c r="F266" s="143"/>
      <c r="G266" s="143"/>
      <c r="H266" s="143"/>
      <c r="I266" s="143"/>
      <c r="J266" s="143"/>
      <c r="K266" s="143"/>
      <c r="L266" s="143"/>
      <c r="M266" s="143"/>
      <c r="N266" s="143"/>
      <c r="O266" s="143"/>
      <c r="P266" s="143"/>
      <c r="Q266" s="143"/>
      <c r="R266" s="143"/>
      <c r="S266" s="143"/>
      <c r="T266" s="143"/>
      <c r="U266" s="143"/>
      <c r="V266" s="143"/>
      <c r="W266" s="143"/>
      <c r="X266" s="143"/>
      <c r="Y266" s="143"/>
      <c r="Z266" s="143"/>
      <c r="AA266" s="145"/>
      <c r="AB266" s="145"/>
      <c r="AC266" s="145"/>
      <c r="AD266" s="145"/>
      <c r="AE266" s="145"/>
    </row>
    <row r="267">
      <c r="A267" s="9"/>
      <c r="B267" s="153"/>
      <c r="C267" s="153"/>
      <c r="D267" s="154"/>
      <c r="E267" s="153"/>
      <c r="F267" s="143"/>
      <c r="G267" s="143"/>
      <c r="H267" s="143"/>
      <c r="I267" s="143"/>
      <c r="J267" s="143"/>
      <c r="K267" s="143"/>
      <c r="L267" s="143"/>
      <c r="M267" s="143"/>
      <c r="N267" s="143"/>
      <c r="O267" s="143"/>
      <c r="P267" s="143"/>
      <c r="Q267" s="143"/>
      <c r="R267" s="143"/>
      <c r="S267" s="143"/>
      <c r="T267" s="143"/>
      <c r="U267" s="143"/>
      <c r="V267" s="143"/>
      <c r="W267" s="143"/>
      <c r="X267" s="143"/>
      <c r="Y267" s="143"/>
      <c r="Z267" s="143"/>
      <c r="AA267" s="145"/>
      <c r="AB267" s="145"/>
      <c r="AC267" s="145"/>
      <c r="AD267" s="145"/>
      <c r="AE267" s="145"/>
    </row>
    <row r="268">
      <c r="A268" s="9"/>
      <c r="B268" s="153"/>
      <c r="C268" s="153"/>
      <c r="D268" s="154"/>
      <c r="E268" s="153"/>
      <c r="F268" s="143"/>
      <c r="G268" s="143"/>
      <c r="H268" s="143"/>
      <c r="I268" s="143"/>
      <c r="J268" s="143"/>
      <c r="K268" s="143"/>
      <c r="L268" s="143"/>
      <c r="M268" s="143"/>
      <c r="N268" s="143"/>
      <c r="O268" s="143"/>
      <c r="P268" s="143"/>
      <c r="Q268" s="143"/>
      <c r="R268" s="143"/>
      <c r="S268" s="143"/>
      <c r="T268" s="143"/>
      <c r="U268" s="143"/>
      <c r="V268" s="143"/>
      <c r="W268" s="143"/>
      <c r="X268" s="143"/>
      <c r="Y268" s="143"/>
      <c r="Z268" s="143"/>
      <c r="AA268" s="145"/>
      <c r="AB268" s="145"/>
      <c r="AC268" s="145"/>
      <c r="AD268" s="145"/>
      <c r="AE268" s="145"/>
    </row>
    <row r="269">
      <c r="A269" s="9"/>
      <c r="B269" s="153"/>
      <c r="C269" s="153"/>
      <c r="D269" s="154"/>
      <c r="E269" s="153"/>
      <c r="F269" s="143"/>
      <c r="G269" s="143"/>
      <c r="H269" s="143"/>
      <c r="I269" s="143"/>
      <c r="J269" s="143"/>
      <c r="K269" s="143"/>
      <c r="L269" s="143"/>
      <c r="M269" s="143"/>
      <c r="N269" s="143"/>
      <c r="O269" s="143"/>
      <c r="P269" s="143"/>
      <c r="Q269" s="143"/>
      <c r="R269" s="143"/>
      <c r="S269" s="143"/>
      <c r="T269" s="143"/>
      <c r="U269" s="143"/>
      <c r="V269" s="143"/>
      <c r="W269" s="143"/>
      <c r="X269" s="143"/>
      <c r="Y269" s="143"/>
      <c r="Z269" s="143"/>
      <c r="AA269" s="145"/>
      <c r="AB269" s="145"/>
      <c r="AC269" s="145"/>
      <c r="AD269" s="145"/>
      <c r="AE269" s="145"/>
    </row>
    <row r="270">
      <c r="A270" s="9"/>
      <c r="B270" s="153"/>
      <c r="C270" s="153"/>
      <c r="D270" s="154"/>
      <c r="E270" s="153"/>
      <c r="F270" s="143"/>
      <c r="G270" s="143"/>
      <c r="H270" s="143"/>
      <c r="I270" s="143"/>
      <c r="J270" s="143"/>
      <c r="K270" s="143"/>
      <c r="L270" s="143"/>
      <c r="M270" s="143"/>
      <c r="N270" s="143"/>
      <c r="O270" s="143"/>
      <c r="P270" s="143"/>
      <c r="Q270" s="143"/>
      <c r="R270" s="143"/>
      <c r="S270" s="143"/>
      <c r="T270" s="143"/>
      <c r="U270" s="143"/>
      <c r="V270" s="143"/>
      <c r="W270" s="143"/>
      <c r="X270" s="143"/>
      <c r="Y270" s="143"/>
      <c r="Z270" s="143"/>
      <c r="AA270" s="145"/>
      <c r="AB270" s="145"/>
      <c r="AC270" s="145"/>
      <c r="AD270" s="145"/>
      <c r="AE270" s="145"/>
    </row>
    <row r="271">
      <c r="A271" s="29"/>
      <c r="B271" s="153"/>
      <c r="C271" s="153"/>
      <c r="D271" s="154"/>
      <c r="E271" s="153"/>
      <c r="F271" s="143"/>
      <c r="G271" s="143"/>
      <c r="H271" s="143"/>
      <c r="I271" s="143"/>
      <c r="J271" s="143"/>
      <c r="K271" s="143"/>
      <c r="L271" s="143"/>
      <c r="M271" s="143"/>
      <c r="N271" s="143"/>
      <c r="O271" s="143"/>
      <c r="P271" s="143"/>
      <c r="Q271" s="143"/>
      <c r="R271" s="143"/>
      <c r="S271" s="143"/>
      <c r="T271" s="143"/>
      <c r="U271" s="143"/>
      <c r="V271" s="143"/>
      <c r="W271" s="143"/>
      <c r="X271" s="143"/>
      <c r="Y271" s="143"/>
      <c r="Z271" s="143"/>
      <c r="AA271" s="145"/>
      <c r="AB271" s="145"/>
      <c r="AC271" s="145"/>
      <c r="AD271" s="145"/>
      <c r="AE271" s="145"/>
    </row>
    <row r="272">
      <c r="A272" s="9"/>
      <c r="B272" s="153"/>
      <c r="C272" s="153"/>
      <c r="D272" s="154"/>
      <c r="E272" s="153"/>
      <c r="F272" s="143"/>
      <c r="G272" s="143"/>
      <c r="H272" s="143"/>
      <c r="I272" s="143"/>
      <c r="J272" s="143"/>
      <c r="K272" s="143"/>
      <c r="L272" s="143"/>
      <c r="M272" s="143"/>
      <c r="N272" s="143"/>
      <c r="O272" s="143"/>
      <c r="P272" s="143"/>
      <c r="Q272" s="143"/>
      <c r="R272" s="143"/>
      <c r="S272" s="143"/>
      <c r="T272" s="143"/>
      <c r="U272" s="143"/>
      <c r="V272" s="143"/>
      <c r="W272" s="143"/>
      <c r="X272" s="143"/>
      <c r="Y272" s="143"/>
      <c r="Z272" s="143"/>
      <c r="AA272" s="145"/>
      <c r="AB272" s="145"/>
      <c r="AC272" s="145"/>
      <c r="AD272" s="145"/>
      <c r="AE272" s="145"/>
    </row>
    <row r="273">
      <c r="A273" s="9"/>
      <c r="B273" s="153"/>
      <c r="C273" s="153"/>
      <c r="D273" s="154"/>
      <c r="E273" s="153"/>
      <c r="F273" s="143"/>
      <c r="G273" s="143"/>
      <c r="H273" s="143"/>
      <c r="I273" s="143"/>
      <c r="J273" s="143"/>
      <c r="K273" s="143"/>
      <c r="L273" s="143"/>
      <c r="M273" s="143"/>
      <c r="N273" s="143"/>
      <c r="O273" s="143"/>
      <c r="P273" s="143"/>
      <c r="Q273" s="143"/>
      <c r="R273" s="143"/>
      <c r="S273" s="143"/>
      <c r="T273" s="143"/>
      <c r="U273" s="143"/>
      <c r="V273" s="143"/>
      <c r="W273" s="143"/>
      <c r="X273" s="143"/>
      <c r="Y273" s="143"/>
      <c r="Z273" s="143"/>
      <c r="AA273" s="145"/>
      <c r="AB273" s="145"/>
      <c r="AC273" s="145"/>
      <c r="AD273" s="145"/>
      <c r="AE273" s="145"/>
    </row>
    <row r="274">
      <c r="A274" s="153"/>
      <c r="B274" s="153"/>
      <c r="C274" s="153"/>
      <c r="D274" s="154"/>
      <c r="E274" s="153"/>
      <c r="F274" s="143"/>
      <c r="G274" s="143"/>
      <c r="H274" s="143"/>
      <c r="I274" s="143"/>
      <c r="J274" s="143"/>
      <c r="K274" s="143"/>
      <c r="L274" s="143"/>
      <c r="M274" s="143"/>
      <c r="N274" s="143"/>
      <c r="O274" s="143"/>
      <c r="P274" s="143"/>
      <c r="Q274" s="143"/>
      <c r="R274" s="143"/>
      <c r="S274" s="143"/>
      <c r="T274" s="143"/>
      <c r="U274" s="143"/>
      <c r="V274" s="143"/>
      <c r="W274" s="143"/>
      <c r="X274" s="143"/>
      <c r="Y274" s="143"/>
      <c r="Z274" s="143"/>
      <c r="AA274" s="145"/>
      <c r="AB274" s="145"/>
      <c r="AC274" s="145"/>
      <c r="AD274" s="145"/>
      <c r="AE274" s="145"/>
    </row>
    <row r="275">
      <c r="A275" s="153"/>
      <c r="B275" s="153"/>
      <c r="C275" s="153"/>
      <c r="D275" s="154"/>
      <c r="E275" s="153"/>
      <c r="F275" s="143"/>
      <c r="G275" s="143"/>
      <c r="H275" s="143"/>
      <c r="I275" s="143"/>
      <c r="J275" s="143"/>
      <c r="K275" s="143"/>
      <c r="L275" s="143"/>
      <c r="M275" s="143"/>
      <c r="N275" s="143"/>
      <c r="O275" s="143"/>
      <c r="P275" s="143"/>
      <c r="Q275" s="143"/>
      <c r="R275" s="143"/>
      <c r="S275" s="143"/>
      <c r="T275" s="143"/>
      <c r="U275" s="143"/>
      <c r="V275" s="143"/>
      <c r="W275" s="143"/>
      <c r="X275" s="143"/>
      <c r="Y275" s="143"/>
      <c r="Z275" s="143"/>
      <c r="AA275" s="145"/>
      <c r="AB275" s="145"/>
      <c r="AC275" s="145"/>
      <c r="AD275" s="145"/>
      <c r="AE275" s="145"/>
    </row>
    <row r="276">
      <c r="A276" s="153"/>
      <c r="B276" s="153"/>
      <c r="C276" s="153"/>
      <c r="D276" s="154"/>
      <c r="E276" s="153"/>
      <c r="F276" s="143"/>
      <c r="G276" s="143"/>
      <c r="H276" s="143"/>
      <c r="I276" s="143"/>
      <c r="J276" s="143"/>
      <c r="K276" s="143"/>
      <c r="L276" s="143"/>
      <c r="M276" s="143"/>
      <c r="N276" s="143"/>
      <c r="O276" s="143"/>
      <c r="P276" s="143"/>
      <c r="Q276" s="143"/>
      <c r="R276" s="143"/>
      <c r="S276" s="143"/>
      <c r="T276" s="143"/>
      <c r="U276" s="143"/>
      <c r="V276" s="143"/>
      <c r="W276" s="143"/>
      <c r="X276" s="143"/>
      <c r="Y276" s="143"/>
      <c r="Z276" s="143"/>
      <c r="AA276" s="145"/>
      <c r="AB276" s="145"/>
      <c r="AC276" s="145"/>
      <c r="AD276" s="145"/>
      <c r="AE276" s="145"/>
    </row>
    <row r="277">
      <c r="A277" s="153"/>
      <c r="B277" s="153"/>
      <c r="C277" s="153"/>
      <c r="D277" s="155"/>
      <c r="E277" s="153"/>
      <c r="F277" s="143"/>
      <c r="G277" s="143"/>
      <c r="H277" s="143"/>
      <c r="I277" s="143"/>
      <c r="J277" s="143"/>
      <c r="K277" s="143"/>
      <c r="L277" s="143"/>
      <c r="M277" s="143"/>
      <c r="N277" s="143"/>
      <c r="O277" s="143"/>
      <c r="P277" s="143"/>
      <c r="Q277" s="143"/>
      <c r="R277" s="143"/>
      <c r="S277" s="143"/>
      <c r="T277" s="143"/>
      <c r="U277" s="143"/>
      <c r="V277" s="143"/>
      <c r="W277" s="143"/>
      <c r="X277" s="143"/>
      <c r="Y277" s="143"/>
      <c r="Z277" s="143"/>
      <c r="AA277" s="145"/>
      <c r="AB277" s="145"/>
      <c r="AC277" s="145"/>
      <c r="AD277" s="145"/>
      <c r="AE277" s="145"/>
    </row>
    <row r="278">
      <c r="A278" s="153"/>
      <c r="B278" s="153"/>
      <c r="C278" s="153"/>
      <c r="D278" s="154"/>
      <c r="E278" s="153"/>
      <c r="F278" s="143"/>
      <c r="G278" s="143"/>
      <c r="H278" s="143"/>
      <c r="I278" s="143"/>
      <c r="J278" s="143"/>
      <c r="K278" s="143"/>
      <c r="L278" s="143"/>
      <c r="M278" s="143"/>
      <c r="N278" s="143"/>
      <c r="O278" s="143"/>
      <c r="P278" s="143"/>
      <c r="Q278" s="143"/>
      <c r="R278" s="143"/>
      <c r="S278" s="143"/>
      <c r="T278" s="143"/>
      <c r="U278" s="143"/>
      <c r="V278" s="143"/>
      <c r="W278" s="143"/>
      <c r="X278" s="143"/>
      <c r="Y278" s="143"/>
      <c r="Z278" s="143"/>
      <c r="AA278" s="145"/>
      <c r="AB278" s="145"/>
      <c r="AC278" s="145"/>
      <c r="AD278" s="145"/>
      <c r="AE278" s="145"/>
    </row>
    <row r="279">
      <c r="A279" s="153"/>
      <c r="B279" s="153"/>
      <c r="C279" s="153"/>
      <c r="D279" s="154"/>
      <c r="E279" s="153"/>
      <c r="F279" s="143"/>
      <c r="G279" s="143"/>
      <c r="H279" s="143"/>
      <c r="I279" s="143"/>
      <c r="J279" s="143"/>
      <c r="K279" s="143"/>
      <c r="L279" s="143"/>
      <c r="M279" s="143"/>
      <c r="N279" s="143"/>
      <c r="O279" s="143"/>
      <c r="P279" s="143"/>
      <c r="Q279" s="143"/>
      <c r="R279" s="143"/>
      <c r="S279" s="143"/>
      <c r="T279" s="143"/>
      <c r="U279" s="143"/>
      <c r="V279" s="143"/>
      <c r="W279" s="143"/>
      <c r="X279" s="143"/>
      <c r="Y279" s="143"/>
      <c r="Z279" s="143"/>
      <c r="AA279" s="145"/>
      <c r="AB279" s="145"/>
      <c r="AC279" s="145"/>
      <c r="AD279" s="145"/>
      <c r="AE279" s="145"/>
    </row>
    <row r="280">
      <c r="A280" s="153"/>
      <c r="B280" s="153"/>
      <c r="C280" s="153"/>
      <c r="D280" s="154"/>
      <c r="E280" s="153"/>
      <c r="F280" s="143"/>
      <c r="G280" s="143"/>
      <c r="H280" s="143"/>
      <c r="I280" s="143"/>
      <c r="J280" s="143"/>
      <c r="K280" s="143"/>
      <c r="L280" s="143"/>
      <c r="M280" s="143"/>
      <c r="N280" s="143"/>
      <c r="O280" s="143"/>
      <c r="P280" s="143"/>
      <c r="Q280" s="143"/>
      <c r="R280" s="143"/>
      <c r="S280" s="143"/>
      <c r="T280" s="143"/>
      <c r="U280" s="143"/>
      <c r="V280" s="143"/>
      <c r="W280" s="143"/>
      <c r="X280" s="143"/>
      <c r="Y280" s="143"/>
      <c r="Z280" s="143"/>
      <c r="AA280" s="145"/>
      <c r="AB280" s="145"/>
      <c r="AC280" s="145"/>
      <c r="AD280" s="145"/>
      <c r="AE280" s="145"/>
    </row>
    <row r="281">
      <c r="A281" s="153"/>
      <c r="B281" s="153"/>
      <c r="C281" s="153"/>
      <c r="D281" s="154"/>
      <c r="E281" s="153"/>
      <c r="F281" s="143"/>
      <c r="G281" s="143"/>
      <c r="H281" s="143"/>
      <c r="I281" s="143"/>
      <c r="J281" s="143"/>
      <c r="K281" s="143"/>
      <c r="L281" s="143"/>
      <c r="M281" s="143"/>
      <c r="N281" s="143"/>
      <c r="O281" s="143"/>
      <c r="P281" s="143"/>
      <c r="Q281" s="143"/>
      <c r="R281" s="143"/>
      <c r="S281" s="143"/>
      <c r="T281" s="143"/>
      <c r="U281" s="143"/>
      <c r="V281" s="143"/>
      <c r="W281" s="143"/>
      <c r="X281" s="143"/>
      <c r="Y281" s="143"/>
      <c r="Z281" s="143"/>
      <c r="AA281" s="145"/>
      <c r="AB281" s="145"/>
      <c r="AC281" s="145"/>
      <c r="AD281" s="145"/>
      <c r="AE281" s="145"/>
    </row>
    <row r="282">
      <c r="A282" s="153"/>
      <c r="B282" s="153"/>
      <c r="C282" s="153"/>
      <c r="D282" s="154"/>
      <c r="E282" s="153"/>
      <c r="F282" s="143"/>
      <c r="G282" s="143"/>
      <c r="H282" s="143"/>
      <c r="I282" s="143"/>
      <c r="J282" s="143"/>
      <c r="K282" s="143"/>
      <c r="L282" s="143"/>
      <c r="M282" s="143"/>
      <c r="N282" s="143"/>
      <c r="O282" s="143"/>
      <c r="P282" s="143"/>
      <c r="Q282" s="143"/>
      <c r="R282" s="143"/>
      <c r="S282" s="143"/>
      <c r="T282" s="143"/>
      <c r="U282" s="143"/>
      <c r="V282" s="143"/>
      <c r="W282" s="143"/>
      <c r="X282" s="143"/>
      <c r="Y282" s="143"/>
      <c r="Z282" s="143"/>
      <c r="AA282" s="145"/>
      <c r="AB282" s="145"/>
      <c r="AC282" s="145"/>
      <c r="AD282" s="145"/>
      <c r="AE282" s="145"/>
    </row>
    <row r="283">
      <c r="A283" s="153"/>
      <c r="B283" s="153"/>
      <c r="C283" s="153"/>
      <c r="D283" s="154"/>
      <c r="E283" s="153"/>
      <c r="F283" s="143"/>
      <c r="G283" s="143"/>
      <c r="H283" s="143"/>
      <c r="I283" s="143"/>
      <c r="J283" s="143"/>
      <c r="K283" s="143"/>
      <c r="L283" s="143"/>
      <c r="M283" s="143"/>
      <c r="N283" s="143"/>
      <c r="O283" s="143"/>
      <c r="P283" s="143"/>
      <c r="Q283" s="143"/>
      <c r="R283" s="143"/>
      <c r="S283" s="143"/>
      <c r="T283" s="143"/>
      <c r="U283" s="143"/>
      <c r="V283" s="143"/>
      <c r="W283" s="143"/>
      <c r="X283" s="143"/>
      <c r="Y283" s="143"/>
      <c r="Z283" s="143"/>
      <c r="AA283" s="145"/>
      <c r="AB283" s="145"/>
      <c r="AC283" s="145"/>
      <c r="AD283" s="145"/>
      <c r="AE283" s="145"/>
    </row>
    <row r="284">
      <c r="A284" s="153"/>
      <c r="B284" s="153"/>
      <c r="C284" s="153"/>
      <c r="D284" s="154"/>
      <c r="E284" s="153"/>
      <c r="F284" s="143"/>
      <c r="G284" s="143"/>
      <c r="H284" s="143"/>
      <c r="I284" s="143"/>
      <c r="J284" s="143"/>
      <c r="K284" s="143"/>
      <c r="L284" s="143"/>
      <c r="M284" s="143"/>
      <c r="N284" s="143"/>
      <c r="O284" s="143"/>
      <c r="P284" s="143"/>
      <c r="Q284" s="143"/>
      <c r="R284" s="143"/>
      <c r="S284" s="143"/>
      <c r="T284" s="143"/>
      <c r="U284" s="143"/>
      <c r="V284" s="143"/>
      <c r="W284" s="143"/>
      <c r="X284" s="143"/>
      <c r="Y284" s="143"/>
      <c r="Z284" s="143"/>
      <c r="AA284" s="145"/>
      <c r="AB284" s="145"/>
      <c r="AC284" s="145"/>
      <c r="AD284" s="145"/>
      <c r="AE284" s="145"/>
    </row>
    <row r="285">
      <c r="A285" s="153"/>
      <c r="B285" s="153"/>
      <c r="C285" s="153"/>
      <c r="D285" s="154"/>
      <c r="E285" s="153"/>
      <c r="F285" s="143"/>
      <c r="G285" s="143"/>
      <c r="H285" s="143"/>
      <c r="I285" s="143"/>
      <c r="J285" s="143"/>
      <c r="K285" s="143"/>
      <c r="L285" s="143"/>
      <c r="M285" s="143"/>
      <c r="N285" s="143"/>
      <c r="O285" s="143"/>
      <c r="P285" s="143"/>
      <c r="Q285" s="143"/>
      <c r="R285" s="143"/>
      <c r="S285" s="143"/>
      <c r="T285" s="143"/>
      <c r="U285" s="143"/>
      <c r="V285" s="143"/>
      <c r="W285" s="143"/>
      <c r="X285" s="143"/>
      <c r="Y285" s="143"/>
      <c r="Z285" s="143"/>
      <c r="AA285" s="145"/>
      <c r="AB285" s="145"/>
      <c r="AC285" s="145"/>
      <c r="AD285" s="145"/>
      <c r="AE285" s="145"/>
    </row>
    <row r="286">
      <c r="A286" s="153"/>
      <c r="B286" s="153"/>
      <c r="C286" s="153"/>
      <c r="D286" s="154"/>
      <c r="E286" s="153"/>
      <c r="F286" s="143"/>
      <c r="G286" s="143"/>
      <c r="H286" s="143"/>
      <c r="I286" s="143"/>
      <c r="J286" s="143"/>
      <c r="K286" s="143"/>
      <c r="L286" s="143"/>
      <c r="M286" s="143"/>
      <c r="N286" s="143"/>
      <c r="O286" s="143"/>
      <c r="P286" s="143"/>
      <c r="Q286" s="143"/>
      <c r="R286" s="143"/>
      <c r="S286" s="143"/>
      <c r="T286" s="143"/>
      <c r="U286" s="143"/>
      <c r="V286" s="143"/>
      <c r="W286" s="143"/>
      <c r="X286" s="143"/>
      <c r="Y286" s="143"/>
      <c r="Z286" s="143"/>
      <c r="AA286" s="145"/>
      <c r="AB286" s="145"/>
      <c r="AC286" s="145"/>
      <c r="AD286" s="145"/>
      <c r="AE286" s="145"/>
    </row>
    <row r="287">
      <c r="A287" s="153"/>
      <c r="B287" s="153"/>
      <c r="C287" s="153"/>
      <c r="D287" s="154"/>
      <c r="E287" s="153"/>
      <c r="F287" s="143"/>
      <c r="G287" s="143"/>
      <c r="H287" s="143"/>
      <c r="I287" s="143"/>
      <c r="J287" s="143"/>
      <c r="K287" s="143"/>
      <c r="L287" s="143"/>
      <c r="M287" s="143"/>
      <c r="N287" s="143"/>
      <c r="O287" s="143"/>
      <c r="P287" s="143"/>
      <c r="Q287" s="143"/>
      <c r="R287" s="143"/>
      <c r="S287" s="143"/>
      <c r="T287" s="143"/>
      <c r="U287" s="143"/>
      <c r="V287" s="143"/>
      <c r="W287" s="143"/>
      <c r="X287" s="143"/>
      <c r="Y287" s="143"/>
      <c r="Z287" s="143"/>
      <c r="AA287" s="145"/>
      <c r="AB287" s="145"/>
      <c r="AC287" s="145"/>
      <c r="AD287" s="145"/>
      <c r="AE287" s="145"/>
    </row>
    <row r="288">
      <c r="A288" s="153"/>
      <c r="B288" s="153"/>
      <c r="C288" s="153"/>
      <c r="D288" s="154"/>
      <c r="E288" s="153"/>
      <c r="F288" s="143"/>
      <c r="G288" s="143"/>
      <c r="H288" s="143"/>
      <c r="I288" s="143"/>
      <c r="J288" s="143"/>
      <c r="K288" s="143"/>
      <c r="L288" s="143"/>
      <c r="M288" s="143"/>
      <c r="N288" s="143"/>
      <c r="O288" s="143"/>
      <c r="P288" s="143"/>
      <c r="Q288" s="143"/>
      <c r="R288" s="143"/>
      <c r="S288" s="143"/>
      <c r="T288" s="143"/>
      <c r="U288" s="143"/>
      <c r="V288" s="143"/>
      <c r="W288" s="143"/>
      <c r="X288" s="143"/>
      <c r="Y288" s="143"/>
      <c r="Z288" s="143"/>
      <c r="AA288" s="145"/>
      <c r="AB288" s="145"/>
      <c r="AC288" s="145"/>
      <c r="AD288" s="145"/>
      <c r="AE288" s="145"/>
    </row>
    <row r="289">
      <c r="A289" s="153"/>
      <c r="B289" s="153"/>
      <c r="C289" s="153"/>
      <c r="D289" s="154"/>
      <c r="E289" s="153"/>
      <c r="F289" s="143"/>
      <c r="G289" s="143"/>
      <c r="H289" s="143"/>
      <c r="I289" s="143"/>
      <c r="J289" s="143"/>
      <c r="K289" s="143"/>
      <c r="L289" s="143"/>
      <c r="M289" s="143"/>
      <c r="N289" s="143"/>
      <c r="O289" s="143"/>
      <c r="P289" s="143"/>
      <c r="Q289" s="143"/>
      <c r="R289" s="143"/>
      <c r="S289" s="143"/>
      <c r="T289" s="143"/>
      <c r="U289" s="143"/>
      <c r="V289" s="143"/>
      <c r="W289" s="143"/>
      <c r="X289" s="143"/>
      <c r="Y289" s="143"/>
      <c r="Z289" s="143"/>
      <c r="AA289" s="145"/>
      <c r="AB289" s="145"/>
      <c r="AC289" s="145"/>
      <c r="AD289" s="145"/>
      <c r="AE289" s="145"/>
    </row>
    <row r="290">
      <c r="A290" s="153"/>
      <c r="B290" s="153"/>
      <c r="C290" s="153"/>
      <c r="D290" s="154"/>
      <c r="E290" s="153"/>
      <c r="F290" s="143"/>
      <c r="G290" s="143"/>
      <c r="H290" s="143"/>
      <c r="I290" s="143"/>
      <c r="J290" s="143"/>
      <c r="K290" s="143"/>
      <c r="L290" s="143"/>
      <c r="M290" s="143"/>
      <c r="N290" s="143"/>
      <c r="O290" s="143"/>
      <c r="P290" s="143"/>
      <c r="Q290" s="143"/>
      <c r="R290" s="143"/>
      <c r="S290" s="143"/>
      <c r="T290" s="143"/>
      <c r="U290" s="143"/>
      <c r="V290" s="143"/>
      <c r="W290" s="143"/>
      <c r="X290" s="143"/>
      <c r="Y290" s="143"/>
      <c r="Z290" s="143"/>
      <c r="AA290" s="145"/>
      <c r="AB290" s="145"/>
      <c r="AC290" s="145"/>
      <c r="AD290" s="145"/>
      <c r="AE290" s="145"/>
    </row>
    <row r="291">
      <c r="A291" s="153"/>
      <c r="B291" s="153"/>
      <c r="C291" s="153"/>
      <c r="D291" s="154"/>
      <c r="E291" s="153"/>
      <c r="F291" s="143"/>
      <c r="G291" s="143"/>
      <c r="H291" s="143"/>
      <c r="I291" s="143"/>
      <c r="J291" s="143"/>
      <c r="K291" s="143"/>
      <c r="L291" s="143"/>
      <c r="M291" s="143"/>
      <c r="N291" s="143"/>
      <c r="O291" s="143"/>
      <c r="P291" s="143"/>
      <c r="Q291" s="143"/>
      <c r="R291" s="143"/>
      <c r="S291" s="143"/>
      <c r="T291" s="143"/>
      <c r="U291" s="143"/>
      <c r="V291" s="143"/>
      <c r="W291" s="143"/>
      <c r="X291" s="143"/>
      <c r="Y291" s="143"/>
      <c r="Z291" s="143"/>
      <c r="AA291" s="145"/>
      <c r="AB291" s="145"/>
      <c r="AC291" s="145"/>
      <c r="AD291" s="145"/>
      <c r="AE291" s="145"/>
    </row>
    <row r="292">
      <c r="A292" s="153"/>
      <c r="B292" s="153"/>
      <c r="C292" s="153"/>
      <c r="D292" s="154"/>
      <c r="E292" s="153"/>
      <c r="F292" s="143"/>
      <c r="G292" s="143"/>
      <c r="H292" s="143"/>
      <c r="I292" s="143"/>
      <c r="J292" s="143"/>
      <c r="K292" s="143"/>
      <c r="L292" s="143"/>
      <c r="M292" s="143"/>
      <c r="N292" s="143"/>
      <c r="O292" s="143"/>
      <c r="P292" s="143"/>
      <c r="Q292" s="143"/>
      <c r="R292" s="143"/>
      <c r="S292" s="143"/>
      <c r="T292" s="143"/>
      <c r="U292" s="143"/>
      <c r="V292" s="143"/>
      <c r="W292" s="143"/>
      <c r="X292" s="143"/>
      <c r="Y292" s="143"/>
      <c r="Z292" s="143"/>
      <c r="AA292" s="145"/>
      <c r="AB292" s="145"/>
      <c r="AC292" s="145"/>
      <c r="AD292" s="145"/>
      <c r="AE292" s="145"/>
    </row>
    <row r="293">
      <c r="A293" s="153"/>
      <c r="B293" s="153"/>
      <c r="C293" s="153"/>
      <c r="D293" s="154"/>
      <c r="E293" s="153"/>
      <c r="F293" s="143"/>
      <c r="G293" s="143"/>
      <c r="H293" s="143"/>
      <c r="I293" s="143"/>
      <c r="J293" s="143"/>
      <c r="K293" s="143"/>
      <c r="L293" s="143"/>
      <c r="M293" s="143"/>
      <c r="N293" s="143"/>
      <c r="O293" s="143"/>
      <c r="P293" s="143"/>
      <c r="Q293" s="143"/>
      <c r="R293" s="143"/>
      <c r="S293" s="143"/>
      <c r="T293" s="143"/>
      <c r="U293" s="143"/>
      <c r="V293" s="143"/>
      <c r="W293" s="143"/>
      <c r="X293" s="143"/>
      <c r="Y293" s="143"/>
      <c r="Z293" s="143"/>
      <c r="AA293" s="145"/>
      <c r="AB293" s="145"/>
      <c r="AC293" s="145"/>
      <c r="AD293" s="145"/>
      <c r="AE293" s="145"/>
    </row>
    <row r="294">
      <c r="A294" s="153"/>
      <c r="B294" s="153"/>
      <c r="C294" s="153"/>
      <c r="D294" s="154"/>
      <c r="E294" s="153"/>
      <c r="F294" s="143"/>
      <c r="G294" s="143"/>
      <c r="H294" s="143"/>
      <c r="I294" s="143"/>
      <c r="J294" s="143"/>
      <c r="K294" s="143"/>
      <c r="L294" s="143"/>
      <c r="M294" s="143"/>
      <c r="N294" s="143"/>
      <c r="O294" s="143"/>
      <c r="P294" s="143"/>
      <c r="Q294" s="143"/>
      <c r="R294" s="143"/>
      <c r="S294" s="143"/>
      <c r="T294" s="143"/>
      <c r="U294" s="143"/>
      <c r="V294" s="143"/>
      <c r="W294" s="143"/>
      <c r="X294" s="143"/>
      <c r="Y294" s="143"/>
      <c r="Z294" s="143"/>
      <c r="AA294" s="145"/>
      <c r="AB294" s="145"/>
      <c r="AC294" s="145"/>
      <c r="AD294" s="145"/>
      <c r="AE294" s="145"/>
    </row>
    <row r="295">
      <c r="A295" s="153"/>
      <c r="B295" s="153"/>
      <c r="C295" s="153"/>
      <c r="D295" s="154"/>
      <c r="E295" s="153"/>
      <c r="F295" s="143"/>
      <c r="G295" s="143"/>
      <c r="H295" s="143"/>
      <c r="I295" s="143"/>
      <c r="J295" s="143"/>
      <c r="K295" s="143"/>
      <c r="L295" s="143"/>
      <c r="M295" s="143"/>
      <c r="N295" s="143"/>
      <c r="O295" s="143"/>
      <c r="P295" s="143"/>
      <c r="Q295" s="143"/>
      <c r="R295" s="143"/>
      <c r="S295" s="143"/>
      <c r="T295" s="143"/>
      <c r="U295" s="143"/>
      <c r="V295" s="143"/>
      <c r="W295" s="143"/>
      <c r="X295" s="143"/>
      <c r="Y295" s="143"/>
      <c r="Z295" s="143"/>
      <c r="AA295" s="145"/>
      <c r="AB295" s="145"/>
      <c r="AC295" s="145"/>
      <c r="AD295" s="145"/>
      <c r="AE295" s="145"/>
    </row>
    <row r="296">
      <c r="A296" s="153"/>
      <c r="B296" s="153"/>
      <c r="C296" s="153"/>
      <c r="D296" s="154"/>
      <c r="E296" s="153"/>
      <c r="F296" s="143"/>
      <c r="G296" s="143"/>
      <c r="H296" s="143"/>
      <c r="I296" s="143"/>
      <c r="J296" s="143"/>
      <c r="K296" s="143"/>
      <c r="L296" s="143"/>
      <c r="M296" s="143"/>
      <c r="N296" s="143"/>
      <c r="O296" s="143"/>
      <c r="P296" s="143"/>
      <c r="Q296" s="143"/>
      <c r="R296" s="143"/>
      <c r="S296" s="143"/>
      <c r="T296" s="143"/>
      <c r="U296" s="143"/>
      <c r="V296" s="143"/>
      <c r="W296" s="143"/>
      <c r="X296" s="143"/>
      <c r="Y296" s="143"/>
      <c r="Z296" s="143"/>
      <c r="AA296" s="145"/>
      <c r="AB296" s="145"/>
      <c r="AC296" s="145"/>
      <c r="AD296" s="145"/>
      <c r="AE296" s="145"/>
    </row>
    <row r="297">
      <c r="A297" s="153"/>
      <c r="B297" s="153"/>
      <c r="C297" s="153"/>
      <c r="D297" s="154"/>
      <c r="E297" s="153"/>
      <c r="F297" s="143"/>
      <c r="G297" s="143"/>
      <c r="H297" s="143"/>
      <c r="I297" s="143"/>
      <c r="J297" s="143"/>
      <c r="K297" s="143"/>
      <c r="L297" s="143"/>
      <c r="M297" s="143"/>
      <c r="N297" s="143"/>
      <c r="O297" s="143"/>
      <c r="P297" s="143"/>
      <c r="Q297" s="143"/>
      <c r="R297" s="143"/>
      <c r="S297" s="143"/>
      <c r="T297" s="143"/>
      <c r="U297" s="143"/>
      <c r="V297" s="143"/>
      <c r="W297" s="143"/>
      <c r="X297" s="143"/>
      <c r="Y297" s="143"/>
      <c r="Z297" s="143"/>
      <c r="AA297" s="145"/>
      <c r="AB297" s="145"/>
      <c r="AC297" s="145"/>
      <c r="AD297" s="145"/>
      <c r="AE297" s="145"/>
    </row>
    <row r="298">
      <c r="A298" s="153"/>
      <c r="B298" s="153"/>
      <c r="C298" s="153"/>
      <c r="D298" s="154"/>
      <c r="E298" s="153"/>
      <c r="F298" s="143"/>
      <c r="G298" s="143"/>
      <c r="H298" s="143"/>
      <c r="I298" s="143"/>
      <c r="J298" s="143"/>
      <c r="K298" s="143"/>
      <c r="L298" s="143"/>
      <c r="M298" s="143"/>
      <c r="N298" s="143"/>
      <c r="O298" s="143"/>
      <c r="P298" s="143"/>
      <c r="Q298" s="143"/>
      <c r="R298" s="143"/>
      <c r="S298" s="143"/>
      <c r="T298" s="143"/>
      <c r="U298" s="143"/>
      <c r="V298" s="143"/>
      <c r="W298" s="143"/>
      <c r="X298" s="143"/>
      <c r="Y298" s="143"/>
      <c r="Z298" s="143"/>
      <c r="AA298" s="145"/>
      <c r="AB298" s="145"/>
      <c r="AC298" s="145"/>
      <c r="AD298" s="145"/>
      <c r="AE298" s="145"/>
    </row>
    <row r="299">
      <c r="A299" s="156"/>
      <c r="B299" s="156"/>
      <c r="C299" s="156"/>
      <c r="D299" s="154"/>
      <c r="E299" s="156"/>
      <c r="F299" s="143"/>
      <c r="G299" s="143"/>
      <c r="H299" s="143"/>
      <c r="I299" s="143"/>
      <c r="J299" s="143"/>
      <c r="K299" s="143"/>
      <c r="L299" s="143"/>
      <c r="M299" s="143"/>
      <c r="N299" s="143"/>
      <c r="O299" s="143"/>
      <c r="P299" s="143"/>
      <c r="Q299" s="143"/>
      <c r="R299" s="143"/>
      <c r="S299" s="143"/>
      <c r="T299" s="143"/>
      <c r="U299" s="143"/>
      <c r="V299" s="143"/>
      <c r="W299" s="143"/>
      <c r="X299" s="143"/>
      <c r="Y299" s="143"/>
      <c r="Z299" s="143"/>
      <c r="AA299" s="143"/>
      <c r="AB299" s="143"/>
      <c r="AC299" s="143"/>
      <c r="AD299" s="143"/>
      <c r="AE299" s="143"/>
    </row>
    <row r="300">
      <c r="A300" s="156"/>
      <c r="B300" s="156"/>
      <c r="C300" s="156"/>
      <c r="D300" s="154"/>
      <c r="E300" s="156"/>
      <c r="F300" s="143"/>
      <c r="G300" s="143"/>
      <c r="H300" s="143"/>
      <c r="I300" s="143"/>
      <c r="J300" s="143"/>
      <c r="K300" s="143"/>
      <c r="L300" s="143"/>
      <c r="M300" s="143"/>
      <c r="N300" s="143"/>
      <c r="O300" s="143"/>
      <c r="P300" s="143"/>
      <c r="Q300" s="143"/>
      <c r="R300" s="143"/>
      <c r="S300" s="143"/>
      <c r="T300" s="143"/>
      <c r="U300" s="143"/>
      <c r="V300" s="143"/>
      <c r="W300" s="143"/>
      <c r="X300" s="143"/>
      <c r="Y300" s="143"/>
      <c r="Z300" s="143"/>
      <c r="AA300" s="143"/>
      <c r="AB300" s="143"/>
      <c r="AC300" s="143"/>
      <c r="AD300" s="143"/>
      <c r="AE300" s="143"/>
    </row>
    <row r="301">
      <c r="A301" s="156"/>
      <c r="B301" s="156"/>
      <c r="C301" s="156"/>
      <c r="D301" s="154"/>
      <c r="E301" s="156"/>
      <c r="F301" s="143"/>
      <c r="G301" s="143"/>
      <c r="H301" s="143"/>
      <c r="I301" s="143"/>
      <c r="J301" s="143"/>
      <c r="K301" s="143"/>
      <c r="L301" s="143"/>
      <c r="M301" s="143"/>
      <c r="N301" s="143"/>
      <c r="O301" s="143"/>
      <c r="P301" s="143"/>
      <c r="Q301" s="143"/>
      <c r="R301" s="143"/>
      <c r="S301" s="143"/>
      <c r="T301" s="143"/>
      <c r="U301" s="143"/>
      <c r="V301" s="143"/>
      <c r="W301" s="143"/>
      <c r="X301" s="143"/>
      <c r="Y301" s="143"/>
      <c r="Z301" s="143"/>
      <c r="AA301" s="143"/>
      <c r="AB301" s="143"/>
      <c r="AC301" s="143"/>
      <c r="AD301" s="143"/>
      <c r="AE301" s="143"/>
    </row>
    <row r="302">
      <c r="A302" s="156"/>
      <c r="B302" s="156"/>
      <c r="C302" s="156"/>
      <c r="D302" s="154"/>
      <c r="E302" s="156"/>
      <c r="F302" s="143"/>
      <c r="G302" s="143"/>
      <c r="H302" s="143"/>
      <c r="I302" s="143"/>
      <c r="J302" s="143"/>
      <c r="K302" s="143"/>
      <c r="L302" s="143"/>
      <c r="M302" s="143"/>
      <c r="N302" s="143"/>
      <c r="O302" s="143"/>
      <c r="P302" s="143"/>
      <c r="Q302" s="143"/>
      <c r="R302" s="143"/>
      <c r="S302" s="143"/>
      <c r="T302" s="143"/>
      <c r="U302" s="143"/>
      <c r="V302" s="143"/>
      <c r="W302" s="143"/>
      <c r="X302" s="143"/>
      <c r="Y302" s="143"/>
      <c r="Z302" s="143"/>
      <c r="AA302" s="143"/>
      <c r="AB302" s="143"/>
      <c r="AC302" s="143"/>
      <c r="AD302" s="143"/>
      <c r="AE302" s="143"/>
    </row>
    <row r="303">
      <c r="A303" s="156"/>
      <c r="B303" s="156"/>
      <c r="C303" s="156"/>
      <c r="D303" s="154"/>
      <c r="E303" s="156"/>
      <c r="F303" s="143"/>
      <c r="G303" s="143"/>
      <c r="H303" s="143"/>
      <c r="I303" s="143"/>
      <c r="J303" s="143"/>
      <c r="K303" s="143"/>
      <c r="L303" s="143"/>
      <c r="M303" s="143"/>
      <c r="N303" s="143"/>
      <c r="O303" s="143"/>
      <c r="P303" s="143"/>
      <c r="Q303" s="143"/>
      <c r="R303" s="143"/>
      <c r="S303" s="143"/>
      <c r="T303" s="143"/>
      <c r="U303" s="143"/>
      <c r="V303" s="143"/>
      <c r="W303" s="143"/>
      <c r="X303" s="143"/>
      <c r="Y303" s="143"/>
      <c r="Z303" s="143"/>
      <c r="AA303" s="143"/>
      <c r="AB303" s="143"/>
      <c r="AC303" s="143"/>
      <c r="AD303" s="143"/>
      <c r="AE303" s="143"/>
    </row>
    <row r="304">
      <c r="A304" s="156"/>
      <c r="B304" s="156"/>
      <c r="C304" s="156"/>
      <c r="D304" s="154"/>
      <c r="E304" s="156"/>
      <c r="F304" s="143"/>
      <c r="G304" s="143"/>
      <c r="H304" s="143"/>
      <c r="I304" s="143"/>
      <c r="J304" s="143"/>
      <c r="K304" s="143"/>
      <c r="L304" s="143"/>
      <c r="M304" s="143"/>
      <c r="N304" s="143"/>
      <c r="O304" s="143"/>
      <c r="P304" s="143"/>
      <c r="Q304" s="143"/>
      <c r="R304" s="143"/>
      <c r="S304" s="143"/>
      <c r="T304" s="143"/>
      <c r="U304" s="143"/>
      <c r="V304" s="143"/>
      <c r="W304" s="143"/>
      <c r="X304" s="143"/>
      <c r="Y304" s="143"/>
      <c r="Z304" s="143"/>
      <c r="AA304" s="143"/>
      <c r="AB304" s="143"/>
      <c r="AC304" s="143"/>
      <c r="AD304" s="143"/>
      <c r="AE304" s="143"/>
    </row>
    <row r="305">
      <c r="A305" s="156"/>
      <c r="B305" s="156"/>
      <c r="C305" s="156"/>
      <c r="D305" s="154"/>
      <c r="E305" s="156"/>
      <c r="F305" s="143"/>
      <c r="G305" s="143"/>
      <c r="H305" s="143"/>
      <c r="I305" s="143"/>
      <c r="J305" s="143"/>
      <c r="K305" s="143"/>
      <c r="L305" s="143"/>
      <c r="M305" s="143"/>
      <c r="N305" s="143"/>
      <c r="O305" s="143"/>
      <c r="P305" s="143"/>
      <c r="Q305" s="143"/>
      <c r="R305" s="143"/>
      <c r="S305" s="143"/>
      <c r="T305" s="143"/>
      <c r="U305" s="143"/>
      <c r="V305" s="143"/>
      <c r="W305" s="143"/>
      <c r="X305" s="143"/>
      <c r="Y305" s="143"/>
      <c r="Z305" s="143"/>
      <c r="AA305" s="143"/>
      <c r="AB305" s="143"/>
      <c r="AC305" s="143"/>
      <c r="AD305" s="143"/>
      <c r="AE305" s="143"/>
    </row>
    <row r="306">
      <c r="A306" s="156"/>
      <c r="B306" s="156"/>
      <c r="C306" s="156"/>
      <c r="D306" s="154"/>
      <c r="E306" s="156"/>
      <c r="F306" s="143"/>
      <c r="G306" s="143"/>
      <c r="H306" s="143"/>
      <c r="I306" s="143"/>
      <c r="J306" s="143"/>
      <c r="K306" s="143"/>
      <c r="L306" s="143"/>
      <c r="M306" s="143"/>
      <c r="N306" s="143"/>
      <c r="O306" s="143"/>
      <c r="P306" s="143"/>
      <c r="Q306" s="143"/>
      <c r="R306" s="143"/>
      <c r="S306" s="143"/>
      <c r="T306" s="143"/>
      <c r="U306" s="143"/>
      <c r="V306" s="143"/>
      <c r="W306" s="143"/>
      <c r="X306" s="143"/>
      <c r="Y306" s="143"/>
      <c r="Z306" s="143"/>
      <c r="AA306" s="143"/>
      <c r="AB306" s="143"/>
      <c r="AC306" s="143"/>
      <c r="AD306" s="143"/>
      <c r="AE306" s="143"/>
    </row>
    <row r="307">
      <c r="A307" s="156"/>
      <c r="B307" s="156"/>
      <c r="C307" s="156"/>
      <c r="D307" s="154"/>
      <c r="E307" s="156"/>
      <c r="F307" s="143"/>
      <c r="G307" s="143"/>
      <c r="H307" s="143"/>
      <c r="I307" s="143"/>
      <c r="J307" s="143"/>
      <c r="K307" s="143"/>
      <c r="L307" s="143"/>
      <c r="M307" s="143"/>
      <c r="N307" s="143"/>
      <c r="O307" s="143"/>
      <c r="P307" s="143"/>
      <c r="Q307" s="143"/>
      <c r="R307" s="143"/>
      <c r="S307" s="143"/>
      <c r="T307" s="143"/>
      <c r="U307" s="143"/>
      <c r="V307" s="143"/>
      <c r="W307" s="143"/>
      <c r="X307" s="143"/>
      <c r="Y307" s="143"/>
      <c r="Z307" s="143"/>
      <c r="AA307" s="143"/>
      <c r="AB307" s="143"/>
      <c r="AC307" s="143"/>
      <c r="AD307" s="143"/>
      <c r="AE307" s="143"/>
    </row>
    <row r="308">
      <c r="A308" s="156"/>
      <c r="B308" s="156"/>
      <c r="C308" s="156"/>
      <c r="D308" s="154"/>
      <c r="E308" s="156"/>
      <c r="F308" s="143"/>
      <c r="G308" s="143"/>
      <c r="H308" s="143"/>
      <c r="I308" s="143"/>
      <c r="J308" s="143"/>
      <c r="K308" s="143"/>
      <c r="L308" s="143"/>
      <c r="M308" s="143"/>
      <c r="N308" s="143"/>
      <c r="O308" s="143"/>
      <c r="P308" s="143"/>
      <c r="Q308" s="143"/>
      <c r="R308" s="143"/>
      <c r="S308" s="143"/>
      <c r="T308" s="143"/>
      <c r="U308" s="143"/>
      <c r="V308" s="143"/>
      <c r="W308" s="143"/>
      <c r="X308" s="143"/>
      <c r="Y308" s="143"/>
      <c r="Z308" s="143"/>
      <c r="AA308" s="143"/>
      <c r="AB308" s="143"/>
      <c r="AC308" s="143"/>
      <c r="AD308" s="143"/>
      <c r="AE308" s="143"/>
    </row>
    <row r="309">
      <c r="A309" s="156"/>
      <c r="B309" s="156"/>
      <c r="C309" s="156"/>
      <c r="D309" s="154"/>
      <c r="E309" s="156"/>
      <c r="F309" s="143"/>
      <c r="G309" s="143"/>
      <c r="H309" s="143"/>
      <c r="I309" s="143"/>
      <c r="J309" s="143"/>
      <c r="K309" s="143"/>
      <c r="L309" s="143"/>
      <c r="M309" s="143"/>
      <c r="N309" s="143"/>
      <c r="O309" s="143"/>
      <c r="P309" s="143"/>
      <c r="Q309" s="143"/>
      <c r="R309" s="143"/>
      <c r="S309" s="143"/>
      <c r="T309" s="143"/>
      <c r="U309" s="143"/>
      <c r="V309" s="143"/>
      <c r="W309" s="143"/>
      <c r="X309" s="143"/>
      <c r="Y309" s="143"/>
      <c r="Z309" s="143"/>
      <c r="AA309" s="143"/>
      <c r="AB309" s="143"/>
      <c r="AC309" s="143"/>
      <c r="AD309" s="143"/>
      <c r="AE309" s="143"/>
    </row>
    <row r="310">
      <c r="A310" s="156"/>
      <c r="B310" s="156"/>
      <c r="C310" s="156"/>
      <c r="D310" s="154"/>
      <c r="E310" s="156"/>
      <c r="F310" s="143"/>
      <c r="G310" s="143"/>
      <c r="H310" s="143"/>
      <c r="I310" s="143"/>
      <c r="J310" s="143"/>
      <c r="K310" s="143"/>
      <c r="L310" s="143"/>
      <c r="M310" s="143"/>
      <c r="N310" s="143"/>
      <c r="O310" s="143"/>
      <c r="P310" s="143"/>
      <c r="Q310" s="143"/>
      <c r="R310" s="143"/>
      <c r="S310" s="143"/>
      <c r="T310" s="143"/>
      <c r="U310" s="143"/>
      <c r="V310" s="143"/>
      <c r="W310" s="143"/>
      <c r="X310" s="143"/>
      <c r="Y310" s="143"/>
      <c r="Z310" s="143"/>
      <c r="AA310" s="143"/>
      <c r="AB310" s="143"/>
      <c r="AC310" s="143"/>
      <c r="AD310" s="143"/>
      <c r="AE310" s="143"/>
    </row>
    <row r="311">
      <c r="A311" s="156"/>
      <c r="B311" s="156"/>
      <c r="C311" s="156"/>
      <c r="D311" s="154"/>
      <c r="E311" s="156"/>
      <c r="F311" s="143"/>
      <c r="G311" s="143"/>
      <c r="H311" s="143"/>
      <c r="I311" s="143"/>
      <c r="J311" s="143"/>
      <c r="K311" s="143"/>
      <c r="L311" s="143"/>
      <c r="M311" s="143"/>
      <c r="N311" s="143"/>
      <c r="O311" s="143"/>
      <c r="P311" s="143"/>
      <c r="Q311" s="143"/>
      <c r="R311" s="143"/>
      <c r="S311" s="143"/>
      <c r="T311" s="143"/>
      <c r="U311" s="143"/>
      <c r="V311" s="143"/>
      <c r="W311" s="143"/>
      <c r="X311" s="143"/>
      <c r="Y311" s="143"/>
      <c r="Z311" s="143"/>
      <c r="AA311" s="143"/>
      <c r="AB311" s="143"/>
      <c r="AC311" s="143"/>
      <c r="AD311" s="143"/>
      <c r="AE311" s="143"/>
    </row>
    <row r="312">
      <c r="A312" s="156"/>
      <c r="B312" s="156"/>
      <c r="C312" s="156"/>
      <c r="D312" s="154"/>
      <c r="E312" s="156"/>
      <c r="F312" s="143"/>
      <c r="G312" s="143"/>
      <c r="H312" s="143"/>
      <c r="I312" s="143"/>
      <c r="J312" s="143"/>
      <c r="K312" s="143"/>
      <c r="L312" s="143"/>
      <c r="M312" s="143"/>
      <c r="N312" s="143"/>
      <c r="O312" s="143"/>
      <c r="P312" s="143"/>
      <c r="Q312" s="143"/>
      <c r="R312" s="143"/>
      <c r="S312" s="143"/>
      <c r="T312" s="143"/>
      <c r="U312" s="143"/>
      <c r="V312" s="143"/>
      <c r="W312" s="143"/>
      <c r="X312" s="143"/>
      <c r="Y312" s="143"/>
      <c r="Z312" s="143"/>
      <c r="AA312" s="143"/>
      <c r="AB312" s="143"/>
      <c r="AC312" s="143"/>
      <c r="AD312" s="143"/>
      <c r="AE312" s="143"/>
    </row>
    <row r="313">
      <c r="A313" s="156"/>
      <c r="B313" s="156"/>
      <c r="C313" s="156"/>
      <c r="D313" s="154"/>
      <c r="E313" s="156"/>
      <c r="F313" s="143"/>
      <c r="G313" s="143"/>
      <c r="H313" s="143"/>
      <c r="I313" s="143"/>
      <c r="J313" s="143"/>
      <c r="K313" s="143"/>
      <c r="L313" s="143"/>
      <c r="M313" s="143"/>
      <c r="N313" s="143"/>
      <c r="O313" s="143"/>
      <c r="P313" s="143"/>
      <c r="Q313" s="143"/>
      <c r="R313" s="143"/>
      <c r="S313" s="143"/>
      <c r="T313" s="143"/>
      <c r="U313" s="143"/>
      <c r="V313" s="143"/>
      <c r="W313" s="143"/>
      <c r="X313" s="143"/>
      <c r="Y313" s="143"/>
      <c r="Z313" s="143"/>
      <c r="AA313" s="143"/>
      <c r="AB313" s="143"/>
      <c r="AC313" s="143"/>
      <c r="AD313" s="143"/>
      <c r="AE313" s="143"/>
    </row>
    <row r="314">
      <c r="A314" s="156"/>
      <c r="B314" s="156"/>
      <c r="C314" s="156"/>
      <c r="D314" s="154"/>
      <c r="E314" s="156"/>
      <c r="F314" s="143"/>
      <c r="G314" s="143"/>
      <c r="H314" s="143"/>
      <c r="I314" s="143"/>
      <c r="J314" s="143"/>
      <c r="K314" s="143"/>
      <c r="L314" s="143"/>
      <c r="M314" s="143"/>
      <c r="N314" s="143"/>
      <c r="O314" s="143"/>
      <c r="P314" s="143"/>
      <c r="Q314" s="143"/>
      <c r="R314" s="143"/>
      <c r="S314" s="143"/>
      <c r="T314" s="143"/>
      <c r="U314" s="143"/>
      <c r="V314" s="143"/>
      <c r="W314" s="143"/>
      <c r="X314" s="143"/>
      <c r="Y314" s="143"/>
      <c r="Z314" s="143"/>
      <c r="AA314" s="143"/>
      <c r="AB314" s="143"/>
      <c r="AC314" s="143"/>
      <c r="AD314" s="143"/>
      <c r="AE314" s="143"/>
    </row>
    <row r="315">
      <c r="A315" s="156"/>
      <c r="B315" s="156"/>
      <c r="C315" s="156"/>
      <c r="D315" s="154"/>
      <c r="E315" s="156"/>
      <c r="F315" s="143"/>
      <c r="G315" s="143"/>
      <c r="H315" s="143"/>
      <c r="I315" s="143"/>
      <c r="J315" s="143"/>
      <c r="K315" s="143"/>
      <c r="L315" s="143"/>
      <c r="M315" s="143"/>
      <c r="N315" s="143"/>
      <c r="O315" s="143"/>
      <c r="P315" s="143"/>
      <c r="Q315" s="143"/>
      <c r="R315" s="143"/>
      <c r="S315" s="143"/>
      <c r="T315" s="143"/>
      <c r="U315" s="143"/>
      <c r="V315" s="143"/>
      <c r="W315" s="143"/>
      <c r="X315" s="143"/>
      <c r="Y315" s="143"/>
      <c r="Z315" s="143"/>
      <c r="AA315" s="143"/>
      <c r="AB315" s="143"/>
      <c r="AC315" s="143"/>
      <c r="AD315" s="143"/>
      <c r="AE315" s="143"/>
    </row>
    <row r="316">
      <c r="A316" s="156"/>
      <c r="B316" s="156"/>
      <c r="C316" s="156"/>
      <c r="D316" s="154"/>
      <c r="E316" s="156"/>
      <c r="F316" s="143"/>
      <c r="G316" s="143"/>
      <c r="H316" s="143"/>
      <c r="I316" s="143"/>
      <c r="J316" s="143"/>
      <c r="K316" s="143"/>
      <c r="L316" s="143"/>
      <c r="M316" s="143"/>
      <c r="N316" s="143"/>
      <c r="O316" s="143"/>
      <c r="P316" s="143"/>
      <c r="Q316" s="143"/>
      <c r="R316" s="143"/>
      <c r="S316" s="143"/>
      <c r="T316" s="143"/>
      <c r="U316" s="143"/>
      <c r="V316" s="143"/>
      <c r="W316" s="143"/>
      <c r="X316" s="143"/>
      <c r="Y316" s="143"/>
      <c r="Z316" s="143"/>
      <c r="AA316" s="143"/>
      <c r="AB316" s="143"/>
      <c r="AC316" s="143"/>
      <c r="AD316" s="143"/>
      <c r="AE316" s="143"/>
    </row>
    <row r="317">
      <c r="A317" s="156"/>
      <c r="B317" s="156"/>
      <c r="C317" s="156"/>
      <c r="D317" s="154"/>
      <c r="E317" s="156"/>
      <c r="F317" s="143"/>
      <c r="G317" s="143"/>
      <c r="H317" s="143"/>
      <c r="I317" s="143"/>
      <c r="J317" s="143"/>
      <c r="K317" s="143"/>
      <c r="L317" s="143"/>
      <c r="M317" s="143"/>
      <c r="N317" s="143"/>
      <c r="O317" s="143"/>
      <c r="P317" s="143"/>
      <c r="Q317" s="143"/>
      <c r="R317" s="143"/>
      <c r="S317" s="143"/>
      <c r="T317" s="143"/>
      <c r="U317" s="143"/>
      <c r="V317" s="143"/>
      <c r="W317" s="143"/>
      <c r="X317" s="143"/>
      <c r="Y317" s="143"/>
      <c r="Z317" s="143"/>
      <c r="AA317" s="143"/>
      <c r="AB317" s="143"/>
      <c r="AC317" s="143"/>
      <c r="AD317" s="143"/>
      <c r="AE317" s="143"/>
    </row>
    <row r="318">
      <c r="A318" s="156"/>
      <c r="B318" s="156"/>
      <c r="C318" s="156"/>
      <c r="D318" s="154"/>
      <c r="E318" s="156"/>
      <c r="F318" s="143"/>
      <c r="G318" s="143"/>
      <c r="H318" s="143"/>
      <c r="I318" s="143"/>
      <c r="J318" s="143"/>
      <c r="K318" s="143"/>
      <c r="L318" s="143"/>
      <c r="M318" s="143"/>
      <c r="N318" s="143"/>
      <c r="O318" s="143"/>
      <c r="P318" s="143"/>
      <c r="Q318" s="143"/>
      <c r="R318" s="143"/>
      <c r="S318" s="143"/>
      <c r="T318" s="143"/>
      <c r="U318" s="143"/>
      <c r="V318" s="143"/>
      <c r="W318" s="143"/>
      <c r="X318" s="143"/>
      <c r="Y318" s="143"/>
      <c r="Z318" s="143"/>
      <c r="AA318" s="143"/>
      <c r="AB318" s="143"/>
      <c r="AC318" s="143"/>
      <c r="AD318" s="143"/>
      <c r="AE318" s="143"/>
    </row>
    <row r="319">
      <c r="A319" s="156"/>
      <c r="B319" s="156"/>
      <c r="C319" s="156"/>
      <c r="D319" s="154"/>
      <c r="E319" s="156"/>
      <c r="F319" s="143"/>
      <c r="G319" s="143"/>
      <c r="H319" s="143"/>
      <c r="I319" s="143"/>
      <c r="J319" s="143"/>
      <c r="K319" s="143"/>
      <c r="L319" s="143"/>
      <c r="M319" s="143"/>
      <c r="N319" s="143"/>
      <c r="O319" s="143"/>
      <c r="P319" s="143"/>
      <c r="Q319" s="143"/>
      <c r="R319" s="143"/>
      <c r="S319" s="143"/>
      <c r="T319" s="143"/>
      <c r="U319" s="143"/>
      <c r="V319" s="143"/>
      <c r="W319" s="143"/>
      <c r="X319" s="143"/>
      <c r="Y319" s="143"/>
      <c r="Z319" s="143"/>
      <c r="AA319" s="143"/>
      <c r="AB319" s="143"/>
      <c r="AC319" s="143"/>
      <c r="AD319" s="143"/>
      <c r="AE319" s="143"/>
    </row>
    <row r="320">
      <c r="A320" s="156"/>
      <c r="B320" s="156"/>
      <c r="C320" s="156"/>
      <c r="D320" s="154"/>
      <c r="E320" s="156"/>
      <c r="F320" s="143"/>
      <c r="G320" s="143"/>
      <c r="H320" s="143"/>
      <c r="I320" s="143"/>
      <c r="J320" s="143"/>
      <c r="K320" s="143"/>
      <c r="L320" s="143"/>
      <c r="M320" s="143"/>
      <c r="N320" s="143"/>
      <c r="O320" s="143"/>
      <c r="P320" s="143"/>
      <c r="Q320" s="143"/>
      <c r="R320" s="143"/>
      <c r="S320" s="143"/>
      <c r="T320" s="143"/>
      <c r="U320" s="143"/>
      <c r="V320" s="143"/>
      <c r="W320" s="143"/>
      <c r="X320" s="143"/>
      <c r="Y320" s="143"/>
      <c r="Z320" s="143"/>
      <c r="AA320" s="143"/>
      <c r="AB320" s="143"/>
      <c r="AC320" s="143"/>
      <c r="AD320" s="143"/>
      <c r="AE320" s="143"/>
    </row>
    <row r="321">
      <c r="A321" s="156"/>
      <c r="B321" s="156"/>
      <c r="C321" s="156"/>
      <c r="D321" s="154"/>
      <c r="E321" s="156"/>
      <c r="F321" s="143"/>
      <c r="G321" s="143"/>
      <c r="H321" s="143"/>
      <c r="I321" s="143"/>
      <c r="J321" s="143"/>
      <c r="K321" s="143"/>
      <c r="L321" s="143"/>
      <c r="M321" s="143"/>
      <c r="N321" s="143"/>
      <c r="O321" s="143"/>
      <c r="P321" s="143"/>
      <c r="Q321" s="143"/>
      <c r="R321" s="143"/>
      <c r="S321" s="143"/>
      <c r="T321" s="143"/>
      <c r="U321" s="143"/>
      <c r="V321" s="143"/>
      <c r="W321" s="143"/>
      <c r="X321" s="143"/>
      <c r="Y321" s="143"/>
      <c r="Z321" s="143"/>
      <c r="AA321" s="143"/>
      <c r="AB321" s="143"/>
      <c r="AC321" s="143"/>
      <c r="AD321" s="143"/>
      <c r="AE321" s="143"/>
    </row>
    <row r="322">
      <c r="A322" s="156"/>
      <c r="B322" s="156"/>
      <c r="C322" s="156"/>
      <c r="D322" s="154"/>
      <c r="E322" s="156"/>
      <c r="F322" s="143"/>
      <c r="G322" s="143"/>
      <c r="H322" s="143"/>
      <c r="I322" s="143"/>
      <c r="J322" s="143"/>
      <c r="K322" s="143"/>
      <c r="L322" s="143"/>
      <c r="M322" s="143"/>
      <c r="N322" s="143"/>
      <c r="O322" s="143"/>
      <c r="P322" s="143"/>
      <c r="Q322" s="143"/>
      <c r="R322" s="143"/>
      <c r="S322" s="143"/>
      <c r="T322" s="143"/>
      <c r="U322" s="143"/>
      <c r="V322" s="143"/>
      <c r="W322" s="143"/>
      <c r="X322" s="143"/>
      <c r="Y322" s="143"/>
      <c r="Z322" s="143"/>
      <c r="AA322" s="143"/>
      <c r="AB322" s="143"/>
      <c r="AC322" s="143"/>
      <c r="AD322" s="143"/>
      <c r="AE322" s="143"/>
    </row>
    <row r="323">
      <c r="A323" s="156"/>
      <c r="B323" s="156"/>
      <c r="C323" s="156"/>
      <c r="D323" s="154"/>
      <c r="E323" s="156"/>
      <c r="F323" s="143"/>
      <c r="G323" s="143"/>
      <c r="H323" s="143"/>
      <c r="I323" s="143"/>
      <c r="J323" s="143"/>
      <c r="K323" s="143"/>
      <c r="L323" s="143"/>
      <c r="M323" s="143"/>
      <c r="N323" s="143"/>
      <c r="O323" s="143"/>
      <c r="P323" s="143"/>
      <c r="Q323" s="143"/>
      <c r="R323" s="143"/>
      <c r="S323" s="143"/>
      <c r="T323" s="143"/>
      <c r="U323" s="143"/>
      <c r="V323" s="143"/>
      <c r="W323" s="143"/>
      <c r="X323" s="143"/>
      <c r="Y323" s="143"/>
      <c r="Z323" s="143"/>
      <c r="AA323" s="143"/>
      <c r="AB323" s="143"/>
      <c r="AC323" s="143"/>
      <c r="AD323" s="143"/>
      <c r="AE323" s="143"/>
    </row>
    <row r="324">
      <c r="A324" s="156"/>
      <c r="B324" s="156"/>
      <c r="C324" s="156"/>
      <c r="D324" s="154"/>
      <c r="E324" s="156"/>
      <c r="F324" s="143"/>
      <c r="G324" s="143"/>
      <c r="H324" s="143"/>
      <c r="I324" s="143"/>
      <c r="J324" s="143"/>
      <c r="K324" s="143"/>
      <c r="L324" s="143"/>
      <c r="M324" s="143"/>
      <c r="N324" s="143"/>
      <c r="O324" s="143"/>
      <c r="P324" s="143"/>
      <c r="Q324" s="143"/>
      <c r="R324" s="143"/>
      <c r="S324" s="143"/>
      <c r="T324" s="143"/>
      <c r="U324" s="143"/>
      <c r="V324" s="143"/>
      <c r="W324" s="143"/>
      <c r="X324" s="143"/>
      <c r="Y324" s="143"/>
      <c r="Z324" s="143"/>
      <c r="AA324" s="143"/>
      <c r="AB324" s="143"/>
      <c r="AC324" s="143"/>
      <c r="AD324" s="143"/>
      <c r="AE324" s="143"/>
    </row>
    <row r="325">
      <c r="A325" s="156"/>
      <c r="B325" s="156"/>
      <c r="C325" s="156"/>
      <c r="D325" s="154"/>
      <c r="E325" s="156"/>
      <c r="F325" s="143"/>
      <c r="G325" s="143"/>
      <c r="H325" s="143"/>
      <c r="I325" s="143"/>
      <c r="J325" s="143"/>
      <c r="K325" s="143"/>
      <c r="L325" s="143"/>
      <c r="M325" s="143"/>
      <c r="N325" s="143"/>
      <c r="O325" s="143"/>
      <c r="P325" s="143"/>
      <c r="Q325" s="143"/>
      <c r="R325" s="143"/>
      <c r="S325" s="143"/>
      <c r="T325" s="143"/>
      <c r="U325" s="143"/>
      <c r="V325" s="143"/>
      <c r="W325" s="143"/>
      <c r="X325" s="143"/>
      <c r="Y325" s="143"/>
      <c r="Z325" s="143"/>
      <c r="AA325" s="143"/>
      <c r="AB325" s="143"/>
      <c r="AC325" s="143"/>
      <c r="AD325" s="143"/>
      <c r="AE325" s="143"/>
    </row>
    <row r="326">
      <c r="A326" s="156"/>
      <c r="B326" s="156"/>
      <c r="C326" s="156"/>
      <c r="D326" s="154"/>
      <c r="E326" s="156"/>
      <c r="F326" s="143"/>
      <c r="G326" s="143"/>
      <c r="H326" s="143"/>
      <c r="I326" s="143"/>
      <c r="J326" s="143"/>
      <c r="K326" s="143"/>
      <c r="L326" s="143"/>
      <c r="M326" s="143"/>
      <c r="N326" s="143"/>
      <c r="O326" s="143"/>
      <c r="P326" s="143"/>
      <c r="Q326" s="143"/>
      <c r="R326" s="143"/>
      <c r="S326" s="143"/>
      <c r="T326" s="143"/>
      <c r="U326" s="143"/>
      <c r="V326" s="143"/>
      <c r="W326" s="143"/>
      <c r="X326" s="143"/>
      <c r="Y326" s="143"/>
      <c r="Z326" s="143"/>
      <c r="AA326" s="143"/>
      <c r="AB326" s="143"/>
      <c r="AC326" s="143"/>
      <c r="AD326" s="143"/>
      <c r="AE326" s="143"/>
    </row>
    <row r="327">
      <c r="A327" s="156"/>
      <c r="B327" s="156"/>
      <c r="C327" s="156"/>
      <c r="D327" s="154"/>
      <c r="E327" s="156"/>
      <c r="F327" s="143"/>
      <c r="G327" s="143"/>
      <c r="H327" s="143"/>
      <c r="I327" s="143"/>
      <c r="J327" s="143"/>
      <c r="K327" s="143"/>
      <c r="L327" s="143"/>
      <c r="M327" s="143"/>
      <c r="N327" s="143"/>
      <c r="O327" s="143"/>
      <c r="P327" s="143"/>
      <c r="Q327" s="143"/>
      <c r="R327" s="143"/>
      <c r="S327" s="143"/>
      <c r="T327" s="143"/>
      <c r="U327" s="143"/>
      <c r="V327" s="143"/>
      <c r="W327" s="143"/>
      <c r="X327" s="143"/>
      <c r="Y327" s="143"/>
      <c r="Z327" s="143"/>
      <c r="AA327" s="143"/>
      <c r="AB327" s="143"/>
      <c r="AC327" s="143"/>
      <c r="AD327" s="143"/>
      <c r="AE327" s="143"/>
    </row>
    <row r="328">
      <c r="A328" s="156"/>
      <c r="B328" s="156"/>
      <c r="C328" s="156"/>
      <c r="D328" s="154"/>
      <c r="E328" s="156"/>
      <c r="F328" s="143"/>
      <c r="G328" s="143"/>
      <c r="H328" s="143"/>
      <c r="I328" s="143"/>
      <c r="J328" s="143"/>
      <c r="K328" s="143"/>
      <c r="L328" s="143"/>
      <c r="M328" s="143"/>
      <c r="N328" s="143"/>
      <c r="O328" s="143"/>
      <c r="P328" s="143"/>
      <c r="Q328" s="143"/>
      <c r="R328" s="143"/>
      <c r="S328" s="143"/>
      <c r="T328" s="143"/>
      <c r="U328" s="143"/>
      <c r="V328" s="143"/>
      <c r="W328" s="143"/>
      <c r="X328" s="143"/>
      <c r="Y328" s="143"/>
      <c r="Z328" s="143"/>
      <c r="AA328" s="143"/>
      <c r="AB328" s="143"/>
      <c r="AC328" s="143"/>
      <c r="AD328" s="143"/>
      <c r="AE328" s="143"/>
    </row>
    <row r="329">
      <c r="A329" s="156"/>
      <c r="B329" s="156"/>
      <c r="C329" s="156"/>
      <c r="D329" s="154"/>
      <c r="E329" s="156"/>
      <c r="F329" s="143"/>
      <c r="G329" s="143"/>
      <c r="H329" s="143"/>
      <c r="I329" s="143"/>
      <c r="J329" s="143"/>
      <c r="K329" s="143"/>
      <c r="L329" s="143"/>
      <c r="M329" s="143"/>
      <c r="N329" s="143"/>
      <c r="O329" s="143"/>
      <c r="P329" s="143"/>
      <c r="Q329" s="143"/>
      <c r="R329" s="143"/>
      <c r="S329" s="143"/>
      <c r="T329" s="143"/>
      <c r="U329" s="143"/>
      <c r="V329" s="143"/>
      <c r="W329" s="143"/>
      <c r="X329" s="143"/>
      <c r="Y329" s="143"/>
      <c r="Z329" s="143"/>
      <c r="AA329" s="143"/>
      <c r="AB329" s="143"/>
      <c r="AC329" s="143"/>
      <c r="AD329" s="143"/>
      <c r="AE329" s="143"/>
    </row>
    <row r="330">
      <c r="A330" s="156"/>
      <c r="B330" s="156"/>
      <c r="C330" s="156"/>
      <c r="D330" s="154"/>
      <c r="E330" s="156"/>
      <c r="F330" s="143"/>
      <c r="G330" s="143"/>
      <c r="H330" s="143"/>
      <c r="I330" s="143"/>
      <c r="J330" s="143"/>
      <c r="K330" s="143"/>
      <c r="L330" s="143"/>
      <c r="M330" s="143"/>
      <c r="N330" s="143"/>
      <c r="O330" s="143"/>
      <c r="P330" s="143"/>
      <c r="Q330" s="143"/>
      <c r="R330" s="143"/>
      <c r="S330" s="143"/>
      <c r="T330" s="143"/>
      <c r="U330" s="143"/>
      <c r="V330" s="143"/>
      <c r="W330" s="143"/>
      <c r="X330" s="143"/>
      <c r="Y330" s="143"/>
      <c r="Z330" s="143"/>
      <c r="AA330" s="143"/>
      <c r="AB330" s="143"/>
      <c r="AC330" s="143"/>
      <c r="AD330" s="143"/>
      <c r="AE330" s="143"/>
    </row>
    <row r="331">
      <c r="A331" s="156"/>
      <c r="B331" s="156"/>
      <c r="C331" s="156"/>
      <c r="D331" s="154"/>
      <c r="E331" s="156"/>
      <c r="F331" s="143"/>
      <c r="G331" s="143"/>
      <c r="H331" s="143"/>
      <c r="I331" s="143"/>
      <c r="J331" s="143"/>
      <c r="K331" s="143"/>
      <c r="L331" s="143"/>
      <c r="M331" s="143"/>
      <c r="N331" s="143"/>
      <c r="O331" s="143"/>
      <c r="P331" s="143"/>
      <c r="Q331" s="143"/>
      <c r="R331" s="143"/>
      <c r="S331" s="143"/>
      <c r="T331" s="143"/>
      <c r="U331" s="143"/>
      <c r="V331" s="143"/>
      <c r="W331" s="143"/>
      <c r="X331" s="143"/>
      <c r="Y331" s="143"/>
      <c r="Z331" s="143"/>
      <c r="AA331" s="143"/>
      <c r="AB331" s="143"/>
      <c r="AC331" s="143"/>
      <c r="AD331" s="143"/>
      <c r="AE331" s="143"/>
    </row>
    <row r="332">
      <c r="A332" s="156"/>
      <c r="B332" s="156"/>
      <c r="C332" s="156"/>
      <c r="D332" s="154"/>
      <c r="E332" s="156"/>
      <c r="F332" s="143"/>
      <c r="G332" s="143"/>
      <c r="H332" s="143"/>
      <c r="I332" s="143"/>
      <c r="J332" s="143"/>
      <c r="K332" s="143"/>
      <c r="L332" s="143"/>
      <c r="M332" s="143"/>
      <c r="N332" s="143"/>
      <c r="O332" s="143"/>
      <c r="P332" s="143"/>
      <c r="Q332" s="143"/>
      <c r="R332" s="143"/>
      <c r="S332" s="143"/>
      <c r="T332" s="143"/>
      <c r="U332" s="143"/>
      <c r="V332" s="143"/>
      <c r="W332" s="143"/>
      <c r="X332" s="143"/>
      <c r="Y332" s="143"/>
      <c r="Z332" s="143"/>
      <c r="AA332" s="143"/>
      <c r="AB332" s="143"/>
      <c r="AC332" s="143"/>
      <c r="AD332" s="143"/>
      <c r="AE332" s="143"/>
    </row>
    <row r="333">
      <c r="A333" s="156"/>
      <c r="B333" s="156"/>
      <c r="C333" s="156"/>
      <c r="D333" s="154"/>
      <c r="E333" s="156"/>
      <c r="F333" s="143"/>
      <c r="G333" s="143"/>
      <c r="H333" s="143"/>
      <c r="I333" s="143"/>
      <c r="J333" s="143"/>
      <c r="K333" s="143"/>
      <c r="L333" s="143"/>
      <c r="M333" s="143"/>
      <c r="N333" s="143"/>
      <c r="O333" s="143"/>
      <c r="P333" s="143"/>
      <c r="Q333" s="143"/>
      <c r="R333" s="143"/>
      <c r="S333" s="143"/>
      <c r="T333" s="143"/>
      <c r="U333" s="143"/>
      <c r="V333" s="143"/>
      <c r="W333" s="143"/>
      <c r="X333" s="143"/>
      <c r="Y333" s="143"/>
      <c r="Z333" s="143"/>
      <c r="AA333" s="143"/>
      <c r="AB333" s="143"/>
      <c r="AC333" s="143"/>
      <c r="AD333" s="143"/>
      <c r="AE333" s="143"/>
    </row>
    <row r="334">
      <c r="A334" s="156"/>
      <c r="B334" s="156"/>
      <c r="C334" s="156"/>
      <c r="D334" s="154"/>
      <c r="E334" s="156"/>
      <c r="F334" s="143"/>
      <c r="G334" s="143"/>
      <c r="H334" s="143"/>
      <c r="I334" s="143"/>
      <c r="J334" s="143"/>
      <c r="K334" s="143"/>
      <c r="L334" s="143"/>
      <c r="M334" s="143"/>
      <c r="N334" s="143"/>
      <c r="O334" s="143"/>
      <c r="P334" s="143"/>
      <c r="Q334" s="143"/>
      <c r="R334" s="143"/>
      <c r="S334" s="143"/>
      <c r="T334" s="143"/>
      <c r="U334" s="143"/>
      <c r="V334" s="143"/>
      <c r="W334" s="143"/>
      <c r="X334" s="143"/>
      <c r="Y334" s="143"/>
      <c r="Z334" s="143"/>
      <c r="AA334" s="143"/>
      <c r="AB334" s="143"/>
      <c r="AC334" s="143"/>
      <c r="AD334" s="143"/>
      <c r="AE334" s="143"/>
    </row>
    <row r="335">
      <c r="A335" s="156"/>
      <c r="B335" s="156"/>
      <c r="C335" s="156"/>
      <c r="D335" s="154"/>
      <c r="E335" s="156"/>
      <c r="F335" s="143"/>
      <c r="G335" s="143"/>
      <c r="H335" s="143"/>
      <c r="I335" s="143"/>
      <c r="J335" s="143"/>
      <c r="K335" s="143"/>
      <c r="L335" s="143"/>
      <c r="M335" s="143"/>
      <c r="N335" s="143"/>
      <c r="O335" s="143"/>
      <c r="P335" s="143"/>
      <c r="Q335" s="143"/>
      <c r="R335" s="143"/>
      <c r="S335" s="143"/>
      <c r="T335" s="143"/>
      <c r="U335" s="143"/>
      <c r="V335" s="143"/>
      <c r="W335" s="143"/>
      <c r="X335" s="143"/>
      <c r="Y335" s="143"/>
      <c r="Z335" s="143"/>
      <c r="AA335" s="143"/>
      <c r="AB335" s="143"/>
      <c r="AC335" s="143"/>
      <c r="AD335" s="143"/>
      <c r="AE335" s="143"/>
    </row>
    <row r="336">
      <c r="A336" s="156"/>
      <c r="B336" s="156"/>
      <c r="C336" s="156"/>
      <c r="D336" s="154"/>
      <c r="E336" s="156"/>
      <c r="F336" s="143"/>
      <c r="G336" s="143"/>
      <c r="H336" s="143"/>
      <c r="I336" s="143"/>
      <c r="J336" s="143"/>
      <c r="K336" s="143"/>
      <c r="L336" s="143"/>
      <c r="M336" s="143"/>
      <c r="N336" s="143"/>
      <c r="O336" s="143"/>
      <c r="P336" s="143"/>
      <c r="Q336" s="143"/>
      <c r="R336" s="143"/>
      <c r="S336" s="143"/>
      <c r="T336" s="143"/>
      <c r="U336" s="143"/>
      <c r="V336" s="143"/>
      <c r="W336" s="143"/>
      <c r="X336" s="143"/>
      <c r="Y336" s="143"/>
      <c r="Z336" s="143"/>
      <c r="AA336" s="143"/>
      <c r="AB336" s="143"/>
      <c r="AC336" s="143"/>
      <c r="AD336" s="143"/>
      <c r="AE336" s="143"/>
    </row>
    <row r="337">
      <c r="A337" s="156"/>
      <c r="B337" s="156"/>
      <c r="C337" s="156"/>
      <c r="D337" s="154"/>
      <c r="E337" s="156"/>
      <c r="F337" s="143"/>
      <c r="G337" s="143"/>
      <c r="H337" s="143"/>
      <c r="I337" s="143"/>
      <c r="J337" s="143"/>
      <c r="K337" s="143"/>
      <c r="L337" s="143"/>
      <c r="M337" s="143"/>
      <c r="N337" s="143"/>
      <c r="O337" s="143"/>
      <c r="P337" s="143"/>
      <c r="Q337" s="143"/>
      <c r="R337" s="143"/>
      <c r="S337" s="143"/>
      <c r="T337" s="143"/>
      <c r="U337" s="143"/>
      <c r="V337" s="143"/>
      <c r="W337" s="143"/>
      <c r="X337" s="143"/>
      <c r="Y337" s="143"/>
      <c r="Z337" s="143"/>
      <c r="AA337" s="143"/>
      <c r="AB337" s="143"/>
      <c r="AC337" s="143"/>
      <c r="AD337" s="143"/>
      <c r="AE337" s="143"/>
    </row>
    <row r="338">
      <c r="A338" s="156"/>
      <c r="B338" s="156"/>
      <c r="C338" s="156"/>
      <c r="D338" s="154"/>
      <c r="E338" s="156"/>
      <c r="F338" s="143"/>
      <c r="G338" s="143"/>
      <c r="H338" s="143"/>
      <c r="I338" s="143"/>
      <c r="J338" s="143"/>
      <c r="K338" s="143"/>
      <c r="L338" s="143"/>
      <c r="M338" s="143"/>
      <c r="N338" s="143"/>
      <c r="O338" s="143"/>
      <c r="P338" s="143"/>
      <c r="Q338" s="143"/>
      <c r="R338" s="143"/>
      <c r="S338" s="143"/>
      <c r="T338" s="143"/>
      <c r="U338" s="143"/>
      <c r="V338" s="143"/>
      <c r="W338" s="143"/>
      <c r="X338" s="143"/>
      <c r="Y338" s="143"/>
      <c r="Z338" s="143"/>
      <c r="AA338" s="143"/>
      <c r="AB338" s="143"/>
      <c r="AC338" s="143"/>
      <c r="AD338" s="143"/>
      <c r="AE338" s="143"/>
    </row>
    <row r="339">
      <c r="A339" s="156"/>
      <c r="B339" s="156"/>
      <c r="C339" s="156"/>
      <c r="D339" s="154"/>
      <c r="E339" s="156"/>
      <c r="F339" s="143"/>
      <c r="G339" s="143"/>
      <c r="H339" s="143"/>
      <c r="I339" s="143"/>
      <c r="J339" s="143"/>
      <c r="K339" s="143"/>
      <c r="L339" s="143"/>
      <c r="M339" s="143"/>
      <c r="N339" s="143"/>
      <c r="O339" s="143"/>
      <c r="P339" s="143"/>
      <c r="Q339" s="143"/>
      <c r="R339" s="143"/>
      <c r="S339" s="143"/>
      <c r="T339" s="143"/>
      <c r="U339" s="143"/>
      <c r="V339" s="143"/>
      <c r="W339" s="143"/>
      <c r="X339" s="143"/>
      <c r="Y339" s="143"/>
      <c r="Z339" s="143"/>
      <c r="AA339" s="143"/>
      <c r="AB339" s="143"/>
      <c r="AC339" s="143"/>
      <c r="AD339" s="143"/>
      <c r="AE339" s="143"/>
    </row>
    <row r="340">
      <c r="A340" s="156"/>
      <c r="B340" s="156"/>
      <c r="C340" s="156"/>
      <c r="D340" s="154"/>
      <c r="E340" s="156"/>
      <c r="F340" s="143"/>
      <c r="G340" s="143"/>
      <c r="H340" s="143"/>
      <c r="I340" s="143"/>
      <c r="J340" s="143"/>
      <c r="K340" s="143"/>
      <c r="L340" s="143"/>
      <c r="M340" s="143"/>
      <c r="N340" s="143"/>
      <c r="O340" s="143"/>
      <c r="P340" s="143"/>
      <c r="Q340" s="143"/>
      <c r="R340" s="143"/>
      <c r="S340" s="143"/>
      <c r="T340" s="143"/>
      <c r="U340" s="143"/>
      <c r="V340" s="143"/>
      <c r="W340" s="143"/>
      <c r="X340" s="143"/>
      <c r="Y340" s="143"/>
      <c r="Z340" s="143"/>
      <c r="AA340" s="143"/>
      <c r="AB340" s="143"/>
      <c r="AC340" s="143"/>
      <c r="AD340" s="143"/>
      <c r="AE340" s="143"/>
    </row>
    <row r="341">
      <c r="A341" s="156"/>
      <c r="B341" s="156"/>
      <c r="C341" s="156"/>
      <c r="D341" s="154"/>
      <c r="E341" s="156"/>
      <c r="F341" s="143"/>
      <c r="G341" s="143"/>
      <c r="H341" s="143"/>
      <c r="I341" s="143"/>
      <c r="J341" s="143"/>
      <c r="K341" s="143"/>
      <c r="L341" s="143"/>
      <c r="M341" s="143"/>
      <c r="N341" s="143"/>
      <c r="O341" s="143"/>
      <c r="P341" s="143"/>
      <c r="Q341" s="143"/>
      <c r="R341" s="143"/>
      <c r="S341" s="143"/>
      <c r="T341" s="143"/>
      <c r="U341" s="143"/>
      <c r="V341" s="143"/>
      <c r="W341" s="143"/>
      <c r="X341" s="143"/>
      <c r="Y341" s="143"/>
      <c r="Z341" s="143"/>
      <c r="AA341" s="143"/>
      <c r="AB341" s="143"/>
      <c r="AC341" s="143"/>
      <c r="AD341" s="143"/>
      <c r="AE341" s="143"/>
    </row>
    <row r="342">
      <c r="A342" s="156"/>
      <c r="B342" s="156"/>
      <c r="C342" s="156"/>
      <c r="D342" s="154"/>
      <c r="E342" s="156"/>
      <c r="F342" s="143"/>
      <c r="G342" s="143"/>
      <c r="H342" s="143"/>
      <c r="I342" s="143"/>
      <c r="J342" s="143"/>
      <c r="K342" s="143"/>
      <c r="L342" s="143"/>
      <c r="M342" s="143"/>
      <c r="N342" s="143"/>
      <c r="O342" s="143"/>
      <c r="P342" s="143"/>
      <c r="Q342" s="143"/>
      <c r="R342" s="143"/>
      <c r="S342" s="143"/>
      <c r="T342" s="143"/>
      <c r="U342" s="143"/>
      <c r="V342" s="143"/>
      <c r="W342" s="143"/>
      <c r="X342" s="143"/>
      <c r="Y342" s="143"/>
      <c r="Z342" s="143"/>
      <c r="AA342" s="143"/>
      <c r="AB342" s="143"/>
      <c r="AC342" s="143"/>
      <c r="AD342" s="143"/>
      <c r="AE342" s="143"/>
    </row>
    <row r="343">
      <c r="A343" s="156"/>
      <c r="B343" s="156"/>
      <c r="C343" s="156"/>
      <c r="D343" s="154"/>
      <c r="E343" s="156"/>
      <c r="F343" s="143"/>
      <c r="G343" s="143"/>
      <c r="H343" s="143"/>
      <c r="I343" s="143"/>
      <c r="J343" s="143"/>
      <c r="K343" s="143"/>
      <c r="L343" s="143"/>
      <c r="M343" s="143"/>
      <c r="N343" s="143"/>
      <c r="O343" s="143"/>
      <c r="P343" s="143"/>
      <c r="Q343" s="143"/>
      <c r="R343" s="143"/>
      <c r="S343" s="143"/>
      <c r="T343" s="143"/>
      <c r="U343" s="143"/>
      <c r="V343" s="143"/>
      <c r="W343" s="143"/>
      <c r="X343" s="143"/>
      <c r="Y343" s="143"/>
      <c r="Z343" s="143"/>
      <c r="AA343" s="143"/>
      <c r="AB343" s="143"/>
      <c r="AC343" s="143"/>
      <c r="AD343" s="143"/>
      <c r="AE343" s="143"/>
    </row>
    <row r="344">
      <c r="A344" s="156"/>
      <c r="B344" s="156"/>
      <c r="C344" s="156"/>
      <c r="D344" s="154"/>
      <c r="E344" s="156"/>
      <c r="F344" s="143"/>
      <c r="G344" s="143"/>
      <c r="H344" s="143"/>
      <c r="I344" s="143"/>
      <c r="J344" s="143"/>
      <c r="K344" s="143"/>
      <c r="L344" s="143"/>
      <c r="M344" s="143"/>
      <c r="N344" s="143"/>
      <c r="O344" s="143"/>
      <c r="P344" s="143"/>
      <c r="Q344" s="143"/>
      <c r="R344" s="143"/>
      <c r="S344" s="143"/>
      <c r="T344" s="143"/>
      <c r="U344" s="143"/>
      <c r="V344" s="143"/>
      <c r="W344" s="143"/>
      <c r="X344" s="143"/>
      <c r="Y344" s="143"/>
      <c r="Z344" s="143"/>
      <c r="AA344" s="143"/>
      <c r="AB344" s="143"/>
      <c r="AC344" s="143"/>
      <c r="AD344" s="143"/>
      <c r="AE344" s="143"/>
    </row>
    <row r="345">
      <c r="A345" s="156"/>
      <c r="B345" s="156"/>
      <c r="C345" s="156"/>
      <c r="D345" s="154"/>
      <c r="E345" s="156"/>
      <c r="F345" s="143"/>
      <c r="G345" s="143"/>
      <c r="H345" s="143"/>
      <c r="I345" s="143"/>
      <c r="J345" s="143"/>
      <c r="K345" s="143"/>
      <c r="L345" s="143"/>
      <c r="M345" s="143"/>
      <c r="N345" s="143"/>
      <c r="O345" s="143"/>
      <c r="P345" s="143"/>
      <c r="Q345" s="143"/>
      <c r="R345" s="143"/>
      <c r="S345" s="143"/>
      <c r="T345" s="143"/>
      <c r="U345" s="143"/>
      <c r="V345" s="143"/>
      <c r="W345" s="143"/>
      <c r="X345" s="143"/>
      <c r="Y345" s="143"/>
      <c r="Z345" s="143"/>
      <c r="AA345" s="143"/>
      <c r="AB345" s="143"/>
      <c r="AC345" s="143"/>
      <c r="AD345" s="143"/>
      <c r="AE345" s="143"/>
    </row>
    <row r="346">
      <c r="A346" s="156"/>
      <c r="B346" s="156"/>
      <c r="C346" s="156"/>
      <c r="D346" s="154"/>
      <c r="E346" s="156"/>
      <c r="F346" s="143"/>
      <c r="G346" s="143"/>
      <c r="H346" s="143"/>
      <c r="I346" s="143"/>
      <c r="J346" s="143"/>
      <c r="K346" s="143"/>
      <c r="L346" s="143"/>
      <c r="M346" s="143"/>
      <c r="N346" s="143"/>
      <c r="O346" s="143"/>
      <c r="P346" s="143"/>
      <c r="Q346" s="143"/>
      <c r="R346" s="143"/>
      <c r="S346" s="143"/>
      <c r="T346" s="143"/>
      <c r="U346" s="143"/>
      <c r="V346" s="143"/>
      <c r="W346" s="143"/>
      <c r="X346" s="143"/>
      <c r="Y346" s="143"/>
      <c r="Z346" s="143"/>
      <c r="AA346" s="143"/>
      <c r="AB346" s="143"/>
      <c r="AC346" s="143"/>
      <c r="AD346" s="143"/>
      <c r="AE346" s="143"/>
    </row>
    <row r="347">
      <c r="A347" s="156"/>
      <c r="B347" s="156"/>
      <c r="C347" s="156"/>
      <c r="D347" s="154"/>
      <c r="E347" s="156"/>
      <c r="F347" s="143"/>
      <c r="G347" s="143"/>
      <c r="H347" s="143"/>
      <c r="I347" s="143"/>
      <c r="J347" s="143"/>
      <c r="K347" s="143"/>
      <c r="L347" s="143"/>
      <c r="M347" s="143"/>
      <c r="N347" s="143"/>
      <c r="O347" s="143"/>
      <c r="P347" s="143"/>
      <c r="Q347" s="143"/>
      <c r="R347" s="143"/>
      <c r="S347" s="143"/>
      <c r="T347" s="143"/>
      <c r="U347" s="143"/>
      <c r="V347" s="143"/>
      <c r="W347" s="143"/>
      <c r="X347" s="143"/>
      <c r="Y347" s="143"/>
      <c r="Z347" s="143"/>
      <c r="AA347" s="143"/>
      <c r="AB347" s="143"/>
      <c r="AC347" s="143"/>
      <c r="AD347" s="143"/>
      <c r="AE347" s="143"/>
    </row>
    <row r="348">
      <c r="A348" s="156"/>
      <c r="B348" s="156"/>
      <c r="C348" s="156"/>
      <c r="D348" s="154"/>
      <c r="E348" s="156"/>
      <c r="F348" s="143"/>
      <c r="G348" s="143"/>
      <c r="H348" s="143"/>
      <c r="I348" s="143"/>
      <c r="J348" s="143"/>
      <c r="K348" s="143"/>
      <c r="L348" s="143"/>
      <c r="M348" s="143"/>
      <c r="N348" s="143"/>
      <c r="O348" s="143"/>
      <c r="P348" s="143"/>
      <c r="Q348" s="143"/>
      <c r="R348" s="143"/>
      <c r="S348" s="143"/>
      <c r="T348" s="143"/>
      <c r="U348" s="143"/>
      <c r="V348" s="143"/>
      <c r="W348" s="143"/>
      <c r="X348" s="143"/>
      <c r="Y348" s="143"/>
      <c r="Z348" s="143"/>
      <c r="AA348" s="143"/>
      <c r="AB348" s="143"/>
      <c r="AC348" s="143"/>
      <c r="AD348" s="143"/>
      <c r="AE348" s="143"/>
    </row>
    <row r="349">
      <c r="A349" s="156"/>
      <c r="B349" s="156"/>
      <c r="C349" s="156"/>
      <c r="D349" s="154"/>
      <c r="E349" s="156"/>
      <c r="F349" s="143"/>
      <c r="G349" s="143"/>
      <c r="H349" s="143"/>
      <c r="I349" s="143"/>
      <c r="J349" s="143"/>
      <c r="K349" s="143"/>
      <c r="L349" s="143"/>
      <c r="M349" s="143"/>
      <c r="N349" s="143"/>
      <c r="O349" s="143"/>
      <c r="P349" s="143"/>
      <c r="Q349" s="143"/>
      <c r="R349" s="143"/>
      <c r="S349" s="143"/>
      <c r="T349" s="143"/>
      <c r="U349" s="143"/>
      <c r="V349" s="143"/>
      <c r="W349" s="143"/>
      <c r="X349" s="143"/>
      <c r="Y349" s="143"/>
      <c r="Z349" s="143"/>
      <c r="AA349" s="143"/>
      <c r="AB349" s="143"/>
      <c r="AC349" s="143"/>
      <c r="AD349" s="143"/>
      <c r="AE349" s="143"/>
    </row>
    <row r="350">
      <c r="A350" s="156"/>
      <c r="B350" s="156"/>
      <c r="C350" s="156"/>
      <c r="D350" s="154"/>
      <c r="E350" s="156"/>
      <c r="F350" s="143"/>
      <c r="G350" s="143"/>
      <c r="H350" s="143"/>
      <c r="I350" s="143"/>
      <c r="J350" s="143"/>
      <c r="K350" s="143"/>
      <c r="L350" s="143"/>
      <c r="M350" s="143"/>
      <c r="N350" s="143"/>
      <c r="O350" s="143"/>
      <c r="P350" s="143"/>
      <c r="Q350" s="143"/>
      <c r="R350" s="143"/>
      <c r="S350" s="143"/>
      <c r="T350" s="143"/>
      <c r="U350" s="143"/>
      <c r="V350" s="143"/>
      <c r="W350" s="143"/>
      <c r="X350" s="143"/>
      <c r="Y350" s="143"/>
      <c r="Z350" s="143"/>
      <c r="AA350" s="143"/>
      <c r="AB350" s="143"/>
      <c r="AC350" s="143"/>
      <c r="AD350" s="143"/>
      <c r="AE350" s="143"/>
    </row>
    <row r="351">
      <c r="A351" s="156"/>
      <c r="B351" s="156"/>
      <c r="C351" s="156"/>
      <c r="D351" s="154"/>
      <c r="E351" s="156"/>
      <c r="F351" s="143"/>
      <c r="G351" s="143"/>
      <c r="H351" s="143"/>
      <c r="I351" s="143"/>
      <c r="J351" s="143"/>
      <c r="K351" s="143"/>
      <c r="L351" s="143"/>
      <c r="M351" s="143"/>
      <c r="N351" s="143"/>
      <c r="O351" s="143"/>
      <c r="P351" s="143"/>
      <c r="Q351" s="143"/>
      <c r="R351" s="143"/>
      <c r="S351" s="143"/>
      <c r="T351" s="143"/>
      <c r="U351" s="143"/>
      <c r="V351" s="143"/>
      <c r="W351" s="143"/>
      <c r="X351" s="143"/>
      <c r="Y351" s="143"/>
      <c r="Z351" s="143"/>
      <c r="AA351" s="143"/>
      <c r="AB351" s="143"/>
      <c r="AC351" s="143"/>
      <c r="AD351" s="143"/>
      <c r="AE351" s="143"/>
    </row>
    <row r="352">
      <c r="A352" s="156"/>
      <c r="B352" s="156"/>
      <c r="C352" s="156"/>
      <c r="D352" s="154"/>
      <c r="E352" s="156"/>
      <c r="F352" s="143"/>
      <c r="G352" s="143"/>
      <c r="H352" s="143"/>
      <c r="I352" s="143"/>
      <c r="J352" s="143"/>
      <c r="K352" s="143"/>
      <c r="L352" s="143"/>
      <c r="M352" s="143"/>
      <c r="N352" s="143"/>
      <c r="O352" s="143"/>
      <c r="P352" s="143"/>
      <c r="Q352" s="143"/>
      <c r="R352" s="143"/>
      <c r="S352" s="143"/>
      <c r="T352" s="143"/>
      <c r="U352" s="143"/>
      <c r="V352" s="143"/>
      <c r="W352" s="143"/>
      <c r="X352" s="143"/>
      <c r="Y352" s="143"/>
      <c r="Z352" s="143"/>
      <c r="AA352" s="143"/>
      <c r="AB352" s="143"/>
      <c r="AC352" s="143"/>
      <c r="AD352" s="143"/>
      <c r="AE352" s="143"/>
    </row>
    <row r="353">
      <c r="A353" s="156"/>
      <c r="B353" s="156"/>
      <c r="C353" s="156"/>
      <c r="D353" s="154"/>
      <c r="E353" s="156"/>
      <c r="F353" s="143"/>
      <c r="G353" s="143"/>
      <c r="H353" s="143"/>
      <c r="I353" s="143"/>
      <c r="J353" s="143"/>
      <c r="K353" s="143"/>
      <c r="L353" s="143"/>
      <c r="M353" s="143"/>
      <c r="N353" s="143"/>
      <c r="O353" s="143"/>
      <c r="P353" s="143"/>
      <c r="Q353" s="143"/>
      <c r="R353" s="143"/>
      <c r="S353" s="143"/>
      <c r="T353" s="143"/>
      <c r="U353" s="143"/>
      <c r="V353" s="143"/>
      <c r="W353" s="143"/>
      <c r="X353" s="143"/>
      <c r="Y353" s="143"/>
      <c r="Z353" s="143"/>
      <c r="AA353" s="143"/>
      <c r="AB353" s="143"/>
      <c r="AC353" s="143"/>
      <c r="AD353" s="143"/>
      <c r="AE353" s="143"/>
    </row>
    <row r="354">
      <c r="A354" s="156"/>
      <c r="B354" s="156"/>
      <c r="C354" s="156"/>
      <c r="D354" s="154"/>
      <c r="E354" s="156"/>
      <c r="F354" s="143"/>
      <c r="G354" s="143"/>
      <c r="H354" s="143"/>
      <c r="I354" s="143"/>
      <c r="J354" s="143"/>
      <c r="K354" s="143"/>
      <c r="L354" s="143"/>
      <c r="M354" s="143"/>
      <c r="N354" s="143"/>
      <c r="O354" s="143"/>
      <c r="P354" s="143"/>
      <c r="Q354" s="143"/>
      <c r="R354" s="143"/>
      <c r="S354" s="143"/>
      <c r="T354" s="143"/>
      <c r="U354" s="143"/>
      <c r="V354" s="143"/>
      <c r="W354" s="143"/>
      <c r="X354" s="143"/>
      <c r="Y354" s="143"/>
      <c r="Z354" s="143"/>
      <c r="AA354" s="143"/>
      <c r="AB354" s="143"/>
      <c r="AC354" s="143"/>
      <c r="AD354" s="143"/>
      <c r="AE354" s="143"/>
    </row>
    <row r="355">
      <c r="A355" s="156"/>
      <c r="B355" s="156"/>
      <c r="C355" s="156"/>
      <c r="D355" s="154"/>
      <c r="E355" s="156"/>
      <c r="F355" s="143"/>
      <c r="G355" s="143"/>
      <c r="H355" s="143"/>
      <c r="I355" s="143"/>
      <c r="J355" s="143"/>
      <c r="K355" s="143"/>
      <c r="L355" s="143"/>
      <c r="M355" s="143"/>
      <c r="N355" s="143"/>
      <c r="O355" s="143"/>
      <c r="P355" s="143"/>
      <c r="Q355" s="143"/>
      <c r="R355" s="143"/>
      <c r="S355" s="143"/>
      <c r="T355" s="143"/>
      <c r="U355" s="143"/>
      <c r="V355" s="143"/>
      <c r="W355" s="143"/>
      <c r="X355" s="143"/>
      <c r="Y355" s="143"/>
      <c r="Z355" s="143"/>
      <c r="AA355" s="143"/>
      <c r="AB355" s="143"/>
      <c r="AC355" s="143"/>
      <c r="AD355" s="143"/>
      <c r="AE355" s="143"/>
    </row>
    <row r="356">
      <c r="A356" s="156"/>
      <c r="B356" s="156"/>
      <c r="C356" s="156"/>
      <c r="D356" s="154"/>
      <c r="E356" s="156"/>
      <c r="F356" s="143"/>
      <c r="G356" s="143"/>
      <c r="H356" s="143"/>
      <c r="I356" s="143"/>
      <c r="J356" s="143"/>
      <c r="K356" s="143"/>
      <c r="L356" s="143"/>
      <c r="M356" s="143"/>
      <c r="N356" s="143"/>
      <c r="O356" s="143"/>
      <c r="P356" s="143"/>
      <c r="Q356" s="143"/>
      <c r="R356" s="143"/>
      <c r="S356" s="143"/>
      <c r="T356" s="143"/>
      <c r="U356" s="143"/>
      <c r="V356" s="143"/>
      <c r="W356" s="143"/>
      <c r="X356" s="143"/>
      <c r="Y356" s="143"/>
      <c r="Z356" s="143"/>
      <c r="AA356" s="143"/>
      <c r="AB356" s="143"/>
      <c r="AC356" s="143"/>
      <c r="AD356" s="143"/>
      <c r="AE356" s="143"/>
    </row>
    <row r="357">
      <c r="A357" s="156"/>
      <c r="B357" s="156"/>
      <c r="C357" s="156"/>
      <c r="D357" s="154"/>
      <c r="E357" s="156"/>
      <c r="F357" s="143"/>
      <c r="G357" s="143"/>
      <c r="H357" s="143"/>
      <c r="I357" s="143"/>
      <c r="J357" s="143"/>
      <c r="K357" s="143"/>
      <c r="L357" s="143"/>
      <c r="M357" s="143"/>
      <c r="N357" s="143"/>
      <c r="O357" s="143"/>
      <c r="P357" s="143"/>
      <c r="Q357" s="143"/>
      <c r="R357" s="143"/>
      <c r="S357" s="143"/>
      <c r="T357" s="143"/>
      <c r="U357" s="143"/>
      <c r="V357" s="143"/>
      <c r="W357" s="143"/>
      <c r="X357" s="143"/>
      <c r="Y357" s="143"/>
      <c r="Z357" s="143"/>
      <c r="AA357" s="143"/>
      <c r="AB357" s="143"/>
      <c r="AC357" s="143"/>
      <c r="AD357" s="143"/>
      <c r="AE357" s="143"/>
    </row>
    <row r="358">
      <c r="A358" s="156"/>
      <c r="B358" s="156"/>
      <c r="C358" s="156"/>
      <c r="D358" s="154"/>
      <c r="E358" s="156"/>
      <c r="F358" s="143"/>
      <c r="G358" s="143"/>
      <c r="H358" s="143"/>
      <c r="I358" s="143"/>
      <c r="J358" s="143"/>
      <c r="K358" s="143"/>
      <c r="L358" s="143"/>
      <c r="M358" s="143"/>
      <c r="N358" s="143"/>
      <c r="O358" s="143"/>
      <c r="P358" s="143"/>
      <c r="Q358" s="143"/>
      <c r="R358" s="143"/>
      <c r="S358" s="143"/>
      <c r="T358" s="143"/>
      <c r="U358" s="143"/>
      <c r="V358" s="143"/>
      <c r="W358" s="143"/>
      <c r="X358" s="143"/>
      <c r="Y358" s="143"/>
      <c r="Z358" s="143"/>
      <c r="AA358" s="143"/>
      <c r="AB358" s="143"/>
      <c r="AC358" s="143"/>
      <c r="AD358" s="143"/>
      <c r="AE358" s="143"/>
    </row>
    <row r="359">
      <c r="A359" s="156"/>
      <c r="B359" s="156"/>
      <c r="C359" s="156"/>
      <c r="D359" s="154"/>
      <c r="E359" s="156"/>
      <c r="F359" s="143"/>
      <c r="G359" s="143"/>
      <c r="H359" s="143"/>
      <c r="I359" s="143"/>
      <c r="J359" s="143"/>
      <c r="K359" s="143"/>
      <c r="L359" s="143"/>
      <c r="M359" s="143"/>
      <c r="N359" s="143"/>
      <c r="O359" s="143"/>
      <c r="P359" s="143"/>
      <c r="Q359" s="143"/>
      <c r="R359" s="143"/>
      <c r="S359" s="143"/>
      <c r="T359" s="143"/>
      <c r="U359" s="143"/>
      <c r="V359" s="143"/>
      <c r="W359" s="143"/>
      <c r="X359" s="143"/>
      <c r="Y359" s="143"/>
      <c r="Z359" s="143"/>
      <c r="AA359" s="143"/>
      <c r="AB359" s="143"/>
      <c r="AC359" s="143"/>
      <c r="AD359" s="143"/>
      <c r="AE359" s="143"/>
    </row>
    <row r="360">
      <c r="A360" s="156"/>
      <c r="B360" s="156"/>
      <c r="C360" s="156"/>
      <c r="D360" s="154"/>
      <c r="E360" s="156"/>
      <c r="F360" s="143"/>
      <c r="G360" s="143"/>
      <c r="H360" s="143"/>
      <c r="I360" s="143"/>
      <c r="J360" s="143"/>
      <c r="K360" s="143"/>
      <c r="L360" s="143"/>
      <c r="M360" s="143"/>
      <c r="N360" s="143"/>
      <c r="O360" s="143"/>
      <c r="P360" s="143"/>
      <c r="Q360" s="143"/>
      <c r="R360" s="143"/>
      <c r="S360" s="143"/>
      <c r="T360" s="143"/>
      <c r="U360" s="143"/>
      <c r="V360" s="143"/>
      <c r="W360" s="143"/>
      <c r="X360" s="143"/>
      <c r="Y360" s="143"/>
      <c r="Z360" s="143"/>
      <c r="AA360" s="143"/>
      <c r="AB360" s="143"/>
      <c r="AC360" s="143"/>
      <c r="AD360" s="143"/>
      <c r="AE360" s="143"/>
    </row>
    <row r="361">
      <c r="A361" s="156"/>
      <c r="B361" s="156"/>
      <c r="C361" s="156"/>
      <c r="D361" s="154"/>
      <c r="E361" s="156"/>
      <c r="F361" s="143"/>
      <c r="G361" s="143"/>
      <c r="H361" s="143"/>
      <c r="I361" s="143"/>
      <c r="J361" s="143"/>
      <c r="K361" s="143"/>
      <c r="L361" s="143"/>
      <c r="M361" s="143"/>
      <c r="N361" s="143"/>
      <c r="O361" s="143"/>
      <c r="P361" s="143"/>
      <c r="Q361" s="143"/>
      <c r="R361" s="143"/>
      <c r="S361" s="143"/>
      <c r="T361" s="143"/>
      <c r="U361" s="143"/>
      <c r="V361" s="143"/>
      <c r="W361" s="143"/>
      <c r="X361" s="143"/>
      <c r="Y361" s="143"/>
      <c r="Z361" s="143"/>
      <c r="AA361" s="143"/>
      <c r="AB361" s="143"/>
      <c r="AC361" s="143"/>
      <c r="AD361" s="143"/>
      <c r="AE361" s="143"/>
    </row>
    <row r="362">
      <c r="A362" s="156"/>
      <c r="B362" s="156"/>
      <c r="C362" s="156"/>
      <c r="D362" s="154"/>
      <c r="E362" s="156"/>
      <c r="F362" s="143"/>
      <c r="G362" s="143"/>
      <c r="H362" s="143"/>
      <c r="I362" s="143"/>
      <c r="J362" s="143"/>
      <c r="K362" s="143"/>
      <c r="L362" s="143"/>
      <c r="M362" s="143"/>
      <c r="N362" s="143"/>
      <c r="O362" s="143"/>
      <c r="P362" s="143"/>
      <c r="Q362" s="143"/>
      <c r="R362" s="143"/>
      <c r="S362" s="143"/>
      <c r="T362" s="143"/>
      <c r="U362" s="143"/>
      <c r="V362" s="143"/>
      <c r="W362" s="143"/>
      <c r="X362" s="143"/>
      <c r="Y362" s="143"/>
      <c r="Z362" s="143"/>
      <c r="AA362" s="143"/>
      <c r="AB362" s="143"/>
      <c r="AC362" s="143"/>
      <c r="AD362" s="143"/>
      <c r="AE362" s="143"/>
    </row>
    <row r="363">
      <c r="A363" s="156"/>
      <c r="B363" s="156"/>
      <c r="C363" s="156"/>
      <c r="D363" s="154"/>
      <c r="E363" s="156"/>
      <c r="F363" s="143"/>
      <c r="G363" s="143"/>
      <c r="H363" s="143"/>
      <c r="I363" s="143"/>
      <c r="J363" s="143"/>
      <c r="K363" s="143"/>
      <c r="L363" s="143"/>
      <c r="M363" s="143"/>
      <c r="N363" s="143"/>
      <c r="O363" s="143"/>
      <c r="P363" s="143"/>
      <c r="Q363" s="143"/>
      <c r="R363" s="143"/>
      <c r="S363" s="143"/>
      <c r="T363" s="143"/>
      <c r="U363" s="143"/>
      <c r="V363" s="143"/>
      <c r="W363" s="143"/>
      <c r="X363" s="143"/>
      <c r="Y363" s="143"/>
      <c r="Z363" s="143"/>
      <c r="AA363" s="143"/>
      <c r="AB363" s="143"/>
      <c r="AC363" s="143"/>
      <c r="AD363" s="143"/>
      <c r="AE363" s="143"/>
    </row>
    <row r="364">
      <c r="A364" s="156"/>
      <c r="B364" s="156"/>
      <c r="C364" s="156"/>
      <c r="D364" s="154"/>
      <c r="E364" s="156"/>
      <c r="F364" s="143"/>
      <c r="G364" s="143"/>
      <c r="H364" s="143"/>
      <c r="I364" s="143"/>
      <c r="J364" s="143"/>
      <c r="K364" s="143"/>
      <c r="L364" s="143"/>
      <c r="M364" s="143"/>
      <c r="N364" s="143"/>
      <c r="O364" s="143"/>
      <c r="P364" s="143"/>
      <c r="Q364" s="143"/>
      <c r="R364" s="143"/>
      <c r="S364" s="143"/>
      <c r="T364" s="143"/>
      <c r="U364" s="143"/>
      <c r="V364" s="143"/>
      <c r="W364" s="143"/>
      <c r="X364" s="143"/>
      <c r="Y364" s="143"/>
      <c r="Z364" s="143"/>
      <c r="AA364" s="143"/>
      <c r="AB364" s="143"/>
      <c r="AC364" s="143"/>
      <c r="AD364" s="143"/>
      <c r="AE364" s="143"/>
    </row>
    <row r="365">
      <c r="A365" s="156"/>
      <c r="B365" s="156"/>
      <c r="C365" s="156"/>
      <c r="D365" s="154"/>
      <c r="E365" s="156"/>
      <c r="F365" s="143"/>
      <c r="G365" s="143"/>
      <c r="H365" s="143"/>
      <c r="I365" s="143"/>
      <c r="J365" s="143"/>
      <c r="K365" s="143"/>
      <c r="L365" s="143"/>
      <c r="M365" s="143"/>
      <c r="N365" s="143"/>
      <c r="O365" s="143"/>
      <c r="P365" s="143"/>
      <c r="Q365" s="143"/>
      <c r="R365" s="143"/>
      <c r="S365" s="143"/>
      <c r="T365" s="143"/>
      <c r="U365" s="143"/>
      <c r="V365" s="143"/>
      <c r="W365" s="143"/>
      <c r="X365" s="143"/>
      <c r="Y365" s="143"/>
      <c r="Z365" s="143"/>
      <c r="AA365" s="143"/>
      <c r="AB365" s="143"/>
      <c r="AC365" s="143"/>
      <c r="AD365" s="143"/>
      <c r="AE365" s="143"/>
    </row>
    <row r="366">
      <c r="A366" s="156"/>
      <c r="B366" s="156"/>
      <c r="C366" s="156"/>
      <c r="D366" s="154"/>
      <c r="E366" s="156"/>
      <c r="F366" s="143"/>
      <c r="G366" s="143"/>
      <c r="H366" s="143"/>
      <c r="I366" s="143"/>
      <c r="J366" s="143"/>
      <c r="K366" s="143"/>
      <c r="L366" s="143"/>
      <c r="M366" s="143"/>
      <c r="N366" s="143"/>
      <c r="O366" s="143"/>
      <c r="P366" s="143"/>
      <c r="Q366" s="143"/>
      <c r="R366" s="143"/>
      <c r="S366" s="143"/>
      <c r="T366" s="143"/>
      <c r="U366" s="143"/>
      <c r="V366" s="143"/>
      <c r="W366" s="143"/>
      <c r="X366" s="143"/>
      <c r="Y366" s="143"/>
      <c r="Z366" s="143"/>
      <c r="AA366" s="143"/>
      <c r="AB366" s="143"/>
      <c r="AC366" s="143"/>
      <c r="AD366" s="143"/>
      <c r="AE366" s="143"/>
    </row>
    <row r="367">
      <c r="A367" s="156"/>
      <c r="B367" s="156"/>
      <c r="C367" s="156"/>
      <c r="D367" s="154"/>
      <c r="E367" s="156"/>
      <c r="F367" s="143"/>
      <c r="G367" s="143"/>
      <c r="H367" s="143"/>
      <c r="I367" s="143"/>
      <c r="J367" s="143"/>
      <c r="K367" s="143"/>
      <c r="L367" s="143"/>
      <c r="M367" s="143"/>
      <c r="N367" s="143"/>
      <c r="O367" s="143"/>
      <c r="P367" s="143"/>
      <c r="Q367" s="143"/>
      <c r="R367" s="143"/>
      <c r="S367" s="143"/>
      <c r="T367" s="143"/>
      <c r="U367" s="143"/>
      <c r="V367" s="143"/>
      <c r="W367" s="143"/>
      <c r="X367" s="143"/>
      <c r="Y367" s="143"/>
      <c r="Z367" s="143"/>
      <c r="AA367" s="143"/>
      <c r="AB367" s="143"/>
      <c r="AC367" s="143"/>
      <c r="AD367" s="143"/>
      <c r="AE367" s="143"/>
    </row>
    <row r="368">
      <c r="A368" s="156"/>
      <c r="B368" s="156"/>
      <c r="C368" s="156"/>
      <c r="D368" s="154"/>
      <c r="E368" s="156"/>
      <c r="F368" s="143"/>
      <c r="G368" s="143"/>
      <c r="H368" s="143"/>
      <c r="I368" s="143"/>
      <c r="J368" s="143"/>
      <c r="K368" s="143"/>
      <c r="L368" s="143"/>
      <c r="M368" s="143"/>
      <c r="N368" s="143"/>
      <c r="O368" s="143"/>
      <c r="P368" s="143"/>
      <c r="Q368" s="143"/>
      <c r="R368" s="143"/>
      <c r="S368" s="143"/>
      <c r="T368" s="143"/>
      <c r="U368" s="143"/>
      <c r="V368" s="143"/>
      <c r="W368" s="143"/>
      <c r="X368" s="143"/>
      <c r="Y368" s="143"/>
      <c r="Z368" s="143"/>
      <c r="AA368" s="143"/>
      <c r="AB368" s="143"/>
      <c r="AC368" s="143"/>
      <c r="AD368" s="143"/>
      <c r="AE368" s="143"/>
    </row>
    <row r="369">
      <c r="A369" s="156"/>
      <c r="B369" s="156"/>
      <c r="C369" s="156"/>
      <c r="D369" s="154"/>
      <c r="E369" s="156"/>
      <c r="F369" s="143"/>
      <c r="G369" s="143"/>
      <c r="H369" s="143"/>
      <c r="I369" s="143"/>
      <c r="J369" s="143"/>
      <c r="K369" s="143"/>
      <c r="L369" s="143"/>
      <c r="M369" s="143"/>
      <c r="N369" s="143"/>
      <c r="O369" s="143"/>
      <c r="P369" s="143"/>
      <c r="Q369" s="143"/>
      <c r="R369" s="143"/>
      <c r="S369" s="143"/>
      <c r="T369" s="143"/>
      <c r="U369" s="143"/>
      <c r="V369" s="143"/>
      <c r="W369" s="143"/>
      <c r="X369" s="143"/>
      <c r="Y369" s="143"/>
      <c r="Z369" s="143"/>
      <c r="AA369" s="143"/>
      <c r="AB369" s="143"/>
      <c r="AC369" s="143"/>
      <c r="AD369" s="143"/>
      <c r="AE369" s="143"/>
    </row>
    <row r="370">
      <c r="A370" s="156"/>
      <c r="B370" s="156"/>
      <c r="C370" s="156"/>
      <c r="D370" s="154"/>
      <c r="E370" s="156"/>
      <c r="F370" s="143"/>
      <c r="G370" s="143"/>
      <c r="H370" s="143"/>
      <c r="I370" s="143"/>
      <c r="J370" s="143"/>
      <c r="K370" s="143"/>
      <c r="L370" s="143"/>
      <c r="M370" s="143"/>
      <c r="N370" s="143"/>
      <c r="O370" s="143"/>
      <c r="P370" s="143"/>
      <c r="Q370" s="143"/>
      <c r="R370" s="143"/>
      <c r="S370" s="143"/>
      <c r="T370" s="143"/>
      <c r="U370" s="143"/>
      <c r="V370" s="143"/>
      <c r="W370" s="143"/>
      <c r="X370" s="143"/>
      <c r="Y370" s="143"/>
      <c r="Z370" s="143"/>
      <c r="AA370" s="143"/>
      <c r="AB370" s="143"/>
      <c r="AC370" s="143"/>
      <c r="AD370" s="143"/>
      <c r="AE370" s="143"/>
    </row>
    <row r="371">
      <c r="A371" s="156"/>
      <c r="B371" s="156"/>
      <c r="C371" s="156"/>
      <c r="D371" s="154"/>
      <c r="E371" s="156"/>
      <c r="F371" s="143"/>
      <c r="G371" s="143"/>
      <c r="H371" s="143"/>
      <c r="I371" s="143"/>
      <c r="J371" s="143"/>
      <c r="K371" s="143"/>
      <c r="L371" s="143"/>
      <c r="M371" s="143"/>
      <c r="N371" s="143"/>
      <c r="O371" s="143"/>
      <c r="P371" s="143"/>
      <c r="Q371" s="143"/>
      <c r="R371" s="143"/>
      <c r="S371" s="143"/>
      <c r="T371" s="143"/>
      <c r="U371" s="143"/>
      <c r="V371" s="143"/>
      <c r="W371" s="143"/>
      <c r="X371" s="143"/>
      <c r="Y371" s="143"/>
      <c r="Z371" s="143"/>
      <c r="AA371" s="143"/>
      <c r="AB371" s="143"/>
      <c r="AC371" s="143"/>
      <c r="AD371" s="143"/>
      <c r="AE371" s="143"/>
    </row>
    <row r="372">
      <c r="A372" s="156"/>
      <c r="B372" s="156"/>
      <c r="C372" s="156"/>
      <c r="D372" s="154"/>
      <c r="E372" s="156"/>
      <c r="F372" s="143"/>
      <c r="G372" s="143"/>
      <c r="H372" s="143"/>
      <c r="I372" s="143"/>
      <c r="J372" s="143"/>
      <c r="K372" s="143"/>
      <c r="L372" s="143"/>
      <c r="M372" s="143"/>
      <c r="N372" s="143"/>
      <c r="O372" s="143"/>
      <c r="P372" s="143"/>
      <c r="Q372" s="143"/>
      <c r="R372" s="143"/>
      <c r="S372" s="143"/>
      <c r="T372" s="143"/>
      <c r="U372" s="143"/>
      <c r="V372" s="143"/>
      <c r="W372" s="143"/>
      <c r="X372" s="143"/>
      <c r="Y372" s="143"/>
      <c r="Z372" s="143"/>
      <c r="AA372" s="143"/>
      <c r="AB372" s="143"/>
      <c r="AC372" s="143"/>
      <c r="AD372" s="143"/>
      <c r="AE372" s="143"/>
    </row>
    <row r="373">
      <c r="A373" s="156"/>
      <c r="B373" s="156"/>
      <c r="C373" s="156"/>
      <c r="D373" s="154"/>
      <c r="E373" s="156"/>
      <c r="F373" s="143"/>
      <c r="G373" s="143"/>
      <c r="H373" s="143"/>
      <c r="I373" s="143"/>
      <c r="J373" s="143"/>
      <c r="K373" s="143"/>
      <c r="L373" s="143"/>
      <c r="M373" s="143"/>
      <c r="N373" s="143"/>
      <c r="O373" s="143"/>
      <c r="P373" s="143"/>
      <c r="Q373" s="143"/>
      <c r="R373" s="143"/>
      <c r="S373" s="143"/>
      <c r="T373" s="143"/>
      <c r="U373" s="143"/>
      <c r="V373" s="143"/>
      <c r="W373" s="143"/>
      <c r="X373" s="143"/>
      <c r="Y373" s="143"/>
      <c r="Z373" s="143"/>
      <c r="AA373" s="143"/>
      <c r="AB373" s="143"/>
      <c r="AC373" s="143"/>
      <c r="AD373" s="143"/>
      <c r="AE373" s="143"/>
    </row>
    <row r="374">
      <c r="A374" s="156"/>
      <c r="B374" s="156"/>
      <c r="C374" s="156"/>
      <c r="D374" s="154"/>
      <c r="E374" s="156"/>
      <c r="F374" s="143"/>
      <c r="G374" s="143"/>
      <c r="H374" s="143"/>
      <c r="I374" s="143"/>
      <c r="J374" s="143"/>
      <c r="K374" s="143"/>
      <c r="L374" s="143"/>
      <c r="M374" s="143"/>
      <c r="N374" s="143"/>
      <c r="O374" s="143"/>
      <c r="P374" s="143"/>
      <c r="Q374" s="143"/>
      <c r="R374" s="143"/>
      <c r="S374" s="143"/>
      <c r="T374" s="143"/>
      <c r="U374" s="143"/>
      <c r="V374" s="143"/>
      <c r="W374" s="143"/>
      <c r="X374" s="143"/>
      <c r="Y374" s="143"/>
      <c r="Z374" s="143"/>
      <c r="AA374" s="143"/>
      <c r="AB374" s="143"/>
      <c r="AC374" s="143"/>
      <c r="AD374" s="143"/>
      <c r="AE374" s="143"/>
    </row>
    <row r="375">
      <c r="A375" s="156"/>
      <c r="B375" s="156"/>
      <c r="C375" s="156"/>
      <c r="D375" s="154"/>
      <c r="E375" s="156"/>
      <c r="F375" s="143"/>
      <c r="G375" s="143"/>
      <c r="H375" s="143"/>
      <c r="I375" s="143"/>
      <c r="J375" s="143"/>
      <c r="K375" s="143"/>
      <c r="L375" s="143"/>
      <c r="M375" s="143"/>
      <c r="N375" s="143"/>
      <c r="O375" s="143"/>
      <c r="P375" s="143"/>
      <c r="Q375" s="143"/>
      <c r="R375" s="143"/>
      <c r="S375" s="143"/>
      <c r="T375" s="143"/>
      <c r="U375" s="143"/>
      <c r="V375" s="143"/>
      <c r="W375" s="143"/>
      <c r="X375" s="143"/>
      <c r="Y375" s="143"/>
      <c r="Z375" s="143"/>
      <c r="AA375" s="143"/>
      <c r="AB375" s="143"/>
      <c r="AC375" s="143"/>
      <c r="AD375" s="143"/>
      <c r="AE375" s="143"/>
    </row>
    <row r="376">
      <c r="A376" s="156"/>
      <c r="B376" s="156"/>
      <c r="C376" s="156"/>
      <c r="D376" s="154"/>
      <c r="E376" s="156"/>
      <c r="F376" s="143"/>
      <c r="G376" s="143"/>
      <c r="H376" s="143"/>
      <c r="I376" s="143"/>
      <c r="J376" s="143"/>
      <c r="K376" s="143"/>
      <c r="L376" s="143"/>
      <c r="M376" s="143"/>
      <c r="N376" s="143"/>
      <c r="O376" s="143"/>
      <c r="P376" s="143"/>
      <c r="Q376" s="143"/>
      <c r="R376" s="143"/>
      <c r="S376" s="143"/>
      <c r="T376" s="143"/>
      <c r="U376" s="143"/>
      <c r="V376" s="143"/>
      <c r="W376" s="143"/>
      <c r="X376" s="143"/>
      <c r="Y376" s="143"/>
      <c r="Z376" s="143"/>
      <c r="AA376" s="143"/>
      <c r="AB376" s="143"/>
      <c r="AC376" s="143"/>
      <c r="AD376" s="143"/>
      <c r="AE376" s="143"/>
    </row>
    <row r="377">
      <c r="A377" s="156"/>
      <c r="B377" s="156"/>
      <c r="C377" s="156"/>
      <c r="D377" s="154"/>
      <c r="E377" s="156"/>
      <c r="F377" s="143"/>
      <c r="G377" s="143"/>
      <c r="H377" s="143"/>
      <c r="I377" s="143"/>
      <c r="J377" s="143"/>
      <c r="K377" s="143"/>
      <c r="L377" s="143"/>
      <c r="M377" s="143"/>
      <c r="N377" s="143"/>
      <c r="O377" s="143"/>
      <c r="P377" s="143"/>
      <c r="Q377" s="143"/>
      <c r="R377" s="143"/>
      <c r="S377" s="143"/>
      <c r="T377" s="143"/>
      <c r="U377" s="143"/>
      <c r="V377" s="143"/>
      <c r="W377" s="143"/>
      <c r="X377" s="143"/>
      <c r="Y377" s="143"/>
      <c r="Z377" s="143"/>
      <c r="AA377" s="143"/>
      <c r="AB377" s="143"/>
      <c r="AC377" s="143"/>
      <c r="AD377" s="143"/>
      <c r="AE377" s="143"/>
    </row>
    <row r="378">
      <c r="A378" s="156"/>
      <c r="B378" s="156"/>
      <c r="C378" s="156"/>
      <c r="D378" s="154"/>
      <c r="E378" s="156"/>
      <c r="F378" s="143"/>
      <c r="G378" s="143"/>
      <c r="H378" s="143"/>
      <c r="I378" s="143"/>
      <c r="J378" s="143"/>
      <c r="K378" s="143"/>
      <c r="L378" s="143"/>
      <c r="M378" s="143"/>
      <c r="N378" s="143"/>
      <c r="O378" s="143"/>
      <c r="P378" s="143"/>
      <c r="Q378" s="143"/>
      <c r="R378" s="143"/>
      <c r="S378" s="143"/>
      <c r="T378" s="143"/>
      <c r="U378" s="143"/>
      <c r="V378" s="143"/>
      <c r="W378" s="143"/>
      <c r="X378" s="143"/>
      <c r="Y378" s="143"/>
      <c r="Z378" s="143"/>
      <c r="AA378" s="143"/>
      <c r="AB378" s="143"/>
      <c r="AC378" s="143"/>
      <c r="AD378" s="143"/>
      <c r="AE378" s="143"/>
    </row>
    <row r="379">
      <c r="A379" s="156"/>
      <c r="B379" s="156"/>
      <c r="C379" s="156"/>
      <c r="D379" s="154"/>
      <c r="E379" s="156"/>
      <c r="F379" s="143"/>
      <c r="G379" s="143"/>
      <c r="H379" s="143"/>
      <c r="I379" s="143"/>
      <c r="J379" s="143"/>
      <c r="K379" s="143"/>
      <c r="L379" s="143"/>
      <c r="M379" s="143"/>
      <c r="N379" s="143"/>
      <c r="O379" s="143"/>
      <c r="P379" s="143"/>
      <c r="Q379" s="143"/>
      <c r="R379" s="143"/>
      <c r="S379" s="143"/>
      <c r="T379" s="143"/>
      <c r="U379" s="143"/>
      <c r="V379" s="143"/>
      <c r="W379" s="143"/>
      <c r="X379" s="143"/>
      <c r="Y379" s="143"/>
      <c r="Z379" s="143"/>
      <c r="AA379" s="143"/>
      <c r="AB379" s="143"/>
      <c r="AC379" s="143"/>
      <c r="AD379" s="143"/>
      <c r="AE379" s="143"/>
    </row>
    <row r="380">
      <c r="A380" s="156"/>
      <c r="B380" s="156"/>
      <c r="C380" s="156"/>
      <c r="D380" s="154"/>
      <c r="E380" s="156"/>
      <c r="F380" s="143"/>
      <c r="G380" s="143"/>
      <c r="H380" s="143"/>
      <c r="I380" s="143"/>
      <c r="J380" s="143"/>
      <c r="K380" s="143"/>
      <c r="L380" s="143"/>
      <c r="M380" s="143"/>
      <c r="N380" s="143"/>
      <c r="O380" s="143"/>
      <c r="P380" s="143"/>
      <c r="Q380" s="143"/>
      <c r="R380" s="143"/>
      <c r="S380" s="143"/>
      <c r="T380" s="143"/>
      <c r="U380" s="143"/>
      <c r="V380" s="143"/>
      <c r="W380" s="143"/>
      <c r="X380" s="143"/>
      <c r="Y380" s="143"/>
      <c r="Z380" s="143"/>
      <c r="AA380" s="143"/>
      <c r="AB380" s="143"/>
      <c r="AC380" s="143"/>
      <c r="AD380" s="143"/>
      <c r="AE380" s="143"/>
    </row>
    <row r="381">
      <c r="A381" s="156"/>
      <c r="B381" s="156"/>
      <c r="C381" s="156"/>
      <c r="D381" s="154"/>
      <c r="E381" s="156"/>
      <c r="F381" s="143"/>
      <c r="G381" s="143"/>
      <c r="H381" s="143"/>
      <c r="I381" s="143"/>
      <c r="J381" s="143"/>
      <c r="K381" s="143"/>
      <c r="L381" s="143"/>
      <c r="M381" s="143"/>
      <c r="N381" s="143"/>
      <c r="O381" s="143"/>
      <c r="P381" s="143"/>
      <c r="Q381" s="143"/>
      <c r="R381" s="143"/>
      <c r="S381" s="143"/>
      <c r="T381" s="143"/>
      <c r="U381" s="143"/>
      <c r="V381" s="143"/>
      <c r="W381" s="143"/>
      <c r="X381" s="143"/>
      <c r="Y381" s="143"/>
      <c r="Z381" s="143"/>
      <c r="AA381" s="143"/>
      <c r="AB381" s="143"/>
      <c r="AC381" s="143"/>
      <c r="AD381" s="143"/>
      <c r="AE381" s="143"/>
    </row>
    <row r="382">
      <c r="A382" s="156"/>
      <c r="B382" s="156"/>
      <c r="C382" s="156"/>
      <c r="D382" s="154"/>
      <c r="E382" s="156"/>
      <c r="F382" s="143"/>
      <c r="G382" s="143"/>
      <c r="H382" s="143"/>
      <c r="I382" s="143"/>
      <c r="J382" s="143"/>
      <c r="K382" s="143"/>
      <c r="L382" s="143"/>
      <c r="M382" s="143"/>
      <c r="N382" s="143"/>
      <c r="O382" s="143"/>
      <c r="P382" s="143"/>
      <c r="Q382" s="143"/>
      <c r="R382" s="143"/>
      <c r="S382" s="143"/>
      <c r="T382" s="143"/>
      <c r="U382" s="143"/>
      <c r="V382" s="143"/>
      <c r="W382" s="143"/>
      <c r="X382" s="143"/>
      <c r="Y382" s="143"/>
      <c r="Z382" s="143"/>
      <c r="AA382" s="143"/>
      <c r="AB382" s="143"/>
      <c r="AC382" s="143"/>
      <c r="AD382" s="143"/>
      <c r="AE382" s="143"/>
    </row>
    <row r="383">
      <c r="A383" s="156"/>
      <c r="B383" s="156"/>
      <c r="C383" s="156"/>
      <c r="D383" s="154"/>
      <c r="E383" s="156"/>
      <c r="F383" s="143"/>
      <c r="G383" s="143"/>
      <c r="H383" s="143"/>
      <c r="I383" s="143"/>
      <c r="J383" s="143"/>
      <c r="K383" s="143"/>
      <c r="L383" s="143"/>
      <c r="M383" s="143"/>
      <c r="N383" s="143"/>
      <c r="O383" s="143"/>
      <c r="P383" s="143"/>
      <c r="Q383" s="143"/>
      <c r="R383" s="143"/>
      <c r="S383" s="143"/>
      <c r="T383" s="143"/>
      <c r="U383" s="143"/>
      <c r="V383" s="143"/>
      <c r="W383" s="143"/>
      <c r="X383" s="143"/>
      <c r="Y383" s="143"/>
      <c r="Z383" s="143"/>
      <c r="AA383" s="143"/>
      <c r="AB383" s="143"/>
      <c r="AC383" s="143"/>
      <c r="AD383" s="143"/>
      <c r="AE383" s="143"/>
    </row>
    <row r="384">
      <c r="A384" s="156"/>
      <c r="B384" s="156"/>
      <c r="C384" s="156"/>
      <c r="D384" s="154"/>
      <c r="E384" s="156"/>
      <c r="F384" s="143"/>
      <c r="G384" s="143"/>
      <c r="H384" s="143"/>
      <c r="I384" s="143"/>
      <c r="J384" s="143"/>
      <c r="K384" s="143"/>
      <c r="L384" s="143"/>
      <c r="M384" s="143"/>
      <c r="N384" s="143"/>
      <c r="O384" s="143"/>
      <c r="P384" s="143"/>
      <c r="Q384" s="143"/>
      <c r="R384" s="143"/>
      <c r="S384" s="143"/>
      <c r="T384" s="143"/>
      <c r="U384" s="143"/>
      <c r="V384" s="143"/>
      <c r="W384" s="143"/>
      <c r="X384" s="143"/>
      <c r="Y384" s="143"/>
      <c r="Z384" s="143"/>
      <c r="AA384" s="143"/>
      <c r="AB384" s="143"/>
      <c r="AC384" s="143"/>
      <c r="AD384" s="143"/>
      <c r="AE384" s="143"/>
    </row>
    <row r="385">
      <c r="A385" s="156"/>
      <c r="B385" s="156"/>
      <c r="C385" s="156"/>
      <c r="D385" s="154"/>
      <c r="E385" s="156"/>
      <c r="F385" s="143"/>
      <c r="G385" s="143"/>
      <c r="H385" s="143"/>
      <c r="I385" s="143"/>
      <c r="J385" s="143"/>
      <c r="K385" s="143"/>
      <c r="L385" s="143"/>
      <c r="M385" s="143"/>
      <c r="N385" s="143"/>
      <c r="O385" s="143"/>
      <c r="P385" s="143"/>
      <c r="Q385" s="143"/>
      <c r="R385" s="143"/>
      <c r="S385" s="143"/>
      <c r="T385" s="143"/>
      <c r="U385" s="143"/>
      <c r="V385" s="143"/>
      <c r="W385" s="143"/>
      <c r="X385" s="143"/>
      <c r="Y385" s="143"/>
      <c r="Z385" s="143"/>
      <c r="AA385" s="143"/>
      <c r="AB385" s="143"/>
      <c r="AC385" s="143"/>
      <c r="AD385" s="143"/>
      <c r="AE385" s="143"/>
    </row>
    <row r="386">
      <c r="A386" s="156"/>
      <c r="B386" s="156"/>
      <c r="C386" s="156"/>
      <c r="D386" s="154"/>
      <c r="E386" s="156"/>
      <c r="F386" s="143"/>
      <c r="G386" s="143"/>
      <c r="H386" s="143"/>
      <c r="I386" s="143"/>
      <c r="J386" s="143"/>
      <c r="K386" s="143"/>
      <c r="L386" s="143"/>
      <c r="M386" s="143"/>
      <c r="N386" s="143"/>
      <c r="O386" s="143"/>
      <c r="P386" s="143"/>
      <c r="Q386" s="143"/>
      <c r="R386" s="143"/>
      <c r="S386" s="143"/>
      <c r="T386" s="143"/>
      <c r="U386" s="143"/>
      <c r="V386" s="143"/>
      <c r="W386" s="143"/>
      <c r="X386" s="143"/>
      <c r="Y386" s="143"/>
      <c r="Z386" s="143"/>
      <c r="AA386" s="143"/>
      <c r="AB386" s="143"/>
      <c r="AC386" s="143"/>
      <c r="AD386" s="143"/>
      <c r="AE386" s="143"/>
    </row>
    <row r="387">
      <c r="A387" s="156"/>
      <c r="B387" s="156"/>
      <c r="C387" s="156"/>
      <c r="D387" s="154"/>
      <c r="E387" s="156"/>
      <c r="F387" s="143"/>
      <c r="G387" s="143"/>
      <c r="H387" s="143"/>
      <c r="I387" s="143"/>
      <c r="J387" s="143"/>
      <c r="K387" s="143"/>
      <c r="L387" s="143"/>
      <c r="M387" s="143"/>
      <c r="N387" s="143"/>
      <c r="O387" s="143"/>
      <c r="P387" s="143"/>
      <c r="Q387" s="143"/>
      <c r="R387" s="143"/>
      <c r="S387" s="143"/>
      <c r="T387" s="143"/>
      <c r="U387" s="143"/>
      <c r="V387" s="143"/>
      <c r="W387" s="143"/>
      <c r="X387" s="143"/>
      <c r="Y387" s="143"/>
      <c r="Z387" s="143"/>
      <c r="AA387" s="143"/>
      <c r="AB387" s="143"/>
      <c r="AC387" s="143"/>
      <c r="AD387" s="143"/>
      <c r="AE387" s="143"/>
    </row>
    <row r="388">
      <c r="A388" s="156"/>
      <c r="B388" s="156"/>
      <c r="C388" s="156"/>
      <c r="D388" s="154"/>
      <c r="E388" s="156"/>
      <c r="F388" s="143"/>
      <c r="G388" s="143"/>
      <c r="H388" s="143"/>
      <c r="I388" s="143"/>
      <c r="J388" s="143"/>
      <c r="K388" s="143"/>
      <c r="L388" s="143"/>
      <c r="M388" s="143"/>
      <c r="N388" s="143"/>
      <c r="O388" s="143"/>
      <c r="P388" s="143"/>
      <c r="Q388" s="143"/>
      <c r="R388" s="143"/>
      <c r="S388" s="143"/>
      <c r="T388" s="143"/>
      <c r="U388" s="143"/>
      <c r="V388" s="143"/>
      <c r="W388" s="143"/>
      <c r="X388" s="143"/>
      <c r="Y388" s="143"/>
      <c r="Z388" s="143"/>
      <c r="AA388" s="143"/>
      <c r="AB388" s="143"/>
      <c r="AC388" s="143"/>
      <c r="AD388" s="143"/>
      <c r="AE388" s="143"/>
    </row>
    <row r="389">
      <c r="A389" s="156"/>
      <c r="B389" s="156"/>
      <c r="C389" s="156"/>
      <c r="D389" s="154"/>
      <c r="E389" s="156"/>
      <c r="F389" s="143"/>
      <c r="G389" s="143"/>
      <c r="H389" s="143"/>
      <c r="I389" s="143"/>
      <c r="J389" s="143"/>
      <c r="K389" s="143"/>
      <c r="L389" s="143"/>
      <c r="M389" s="143"/>
      <c r="N389" s="143"/>
      <c r="O389" s="143"/>
      <c r="P389" s="143"/>
      <c r="Q389" s="143"/>
      <c r="R389" s="143"/>
      <c r="S389" s="143"/>
      <c r="T389" s="143"/>
      <c r="U389" s="143"/>
      <c r="V389" s="143"/>
      <c r="W389" s="143"/>
      <c r="X389" s="143"/>
      <c r="Y389" s="143"/>
      <c r="Z389" s="143"/>
      <c r="AA389" s="143"/>
      <c r="AB389" s="143"/>
      <c r="AC389" s="143"/>
      <c r="AD389" s="143"/>
      <c r="AE389" s="143"/>
    </row>
    <row r="390">
      <c r="A390" s="156"/>
      <c r="B390" s="156"/>
      <c r="C390" s="156"/>
      <c r="D390" s="154"/>
      <c r="E390" s="156"/>
      <c r="F390" s="143"/>
      <c r="G390" s="143"/>
      <c r="H390" s="143"/>
      <c r="I390" s="143"/>
      <c r="J390" s="143"/>
      <c r="K390" s="143"/>
      <c r="L390" s="143"/>
      <c r="M390" s="143"/>
      <c r="N390" s="143"/>
      <c r="O390" s="143"/>
      <c r="P390" s="143"/>
      <c r="Q390" s="143"/>
      <c r="R390" s="143"/>
      <c r="S390" s="143"/>
      <c r="T390" s="143"/>
      <c r="U390" s="143"/>
      <c r="V390" s="143"/>
      <c r="W390" s="143"/>
      <c r="X390" s="143"/>
      <c r="Y390" s="143"/>
      <c r="Z390" s="143"/>
      <c r="AA390" s="143"/>
      <c r="AB390" s="143"/>
      <c r="AC390" s="143"/>
      <c r="AD390" s="143"/>
      <c r="AE390" s="143"/>
    </row>
    <row r="391">
      <c r="A391" s="156"/>
      <c r="B391" s="156"/>
      <c r="C391" s="156"/>
      <c r="D391" s="154"/>
      <c r="E391" s="156"/>
      <c r="F391" s="143"/>
      <c r="G391" s="143"/>
      <c r="H391" s="143"/>
      <c r="I391" s="143"/>
      <c r="J391" s="143"/>
      <c r="K391" s="143"/>
      <c r="L391" s="143"/>
      <c r="M391" s="143"/>
      <c r="N391" s="143"/>
      <c r="O391" s="143"/>
      <c r="P391" s="143"/>
      <c r="Q391" s="143"/>
      <c r="R391" s="143"/>
      <c r="S391" s="143"/>
      <c r="T391" s="143"/>
      <c r="U391" s="143"/>
      <c r="V391" s="143"/>
      <c r="W391" s="143"/>
      <c r="X391" s="143"/>
      <c r="Y391" s="143"/>
      <c r="Z391" s="143"/>
      <c r="AA391" s="143"/>
      <c r="AB391" s="143"/>
      <c r="AC391" s="143"/>
      <c r="AD391" s="143"/>
      <c r="AE391" s="143"/>
    </row>
    <row r="392">
      <c r="A392" s="156"/>
      <c r="B392" s="156"/>
      <c r="C392" s="156"/>
      <c r="D392" s="154"/>
      <c r="E392" s="156"/>
      <c r="F392" s="143"/>
      <c r="G392" s="143"/>
      <c r="H392" s="143"/>
      <c r="I392" s="143"/>
      <c r="J392" s="143"/>
      <c r="K392" s="143"/>
      <c r="L392" s="143"/>
      <c r="M392" s="143"/>
      <c r="N392" s="143"/>
      <c r="O392" s="143"/>
      <c r="P392" s="143"/>
      <c r="Q392" s="143"/>
      <c r="R392" s="143"/>
      <c r="S392" s="143"/>
      <c r="T392" s="143"/>
      <c r="U392" s="143"/>
      <c r="V392" s="143"/>
      <c r="W392" s="143"/>
      <c r="X392" s="143"/>
      <c r="Y392" s="143"/>
      <c r="Z392" s="143"/>
      <c r="AA392" s="143"/>
      <c r="AB392" s="143"/>
      <c r="AC392" s="143"/>
      <c r="AD392" s="143"/>
      <c r="AE392" s="143"/>
    </row>
    <row r="393">
      <c r="A393" s="156"/>
      <c r="B393" s="156"/>
      <c r="C393" s="156"/>
      <c r="D393" s="154"/>
      <c r="E393" s="156"/>
      <c r="F393" s="143"/>
      <c r="G393" s="143"/>
      <c r="H393" s="143"/>
      <c r="I393" s="143"/>
      <c r="J393" s="143"/>
      <c r="K393" s="143"/>
      <c r="L393" s="143"/>
      <c r="M393" s="143"/>
      <c r="N393" s="143"/>
      <c r="O393" s="143"/>
      <c r="P393" s="143"/>
      <c r="Q393" s="143"/>
      <c r="R393" s="143"/>
      <c r="S393" s="143"/>
      <c r="T393" s="143"/>
      <c r="U393" s="143"/>
      <c r="V393" s="143"/>
      <c r="W393" s="143"/>
      <c r="X393" s="143"/>
      <c r="Y393" s="143"/>
      <c r="Z393" s="143"/>
      <c r="AA393" s="143"/>
      <c r="AB393" s="143"/>
      <c r="AC393" s="143"/>
      <c r="AD393" s="143"/>
      <c r="AE393" s="143"/>
    </row>
    <row r="394">
      <c r="A394" s="156"/>
      <c r="B394" s="156"/>
      <c r="C394" s="156"/>
      <c r="D394" s="154"/>
      <c r="E394" s="156"/>
      <c r="F394" s="143"/>
      <c r="G394" s="143"/>
      <c r="H394" s="143"/>
      <c r="I394" s="143"/>
      <c r="J394" s="143"/>
      <c r="K394" s="143"/>
      <c r="L394" s="143"/>
      <c r="M394" s="143"/>
      <c r="N394" s="143"/>
      <c r="O394" s="143"/>
      <c r="P394" s="143"/>
      <c r="Q394" s="143"/>
      <c r="R394" s="143"/>
      <c r="S394" s="143"/>
      <c r="T394" s="143"/>
      <c r="U394" s="143"/>
      <c r="V394" s="143"/>
      <c r="W394" s="143"/>
      <c r="X394" s="143"/>
      <c r="Y394" s="143"/>
      <c r="Z394" s="143"/>
      <c r="AA394" s="143"/>
      <c r="AB394" s="143"/>
      <c r="AC394" s="143"/>
      <c r="AD394" s="143"/>
      <c r="AE394" s="143"/>
    </row>
    <row r="395">
      <c r="A395" s="156"/>
      <c r="B395" s="156"/>
      <c r="C395" s="156"/>
      <c r="D395" s="154"/>
      <c r="E395" s="156"/>
      <c r="F395" s="143"/>
      <c r="G395" s="143"/>
      <c r="H395" s="143"/>
      <c r="I395" s="143"/>
      <c r="J395" s="143"/>
      <c r="K395" s="143"/>
      <c r="L395" s="143"/>
      <c r="M395" s="143"/>
      <c r="N395" s="143"/>
      <c r="O395" s="143"/>
      <c r="P395" s="143"/>
      <c r="Q395" s="143"/>
      <c r="R395" s="143"/>
      <c r="S395" s="143"/>
      <c r="T395" s="143"/>
      <c r="U395" s="143"/>
      <c r="V395" s="143"/>
      <c r="W395" s="143"/>
      <c r="X395" s="143"/>
      <c r="Y395" s="143"/>
      <c r="Z395" s="143"/>
      <c r="AA395" s="143"/>
      <c r="AB395" s="143"/>
      <c r="AC395" s="143"/>
      <c r="AD395" s="143"/>
      <c r="AE395" s="143"/>
    </row>
    <row r="396">
      <c r="A396" s="156"/>
      <c r="B396" s="156"/>
      <c r="C396" s="156"/>
      <c r="D396" s="154"/>
      <c r="E396" s="156"/>
      <c r="F396" s="143"/>
      <c r="G396" s="143"/>
      <c r="H396" s="143"/>
      <c r="I396" s="143"/>
      <c r="J396" s="143"/>
      <c r="K396" s="143"/>
      <c r="L396" s="143"/>
      <c r="M396" s="143"/>
      <c r="N396" s="143"/>
      <c r="O396" s="143"/>
      <c r="P396" s="143"/>
      <c r="Q396" s="143"/>
      <c r="R396" s="143"/>
      <c r="S396" s="143"/>
      <c r="T396" s="143"/>
      <c r="U396" s="143"/>
      <c r="V396" s="143"/>
      <c r="W396" s="143"/>
      <c r="X396" s="143"/>
      <c r="Y396" s="143"/>
      <c r="Z396" s="143"/>
      <c r="AA396" s="143"/>
      <c r="AB396" s="143"/>
      <c r="AC396" s="143"/>
      <c r="AD396" s="143"/>
      <c r="AE396" s="143"/>
    </row>
    <row r="397">
      <c r="A397" s="156"/>
      <c r="B397" s="156"/>
      <c r="C397" s="156"/>
      <c r="D397" s="154"/>
      <c r="E397" s="156"/>
      <c r="F397" s="143"/>
      <c r="G397" s="143"/>
      <c r="H397" s="143"/>
      <c r="I397" s="143"/>
      <c r="J397" s="143"/>
      <c r="K397" s="143"/>
      <c r="L397" s="143"/>
      <c r="M397" s="143"/>
      <c r="N397" s="143"/>
      <c r="O397" s="143"/>
      <c r="P397" s="143"/>
      <c r="Q397" s="143"/>
      <c r="R397" s="143"/>
      <c r="S397" s="143"/>
      <c r="T397" s="143"/>
      <c r="U397" s="143"/>
      <c r="V397" s="143"/>
      <c r="W397" s="143"/>
      <c r="X397" s="143"/>
      <c r="Y397" s="143"/>
      <c r="Z397" s="143"/>
      <c r="AA397" s="143"/>
      <c r="AB397" s="143"/>
      <c r="AC397" s="143"/>
      <c r="AD397" s="143"/>
      <c r="AE397" s="143"/>
    </row>
    <row r="398">
      <c r="A398" s="156"/>
      <c r="B398" s="156"/>
      <c r="C398" s="156"/>
      <c r="D398" s="154"/>
      <c r="E398" s="156"/>
      <c r="F398" s="143"/>
      <c r="G398" s="143"/>
      <c r="H398" s="143"/>
      <c r="I398" s="143"/>
      <c r="J398" s="143"/>
      <c r="K398" s="143"/>
      <c r="L398" s="143"/>
      <c r="M398" s="143"/>
      <c r="N398" s="143"/>
      <c r="O398" s="143"/>
      <c r="P398" s="143"/>
      <c r="Q398" s="143"/>
      <c r="R398" s="143"/>
      <c r="S398" s="143"/>
      <c r="T398" s="143"/>
      <c r="U398" s="143"/>
      <c r="V398" s="143"/>
      <c r="W398" s="143"/>
      <c r="X398" s="143"/>
      <c r="Y398" s="143"/>
      <c r="Z398" s="143"/>
      <c r="AA398" s="143"/>
      <c r="AB398" s="143"/>
      <c r="AC398" s="143"/>
      <c r="AD398" s="143"/>
      <c r="AE398" s="143"/>
    </row>
    <row r="399">
      <c r="A399" s="156"/>
      <c r="B399" s="156"/>
      <c r="C399" s="156"/>
      <c r="D399" s="154"/>
      <c r="E399" s="156"/>
      <c r="F399" s="143"/>
      <c r="G399" s="143"/>
      <c r="H399" s="143"/>
      <c r="I399" s="143"/>
      <c r="J399" s="143"/>
      <c r="K399" s="143"/>
      <c r="L399" s="143"/>
      <c r="M399" s="143"/>
      <c r="N399" s="143"/>
      <c r="O399" s="143"/>
      <c r="P399" s="143"/>
      <c r="Q399" s="143"/>
      <c r="R399" s="143"/>
      <c r="S399" s="143"/>
      <c r="T399" s="143"/>
      <c r="U399" s="143"/>
      <c r="V399" s="143"/>
      <c r="W399" s="143"/>
      <c r="X399" s="143"/>
      <c r="Y399" s="143"/>
      <c r="Z399" s="143"/>
      <c r="AA399" s="143"/>
      <c r="AB399" s="143"/>
      <c r="AC399" s="143"/>
      <c r="AD399" s="143"/>
      <c r="AE399" s="143"/>
    </row>
    <row r="400">
      <c r="A400" s="156"/>
      <c r="B400" s="156"/>
      <c r="C400" s="156"/>
      <c r="D400" s="154"/>
      <c r="E400" s="156"/>
      <c r="F400" s="143"/>
      <c r="G400" s="143"/>
      <c r="H400" s="143"/>
      <c r="I400" s="143"/>
      <c r="J400" s="143"/>
      <c r="K400" s="143"/>
      <c r="L400" s="143"/>
      <c r="M400" s="143"/>
      <c r="N400" s="143"/>
      <c r="O400" s="143"/>
      <c r="P400" s="143"/>
      <c r="Q400" s="143"/>
      <c r="R400" s="143"/>
      <c r="S400" s="143"/>
      <c r="T400" s="143"/>
      <c r="U400" s="143"/>
      <c r="V400" s="143"/>
      <c r="W400" s="143"/>
      <c r="X400" s="143"/>
      <c r="Y400" s="143"/>
      <c r="Z400" s="143"/>
      <c r="AA400" s="143"/>
      <c r="AB400" s="143"/>
      <c r="AC400" s="143"/>
      <c r="AD400" s="143"/>
      <c r="AE400" s="143"/>
    </row>
    <row r="401">
      <c r="A401" s="156"/>
      <c r="B401" s="156"/>
      <c r="C401" s="156"/>
      <c r="D401" s="154"/>
      <c r="E401" s="156"/>
      <c r="F401" s="143"/>
      <c r="G401" s="143"/>
      <c r="H401" s="143"/>
      <c r="I401" s="143"/>
      <c r="J401" s="143"/>
      <c r="K401" s="143"/>
      <c r="L401" s="143"/>
      <c r="M401" s="143"/>
      <c r="N401" s="143"/>
      <c r="O401" s="143"/>
      <c r="P401" s="143"/>
      <c r="Q401" s="143"/>
      <c r="R401" s="143"/>
      <c r="S401" s="143"/>
      <c r="T401" s="143"/>
      <c r="U401" s="143"/>
      <c r="V401" s="143"/>
      <c r="W401" s="143"/>
      <c r="X401" s="143"/>
      <c r="Y401" s="143"/>
      <c r="Z401" s="143"/>
      <c r="AA401" s="143"/>
      <c r="AB401" s="143"/>
      <c r="AC401" s="143"/>
      <c r="AD401" s="143"/>
      <c r="AE401" s="143"/>
    </row>
    <row r="402">
      <c r="A402" s="156"/>
      <c r="B402" s="156"/>
      <c r="C402" s="156"/>
      <c r="D402" s="154"/>
      <c r="E402" s="156"/>
      <c r="F402" s="143"/>
      <c r="G402" s="143"/>
      <c r="H402" s="143"/>
      <c r="I402" s="143"/>
      <c r="J402" s="143"/>
      <c r="K402" s="143"/>
      <c r="L402" s="143"/>
      <c r="M402" s="143"/>
      <c r="N402" s="143"/>
      <c r="O402" s="143"/>
      <c r="P402" s="143"/>
      <c r="Q402" s="143"/>
      <c r="R402" s="143"/>
      <c r="S402" s="143"/>
      <c r="T402" s="143"/>
      <c r="U402" s="143"/>
      <c r="V402" s="143"/>
      <c r="W402" s="143"/>
      <c r="X402" s="143"/>
      <c r="Y402" s="143"/>
      <c r="Z402" s="143"/>
      <c r="AA402" s="143"/>
      <c r="AB402" s="143"/>
      <c r="AC402" s="143"/>
      <c r="AD402" s="143"/>
      <c r="AE402" s="143"/>
    </row>
    <row r="403">
      <c r="A403" s="156"/>
      <c r="B403" s="156"/>
      <c r="C403" s="156"/>
      <c r="D403" s="154"/>
      <c r="E403" s="156"/>
      <c r="F403" s="143"/>
      <c r="G403" s="143"/>
      <c r="H403" s="143"/>
      <c r="I403" s="143"/>
      <c r="J403" s="143"/>
      <c r="K403" s="143"/>
      <c r="L403" s="143"/>
      <c r="M403" s="143"/>
      <c r="N403" s="143"/>
      <c r="O403" s="143"/>
      <c r="P403" s="143"/>
      <c r="Q403" s="143"/>
      <c r="R403" s="143"/>
      <c r="S403" s="143"/>
      <c r="T403" s="143"/>
      <c r="U403" s="143"/>
      <c r="V403" s="143"/>
      <c r="W403" s="143"/>
      <c r="X403" s="143"/>
      <c r="Y403" s="143"/>
      <c r="Z403" s="143"/>
      <c r="AA403" s="143"/>
      <c r="AB403" s="143"/>
      <c r="AC403" s="143"/>
      <c r="AD403" s="143"/>
      <c r="AE403" s="143"/>
    </row>
    <row r="404">
      <c r="A404" s="156"/>
      <c r="B404" s="156"/>
      <c r="C404" s="156"/>
      <c r="D404" s="154"/>
      <c r="E404" s="156"/>
      <c r="F404" s="143"/>
      <c r="G404" s="143"/>
      <c r="H404" s="143"/>
      <c r="I404" s="143"/>
      <c r="J404" s="143"/>
      <c r="K404" s="143"/>
      <c r="L404" s="143"/>
      <c r="M404" s="143"/>
      <c r="N404" s="143"/>
      <c r="O404" s="143"/>
      <c r="P404" s="143"/>
      <c r="Q404" s="143"/>
      <c r="R404" s="143"/>
      <c r="S404" s="143"/>
      <c r="T404" s="143"/>
      <c r="U404" s="143"/>
      <c r="V404" s="143"/>
      <c r="W404" s="143"/>
      <c r="X404" s="143"/>
      <c r="Y404" s="143"/>
      <c r="Z404" s="143"/>
      <c r="AA404" s="143"/>
      <c r="AB404" s="143"/>
      <c r="AC404" s="143"/>
      <c r="AD404" s="143"/>
      <c r="AE404" s="143"/>
    </row>
    <row r="405">
      <c r="A405" s="156"/>
      <c r="B405" s="156"/>
      <c r="C405" s="156"/>
      <c r="D405" s="154"/>
      <c r="E405" s="156"/>
      <c r="F405" s="143"/>
      <c r="G405" s="143"/>
      <c r="H405" s="143"/>
      <c r="I405" s="143"/>
      <c r="J405" s="143"/>
      <c r="K405" s="143"/>
      <c r="L405" s="143"/>
      <c r="M405" s="143"/>
      <c r="N405" s="143"/>
      <c r="O405" s="143"/>
      <c r="P405" s="143"/>
      <c r="Q405" s="143"/>
      <c r="R405" s="143"/>
      <c r="S405" s="143"/>
      <c r="T405" s="143"/>
      <c r="U405" s="143"/>
      <c r="V405" s="143"/>
      <c r="W405" s="143"/>
      <c r="X405" s="143"/>
      <c r="Y405" s="143"/>
      <c r="Z405" s="143"/>
      <c r="AA405" s="143"/>
      <c r="AB405" s="143"/>
      <c r="AC405" s="143"/>
      <c r="AD405" s="143"/>
      <c r="AE405" s="143"/>
    </row>
    <row r="406">
      <c r="A406" s="156"/>
      <c r="B406" s="156"/>
      <c r="C406" s="156"/>
      <c r="D406" s="154"/>
      <c r="E406" s="156"/>
      <c r="F406" s="143"/>
      <c r="G406" s="143"/>
      <c r="H406" s="143"/>
      <c r="I406" s="143"/>
      <c r="J406" s="143"/>
      <c r="K406" s="143"/>
      <c r="L406" s="143"/>
      <c r="M406" s="143"/>
      <c r="N406" s="143"/>
      <c r="O406" s="143"/>
      <c r="P406" s="143"/>
      <c r="Q406" s="143"/>
      <c r="R406" s="143"/>
      <c r="S406" s="143"/>
      <c r="T406" s="143"/>
      <c r="U406" s="143"/>
      <c r="V406" s="143"/>
      <c r="W406" s="143"/>
      <c r="X406" s="143"/>
      <c r="Y406" s="143"/>
      <c r="Z406" s="143"/>
      <c r="AA406" s="143"/>
      <c r="AB406" s="143"/>
      <c r="AC406" s="143"/>
      <c r="AD406" s="143"/>
      <c r="AE406" s="143"/>
    </row>
    <row r="407">
      <c r="A407" s="156"/>
      <c r="B407" s="156"/>
      <c r="C407" s="156"/>
      <c r="D407" s="154"/>
      <c r="E407" s="156"/>
      <c r="F407" s="143"/>
      <c r="G407" s="143"/>
      <c r="H407" s="143"/>
      <c r="I407" s="143"/>
      <c r="J407" s="143"/>
      <c r="K407" s="143"/>
      <c r="L407" s="143"/>
      <c r="M407" s="143"/>
      <c r="N407" s="143"/>
      <c r="O407" s="143"/>
      <c r="P407" s="143"/>
      <c r="Q407" s="143"/>
      <c r="R407" s="143"/>
      <c r="S407" s="143"/>
      <c r="T407" s="143"/>
      <c r="U407" s="143"/>
      <c r="V407" s="143"/>
      <c r="W407" s="143"/>
      <c r="X407" s="143"/>
      <c r="Y407" s="143"/>
      <c r="Z407" s="143"/>
      <c r="AA407" s="143"/>
      <c r="AB407" s="143"/>
      <c r="AC407" s="143"/>
      <c r="AD407" s="143"/>
      <c r="AE407" s="143"/>
    </row>
    <row r="408">
      <c r="A408" s="156"/>
      <c r="B408" s="156"/>
      <c r="C408" s="156"/>
      <c r="D408" s="154"/>
      <c r="E408" s="156"/>
      <c r="F408" s="143"/>
      <c r="G408" s="143"/>
      <c r="H408" s="143"/>
      <c r="I408" s="143"/>
      <c r="J408" s="143"/>
      <c r="K408" s="143"/>
      <c r="L408" s="143"/>
      <c r="M408" s="143"/>
      <c r="N408" s="143"/>
      <c r="O408" s="143"/>
      <c r="P408" s="143"/>
      <c r="Q408" s="143"/>
      <c r="R408" s="143"/>
      <c r="S408" s="143"/>
      <c r="T408" s="143"/>
      <c r="U408" s="143"/>
      <c r="V408" s="143"/>
      <c r="W408" s="143"/>
      <c r="X408" s="143"/>
      <c r="Y408" s="143"/>
      <c r="Z408" s="143"/>
      <c r="AA408" s="143"/>
      <c r="AB408" s="143"/>
      <c r="AC408" s="143"/>
      <c r="AD408" s="143"/>
      <c r="AE408" s="143"/>
    </row>
    <row r="409">
      <c r="A409" s="156"/>
      <c r="B409" s="156"/>
      <c r="C409" s="156"/>
      <c r="D409" s="154"/>
      <c r="E409" s="156"/>
      <c r="F409" s="143"/>
      <c r="G409" s="143"/>
      <c r="H409" s="143"/>
      <c r="I409" s="143"/>
      <c r="J409" s="143"/>
      <c r="K409" s="143"/>
      <c r="L409" s="143"/>
      <c r="M409" s="143"/>
      <c r="N409" s="143"/>
      <c r="O409" s="143"/>
      <c r="P409" s="143"/>
      <c r="Q409" s="143"/>
      <c r="R409" s="143"/>
      <c r="S409" s="143"/>
      <c r="T409" s="143"/>
      <c r="U409" s="143"/>
      <c r="V409" s="143"/>
      <c r="W409" s="143"/>
      <c r="X409" s="143"/>
      <c r="Y409" s="143"/>
      <c r="Z409" s="143"/>
      <c r="AA409" s="143"/>
      <c r="AB409" s="143"/>
      <c r="AC409" s="143"/>
      <c r="AD409" s="143"/>
      <c r="AE409" s="143"/>
    </row>
    <row r="410">
      <c r="A410" s="156"/>
      <c r="B410" s="156"/>
      <c r="C410" s="156"/>
      <c r="D410" s="154"/>
      <c r="E410" s="156"/>
      <c r="F410" s="143"/>
      <c r="G410" s="143"/>
      <c r="H410" s="143"/>
      <c r="I410" s="143"/>
      <c r="J410" s="143"/>
      <c r="K410" s="143"/>
      <c r="L410" s="143"/>
      <c r="M410" s="143"/>
      <c r="N410" s="143"/>
      <c r="O410" s="143"/>
      <c r="P410" s="143"/>
      <c r="Q410" s="143"/>
      <c r="R410" s="143"/>
      <c r="S410" s="143"/>
      <c r="T410" s="143"/>
      <c r="U410" s="143"/>
      <c r="V410" s="143"/>
      <c r="W410" s="143"/>
      <c r="X410" s="143"/>
      <c r="Y410" s="143"/>
      <c r="Z410" s="143"/>
      <c r="AA410" s="143"/>
      <c r="AB410" s="143"/>
      <c r="AC410" s="143"/>
      <c r="AD410" s="143"/>
      <c r="AE410" s="143"/>
    </row>
    <row r="411">
      <c r="A411" s="156"/>
      <c r="B411" s="156"/>
      <c r="C411" s="156"/>
      <c r="D411" s="154"/>
      <c r="E411" s="156"/>
      <c r="F411" s="143"/>
      <c r="G411" s="143"/>
      <c r="H411" s="143"/>
      <c r="I411" s="143"/>
      <c r="J411" s="143"/>
      <c r="K411" s="143"/>
      <c r="L411" s="143"/>
      <c r="M411" s="143"/>
      <c r="N411" s="143"/>
      <c r="O411" s="143"/>
      <c r="P411" s="143"/>
      <c r="Q411" s="143"/>
      <c r="R411" s="143"/>
      <c r="S411" s="143"/>
      <c r="T411" s="143"/>
      <c r="U411" s="143"/>
      <c r="V411" s="143"/>
      <c r="W411" s="143"/>
      <c r="X411" s="143"/>
      <c r="Y411" s="143"/>
      <c r="Z411" s="143"/>
      <c r="AA411" s="143"/>
      <c r="AB411" s="143"/>
      <c r="AC411" s="143"/>
      <c r="AD411" s="143"/>
      <c r="AE411" s="143"/>
    </row>
    <row r="412">
      <c r="A412" s="156"/>
      <c r="B412" s="156"/>
      <c r="C412" s="156"/>
      <c r="D412" s="154"/>
      <c r="E412" s="156"/>
      <c r="F412" s="143"/>
      <c r="G412" s="143"/>
      <c r="H412" s="143"/>
      <c r="I412" s="143"/>
      <c r="J412" s="143"/>
      <c r="K412" s="143"/>
      <c r="L412" s="143"/>
      <c r="M412" s="143"/>
      <c r="N412" s="143"/>
      <c r="O412" s="143"/>
      <c r="P412" s="143"/>
      <c r="Q412" s="143"/>
      <c r="R412" s="143"/>
      <c r="S412" s="143"/>
      <c r="T412" s="143"/>
      <c r="U412" s="143"/>
      <c r="V412" s="143"/>
      <c r="W412" s="143"/>
      <c r="X412" s="143"/>
      <c r="Y412" s="143"/>
      <c r="Z412" s="143"/>
      <c r="AA412" s="143"/>
      <c r="AB412" s="143"/>
      <c r="AC412" s="143"/>
      <c r="AD412" s="143"/>
      <c r="AE412" s="143"/>
    </row>
    <row r="413">
      <c r="A413" s="156"/>
      <c r="B413" s="156"/>
      <c r="C413" s="156"/>
      <c r="D413" s="154"/>
      <c r="E413" s="156"/>
      <c r="F413" s="143"/>
      <c r="G413" s="143"/>
      <c r="H413" s="143"/>
      <c r="I413" s="143"/>
      <c r="J413" s="143"/>
      <c r="K413" s="143"/>
      <c r="L413" s="143"/>
      <c r="M413" s="143"/>
      <c r="N413" s="143"/>
      <c r="O413" s="143"/>
      <c r="P413" s="143"/>
      <c r="Q413" s="143"/>
      <c r="R413" s="143"/>
      <c r="S413" s="143"/>
      <c r="T413" s="143"/>
      <c r="U413" s="143"/>
      <c r="V413" s="143"/>
      <c r="W413" s="143"/>
      <c r="X413" s="143"/>
      <c r="Y413" s="143"/>
      <c r="Z413" s="143"/>
      <c r="AA413" s="143"/>
      <c r="AB413" s="143"/>
      <c r="AC413" s="143"/>
      <c r="AD413" s="143"/>
      <c r="AE413" s="143"/>
    </row>
    <row r="414">
      <c r="A414" s="156"/>
      <c r="B414" s="156"/>
      <c r="C414" s="156"/>
      <c r="D414" s="154"/>
      <c r="E414" s="156"/>
      <c r="F414" s="143"/>
      <c r="G414" s="143"/>
      <c r="H414" s="143"/>
      <c r="I414" s="143"/>
      <c r="J414" s="143"/>
      <c r="K414" s="143"/>
      <c r="L414" s="143"/>
      <c r="M414" s="143"/>
      <c r="N414" s="143"/>
      <c r="O414" s="143"/>
      <c r="P414" s="143"/>
      <c r="Q414" s="143"/>
      <c r="R414" s="143"/>
      <c r="S414" s="143"/>
      <c r="T414" s="143"/>
      <c r="U414" s="143"/>
      <c r="V414" s="143"/>
      <c r="W414" s="143"/>
      <c r="X414" s="143"/>
      <c r="Y414" s="143"/>
      <c r="Z414" s="143"/>
      <c r="AA414" s="143"/>
      <c r="AB414" s="143"/>
      <c r="AC414" s="143"/>
      <c r="AD414" s="143"/>
      <c r="AE414" s="143"/>
    </row>
    <row r="415">
      <c r="A415" s="156"/>
      <c r="B415" s="156"/>
      <c r="C415" s="156"/>
      <c r="D415" s="154"/>
      <c r="E415" s="156"/>
      <c r="F415" s="143"/>
      <c r="G415" s="143"/>
      <c r="H415" s="143"/>
      <c r="I415" s="143"/>
      <c r="J415" s="143"/>
      <c r="K415" s="143"/>
      <c r="L415" s="143"/>
      <c r="M415" s="143"/>
      <c r="N415" s="143"/>
      <c r="O415" s="143"/>
      <c r="P415" s="143"/>
      <c r="Q415" s="143"/>
      <c r="R415" s="143"/>
      <c r="S415" s="143"/>
      <c r="T415" s="143"/>
      <c r="U415" s="143"/>
      <c r="V415" s="143"/>
      <c r="W415" s="143"/>
      <c r="X415" s="143"/>
      <c r="Y415" s="143"/>
      <c r="Z415" s="143"/>
      <c r="AA415" s="143"/>
      <c r="AB415" s="143"/>
      <c r="AC415" s="143"/>
      <c r="AD415" s="143"/>
      <c r="AE415" s="143"/>
    </row>
    <row r="416">
      <c r="A416" s="156"/>
      <c r="B416" s="156"/>
      <c r="C416" s="156"/>
      <c r="D416" s="154"/>
      <c r="E416" s="156"/>
      <c r="F416" s="143"/>
      <c r="G416" s="143"/>
      <c r="H416" s="143"/>
      <c r="I416" s="143"/>
      <c r="J416" s="143"/>
      <c r="K416" s="143"/>
      <c r="L416" s="143"/>
      <c r="M416" s="143"/>
      <c r="N416" s="143"/>
      <c r="O416" s="143"/>
      <c r="P416" s="143"/>
      <c r="Q416" s="143"/>
      <c r="R416" s="143"/>
      <c r="S416" s="143"/>
      <c r="T416" s="143"/>
      <c r="U416" s="143"/>
      <c r="V416" s="143"/>
      <c r="W416" s="143"/>
      <c r="X416" s="143"/>
      <c r="Y416" s="143"/>
      <c r="Z416" s="143"/>
      <c r="AA416" s="143"/>
      <c r="AB416" s="143"/>
      <c r="AC416" s="143"/>
      <c r="AD416" s="143"/>
      <c r="AE416" s="143"/>
    </row>
    <row r="417">
      <c r="A417" s="156"/>
      <c r="B417" s="156"/>
      <c r="C417" s="156"/>
      <c r="D417" s="154"/>
      <c r="E417" s="156"/>
      <c r="F417" s="143"/>
      <c r="G417" s="143"/>
      <c r="H417" s="143"/>
      <c r="I417" s="143"/>
      <c r="J417" s="143"/>
      <c r="K417" s="143"/>
      <c r="L417" s="143"/>
      <c r="M417" s="143"/>
      <c r="N417" s="143"/>
      <c r="O417" s="143"/>
      <c r="P417" s="143"/>
      <c r="Q417" s="143"/>
      <c r="R417" s="143"/>
      <c r="S417" s="143"/>
      <c r="T417" s="143"/>
      <c r="U417" s="143"/>
      <c r="V417" s="143"/>
      <c r="W417" s="143"/>
      <c r="X417" s="143"/>
      <c r="Y417" s="143"/>
      <c r="Z417" s="143"/>
      <c r="AA417" s="143"/>
      <c r="AB417" s="143"/>
      <c r="AC417" s="143"/>
      <c r="AD417" s="143"/>
      <c r="AE417" s="143"/>
    </row>
    <row r="418">
      <c r="A418" s="156"/>
      <c r="B418" s="156"/>
      <c r="C418" s="156"/>
      <c r="D418" s="154"/>
      <c r="E418" s="156"/>
      <c r="F418" s="143"/>
      <c r="G418" s="143"/>
      <c r="H418" s="143"/>
      <c r="I418" s="143"/>
      <c r="J418" s="143"/>
      <c r="K418" s="143"/>
      <c r="L418" s="143"/>
      <c r="M418" s="143"/>
      <c r="N418" s="143"/>
      <c r="O418" s="143"/>
      <c r="P418" s="143"/>
      <c r="Q418" s="143"/>
      <c r="R418" s="143"/>
      <c r="S418" s="143"/>
      <c r="T418" s="143"/>
      <c r="U418" s="143"/>
      <c r="V418" s="143"/>
      <c r="W418" s="143"/>
      <c r="X418" s="143"/>
      <c r="Y418" s="143"/>
      <c r="Z418" s="143"/>
      <c r="AA418" s="143"/>
      <c r="AB418" s="143"/>
      <c r="AC418" s="143"/>
      <c r="AD418" s="143"/>
      <c r="AE418" s="143"/>
    </row>
    <row r="419">
      <c r="A419" s="156"/>
      <c r="B419" s="156"/>
      <c r="C419" s="156"/>
      <c r="D419" s="154"/>
      <c r="E419" s="156"/>
      <c r="F419" s="143"/>
      <c r="G419" s="143"/>
      <c r="H419" s="143"/>
      <c r="I419" s="143"/>
      <c r="J419" s="143"/>
      <c r="K419" s="143"/>
      <c r="L419" s="143"/>
      <c r="M419" s="143"/>
      <c r="N419" s="143"/>
      <c r="O419" s="143"/>
      <c r="P419" s="143"/>
      <c r="Q419" s="143"/>
      <c r="R419" s="143"/>
      <c r="S419" s="143"/>
      <c r="T419" s="143"/>
      <c r="U419" s="143"/>
      <c r="V419" s="143"/>
      <c r="W419" s="143"/>
      <c r="X419" s="143"/>
      <c r="Y419" s="143"/>
      <c r="Z419" s="143"/>
      <c r="AA419" s="143"/>
      <c r="AB419" s="143"/>
      <c r="AC419" s="143"/>
      <c r="AD419" s="143"/>
      <c r="AE419" s="143"/>
    </row>
    <row r="420">
      <c r="A420" s="156"/>
      <c r="B420" s="156"/>
      <c r="C420" s="156"/>
      <c r="D420" s="154"/>
      <c r="E420" s="156"/>
      <c r="F420" s="143"/>
      <c r="G420" s="143"/>
      <c r="H420" s="143"/>
      <c r="I420" s="143"/>
      <c r="J420" s="143"/>
      <c r="K420" s="143"/>
      <c r="L420" s="143"/>
      <c r="M420" s="143"/>
      <c r="N420" s="143"/>
      <c r="O420" s="143"/>
      <c r="P420" s="143"/>
      <c r="Q420" s="143"/>
      <c r="R420" s="143"/>
      <c r="S420" s="143"/>
      <c r="T420" s="143"/>
      <c r="U420" s="143"/>
      <c r="V420" s="143"/>
      <c r="W420" s="143"/>
      <c r="X420" s="143"/>
      <c r="Y420" s="143"/>
      <c r="Z420" s="143"/>
      <c r="AA420" s="143"/>
      <c r="AB420" s="143"/>
      <c r="AC420" s="143"/>
      <c r="AD420" s="143"/>
      <c r="AE420" s="143"/>
    </row>
    <row r="421">
      <c r="A421" s="156"/>
      <c r="B421" s="156"/>
      <c r="C421" s="156"/>
      <c r="D421" s="154"/>
      <c r="E421" s="156"/>
      <c r="F421" s="143"/>
      <c r="G421" s="143"/>
      <c r="H421" s="143"/>
      <c r="I421" s="143"/>
      <c r="J421" s="143"/>
      <c r="K421" s="143"/>
      <c r="L421" s="143"/>
      <c r="M421" s="143"/>
      <c r="N421" s="143"/>
      <c r="O421" s="143"/>
      <c r="P421" s="143"/>
      <c r="Q421" s="143"/>
      <c r="R421" s="143"/>
      <c r="S421" s="143"/>
      <c r="T421" s="143"/>
      <c r="U421" s="143"/>
      <c r="V421" s="143"/>
      <c r="W421" s="143"/>
      <c r="X421" s="143"/>
      <c r="Y421" s="143"/>
      <c r="Z421" s="143"/>
      <c r="AA421" s="143"/>
      <c r="AB421" s="143"/>
      <c r="AC421" s="143"/>
      <c r="AD421" s="143"/>
      <c r="AE421" s="143"/>
    </row>
    <row r="422">
      <c r="A422" s="156"/>
      <c r="B422" s="156"/>
      <c r="C422" s="156"/>
      <c r="D422" s="154"/>
      <c r="E422" s="156"/>
      <c r="F422" s="143"/>
      <c r="G422" s="143"/>
      <c r="H422" s="143"/>
      <c r="I422" s="143"/>
      <c r="J422" s="143"/>
      <c r="K422" s="143"/>
      <c r="L422" s="143"/>
      <c r="M422" s="143"/>
      <c r="N422" s="143"/>
      <c r="O422" s="143"/>
      <c r="P422" s="143"/>
      <c r="Q422" s="143"/>
      <c r="R422" s="143"/>
      <c r="S422" s="143"/>
      <c r="T422" s="143"/>
      <c r="U422" s="143"/>
      <c r="V422" s="143"/>
      <c r="W422" s="143"/>
      <c r="X422" s="143"/>
      <c r="Y422" s="143"/>
      <c r="Z422" s="143"/>
      <c r="AA422" s="143"/>
      <c r="AB422" s="143"/>
      <c r="AC422" s="143"/>
      <c r="AD422" s="143"/>
      <c r="AE422" s="143"/>
    </row>
    <row r="423">
      <c r="A423" s="156"/>
      <c r="B423" s="156"/>
      <c r="C423" s="156"/>
      <c r="D423" s="154"/>
      <c r="E423" s="156"/>
      <c r="F423" s="143"/>
      <c r="G423" s="143"/>
      <c r="H423" s="143"/>
      <c r="I423" s="143"/>
      <c r="J423" s="143"/>
      <c r="K423" s="143"/>
      <c r="L423" s="143"/>
      <c r="M423" s="143"/>
      <c r="N423" s="143"/>
      <c r="O423" s="143"/>
      <c r="P423" s="143"/>
      <c r="Q423" s="143"/>
      <c r="R423" s="143"/>
      <c r="S423" s="143"/>
      <c r="T423" s="143"/>
      <c r="U423" s="143"/>
      <c r="V423" s="143"/>
      <c r="W423" s="143"/>
      <c r="X423" s="143"/>
      <c r="Y423" s="143"/>
      <c r="Z423" s="143"/>
      <c r="AA423" s="143"/>
      <c r="AB423" s="143"/>
      <c r="AC423" s="143"/>
      <c r="AD423" s="143"/>
      <c r="AE423" s="143"/>
    </row>
    <row r="424">
      <c r="A424" s="156"/>
      <c r="B424" s="156"/>
      <c r="C424" s="156"/>
      <c r="D424" s="154"/>
      <c r="E424" s="156"/>
      <c r="F424" s="143"/>
      <c r="G424" s="143"/>
      <c r="H424" s="143"/>
      <c r="I424" s="143"/>
      <c r="J424" s="143"/>
      <c r="K424" s="143"/>
      <c r="L424" s="143"/>
      <c r="M424" s="143"/>
      <c r="N424" s="143"/>
      <c r="O424" s="143"/>
      <c r="P424" s="143"/>
      <c r="Q424" s="143"/>
      <c r="R424" s="143"/>
      <c r="S424" s="143"/>
      <c r="T424" s="143"/>
      <c r="U424" s="143"/>
      <c r="V424" s="143"/>
      <c r="W424" s="143"/>
      <c r="X424" s="143"/>
      <c r="Y424" s="143"/>
      <c r="Z424" s="143"/>
      <c r="AA424" s="143"/>
      <c r="AB424" s="143"/>
      <c r="AC424" s="143"/>
      <c r="AD424" s="143"/>
      <c r="AE424" s="143"/>
    </row>
    <row r="425">
      <c r="A425" s="156"/>
      <c r="B425" s="156"/>
      <c r="C425" s="156"/>
      <c r="D425" s="154"/>
      <c r="E425" s="156"/>
      <c r="F425" s="143"/>
      <c r="G425" s="143"/>
      <c r="H425" s="143"/>
      <c r="I425" s="143"/>
      <c r="J425" s="143"/>
      <c r="K425" s="143"/>
      <c r="L425" s="143"/>
      <c r="M425" s="143"/>
      <c r="N425" s="143"/>
      <c r="O425" s="143"/>
      <c r="P425" s="143"/>
      <c r="Q425" s="143"/>
      <c r="R425" s="143"/>
      <c r="S425" s="143"/>
      <c r="T425" s="143"/>
      <c r="U425" s="143"/>
      <c r="V425" s="143"/>
      <c r="W425" s="143"/>
      <c r="X425" s="143"/>
      <c r="Y425" s="143"/>
      <c r="Z425" s="143"/>
      <c r="AA425" s="143"/>
      <c r="AB425" s="143"/>
      <c r="AC425" s="143"/>
      <c r="AD425" s="143"/>
      <c r="AE425" s="143"/>
    </row>
    <row r="426">
      <c r="A426" s="156"/>
      <c r="B426" s="156"/>
      <c r="C426" s="156"/>
      <c r="D426" s="154"/>
      <c r="E426" s="156"/>
      <c r="F426" s="143"/>
      <c r="G426" s="143"/>
      <c r="H426" s="143"/>
      <c r="I426" s="143"/>
      <c r="J426" s="143"/>
      <c r="K426" s="143"/>
      <c r="L426" s="143"/>
      <c r="M426" s="143"/>
      <c r="N426" s="143"/>
      <c r="O426" s="143"/>
      <c r="P426" s="143"/>
      <c r="Q426" s="143"/>
      <c r="R426" s="143"/>
      <c r="S426" s="143"/>
      <c r="T426" s="143"/>
      <c r="U426" s="143"/>
      <c r="V426" s="143"/>
      <c r="W426" s="143"/>
      <c r="X426" s="143"/>
      <c r="Y426" s="143"/>
      <c r="Z426" s="143"/>
      <c r="AA426" s="143"/>
      <c r="AB426" s="143"/>
      <c r="AC426" s="143"/>
      <c r="AD426" s="143"/>
      <c r="AE426" s="143"/>
    </row>
    <row r="427">
      <c r="A427" s="156"/>
      <c r="B427" s="156"/>
      <c r="C427" s="156"/>
      <c r="D427" s="154"/>
      <c r="E427" s="156"/>
      <c r="F427" s="143"/>
      <c r="G427" s="143"/>
      <c r="H427" s="143"/>
      <c r="I427" s="143"/>
      <c r="J427" s="143"/>
      <c r="K427" s="143"/>
      <c r="L427" s="143"/>
      <c r="M427" s="143"/>
      <c r="N427" s="143"/>
      <c r="O427" s="143"/>
      <c r="P427" s="143"/>
      <c r="Q427" s="143"/>
      <c r="R427" s="143"/>
      <c r="S427" s="143"/>
      <c r="T427" s="143"/>
      <c r="U427" s="143"/>
      <c r="V427" s="143"/>
      <c r="W427" s="143"/>
      <c r="X427" s="143"/>
      <c r="Y427" s="143"/>
      <c r="Z427" s="143"/>
      <c r="AA427" s="143"/>
      <c r="AB427" s="143"/>
      <c r="AC427" s="143"/>
      <c r="AD427" s="143"/>
      <c r="AE427" s="143"/>
    </row>
    <row r="428">
      <c r="A428" s="156"/>
      <c r="B428" s="156"/>
      <c r="C428" s="156"/>
      <c r="D428" s="154"/>
      <c r="E428" s="156"/>
      <c r="F428" s="143"/>
      <c r="G428" s="143"/>
      <c r="H428" s="143"/>
      <c r="I428" s="143"/>
      <c r="J428" s="143"/>
      <c r="K428" s="143"/>
      <c r="L428" s="143"/>
      <c r="M428" s="143"/>
      <c r="N428" s="143"/>
      <c r="O428" s="143"/>
      <c r="P428" s="143"/>
      <c r="Q428" s="143"/>
      <c r="R428" s="143"/>
      <c r="S428" s="143"/>
      <c r="T428" s="143"/>
      <c r="U428" s="143"/>
      <c r="V428" s="143"/>
      <c r="W428" s="143"/>
      <c r="X428" s="143"/>
      <c r="Y428" s="143"/>
      <c r="Z428" s="143"/>
      <c r="AA428" s="143"/>
      <c r="AB428" s="143"/>
      <c r="AC428" s="143"/>
      <c r="AD428" s="143"/>
      <c r="AE428" s="143"/>
    </row>
    <row r="429">
      <c r="A429" s="156"/>
      <c r="B429" s="156"/>
      <c r="C429" s="156"/>
      <c r="D429" s="154"/>
      <c r="E429" s="156"/>
      <c r="F429" s="143"/>
      <c r="G429" s="143"/>
      <c r="H429" s="143"/>
      <c r="I429" s="143"/>
      <c r="J429" s="143"/>
      <c r="K429" s="143"/>
      <c r="L429" s="143"/>
      <c r="M429" s="143"/>
      <c r="N429" s="143"/>
      <c r="O429" s="143"/>
      <c r="P429" s="143"/>
      <c r="Q429" s="143"/>
      <c r="R429" s="143"/>
      <c r="S429" s="143"/>
      <c r="T429" s="143"/>
      <c r="U429" s="143"/>
      <c r="V429" s="143"/>
      <c r="W429" s="143"/>
      <c r="X429" s="143"/>
      <c r="Y429" s="143"/>
      <c r="Z429" s="143"/>
      <c r="AA429" s="143"/>
      <c r="AB429" s="143"/>
      <c r="AC429" s="143"/>
      <c r="AD429" s="143"/>
      <c r="AE429" s="143"/>
    </row>
    <row r="430">
      <c r="A430" s="156"/>
      <c r="B430" s="156"/>
      <c r="C430" s="156"/>
      <c r="D430" s="154"/>
      <c r="E430" s="156"/>
      <c r="F430" s="143"/>
      <c r="G430" s="143"/>
      <c r="H430" s="143"/>
      <c r="I430" s="143"/>
      <c r="J430" s="143"/>
      <c r="K430" s="143"/>
      <c r="L430" s="143"/>
      <c r="M430" s="143"/>
      <c r="N430" s="143"/>
      <c r="O430" s="143"/>
      <c r="P430" s="143"/>
      <c r="Q430" s="143"/>
      <c r="R430" s="143"/>
      <c r="S430" s="143"/>
      <c r="T430" s="143"/>
      <c r="U430" s="143"/>
      <c r="V430" s="143"/>
      <c r="W430" s="143"/>
      <c r="X430" s="143"/>
      <c r="Y430" s="143"/>
      <c r="Z430" s="143"/>
      <c r="AA430" s="143"/>
      <c r="AB430" s="143"/>
      <c r="AC430" s="143"/>
      <c r="AD430" s="143"/>
      <c r="AE430" s="143"/>
    </row>
    <row r="431">
      <c r="A431" s="156"/>
      <c r="B431" s="156"/>
      <c r="C431" s="156"/>
      <c r="D431" s="154"/>
      <c r="E431" s="156"/>
      <c r="F431" s="143"/>
      <c r="G431" s="143"/>
      <c r="H431" s="143"/>
      <c r="I431" s="143"/>
      <c r="J431" s="143"/>
      <c r="K431" s="143"/>
      <c r="L431" s="143"/>
      <c r="M431" s="143"/>
      <c r="N431" s="143"/>
      <c r="O431" s="143"/>
      <c r="P431" s="143"/>
      <c r="Q431" s="143"/>
      <c r="R431" s="143"/>
      <c r="S431" s="143"/>
      <c r="T431" s="143"/>
      <c r="U431" s="143"/>
      <c r="V431" s="143"/>
      <c r="W431" s="143"/>
      <c r="X431" s="143"/>
      <c r="Y431" s="143"/>
      <c r="Z431" s="143"/>
      <c r="AA431" s="143"/>
      <c r="AB431" s="143"/>
      <c r="AC431" s="143"/>
      <c r="AD431" s="143"/>
      <c r="AE431" s="143"/>
    </row>
    <row r="432">
      <c r="A432" s="156"/>
      <c r="B432" s="156"/>
      <c r="C432" s="156"/>
      <c r="D432" s="154"/>
      <c r="E432" s="156"/>
      <c r="F432" s="143"/>
      <c r="G432" s="143"/>
      <c r="H432" s="143"/>
      <c r="I432" s="143"/>
      <c r="J432" s="143"/>
      <c r="K432" s="143"/>
      <c r="L432" s="143"/>
      <c r="M432" s="143"/>
      <c r="N432" s="143"/>
      <c r="O432" s="143"/>
      <c r="P432" s="143"/>
      <c r="Q432" s="143"/>
      <c r="R432" s="143"/>
      <c r="S432" s="143"/>
      <c r="T432" s="143"/>
      <c r="U432" s="143"/>
      <c r="V432" s="143"/>
      <c r="W432" s="143"/>
      <c r="X432" s="143"/>
      <c r="Y432" s="143"/>
      <c r="Z432" s="143"/>
      <c r="AA432" s="143"/>
      <c r="AB432" s="143"/>
      <c r="AC432" s="143"/>
      <c r="AD432" s="143"/>
      <c r="AE432" s="143"/>
    </row>
    <row r="433">
      <c r="A433" s="156"/>
      <c r="B433" s="156"/>
      <c r="C433" s="156"/>
      <c r="D433" s="154"/>
      <c r="E433" s="156"/>
      <c r="F433" s="143"/>
      <c r="G433" s="143"/>
      <c r="H433" s="143"/>
      <c r="I433" s="143"/>
      <c r="J433" s="143"/>
      <c r="K433" s="143"/>
      <c r="L433" s="143"/>
      <c r="M433" s="143"/>
      <c r="N433" s="143"/>
      <c r="O433" s="143"/>
      <c r="P433" s="143"/>
      <c r="Q433" s="143"/>
      <c r="R433" s="143"/>
      <c r="S433" s="143"/>
      <c r="T433" s="143"/>
      <c r="U433" s="143"/>
      <c r="V433" s="143"/>
      <c r="W433" s="143"/>
      <c r="X433" s="143"/>
      <c r="Y433" s="143"/>
      <c r="Z433" s="143"/>
      <c r="AA433" s="143"/>
      <c r="AB433" s="143"/>
      <c r="AC433" s="143"/>
      <c r="AD433" s="143"/>
      <c r="AE433" s="143"/>
    </row>
    <row r="434">
      <c r="A434" s="156"/>
      <c r="B434" s="156"/>
      <c r="C434" s="156"/>
      <c r="D434" s="154"/>
      <c r="E434" s="156"/>
      <c r="F434" s="143"/>
      <c r="G434" s="143"/>
      <c r="H434" s="143"/>
      <c r="I434" s="143"/>
      <c r="J434" s="143"/>
      <c r="K434" s="143"/>
      <c r="L434" s="143"/>
      <c r="M434" s="143"/>
      <c r="N434" s="143"/>
      <c r="O434" s="143"/>
      <c r="P434" s="143"/>
      <c r="Q434" s="143"/>
      <c r="R434" s="143"/>
      <c r="S434" s="143"/>
      <c r="T434" s="143"/>
      <c r="U434" s="143"/>
      <c r="V434" s="143"/>
      <c r="W434" s="143"/>
      <c r="X434" s="143"/>
      <c r="Y434" s="143"/>
      <c r="Z434" s="143"/>
      <c r="AA434" s="143"/>
      <c r="AB434" s="143"/>
      <c r="AC434" s="143"/>
      <c r="AD434" s="143"/>
      <c r="AE434" s="143"/>
    </row>
    <row r="435">
      <c r="A435" s="156"/>
      <c r="B435" s="156"/>
      <c r="C435" s="156"/>
      <c r="D435" s="154"/>
      <c r="E435" s="156"/>
      <c r="F435" s="143"/>
      <c r="G435" s="143"/>
      <c r="H435" s="143"/>
      <c r="I435" s="143"/>
      <c r="J435" s="143"/>
      <c r="K435" s="143"/>
      <c r="L435" s="143"/>
      <c r="M435" s="143"/>
      <c r="N435" s="143"/>
      <c r="O435" s="143"/>
      <c r="P435" s="143"/>
      <c r="Q435" s="143"/>
      <c r="R435" s="143"/>
      <c r="S435" s="143"/>
      <c r="T435" s="143"/>
      <c r="U435" s="143"/>
      <c r="V435" s="143"/>
      <c r="W435" s="143"/>
      <c r="X435" s="143"/>
      <c r="Y435" s="143"/>
      <c r="Z435" s="143"/>
      <c r="AA435" s="143"/>
      <c r="AB435" s="143"/>
      <c r="AC435" s="143"/>
      <c r="AD435" s="143"/>
      <c r="AE435" s="143"/>
    </row>
    <row r="436">
      <c r="A436" s="156"/>
      <c r="B436" s="156"/>
      <c r="C436" s="156"/>
      <c r="D436" s="154"/>
      <c r="E436" s="156"/>
      <c r="F436" s="143"/>
      <c r="G436" s="143"/>
      <c r="H436" s="143"/>
      <c r="I436" s="143"/>
      <c r="J436" s="143"/>
      <c r="K436" s="143"/>
      <c r="L436" s="143"/>
      <c r="M436" s="143"/>
      <c r="N436" s="143"/>
      <c r="O436" s="143"/>
      <c r="P436" s="143"/>
      <c r="Q436" s="143"/>
      <c r="R436" s="143"/>
      <c r="S436" s="143"/>
      <c r="T436" s="143"/>
      <c r="U436" s="143"/>
      <c r="V436" s="143"/>
      <c r="W436" s="143"/>
      <c r="X436" s="143"/>
      <c r="Y436" s="143"/>
      <c r="Z436" s="143"/>
      <c r="AA436" s="143"/>
      <c r="AB436" s="143"/>
      <c r="AC436" s="143"/>
      <c r="AD436" s="143"/>
      <c r="AE436" s="143"/>
    </row>
    <row r="437">
      <c r="A437" s="156"/>
      <c r="B437" s="156"/>
      <c r="C437" s="156"/>
      <c r="D437" s="154"/>
      <c r="E437" s="156"/>
      <c r="F437" s="143"/>
      <c r="G437" s="143"/>
      <c r="H437" s="143"/>
      <c r="I437" s="143"/>
      <c r="J437" s="143"/>
      <c r="K437" s="143"/>
      <c r="L437" s="143"/>
      <c r="M437" s="143"/>
      <c r="N437" s="143"/>
      <c r="O437" s="143"/>
      <c r="P437" s="143"/>
      <c r="Q437" s="143"/>
      <c r="R437" s="143"/>
      <c r="S437" s="143"/>
      <c r="T437" s="143"/>
      <c r="U437" s="143"/>
      <c r="V437" s="143"/>
      <c r="W437" s="143"/>
      <c r="X437" s="143"/>
      <c r="Y437" s="143"/>
      <c r="Z437" s="143"/>
      <c r="AA437" s="143"/>
      <c r="AB437" s="143"/>
      <c r="AC437" s="143"/>
      <c r="AD437" s="143"/>
      <c r="AE437" s="143"/>
    </row>
    <row r="438">
      <c r="A438" s="156"/>
      <c r="B438" s="156"/>
      <c r="C438" s="156"/>
      <c r="D438" s="154"/>
      <c r="E438" s="156"/>
      <c r="F438" s="143"/>
      <c r="G438" s="143"/>
      <c r="H438" s="143"/>
      <c r="I438" s="143"/>
      <c r="J438" s="143"/>
      <c r="K438" s="143"/>
      <c r="L438" s="143"/>
      <c r="M438" s="143"/>
      <c r="N438" s="143"/>
      <c r="O438" s="143"/>
      <c r="P438" s="143"/>
      <c r="Q438" s="143"/>
      <c r="R438" s="143"/>
      <c r="S438" s="143"/>
      <c r="T438" s="143"/>
      <c r="U438" s="143"/>
      <c r="V438" s="143"/>
      <c r="W438" s="143"/>
      <c r="X438" s="143"/>
      <c r="Y438" s="143"/>
      <c r="Z438" s="143"/>
      <c r="AA438" s="143"/>
      <c r="AB438" s="143"/>
      <c r="AC438" s="143"/>
      <c r="AD438" s="143"/>
      <c r="AE438" s="143"/>
    </row>
    <row r="439">
      <c r="A439" s="156"/>
      <c r="B439" s="156"/>
      <c r="C439" s="156"/>
      <c r="D439" s="154"/>
      <c r="E439" s="156"/>
      <c r="F439" s="143"/>
      <c r="G439" s="143"/>
      <c r="H439" s="143"/>
      <c r="I439" s="143"/>
      <c r="J439" s="143"/>
      <c r="K439" s="143"/>
      <c r="L439" s="143"/>
      <c r="M439" s="143"/>
      <c r="N439" s="143"/>
      <c r="O439" s="143"/>
      <c r="P439" s="143"/>
      <c r="Q439" s="143"/>
      <c r="R439" s="143"/>
      <c r="S439" s="143"/>
      <c r="T439" s="143"/>
      <c r="U439" s="143"/>
      <c r="V439" s="143"/>
      <c r="W439" s="143"/>
      <c r="X439" s="143"/>
      <c r="Y439" s="143"/>
      <c r="Z439" s="143"/>
      <c r="AA439" s="143"/>
      <c r="AB439" s="143"/>
      <c r="AC439" s="143"/>
      <c r="AD439" s="143"/>
      <c r="AE439" s="143"/>
    </row>
    <row r="440">
      <c r="A440" s="156"/>
      <c r="B440" s="156"/>
      <c r="C440" s="156"/>
      <c r="D440" s="154"/>
      <c r="E440" s="156"/>
      <c r="F440" s="143"/>
      <c r="G440" s="143"/>
      <c r="H440" s="143"/>
      <c r="I440" s="143"/>
      <c r="J440" s="143"/>
      <c r="K440" s="143"/>
      <c r="L440" s="143"/>
      <c r="M440" s="143"/>
      <c r="N440" s="143"/>
      <c r="O440" s="143"/>
      <c r="P440" s="143"/>
      <c r="Q440" s="143"/>
      <c r="R440" s="143"/>
      <c r="S440" s="143"/>
      <c r="T440" s="143"/>
      <c r="U440" s="143"/>
      <c r="V440" s="143"/>
      <c r="W440" s="143"/>
      <c r="X440" s="143"/>
      <c r="Y440" s="143"/>
      <c r="Z440" s="143"/>
      <c r="AA440" s="143"/>
      <c r="AB440" s="143"/>
      <c r="AC440" s="143"/>
      <c r="AD440" s="143"/>
      <c r="AE440" s="143"/>
    </row>
    <row r="441">
      <c r="A441" s="156"/>
      <c r="B441" s="156"/>
      <c r="C441" s="156"/>
      <c r="D441" s="154"/>
      <c r="E441" s="156"/>
      <c r="F441" s="143"/>
      <c r="G441" s="143"/>
      <c r="H441" s="143"/>
      <c r="I441" s="143"/>
      <c r="J441" s="143"/>
      <c r="K441" s="143"/>
      <c r="L441" s="143"/>
      <c r="M441" s="143"/>
      <c r="N441" s="143"/>
      <c r="O441" s="143"/>
      <c r="P441" s="143"/>
      <c r="Q441" s="143"/>
      <c r="R441" s="143"/>
      <c r="S441" s="143"/>
      <c r="T441" s="143"/>
      <c r="U441" s="143"/>
      <c r="V441" s="143"/>
      <c r="W441" s="143"/>
      <c r="X441" s="143"/>
      <c r="Y441" s="143"/>
      <c r="Z441" s="143"/>
      <c r="AA441" s="143"/>
      <c r="AB441" s="143"/>
      <c r="AC441" s="143"/>
      <c r="AD441" s="143"/>
      <c r="AE441" s="143"/>
    </row>
    <row r="442">
      <c r="A442" s="156"/>
      <c r="B442" s="156"/>
      <c r="C442" s="156"/>
      <c r="D442" s="154"/>
      <c r="E442" s="156"/>
      <c r="F442" s="143"/>
      <c r="G442" s="143"/>
      <c r="H442" s="143"/>
      <c r="I442" s="143"/>
      <c r="J442" s="143"/>
      <c r="K442" s="143"/>
      <c r="L442" s="143"/>
      <c r="M442" s="143"/>
      <c r="N442" s="143"/>
      <c r="O442" s="143"/>
      <c r="P442" s="143"/>
      <c r="Q442" s="143"/>
      <c r="R442" s="143"/>
      <c r="S442" s="143"/>
      <c r="T442" s="143"/>
      <c r="U442" s="143"/>
      <c r="V442" s="143"/>
      <c r="W442" s="143"/>
      <c r="X442" s="143"/>
      <c r="Y442" s="143"/>
      <c r="Z442" s="143"/>
      <c r="AA442" s="143"/>
      <c r="AB442" s="143"/>
      <c r="AC442" s="143"/>
      <c r="AD442" s="143"/>
      <c r="AE442" s="143"/>
    </row>
    <row r="443">
      <c r="A443" s="156"/>
      <c r="B443" s="156"/>
      <c r="C443" s="156"/>
      <c r="D443" s="154"/>
      <c r="E443" s="156"/>
      <c r="F443" s="143"/>
      <c r="G443" s="143"/>
      <c r="H443" s="143"/>
      <c r="I443" s="143"/>
      <c r="J443" s="143"/>
      <c r="K443" s="143"/>
      <c r="L443" s="143"/>
      <c r="M443" s="143"/>
      <c r="N443" s="143"/>
      <c r="O443" s="143"/>
      <c r="P443" s="143"/>
      <c r="Q443" s="143"/>
      <c r="R443" s="143"/>
      <c r="S443" s="143"/>
      <c r="T443" s="143"/>
      <c r="U443" s="143"/>
      <c r="V443" s="143"/>
      <c r="W443" s="143"/>
      <c r="X443" s="143"/>
      <c r="Y443" s="143"/>
      <c r="Z443" s="143"/>
      <c r="AA443" s="143"/>
      <c r="AB443" s="143"/>
      <c r="AC443" s="143"/>
      <c r="AD443" s="143"/>
      <c r="AE443" s="143"/>
    </row>
    <row r="444">
      <c r="A444" s="156"/>
      <c r="B444" s="156"/>
      <c r="C444" s="156"/>
      <c r="D444" s="154"/>
      <c r="E444" s="156"/>
      <c r="F444" s="143"/>
      <c r="G444" s="143"/>
      <c r="H444" s="143"/>
      <c r="I444" s="143"/>
      <c r="J444" s="143"/>
      <c r="K444" s="143"/>
      <c r="L444" s="143"/>
      <c r="M444" s="143"/>
      <c r="N444" s="143"/>
      <c r="O444" s="143"/>
      <c r="P444" s="143"/>
      <c r="Q444" s="143"/>
      <c r="R444" s="143"/>
      <c r="S444" s="143"/>
      <c r="T444" s="143"/>
      <c r="U444" s="143"/>
      <c r="V444" s="143"/>
      <c r="W444" s="143"/>
      <c r="X444" s="143"/>
      <c r="Y444" s="143"/>
      <c r="Z444" s="143"/>
      <c r="AA444" s="143"/>
      <c r="AB444" s="143"/>
      <c r="AC444" s="143"/>
      <c r="AD444" s="143"/>
      <c r="AE444" s="143"/>
    </row>
    <row r="445">
      <c r="A445" s="156"/>
      <c r="B445" s="156"/>
      <c r="C445" s="156"/>
      <c r="D445" s="154"/>
      <c r="E445" s="156"/>
      <c r="F445" s="143"/>
      <c r="G445" s="143"/>
      <c r="H445" s="143"/>
      <c r="I445" s="143"/>
      <c r="J445" s="143"/>
      <c r="K445" s="143"/>
      <c r="L445" s="143"/>
      <c r="M445" s="143"/>
      <c r="N445" s="143"/>
      <c r="O445" s="143"/>
      <c r="P445" s="143"/>
      <c r="Q445" s="143"/>
      <c r="R445" s="143"/>
      <c r="S445" s="143"/>
      <c r="T445" s="143"/>
      <c r="U445" s="143"/>
      <c r="V445" s="143"/>
      <c r="W445" s="143"/>
      <c r="X445" s="143"/>
      <c r="Y445" s="143"/>
      <c r="Z445" s="143"/>
      <c r="AA445" s="143"/>
      <c r="AB445" s="143"/>
      <c r="AC445" s="143"/>
      <c r="AD445" s="143"/>
      <c r="AE445" s="143"/>
    </row>
    <row r="446">
      <c r="A446" s="156"/>
      <c r="B446" s="156"/>
      <c r="C446" s="156"/>
      <c r="D446" s="154"/>
      <c r="E446" s="156"/>
      <c r="F446" s="143"/>
      <c r="G446" s="143"/>
      <c r="H446" s="143"/>
      <c r="I446" s="143"/>
      <c r="J446" s="143"/>
      <c r="K446" s="143"/>
      <c r="L446" s="143"/>
      <c r="M446" s="143"/>
      <c r="N446" s="143"/>
      <c r="O446" s="143"/>
      <c r="P446" s="143"/>
      <c r="Q446" s="143"/>
      <c r="R446" s="143"/>
      <c r="S446" s="143"/>
      <c r="T446" s="143"/>
      <c r="U446" s="143"/>
      <c r="V446" s="143"/>
      <c r="W446" s="143"/>
      <c r="X446" s="143"/>
      <c r="Y446" s="143"/>
      <c r="Z446" s="143"/>
      <c r="AA446" s="143"/>
      <c r="AB446" s="143"/>
      <c r="AC446" s="143"/>
      <c r="AD446" s="143"/>
      <c r="AE446" s="143"/>
    </row>
    <row r="447">
      <c r="A447" s="156"/>
      <c r="B447" s="156"/>
      <c r="C447" s="156"/>
      <c r="D447" s="154"/>
      <c r="E447" s="156"/>
      <c r="F447" s="143"/>
      <c r="G447" s="143"/>
      <c r="H447" s="143"/>
      <c r="I447" s="143"/>
      <c r="J447" s="143"/>
      <c r="K447" s="143"/>
      <c r="L447" s="143"/>
      <c r="M447" s="143"/>
      <c r="N447" s="143"/>
      <c r="O447" s="143"/>
      <c r="P447" s="143"/>
      <c r="Q447" s="143"/>
      <c r="R447" s="143"/>
      <c r="S447" s="143"/>
      <c r="T447" s="143"/>
      <c r="U447" s="143"/>
      <c r="V447" s="143"/>
      <c r="W447" s="143"/>
      <c r="X447" s="143"/>
      <c r="Y447" s="143"/>
      <c r="Z447" s="143"/>
      <c r="AA447" s="143"/>
      <c r="AB447" s="143"/>
      <c r="AC447" s="143"/>
      <c r="AD447" s="143"/>
      <c r="AE447" s="143"/>
    </row>
    <row r="448">
      <c r="A448" s="156"/>
      <c r="B448" s="156"/>
      <c r="C448" s="156"/>
      <c r="D448" s="154"/>
      <c r="E448" s="156"/>
      <c r="F448" s="143"/>
      <c r="G448" s="143"/>
      <c r="H448" s="143"/>
      <c r="I448" s="143"/>
      <c r="J448" s="143"/>
      <c r="K448" s="143"/>
      <c r="L448" s="143"/>
      <c r="M448" s="143"/>
      <c r="N448" s="143"/>
      <c r="O448" s="143"/>
      <c r="P448" s="143"/>
      <c r="Q448" s="143"/>
      <c r="R448" s="143"/>
      <c r="S448" s="143"/>
      <c r="T448" s="143"/>
      <c r="U448" s="143"/>
      <c r="V448" s="143"/>
      <c r="W448" s="143"/>
      <c r="X448" s="143"/>
      <c r="Y448" s="143"/>
      <c r="Z448" s="143"/>
      <c r="AA448" s="143"/>
      <c r="AB448" s="143"/>
      <c r="AC448" s="143"/>
      <c r="AD448" s="143"/>
      <c r="AE448" s="143"/>
    </row>
    <row r="449">
      <c r="A449" s="156"/>
      <c r="B449" s="156"/>
      <c r="C449" s="156"/>
      <c r="D449" s="154"/>
      <c r="E449" s="156"/>
      <c r="F449" s="143"/>
      <c r="G449" s="143"/>
      <c r="H449" s="143"/>
      <c r="I449" s="143"/>
      <c r="J449" s="143"/>
      <c r="K449" s="143"/>
      <c r="L449" s="143"/>
      <c r="M449" s="143"/>
      <c r="N449" s="143"/>
      <c r="O449" s="143"/>
      <c r="P449" s="143"/>
      <c r="Q449" s="143"/>
      <c r="R449" s="143"/>
      <c r="S449" s="143"/>
      <c r="T449" s="143"/>
      <c r="U449" s="143"/>
      <c r="V449" s="143"/>
      <c r="W449" s="143"/>
      <c r="X449" s="143"/>
      <c r="Y449" s="143"/>
      <c r="Z449" s="143"/>
      <c r="AA449" s="143"/>
      <c r="AB449" s="143"/>
      <c r="AC449" s="143"/>
      <c r="AD449" s="143"/>
      <c r="AE449" s="143"/>
    </row>
    <row r="450">
      <c r="A450" s="156"/>
      <c r="B450" s="156"/>
      <c r="C450" s="156"/>
      <c r="D450" s="154"/>
      <c r="E450" s="156"/>
      <c r="F450" s="143"/>
      <c r="G450" s="143"/>
      <c r="H450" s="143"/>
      <c r="I450" s="143"/>
      <c r="J450" s="143"/>
      <c r="K450" s="143"/>
      <c r="L450" s="143"/>
      <c r="M450" s="143"/>
      <c r="N450" s="143"/>
      <c r="O450" s="143"/>
      <c r="P450" s="143"/>
      <c r="Q450" s="143"/>
      <c r="R450" s="143"/>
      <c r="S450" s="143"/>
      <c r="T450" s="143"/>
      <c r="U450" s="143"/>
      <c r="V450" s="143"/>
      <c r="W450" s="143"/>
      <c r="X450" s="143"/>
      <c r="Y450" s="143"/>
      <c r="Z450" s="143"/>
      <c r="AA450" s="143"/>
      <c r="AB450" s="143"/>
      <c r="AC450" s="143"/>
      <c r="AD450" s="143"/>
      <c r="AE450" s="143"/>
    </row>
    <row r="451">
      <c r="A451" s="156"/>
      <c r="B451" s="156"/>
      <c r="C451" s="156"/>
      <c r="D451" s="154"/>
      <c r="E451" s="156"/>
      <c r="F451" s="143"/>
      <c r="G451" s="143"/>
      <c r="H451" s="143"/>
      <c r="I451" s="143"/>
      <c r="J451" s="143"/>
      <c r="K451" s="143"/>
      <c r="L451" s="143"/>
      <c r="M451" s="143"/>
      <c r="N451" s="143"/>
      <c r="O451" s="143"/>
      <c r="P451" s="143"/>
      <c r="Q451" s="143"/>
      <c r="R451" s="143"/>
      <c r="S451" s="143"/>
      <c r="T451" s="143"/>
      <c r="U451" s="143"/>
      <c r="V451" s="143"/>
      <c r="W451" s="143"/>
      <c r="X451" s="143"/>
      <c r="Y451" s="143"/>
      <c r="Z451" s="143"/>
      <c r="AA451" s="143"/>
      <c r="AB451" s="143"/>
      <c r="AC451" s="143"/>
      <c r="AD451" s="143"/>
      <c r="AE451" s="143"/>
    </row>
    <row r="452">
      <c r="A452" s="156"/>
      <c r="B452" s="156"/>
      <c r="C452" s="156"/>
      <c r="D452" s="154"/>
      <c r="E452" s="156"/>
      <c r="F452" s="143"/>
      <c r="G452" s="143"/>
      <c r="H452" s="143"/>
      <c r="I452" s="143"/>
      <c r="J452" s="143"/>
      <c r="K452" s="143"/>
      <c r="L452" s="143"/>
      <c r="M452" s="143"/>
      <c r="N452" s="143"/>
      <c r="O452" s="143"/>
      <c r="P452" s="143"/>
      <c r="Q452" s="143"/>
      <c r="R452" s="143"/>
      <c r="S452" s="143"/>
      <c r="T452" s="143"/>
      <c r="U452" s="143"/>
      <c r="V452" s="143"/>
      <c r="W452" s="143"/>
      <c r="X452" s="143"/>
      <c r="Y452" s="143"/>
      <c r="Z452" s="143"/>
      <c r="AA452" s="143"/>
      <c r="AB452" s="143"/>
      <c r="AC452" s="143"/>
      <c r="AD452" s="143"/>
      <c r="AE452" s="143"/>
    </row>
    <row r="453">
      <c r="A453" s="156"/>
      <c r="B453" s="156"/>
      <c r="C453" s="156"/>
      <c r="D453" s="154"/>
      <c r="E453" s="156"/>
      <c r="F453" s="143"/>
      <c r="G453" s="143"/>
      <c r="H453" s="143"/>
      <c r="I453" s="143"/>
      <c r="J453" s="143"/>
      <c r="K453" s="143"/>
      <c r="L453" s="143"/>
      <c r="M453" s="143"/>
      <c r="N453" s="143"/>
      <c r="O453" s="143"/>
      <c r="P453" s="143"/>
      <c r="Q453" s="143"/>
      <c r="R453" s="143"/>
      <c r="S453" s="143"/>
      <c r="T453" s="143"/>
      <c r="U453" s="143"/>
      <c r="V453" s="143"/>
      <c r="W453" s="143"/>
      <c r="X453" s="143"/>
      <c r="Y453" s="143"/>
      <c r="Z453" s="143"/>
      <c r="AA453" s="143"/>
      <c r="AB453" s="143"/>
      <c r="AC453" s="143"/>
      <c r="AD453" s="143"/>
      <c r="AE453" s="143"/>
    </row>
    <row r="454">
      <c r="A454" s="156"/>
      <c r="B454" s="156"/>
      <c r="C454" s="156"/>
      <c r="D454" s="154"/>
      <c r="E454" s="156"/>
      <c r="F454" s="143"/>
      <c r="G454" s="143"/>
      <c r="H454" s="143"/>
      <c r="I454" s="143"/>
      <c r="J454" s="143"/>
      <c r="K454" s="143"/>
      <c r="L454" s="143"/>
      <c r="M454" s="143"/>
      <c r="N454" s="143"/>
      <c r="O454" s="143"/>
      <c r="P454" s="143"/>
      <c r="Q454" s="143"/>
      <c r="R454" s="143"/>
      <c r="S454" s="143"/>
      <c r="T454" s="143"/>
      <c r="U454" s="143"/>
      <c r="V454" s="143"/>
      <c r="W454" s="143"/>
      <c r="X454" s="143"/>
      <c r="Y454" s="143"/>
      <c r="Z454" s="143"/>
      <c r="AA454" s="143"/>
      <c r="AB454" s="143"/>
      <c r="AC454" s="143"/>
      <c r="AD454" s="143"/>
      <c r="AE454" s="143"/>
    </row>
    <row r="455">
      <c r="A455" s="156"/>
      <c r="B455" s="156"/>
      <c r="C455" s="156"/>
      <c r="D455" s="154"/>
      <c r="E455" s="156"/>
      <c r="F455" s="143"/>
      <c r="G455" s="143"/>
      <c r="H455" s="143"/>
      <c r="I455" s="143"/>
      <c r="J455" s="143"/>
      <c r="K455" s="143"/>
      <c r="L455" s="143"/>
      <c r="M455" s="143"/>
      <c r="N455" s="143"/>
      <c r="O455" s="143"/>
      <c r="P455" s="143"/>
      <c r="Q455" s="143"/>
      <c r="R455" s="143"/>
      <c r="S455" s="143"/>
      <c r="T455" s="143"/>
      <c r="U455" s="143"/>
      <c r="V455" s="143"/>
      <c r="W455" s="143"/>
      <c r="X455" s="143"/>
      <c r="Y455" s="143"/>
      <c r="Z455" s="143"/>
      <c r="AA455" s="143"/>
      <c r="AB455" s="143"/>
      <c r="AC455" s="143"/>
      <c r="AD455" s="143"/>
      <c r="AE455" s="143"/>
    </row>
    <row r="456">
      <c r="A456" s="156"/>
      <c r="B456" s="156"/>
      <c r="C456" s="156"/>
      <c r="D456" s="154"/>
      <c r="E456" s="156"/>
      <c r="F456" s="143"/>
      <c r="G456" s="143"/>
      <c r="H456" s="143"/>
      <c r="I456" s="143"/>
      <c r="J456" s="143"/>
      <c r="K456" s="143"/>
      <c r="L456" s="143"/>
      <c r="M456" s="143"/>
      <c r="N456" s="143"/>
      <c r="O456" s="143"/>
      <c r="P456" s="143"/>
      <c r="Q456" s="143"/>
      <c r="R456" s="143"/>
      <c r="S456" s="143"/>
      <c r="T456" s="143"/>
      <c r="U456" s="143"/>
      <c r="V456" s="143"/>
      <c r="W456" s="143"/>
      <c r="X456" s="143"/>
      <c r="Y456" s="143"/>
      <c r="Z456" s="143"/>
      <c r="AA456" s="143"/>
      <c r="AB456" s="143"/>
      <c r="AC456" s="143"/>
      <c r="AD456" s="143"/>
      <c r="AE456" s="143"/>
    </row>
    <row r="457">
      <c r="A457" s="156"/>
      <c r="B457" s="156"/>
      <c r="C457" s="156"/>
      <c r="D457" s="154"/>
      <c r="E457" s="156"/>
      <c r="F457" s="143"/>
      <c r="G457" s="143"/>
      <c r="H457" s="143"/>
      <c r="I457" s="143"/>
      <c r="J457" s="143"/>
      <c r="K457" s="143"/>
      <c r="L457" s="143"/>
      <c r="M457" s="143"/>
      <c r="N457" s="143"/>
      <c r="O457" s="143"/>
      <c r="P457" s="143"/>
      <c r="Q457" s="143"/>
      <c r="R457" s="143"/>
      <c r="S457" s="143"/>
      <c r="T457" s="143"/>
      <c r="U457" s="143"/>
      <c r="V457" s="143"/>
      <c r="W457" s="143"/>
      <c r="X457" s="143"/>
      <c r="Y457" s="143"/>
      <c r="Z457" s="143"/>
      <c r="AA457" s="143"/>
      <c r="AB457" s="143"/>
      <c r="AC457" s="143"/>
      <c r="AD457" s="143"/>
      <c r="AE457" s="143"/>
    </row>
    <row r="458">
      <c r="A458" s="156"/>
      <c r="B458" s="156"/>
      <c r="C458" s="156"/>
      <c r="D458" s="154"/>
      <c r="E458" s="156"/>
      <c r="F458" s="143"/>
      <c r="G458" s="143"/>
      <c r="H458" s="143"/>
      <c r="I458" s="143"/>
      <c r="J458" s="143"/>
      <c r="K458" s="143"/>
      <c r="L458" s="143"/>
      <c r="M458" s="143"/>
      <c r="N458" s="143"/>
      <c r="O458" s="143"/>
      <c r="P458" s="143"/>
      <c r="Q458" s="143"/>
      <c r="R458" s="143"/>
      <c r="S458" s="143"/>
      <c r="T458" s="143"/>
      <c r="U458" s="143"/>
      <c r="V458" s="143"/>
      <c r="W458" s="143"/>
      <c r="X458" s="143"/>
      <c r="Y458" s="143"/>
      <c r="Z458" s="143"/>
      <c r="AA458" s="143"/>
      <c r="AB458" s="143"/>
      <c r="AC458" s="143"/>
      <c r="AD458" s="143"/>
      <c r="AE458" s="143"/>
    </row>
    <row r="459">
      <c r="A459" s="156"/>
      <c r="B459" s="156"/>
      <c r="C459" s="156"/>
      <c r="D459" s="154"/>
      <c r="E459" s="156"/>
      <c r="F459" s="143"/>
      <c r="G459" s="143"/>
      <c r="H459" s="143"/>
      <c r="I459" s="143"/>
      <c r="J459" s="143"/>
      <c r="K459" s="143"/>
      <c r="L459" s="143"/>
      <c r="M459" s="143"/>
      <c r="N459" s="143"/>
      <c r="O459" s="143"/>
      <c r="P459" s="143"/>
      <c r="Q459" s="143"/>
      <c r="R459" s="143"/>
      <c r="S459" s="143"/>
      <c r="T459" s="143"/>
      <c r="U459" s="143"/>
      <c r="V459" s="143"/>
      <c r="W459" s="143"/>
      <c r="X459" s="143"/>
      <c r="Y459" s="143"/>
      <c r="Z459" s="143"/>
      <c r="AA459" s="143"/>
      <c r="AB459" s="143"/>
      <c r="AC459" s="143"/>
      <c r="AD459" s="143"/>
      <c r="AE459" s="143"/>
    </row>
    <row r="460">
      <c r="A460" s="156"/>
      <c r="B460" s="156"/>
      <c r="C460" s="156"/>
      <c r="D460" s="154"/>
      <c r="E460" s="156"/>
      <c r="F460" s="143"/>
      <c r="G460" s="143"/>
      <c r="H460" s="143"/>
      <c r="I460" s="143"/>
      <c r="J460" s="143"/>
      <c r="K460" s="143"/>
      <c r="L460" s="143"/>
      <c r="M460" s="143"/>
      <c r="N460" s="143"/>
      <c r="O460" s="143"/>
      <c r="P460" s="143"/>
      <c r="Q460" s="143"/>
      <c r="R460" s="143"/>
      <c r="S460" s="143"/>
      <c r="T460" s="143"/>
      <c r="U460" s="143"/>
      <c r="V460" s="143"/>
      <c r="W460" s="143"/>
      <c r="X460" s="143"/>
      <c r="Y460" s="143"/>
      <c r="Z460" s="143"/>
      <c r="AA460" s="143"/>
      <c r="AB460" s="143"/>
      <c r="AC460" s="143"/>
      <c r="AD460" s="143"/>
      <c r="AE460" s="143"/>
    </row>
    <row r="461">
      <c r="A461" s="156"/>
      <c r="B461" s="156"/>
      <c r="C461" s="156"/>
      <c r="D461" s="154"/>
      <c r="E461" s="156"/>
      <c r="F461" s="143"/>
      <c r="G461" s="143"/>
      <c r="H461" s="143"/>
      <c r="I461" s="143"/>
      <c r="J461" s="143"/>
      <c r="K461" s="143"/>
      <c r="L461" s="143"/>
      <c r="M461" s="143"/>
      <c r="N461" s="143"/>
      <c r="O461" s="143"/>
      <c r="P461" s="143"/>
      <c r="Q461" s="143"/>
      <c r="R461" s="143"/>
      <c r="S461" s="143"/>
      <c r="T461" s="143"/>
      <c r="U461" s="143"/>
      <c r="V461" s="143"/>
      <c r="W461" s="143"/>
      <c r="X461" s="143"/>
      <c r="Y461" s="143"/>
      <c r="Z461" s="143"/>
      <c r="AA461" s="143"/>
      <c r="AB461" s="143"/>
      <c r="AC461" s="143"/>
      <c r="AD461" s="143"/>
      <c r="AE461" s="143"/>
    </row>
    <row r="462">
      <c r="A462" s="156"/>
      <c r="B462" s="156"/>
      <c r="C462" s="156"/>
      <c r="D462" s="154"/>
      <c r="E462" s="156"/>
      <c r="F462" s="143"/>
      <c r="G462" s="143"/>
      <c r="H462" s="143"/>
      <c r="I462" s="143"/>
      <c r="J462" s="143"/>
      <c r="K462" s="143"/>
      <c r="L462" s="143"/>
      <c r="M462" s="143"/>
      <c r="N462" s="143"/>
      <c r="O462" s="143"/>
      <c r="P462" s="143"/>
      <c r="Q462" s="143"/>
      <c r="R462" s="143"/>
      <c r="S462" s="143"/>
      <c r="T462" s="143"/>
      <c r="U462" s="143"/>
      <c r="V462" s="143"/>
      <c r="W462" s="143"/>
      <c r="X462" s="143"/>
      <c r="Y462" s="143"/>
      <c r="Z462" s="143"/>
      <c r="AA462" s="143"/>
      <c r="AB462" s="143"/>
      <c r="AC462" s="143"/>
      <c r="AD462" s="143"/>
      <c r="AE462" s="143"/>
    </row>
    <row r="463">
      <c r="A463" s="156"/>
      <c r="B463" s="156"/>
      <c r="C463" s="156"/>
      <c r="D463" s="154"/>
      <c r="E463" s="156"/>
      <c r="F463" s="143"/>
      <c r="G463" s="143"/>
      <c r="H463" s="143"/>
      <c r="I463" s="143"/>
      <c r="J463" s="143"/>
      <c r="K463" s="143"/>
      <c r="L463" s="143"/>
      <c r="M463" s="143"/>
      <c r="N463" s="143"/>
      <c r="O463" s="143"/>
      <c r="P463" s="143"/>
      <c r="Q463" s="143"/>
      <c r="R463" s="143"/>
      <c r="S463" s="143"/>
      <c r="T463" s="143"/>
      <c r="U463" s="143"/>
      <c r="V463" s="143"/>
      <c r="W463" s="143"/>
      <c r="X463" s="143"/>
      <c r="Y463" s="143"/>
      <c r="Z463" s="143"/>
      <c r="AA463" s="143"/>
      <c r="AB463" s="143"/>
      <c r="AC463" s="143"/>
      <c r="AD463" s="143"/>
      <c r="AE463" s="143"/>
    </row>
    <row r="464">
      <c r="A464" s="156"/>
      <c r="B464" s="156"/>
      <c r="C464" s="156"/>
      <c r="D464" s="154"/>
      <c r="E464" s="156"/>
      <c r="F464" s="143"/>
      <c r="G464" s="143"/>
      <c r="H464" s="143"/>
      <c r="I464" s="143"/>
      <c r="J464" s="143"/>
      <c r="K464" s="143"/>
      <c r="L464" s="143"/>
      <c r="M464" s="143"/>
      <c r="N464" s="143"/>
      <c r="O464" s="143"/>
      <c r="P464" s="143"/>
      <c r="Q464" s="143"/>
      <c r="R464" s="143"/>
      <c r="S464" s="143"/>
      <c r="T464" s="143"/>
      <c r="U464" s="143"/>
      <c r="V464" s="143"/>
      <c r="W464" s="143"/>
      <c r="X464" s="143"/>
      <c r="Y464" s="143"/>
      <c r="Z464" s="143"/>
      <c r="AA464" s="143"/>
      <c r="AB464" s="143"/>
      <c r="AC464" s="143"/>
      <c r="AD464" s="143"/>
      <c r="AE464" s="143"/>
    </row>
    <row r="465">
      <c r="A465" s="156"/>
      <c r="B465" s="156"/>
      <c r="C465" s="156"/>
      <c r="D465" s="154"/>
      <c r="E465" s="156"/>
      <c r="F465" s="143"/>
      <c r="G465" s="143"/>
      <c r="H465" s="143"/>
      <c r="I465" s="143"/>
      <c r="J465" s="143"/>
      <c r="K465" s="143"/>
      <c r="L465" s="143"/>
      <c r="M465" s="143"/>
      <c r="N465" s="143"/>
      <c r="O465" s="143"/>
      <c r="P465" s="143"/>
      <c r="Q465" s="143"/>
      <c r="R465" s="143"/>
      <c r="S465" s="143"/>
      <c r="T465" s="143"/>
      <c r="U465" s="143"/>
      <c r="V465" s="143"/>
      <c r="W465" s="143"/>
      <c r="X465" s="143"/>
      <c r="Y465" s="143"/>
      <c r="Z465" s="143"/>
      <c r="AA465" s="143"/>
      <c r="AB465" s="143"/>
      <c r="AC465" s="143"/>
      <c r="AD465" s="143"/>
      <c r="AE465" s="143"/>
    </row>
    <row r="466">
      <c r="A466" s="156"/>
      <c r="B466" s="156"/>
      <c r="C466" s="156"/>
      <c r="D466" s="154"/>
      <c r="E466" s="156"/>
      <c r="F466" s="143"/>
      <c r="G466" s="143"/>
      <c r="H466" s="143"/>
      <c r="I466" s="143"/>
      <c r="J466" s="143"/>
      <c r="K466" s="143"/>
      <c r="L466" s="143"/>
      <c r="M466" s="143"/>
      <c r="N466" s="143"/>
      <c r="O466" s="143"/>
      <c r="P466" s="143"/>
      <c r="Q466" s="143"/>
      <c r="R466" s="143"/>
      <c r="S466" s="143"/>
      <c r="T466" s="143"/>
      <c r="U466" s="143"/>
      <c r="V466" s="143"/>
      <c r="W466" s="143"/>
      <c r="X466" s="143"/>
      <c r="Y466" s="143"/>
      <c r="Z466" s="143"/>
      <c r="AA466" s="143"/>
      <c r="AB466" s="143"/>
      <c r="AC466" s="143"/>
      <c r="AD466" s="143"/>
      <c r="AE466" s="143"/>
    </row>
    <row r="467">
      <c r="A467" s="156"/>
      <c r="B467" s="156"/>
      <c r="C467" s="156"/>
      <c r="D467" s="154"/>
      <c r="E467" s="156"/>
      <c r="F467" s="143"/>
      <c r="G467" s="143"/>
      <c r="H467" s="143"/>
      <c r="I467" s="143"/>
      <c r="J467" s="143"/>
      <c r="K467" s="143"/>
      <c r="L467" s="143"/>
      <c r="M467" s="143"/>
      <c r="N467" s="143"/>
      <c r="O467" s="143"/>
      <c r="P467" s="143"/>
      <c r="Q467" s="143"/>
      <c r="R467" s="143"/>
      <c r="S467" s="143"/>
      <c r="T467" s="143"/>
      <c r="U467" s="143"/>
      <c r="V467" s="143"/>
      <c r="W467" s="143"/>
      <c r="X467" s="143"/>
      <c r="Y467" s="143"/>
      <c r="Z467" s="143"/>
      <c r="AA467" s="143"/>
      <c r="AB467" s="143"/>
      <c r="AC467" s="143"/>
      <c r="AD467" s="143"/>
      <c r="AE467" s="143"/>
    </row>
    <row r="468">
      <c r="A468" s="156"/>
      <c r="B468" s="156"/>
      <c r="C468" s="156"/>
      <c r="D468" s="154"/>
      <c r="E468" s="156"/>
      <c r="F468" s="143"/>
      <c r="G468" s="143"/>
      <c r="H468" s="143"/>
      <c r="I468" s="143"/>
      <c r="J468" s="143"/>
      <c r="K468" s="143"/>
      <c r="L468" s="143"/>
      <c r="M468" s="143"/>
      <c r="N468" s="143"/>
      <c r="O468" s="143"/>
      <c r="P468" s="143"/>
      <c r="Q468" s="143"/>
      <c r="R468" s="143"/>
      <c r="S468" s="143"/>
      <c r="T468" s="143"/>
      <c r="U468" s="143"/>
      <c r="V468" s="143"/>
      <c r="W468" s="143"/>
      <c r="X468" s="143"/>
      <c r="Y468" s="143"/>
      <c r="Z468" s="143"/>
      <c r="AA468" s="143"/>
      <c r="AB468" s="143"/>
      <c r="AC468" s="143"/>
      <c r="AD468" s="143"/>
      <c r="AE468" s="143"/>
    </row>
    <row r="469">
      <c r="A469" s="156"/>
      <c r="B469" s="156"/>
      <c r="C469" s="156"/>
      <c r="D469" s="154"/>
      <c r="E469" s="156"/>
      <c r="F469" s="143"/>
      <c r="G469" s="143"/>
      <c r="H469" s="143"/>
      <c r="I469" s="143"/>
      <c r="J469" s="143"/>
      <c r="K469" s="143"/>
      <c r="L469" s="143"/>
      <c r="M469" s="143"/>
      <c r="N469" s="143"/>
      <c r="O469" s="143"/>
      <c r="P469" s="143"/>
      <c r="Q469" s="143"/>
      <c r="R469" s="143"/>
      <c r="S469" s="143"/>
      <c r="T469" s="143"/>
      <c r="U469" s="143"/>
      <c r="V469" s="143"/>
      <c r="W469" s="143"/>
      <c r="X469" s="143"/>
      <c r="Y469" s="143"/>
      <c r="Z469" s="143"/>
      <c r="AA469" s="143"/>
      <c r="AB469" s="143"/>
      <c r="AC469" s="143"/>
      <c r="AD469" s="143"/>
      <c r="AE469" s="143"/>
    </row>
    <row r="470">
      <c r="A470" s="156"/>
      <c r="B470" s="156"/>
      <c r="C470" s="156"/>
      <c r="D470" s="154"/>
      <c r="E470" s="156"/>
      <c r="F470" s="143"/>
      <c r="G470" s="143"/>
      <c r="H470" s="143"/>
      <c r="I470" s="143"/>
      <c r="J470" s="143"/>
      <c r="K470" s="143"/>
      <c r="L470" s="143"/>
      <c r="M470" s="143"/>
      <c r="N470" s="143"/>
      <c r="O470" s="143"/>
      <c r="P470" s="143"/>
      <c r="Q470" s="143"/>
      <c r="R470" s="143"/>
      <c r="S470" s="143"/>
      <c r="T470" s="143"/>
      <c r="U470" s="143"/>
      <c r="V470" s="143"/>
      <c r="W470" s="143"/>
      <c r="X470" s="143"/>
      <c r="Y470" s="143"/>
      <c r="Z470" s="143"/>
      <c r="AA470" s="143"/>
      <c r="AB470" s="143"/>
      <c r="AC470" s="143"/>
      <c r="AD470" s="143"/>
      <c r="AE470" s="143"/>
    </row>
    <row r="471">
      <c r="A471" s="156"/>
      <c r="B471" s="156"/>
      <c r="C471" s="156"/>
      <c r="D471" s="154"/>
      <c r="E471" s="156"/>
      <c r="F471" s="143"/>
      <c r="G471" s="143"/>
      <c r="H471" s="143"/>
      <c r="I471" s="143"/>
      <c r="J471" s="143"/>
      <c r="K471" s="143"/>
      <c r="L471" s="143"/>
      <c r="M471" s="143"/>
      <c r="N471" s="143"/>
      <c r="O471" s="143"/>
      <c r="P471" s="143"/>
      <c r="Q471" s="143"/>
      <c r="R471" s="143"/>
      <c r="S471" s="143"/>
      <c r="T471" s="143"/>
      <c r="U471" s="143"/>
      <c r="V471" s="143"/>
      <c r="W471" s="143"/>
      <c r="X471" s="143"/>
      <c r="Y471" s="143"/>
      <c r="Z471" s="143"/>
      <c r="AA471" s="143"/>
      <c r="AB471" s="143"/>
      <c r="AC471" s="143"/>
      <c r="AD471" s="143"/>
      <c r="AE471" s="143"/>
    </row>
    <row r="472">
      <c r="A472" s="156"/>
      <c r="B472" s="156"/>
      <c r="C472" s="156"/>
      <c r="D472" s="154"/>
      <c r="E472" s="156"/>
      <c r="F472" s="143"/>
      <c r="G472" s="143"/>
      <c r="H472" s="143"/>
      <c r="I472" s="143"/>
      <c r="J472" s="143"/>
      <c r="K472" s="143"/>
      <c r="L472" s="143"/>
      <c r="M472" s="143"/>
      <c r="N472" s="143"/>
      <c r="O472" s="143"/>
      <c r="P472" s="143"/>
      <c r="Q472" s="143"/>
      <c r="R472" s="143"/>
      <c r="S472" s="143"/>
      <c r="T472" s="143"/>
      <c r="U472" s="143"/>
      <c r="V472" s="143"/>
      <c r="W472" s="143"/>
      <c r="X472" s="143"/>
      <c r="Y472" s="143"/>
      <c r="Z472" s="143"/>
      <c r="AA472" s="143"/>
      <c r="AB472" s="143"/>
      <c r="AC472" s="143"/>
      <c r="AD472" s="143"/>
      <c r="AE472" s="143"/>
    </row>
    <row r="473">
      <c r="A473" s="156"/>
      <c r="B473" s="156"/>
      <c r="C473" s="156"/>
      <c r="D473" s="154"/>
      <c r="E473" s="156"/>
      <c r="F473" s="143"/>
      <c r="G473" s="143"/>
      <c r="H473" s="143"/>
      <c r="I473" s="143"/>
      <c r="J473" s="143"/>
      <c r="K473" s="143"/>
      <c r="L473" s="143"/>
      <c r="M473" s="143"/>
      <c r="N473" s="143"/>
      <c r="O473" s="143"/>
      <c r="P473" s="143"/>
      <c r="Q473" s="143"/>
      <c r="R473" s="143"/>
      <c r="S473" s="143"/>
      <c r="T473" s="143"/>
      <c r="U473" s="143"/>
      <c r="V473" s="143"/>
      <c r="W473" s="143"/>
      <c r="X473" s="143"/>
      <c r="Y473" s="143"/>
      <c r="Z473" s="143"/>
      <c r="AA473" s="143"/>
      <c r="AB473" s="143"/>
      <c r="AC473" s="143"/>
      <c r="AD473" s="143"/>
      <c r="AE473" s="143"/>
    </row>
    <row r="474">
      <c r="A474" s="156"/>
      <c r="B474" s="156"/>
      <c r="C474" s="156"/>
      <c r="D474" s="154"/>
      <c r="E474" s="156"/>
      <c r="F474" s="143"/>
      <c r="G474" s="143"/>
      <c r="H474" s="143"/>
      <c r="I474" s="143"/>
      <c r="J474" s="143"/>
      <c r="K474" s="143"/>
      <c r="L474" s="143"/>
      <c r="M474" s="143"/>
      <c r="N474" s="143"/>
      <c r="O474" s="143"/>
      <c r="P474" s="143"/>
      <c r="Q474" s="143"/>
      <c r="R474" s="143"/>
      <c r="S474" s="143"/>
      <c r="T474" s="143"/>
      <c r="U474" s="143"/>
      <c r="V474" s="143"/>
      <c r="W474" s="143"/>
      <c r="X474" s="143"/>
      <c r="Y474" s="143"/>
      <c r="Z474" s="143"/>
      <c r="AA474" s="143"/>
      <c r="AB474" s="143"/>
      <c r="AC474" s="143"/>
      <c r="AD474" s="143"/>
      <c r="AE474" s="143"/>
    </row>
    <row r="475">
      <c r="A475" s="156"/>
      <c r="B475" s="156"/>
      <c r="C475" s="156"/>
      <c r="D475" s="154"/>
      <c r="E475" s="156"/>
      <c r="F475" s="143"/>
      <c r="G475" s="143"/>
      <c r="H475" s="143"/>
      <c r="I475" s="143"/>
      <c r="J475" s="143"/>
      <c r="K475" s="143"/>
      <c r="L475" s="143"/>
      <c r="M475" s="143"/>
      <c r="N475" s="143"/>
      <c r="O475" s="143"/>
      <c r="P475" s="143"/>
      <c r="Q475" s="143"/>
      <c r="R475" s="143"/>
      <c r="S475" s="143"/>
      <c r="T475" s="143"/>
      <c r="U475" s="143"/>
      <c r="V475" s="143"/>
      <c r="W475" s="143"/>
      <c r="X475" s="143"/>
      <c r="Y475" s="143"/>
      <c r="Z475" s="143"/>
      <c r="AA475" s="143"/>
      <c r="AB475" s="143"/>
      <c r="AC475" s="143"/>
      <c r="AD475" s="143"/>
      <c r="AE475" s="143"/>
    </row>
    <row r="476">
      <c r="A476" s="156"/>
      <c r="B476" s="156"/>
      <c r="C476" s="156"/>
      <c r="D476" s="154"/>
      <c r="E476" s="156"/>
      <c r="F476" s="143"/>
      <c r="G476" s="143"/>
      <c r="H476" s="143"/>
      <c r="I476" s="143"/>
      <c r="J476" s="143"/>
      <c r="K476" s="143"/>
      <c r="L476" s="143"/>
      <c r="M476" s="143"/>
      <c r="N476" s="143"/>
      <c r="O476" s="143"/>
      <c r="P476" s="143"/>
      <c r="Q476" s="143"/>
      <c r="R476" s="143"/>
      <c r="S476" s="143"/>
      <c r="T476" s="143"/>
      <c r="U476" s="143"/>
      <c r="V476" s="143"/>
      <c r="W476" s="143"/>
      <c r="X476" s="143"/>
      <c r="Y476" s="143"/>
      <c r="Z476" s="143"/>
      <c r="AA476" s="143"/>
      <c r="AB476" s="143"/>
      <c r="AC476" s="143"/>
      <c r="AD476" s="143"/>
      <c r="AE476" s="143"/>
    </row>
    <row r="477">
      <c r="A477" s="156"/>
      <c r="B477" s="156"/>
      <c r="C477" s="156"/>
      <c r="D477" s="154"/>
      <c r="E477" s="156"/>
      <c r="F477" s="143"/>
      <c r="G477" s="143"/>
      <c r="H477" s="143"/>
      <c r="I477" s="143"/>
      <c r="J477" s="143"/>
      <c r="K477" s="143"/>
      <c r="L477" s="143"/>
      <c r="M477" s="143"/>
      <c r="N477" s="143"/>
      <c r="O477" s="143"/>
      <c r="P477" s="143"/>
      <c r="Q477" s="143"/>
      <c r="R477" s="143"/>
      <c r="S477" s="143"/>
      <c r="T477" s="143"/>
      <c r="U477" s="143"/>
      <c r="V477" s="143"/>
      <c r="W477" s="143"/>
      <c r="X477" s="143"/>
      <c r="Y477" s="143"/>
      <c r="Z477" s="143"/>
      <c r="AA477" s="143"/>
      <c r="AB477" s="143"/>
      <c r="AC477" s="143"/>
      <c r="AD477" s="143"/>
      <c r="AE477" s="143"/>
    </row>
    <row r="478">
      <c r="A478" s="156"/>
      <c r="B478" s="156"/>
      <c r="C478" s="156"/>
      <c r="D478" s="154"/>
      <c r="E478" s="156"/>
      <c r="F478" s="143"/>
      <c r="G478" s="143"/>
      <c r="H478" s="143"/>
      <c r="I478" s="143"/>
      <c r="J478" s="143"/>
      <c r="K478" s="143"/>
      <c r="L478" s="143"/>
      <c r="M478" s="143"/>
      <c r="N478" s="143"/>
      <c r="O478" s="143"/>
      <c r="P478" s="143"/>
      <c r="Q478" s="143"/>
      <c r="R478" s="143"/>
      <c r="S478" s="143"/>
      <c r="T478" s="143"/>
      <c r="U478" s="143"/>
      <c r="V478" s="143"/>
      <c r="W478" s="143"/>
      <c r="X478" s="143"/>
      <c r="Y478" s="143"/>
      <c r="Z478" s="143"/>
      <c r="AA478" s="143"/>
      <c r="AB478" s="143"/>
      <c r="AC478" s="143"/>
      <c r="AD478" s="143"/>
      <c r="AE478" s="143"/>
    </row>
    <row r="479">
      <c r="A479" s="156"/>
      <c r="B479" s="156"/>
      <c r="C479" s="156"/>
      <c r="D479" s="154"/>
      <c r="E479" s="156"/>
      <c r="F479" s="143"/>
      <c r="G479" s="143"/>
      <c r="H479" s="143"/>
      <c r="I479" s="143"/>
      <c r="J479" s="143"/>
      <c r="K479" s="143"/>
      <c r="L479" s="143"/>
      <c r="M479" s="143"/>
      <c r="N479" s="143"/>
      <c r="O479" s="143"/>
      <c r="P479" s="143"/>
      <c r="Q479" s="143"/>
      <c r="R479" s="143"/>
      <c r="S479" s="143"/>
      <c r="T479" s="143"/>
      <c r="U479" s="143"/>
      <c r="V479" s="143"/>
      <c r="W479" s="143"/>
      <c r="X479" s="143"/>
      <c r="Y479" s="143"/>
      <c r="Z479" s="143"/>
      <c r="AA479" s="143"/>
      <c r="AB479" s="143"/>
      <c r="AC479" s="143"/>
      <c r="AD479" s="143"/>
      <c r="AE479" s="143"/>
    </row>
    <row r="480">
      <c r="A480" s="156"/>
      <c r="B480" s="156"/>
      <c r="C480" s="156"/>
      <c r="D480" s="154"/>
      <c r="E480" s="156"/>
      <c r="F480" s="143"/>
      <c r="G480" s="143"/>
      <c r="H480" s="143"/>
      <c r="I480" s="143"/>
      <c r="J480" s="143"/>
      <c r="K480" s="143"/>
      <c r="L480" s="143"/>
      <c r="M480" s="143"/>
      <c r="N480" s="143"/>
      <c r="O480" s="143"/>
      <c r="P480" s="143"/>
      <c r="Q480" s="143"/>
      <c r="R480" s="143"/>
      <c r="S480" s="143"/>
      <c r="T480" s="143"/>
      <c r="U480" s="143"/>
      <c r="V480" s="143"/>
      <c r="W480" s="143"/>
      <c r="X480" s="143"/>
      <c r="Y480" s="143"/>
      <c r="Z480" s="143"/>
      <c r="AA480" s="143"/>
      <c r="AB480" s="143"/>
      <c r="AC480" s="143"/>
      <c r="AD480" s="143"/>
      <c r="AE480" s="143"/>
    </row>
    <row r="481">
      <c r="A481" s="156"/>
      <c r="B481" s="156"/>
      <c r="C481" s="156"/>
      <c r="D481" s="154"/>
      <c r="E481" s="156"/>
      <c r="F481" s="143"/>
      <c r="G481" s="143"/>
      <c r="H481" s="143"/>
      <c r="I481" s="143"/>
      <c r="J481" s="143"/>
      <c r="K481" s="143"/>
      <c r="L481" s="143"/>
      <c r="M481" s="143"/>
      <c r="N481" s="143"/>
      <c r="O481" s="143"/>
      <c r="P481" s="143"/>
      <c r="Q481" s="143"/>
      <c r="R481" s="143"/>
      <c r="S481" s="143"/>
      <c r="T481" s="143"/>
      <c r="U481" s="143"/>
      <c r="V481" s="143"/>
      <c r="W481" s="143"/>
      <c r="X481" s="143"/>
      <c r="Y481" s="143"/>
      <c r="Z481" s="143"/>
      <c r="AA481" s="143"/>
      <c r="AB481" s="143"/>
      <c r="AC481" s="143"/>
      <c r="AD481" s="143"/>
      <c r="AE481" s="143"/>
    </row>
    <row r="482">
      <c r="A482" s="156"/>
      <c r="B482" s="156"/>
      <c r="C482" s="156"/>
      <c r="D482" s="154"/>
      <c r="E482" s="156"/>
      <c r="F482" s="143"/>
      <c r="G482" s="143"/>
      <c r="H482" s="143"/>
      <c r="I482" s="143"/>
      <c r="J482" s="143"/>
      <c r="K482" s="143"/>
      <c r="L482" s="143"/>
      <c r="M482" s="143"/>
      <c r="N482" s="143"/>
      <c r="O482" s="143"/>
      <c r="P482" s="143"/>
      <c r="Q482" s="143"/>
      <c r="R482" s="143"/>
      <c r="S482" s="143"/>
      <c r="T482" s="143"/>
      <c r="U482" s="143"/>
      <c r="V482" s="143"/>
      <c r="W482" s="143"/>
      <c r="X482" s="143"/>
      <c r="Y482" s="143"/>
      <c r="Z482" s="143"/>
      <c r="AA482" s="143"/>
      <c r="AB482" s="143"/>
      <c r="AC482" s="143"/>
      <c r="AD482" s="143"/>
      <c r="AE482" s="143"/>
    </row>
    <row r="483">
      <c r="A483" s="156"/>
      <c r="B483" s="156"/>
      <c r="C483" s="156"/>
      <c r="D483" s="154"/>
      <c r="E483" s="156"/>
      <c r="F483" s="143"/>
      <c r="G483" s="143"/>
      <c r="H483" s="143"/>
      <c r="I483" s="143"/>
      <c r="J483" s="143"/>
      <c r="K483" s="143"/>
      <c r="L483" s="143"/>
      <c r="M483" s="143"/>
      <c r="N483" s="143"/>
      <c r="O483" s="143"/>
      <c r="P483" s="143"/>
      <c r="Q483" s="143"/>
      <c r="R483" s="143"/>
      <c r="S483" s="143"/>
      <c r="T483" s="143"/>
      <c r="U483" s="143"/>
      <c r="V483" s="143"/>
      <c r="W483" s="143"/>
      <c r="X483" s="143"/>
      <c r="Y483" s="143"/>
      <c r="Z483" s="143"/>
      <c r="AA483" s="143"/>
      <c r="AB483" s="143"/>
      <c r="AC483" s="143"/>
      <c r="AD483" s="143"/>
      <c r="AE483" s="143"/>
    </row>
    <row r="484">
      <c r="A484" s="156"/>
      <c r="B484" s="156"/>
      <c r="C484" s="156"/>
      <c r="D484" s="154"/>
      <c r="E484" s="156"/>
      <c r="F484" s="143"/>
      <c r="G484" s="143"/>
      <c r="H484" s="143"/>
      <c r="I484" s="143"/>
      <c r="J484" s="143"/>
      <c r="K484" s="143"/>
      <c r="L484" s="143"/>
      <c r="M484" s="143"/>
      <c r="N484" s="143"/>
      <c r="O484" s="143"/>
      <c r="P484" s="143"/>
      <c r="Q484" s="143"/>
      <c r="R484" s="143"/>
      <c r="S484" s="143"/>
      <c r="T484" s="143"/>
      <c r="U484" s="143"/>
      <c r="V484" s="143"/>
      <c r="W484" s="143"/>
      <c r="X484" s="143"/>
      <c r="Y484" s="143"/>
      <c r="Z484" s="143"/>
      <c r="AA484" s="143"/>
      <c r="AB484" s="143"/>
      <c r="AC484" s="143"/>
      <c r="AD484" s="143"/>
      <c r="AE484" s="143"/>
    </row>
    <row r="485">
      <c r="A485" s="156"/>
      <c r="B485" s="156"/>
      <c r="C485" s="156"/>
      <c r="D485" s="154"/>
      <c r="E485" s="156"/>
      <c r="F485" s="143"/>
      <c r="G485" s="143"/>
      <c r="H485" s="143"/>
      <c r="I485" s="143"/>
      <c r="J485" s="143"/>
      <c r="K485" s="143"/>
      <c r="L485" s="143"/>
      <c r="M485" s="143"/>
      <c r="N485" s="143"/>
      <c r="O485" s="143"/>
      <c r="P485" s="143"/>
      <c r="Q485" s="143"/>
      <c r="R485" s="143"/>
      <c r="S485" s="143"/>
      <c r="T485" s="143"/>
      <c r="U485" s="143"/>
      <c r="V485" s="143"/>
      <c r="W485" s="143"/>
      <c r="X485" s="143"/>
      <c r="Y485" s="143"/>
      <c r="Z485" s="143"/>
      <c r="AA485" s="143"/>
      <c r="AB485" s="143"/>
      <c r="AC485" s="143"/>
      <c r="AD485" s="143"/>
      <c r="AE485" s="143"/>
    </row>
    <row r="486">
      <c r="A486" s="156"/>
      <c r="B486" s="156"/>
      <c r="C486" s="156"/>
      <c r="D486" s="154"/>
      <c r="E486" s="156"/>
      <c r="F486" s="143"/>
      <c r="G486" s="143"/>
      <c r="H486" s="143"/>
      <c r="I486" s="143"/>
      <c r="J486" s="143"/>
      <c r="K486" s="143"/>
      <c r="L486" s="143"/>
      <c r="M486" s="143"/>
      <c r="N486" s="143"/>
      <c r="O486" s="143"/>
      <c r="P486" s="143"/>
      <c r="Q486" s="143"/>
      <c r="R486" s="143"/>
      <c r="S486" s="143"/>
      <c r="T486" s="143"/>
      <c r="U486" s="143"/>
      <c r="V486" s="143"/>
      <c r="W486" s="143"/>
      <c r="X486" s="143"/>
      <c r="Y486" s="143"/>
      <c r="Z486" s="143"/>
      <c r="AA486" s="143"/>
      <c r="AB486" s="143"/>
      <c r="AC486" s="143"/>
      <c r="AD486" s="143"/>
      <c r="AE486" s="143"/>
    </row>
    <row r="487">
      <c r="A487" s="156"/>
      <c r="B487" s="156"/>
      <c r="C487" s="156"/>
      <c r="D487" s="154"/>
      <c r="E487" s="156"/>
      <c r="F487" s="143"/>
      <c r="G487" s="143"/>
      <c r="H487" s="143"/>
      <c r="I487" s="143"/>
      <c r="J487" s="143"/>
      <c r="K487" s="143"/>
      <c r="L487" s="143"/>
      <c r="M487" s="143"/>
      <c r="N487" s="143"/>
      <c r="O487" s="143"/>
      <c r="P487" s="143"/>
      <c r="Q487" s="143"/>
      <c r="R487" s="143"/>
      <c r="S487" s="143"/>
      <c r="T487" s="143"/>
      <c r="U487" s="143"/>
      <c r="V487" s="143"/>
      <c r="W487" s="143"/>
      <c r="X487" s="143"/>
      <c r="Y487" s="143"/>
      <c r="Z487" s="143"/>
      <c r="AA487" s="143"/>
      <c r="AB487" s="143"/>
      <c r="AC487" s="143"/>
      <c r="AD487" s="143"/>
      <c r="AE487" s="143"/>
    </row>
    <row r="488">
      <c r="A488" s="156"/>
      <c r="B488" s="156"/>
      <c r="C488" s="156"/>
      <c r="D488" s="154"/>
      <c r="E488" s="156"/>
      <c r="F488" s="143"/>
      <c r="G488" s="143"/>
      <c r="H488" s="143"/>
      <c r="I488" s="143"/>
      <c r="J488" s="143"/>
      <c r="K488" s="143"/>
      <c r="L488" s="143"/>
      <c r="M488" s="143"/>
      <c r="N488" s="143"/>
      <c r="O488" s="143"/>
      <c r="P488" s="143"/>
      <c r="Q488" s="143"/>
      <c r="R488" s="143"/>
      <c r="S488" s="143"/>
      <c r="T488" s="143"/>
      <c r="U488" s="143"/>
      <c r="V488" s="143"/>
      <c r="W488" s="143"/>
      <c r="X488" s="143"/>
      <c r="Y488" s="143"/>
      <c r="Z488" s="143"/>
      <c r="AA488" s="143"/>
      <c r="AB488" s="143"/>
      <c r="AC488" s="143"/>
      <c r="AD488" s="143"/>
      <c r="AE488" s="143"/>
    </row>
    <row r="489">
      <c r="A489" s="156"/>
      <c r="B489" s="156"/>
      <c r="C489" s="156"/>
      <c r="D489" s="154"/>
      <c r="E489" s="156"/>
      <c r="F489" s="143"/>
      <c r="G489" s="143"/>
      <c r="H489" s="143"/>
      <c r="I489" s="143"/>
      <c r="J489" s="143"/>
      <c r="K489" s="143"/>
      <c r="L489" s="143"/>
      <c r="M489" s="143"/>
      <c r="N489" s="143"/>
      <c r="O489" s="143"/>
      <c r="P489" s="143"/>
      <c r="Q489" s="143"/>
      <c r="R489" s="143"/>
      <c r="S489" s="143"/>
      <c r="T489" s="143"/>
      <c r="U489" s="143"/>
      <c r="V489" s="143"/>
      <c r="W489" s="143"/>
      <c r="X489" s="143"/>
      <c r="Y489" s="143"/>
      <c r="Z489" s="143"/>
      <c r="AA489" s="143"/>
      <c r="AB489" s="143"/>
      <c r="AC489" s="143"/>
      <c r="AD489" s="143"/>
      <c r="AE489" s="143"/>
    </row>
    <row r="490">
      <c r="A490" s="156"/>
      <c r="B490" s="156"/>
      <c r="C490" s="156"/>
      <c r="D490" s="154"/>
      <c r="E490" s="156"/>
      <c r="F490" s="143"/>
      <c r="G490" s="143"/>
      <c r="H490" s="143"/>
      <c r="I490" s="143"/>
      <c r="J490" s="143"/>
      <c r="K490" s="143"/>
      <c r="L490" s="143"/>
      <c r="M490" s="143"/>
      <c r="N490" s="143"/>
      <c r="O490" s="143"/>
      <c r="P490" s="143"/>
      <c r="Q490" s="143"/>
      <c r="R490" s="143"/>
      <c r="S490" s="143"/>
      <c r="T490" s="143"/>
      <c r="U490" s="143"/>
      <c r="V490" s="143"/>
      <c r="W490" s="143"/>
      <c r="X490" s="143"/>
      <c r="Y490" s="143"/>
      <c r="Z490" s="143"/>
      <c r="AA490" s="143"/>
      <c r="AB490" s="143"/>
      <c r="AC490" s="143"/>
      <c r="AD490" s="143"/>
      <c r="AE490" s="143"/>
    </row>
    <row r="491">
      <c r="A491" s="156"/>
      <c r="B491" s="156"/>
      <c r="C491" s="156"/>
      <c r="D491" s="154"/>
      <c r="E491" s="156"/>
      <c r="F491" s="143"/>
      <c r="G491" s="143"/>
      <c r="H491" s="143"/>
      <c r="I491" s="143"/>
      <c r="J491" s="143"/>
      <c r="K491" s="143"/>
      <c r="L491" s="143"/>
      <c r="M491" s="143"/>
      <c r="N491" s="143"/>
      <c r="O491" s="143"/>
      <c r="P491" s="143"/>
      <c r="Q491" s="143"/>
      <c r="R491" s="143"/>
      <c r="S491" s="143"/>
      <c r="T491" s="143"/>
      <c r="U491" s="143"/>
      <c r="V491" s="143"/>
      <c r="W491" s="143"/>
      <c r="X491" s="143"/>
      <c r="Y491" s="143"/>
      <c r="Z491" s="143"/>
      <c r="AA491" s="143"/>
      <c r="AB491" s="143"/>
      <c r="AC491" s="143"/>
      <c r="AD491" s="143"/>
      <c r="AE491" s="143"/>
    </row>
    <row r="492">
      <c r="A492" s="156"/>
      <c r="B492" s="156"/>
      <c r="C492" s="156"/>
      <c r="D492" s="154"/>
      <c r="E492" s="156"/>
      <c r="F492" s="143"/>
      <c r="G492" s="143"/>
      <c r="H492" s="143"/>
      <c r="I492" s="143"/>
      <c r="J492" s="143"/>
      <c r="K492" s="143"/>
      <c r="L492" s="143"/>
      <c r="M492" s="143"/>
      <c r="N492" s="143"/>
      <c r="O492" s="143"/>
      <c r="P492" s="143"/>
      <c r="Q492" s="143"/>
      <c r="R492" s="143"/>
      <c r="S492" s="143"/>
      <c r="T492" s="143"/>
      <c r="U492" s="143"/>
      <c r="V492" s="143"/>
      <c r="W492" s="143"/>
      <c r="X492" s="143"/>
      <c r="Y492" s="143"/>
      <c r="Z492" s="143"/>
      <c r="AA492" s="143"/>
      <c r="AB492" s="143"/>
      <c r="AC492" s="143"/>
      <c r="AD492" s="143"/>
      <c r="AE492" s="143"/>
    </row>
    <row r="493">
      <c r="A493" s="156"/>
      <c r="B493" s="156"/>
      <c r="C493" s="156"/>
      <c r="D493" s="154"/>
      <c r="E493" s="156"/>
      <c r="F493" s="143"/>
      <c r="G493" s="143"/>
      <c r="H493" s="143"/>
      <c r="I493" s="143"/>
      <c r="J493" s="143"/>
      <c r="K493" s="143"/>
      <c r="L493" s="143"/>
      <c r="M493" s="143"/>
      <c r="N493" s="143"/>
      <c r="O493" s="143"/>
      <c r="P493" s="143"/>
      <c r="Q493" s="143"/>
      <c r="R493" s="143"/>
      <c r="S493" s="143"/>
      <c r="T493" s="143"/>
      <c r="U493" s="143"/>
      <c r="V493" s="143"/>
      <c r="W493" s="143"/>
      <c r="X493" s="143"/>
      <c r="Y493" s="143"/>
      <c r="Z493" s="143"/>
      <c r="AA493" s="143"/>
      <c r="AB493" s="143"/>
      <c r="AC493" s="143"/>
      <c r="AD493" s="143"/>
      <c r="AE493" s="143"/>
    </row>
    <row r="494">
      <c r="A494" s="156"/>
      <c r="B494" s="156"/>
      <c r="C494" s="156"/>
      <c r="D494" s="154"/>
      <c r="E494" s="156"/>
      <c r="F494" s="143"/>
      <c r="G494" s="143"/>
      <c r="H494" s="143"/>
      <c r="I494" s="143"/>
      <c r="J494" s="143"/>
      <c r="K494" s="143"/>
      <c r="L494" s="143"/>
      <c r="M494" s="143"/>
      <c r="N494" s="143"/>
      <c r="O494" s="143"/>
      <c r="P494" s="143"/>
      <c r="Q494" s="143"/>
      <c r="R494" s="143"/>
      <c r="S494" s="143"/>
      <c r="T494" s="143"/>
      <c r="U494" s="143"/>
      <c r="V494" s="143"/>
      <c r="W494" s="143"/>
      <c r="X494" s="143"/>
      <c r="Y494" s="143"/>
      <c r="Z494" s="143"/>
      <c r="AA494" s="143"/>
      <c r="AB494" s="143"/>
      <c r="AC494" s="143"/>
      <c r="AD494" s="143"/>
      <c r="AE494" s="143"/>
    </row>
    <row r="495">
      <c r="A495" s="156"/>
      <c r="B495" s="156"/>
      <c r="C495" s="156"/>
      <c r="D495" s="154"/>
      <c r="E495" s="156"/>
      <c r="F495" s="143"/>
      <c r="G495" s="143"/>
      <c r="H495" s="143"/>
      <c r="I495" s="143"/>
      <c r="J495" s="143"/>
      <c r="K495" s="143"/>
      <c r="L495" s="143"/>
      <c r="M495" s="143"/>
      <c r="N495" s="143"/>
      <c r="O495" s="143"/>
      <c r="P495" s="143"/>
      <c r="Q495" s="143"/>
      <c r="R495" s="143"/>
      <c r="S495" s="143"/>
      <c r="T495" s="143"/>
      <c r="U495" s="143"/>
      <c r="V495" s="143"/>
      <c r="W495" s="143"/>
      <c r="X495" s="143"/>
      <c r="Y495" s="143"/>
      <c r="Z495" s="143"/>
      <c r="AA495" s="143"/>
      <c r="AB495" s="143"/>
      <c r="AC495" s="143"/>
      <c r="AD495" s="143"/>
      <c r="AE495" s="143"/>
    </row>
    <row r="496">
      <c r="A496" s="156"/>
      <c r="B496" s="156"/>
      <c r="C496" s="156"/>
      <c r="D496" s="154"/>
      <c r="E496" s="156"/>
      <c r="F496" s="143"/>
      <c r="G496" s="143"/>
      <c r="H496" s="143"/>
      <c r="I496" s="143"/>
      <c r="J496" s="143"/>
      <c r="K496" s="143"/>
      <c r="L496" s="143"/>
      <c r="M496" s="143"/>
      <c r="N496" s="143"/>
      <c r="O496" s="143"/>
      <c r="P496" s="143"/>
      <c r="Q496" s="143"/>
      <c r="R496" s="143"/>
      <c r="S496" s="143"/>
      <c r="T496" s="143"/>
      <c r="U496" s="143"/>
      <c r="V496" s="143"/>
      <c r="W496" s="143"/>
      <c r="X496" s="143"/>
      <c r="Y496" s="143"/>
      <c r="Z496" s="143"/>
      <c r="AA496" s="143"/>
      <c r="AB496" s="143"/>
      <c r="AC496" s="143"/>
      <c r="AD496" s="143"/>
      <c r="AE496" s="143"/>
    </row>
    <row r="497">
      <c r="A497" s="156"/>
      <c r="B497" s="156"/>
      <c r="C497" s="156"/>
      <c r="D497" s="154"/>
      <c r="E497" s="156"/>
      <c r="F497" s="143"/>
      <c r="G497" s="143"/>
      <c r="H497" s="143"/>
      <c r="I497" s="143"/>
      <c r="J497" s="143"/>
      <c r="K497" s="143"/>
      <c r="L497" s="143"/>
      <c r="M497" s="143"/>
      <c r="N497" s="143"/>
      <c r="O497" s="143"/>
      <c r="P497" s="143"/>
      <c r="Q497" s="143"/>
      <c r="R497" s="143"/>
      <c r="S497" s="143"/>
      <c r="T497" s="143"/>
      <c r="U497" s="143"/>
      <c r="V497" s="143"/>
      <c r="W497" s="143"/>
      <c r="X497" s="143"/>
      <c r="Y497" s="143"/>
      <c r="Z497" s="143"/>
      <c r="AA497" s="143"/>
      <c r="AB497" s="143"/>
      <c r="AC497" s="143"/>
      <c r="AD497" s="143"/>
      <c r="AE497" s="143"/>
    </row>
    <row r="498">
      <c r="A498" s="156"/>
      <c r="B498" s="156"/>
      <c r="C498" s="156"/>
      <c r="D498" s="154"/>
      <c r="E498" s="156"/>
      <c r="F498" s="143"/>
      <c r="G498" s="143"/>
      <c r="H498" s="143"/>
      <c r="I498" s="143"/>
      <c r="J498" s="143"/>
      <c r="K498" s="143"/>
      <c r="L498" s="143"/>
      <c r="M498" s="143"/>
      <c r="N498" s="143"/>
      <c r="O498" s="143"/>
      <c r="P498" s="143"/>
      <c r="Q498" s="143"/>
      <c r="R498" s="143"/>
      <c r="S498" s="143"/>
      <c r="T498" s="143"/>
      <c r="U498" s="143"/>
      <c r="V498" s="143"/>
      <c r="W498" s="143"/>
      <c r="X498" s="143"/>
      <c r="Y498" s="143"/>
      <c r="Z498" s="143"/>
      <c r="AA498" s="143"/>
      <c r="AB498" s="143"/>
      <c r="AC498" s="143"/>
      <c r="AD498" s="143"/>
      <c r="AE498" s="143"/>
    </row>
    <row r="499">
      <c r="A499" s="156"/>
      <c r="B499" s="156"/>
      <c r="C499" s="156"/>
      <c r="D499" s="154"/>
      <c r="E499" s="156"/>
      <c r="F499" s="143"/>
      <c r="G499" s="143"/>
      <c r="H499" s="143"/>
      <c r="I499" s="143"/>
      <c r="J499" s="143"/>
      <c r="K499" s="143"/>
      <c r="L499" s="143"/>
      <c r="M499" s="143"/>
      <c r="N499" s="143"/>
      <c r="O499" s="143"/>
      <c r="P499" s="143"/>
      <c r="Q499" s="143"/>
      <c r="R499" s="143"/>
      <c r="S499" s="143"/>
      <c r="T499" s="143"/>
      <c r="U499" s="143"/>
      <c r="V499" s="143"/>
      <c r="W499" s="143"/>
      <c r="X499" s="143"/>
      <c r="Y499" s="143"/>
      <c r="Z499" s="143"/>
      <c r="AA499" s="143"/>
      <c r="AB499" s="143"/>
      <c r="AC499" s="143"/>
      <c r="AD499" s="143"/>
      <c r="AE499" s="143"/>
    </row>
    <row r="500">
      <c r="A500" s="156"/>
      <c r="B500" s="156"/>
      <c r="C500" s="156"/>
      <c r="D500" s="154"/>
      <c r="E500" s="156"/>
      <c r="F500" s="143"/>
      <c r="G500" s="143"/>
      <c r="H500" s="143"/>
      <c r="I500" s="143"/>
      <c r="J500" s="143"/>
      <c r="K500" s="143"/>
      <c r="L500" s="143"/>
      <c r="M500" s="143"/>
      <c r="N500" s="143"/>
      <c r="O500" s="143"/>
      <c r="P500" s="143"/>
      <c r="Q500" s="143"/>
      <c r="R500" s="143"/>
      <c r="S500" s="143"/>
      <c r="T500" s="143"/>
      <c r="U500" s="143"/>
      <c r="V500" s="143"/>
      <c r="W500" s="143"/>
      <c r="X500" s="143"/>
      <c r="Y500" s="143"/>
      <c r="Z500" s="143"/>
      <c r="AA500" s="143"/>
      <c r="AB500" s="143"/>
      <c r="AC500" s="143"/>
      <c r="AD500" s="143"/>
      <c r="AE500" s="143"/>
    </row>
    <row r="501">
      <c r="A501" s="156"/>
      <c r="B501" s="156"/>
      <c r="C501" s="156"/>
      <c r="D501" s="154"/>
      <c r="E501" s="156"/>
      <c r="F501" s="143"/>
      <c r="G501" s="143"/>
      <c r="H501" s="143"/>
      <c r="I501" s="143"/>
      <c r="J501" s="143"/>
      <c r="K501" s="143"/>
      <c r="L501" s="143"/>
      <c r="M501" s="143"/>
      <c r="N501" s="143"/>
      <c r="O501" s="143"/>
      <c r="P501" s="143"/>
      <c r="Q501" s="143"/>
      <c r="R501" s="143"/>
      <c r="S501" s="143"/>
      <c r="T501" s="143"/>
      <c r="U501" s="143"/>
      <c r="V501" s="143"/>
      <c r="W501" s="143"/>
      <c r="X501" s="143"/>
      <c r="Y501" s="143"/>
      <c r="Z501" s="143"/>
      <c r="AA501" s="143"/>
      <c r="AB501" s="143"/>
      <c r="AC501" s="143"/>
      <c r="AD501" s="143"/>
      <c r="AE501" s="143"/>
    </row>
    <row r="502">
      <c r="A502" s="156"/>
      <c r="B502" s="156"/>
      <c r="C502" s="156"/>
      <c r="D502" s="154"/>
      <c r="E502" s="156"/>
      <c r="F502" s="143"/>
      <c r="G502" s="143"/>
      <c r="H502" s="143"/>
      <c r="I502" s="143"/>
      <c r="J502" s="143"/>
      <c r="K502" s="143"/>
      <c r="L502" s="143"/>
      <c r="M502" s="143"/>
      <c r="N502" s="143"/>
      <c r="O502" s="143"/>
      <c r="P502" s="143"/>
      <c r="Q502" s="143"/>
      <c r="R502" s="143"/>
      <c r="S502" s="143"/>
      <c r="T502" s="143"/>
      <c r="U502" s="143"/>
      <c r="V502" s="143"/>
      <c r="W502" s="143"/>
      <c r="X502" s="143"/>
      <c r="Y502" s="143"/>
      <c r="Z502" s="143"/>
      <c r="AA502" s="143"/>
      <c r="AB502" s="143"/>
      <c r="AC502" s="143"/>
      <c r="AD502" s="143"/>
      <c r="AE502" s="143"/>
    </row>
    <row r="503">
      <c r="A503" s="156"/>
      <c r="B503" s="156"/>
      <c r="C503" s="156"/>
      <c r="D503" s="154"/>
      <c r="E503" s="156"/>
      <c r="F503" s="143"/>
      <c r="G503" s="143"/>
      <c r="H503" s="143"/>
      <c r="I503" s="143"/>
      <c r="J503" s="143"/>
      <c r="K503" s="143"/>
      <c r="L503" s="143"/>
      <c r="M503" s="143"/>
      <c r="N503" s="143"/>
      <c r="O503" s="143"/>
      <c r="P503" s="143"/>
      <c r="Q503" s="143"/>
      <c r="R503" s="143"/>
      <c r="S503" s="143"/>
      <c r="T503" s="143"/>
      <c r="U503" s="143"/>
      <c r="V503" s="143"/>
      <c r="W503" s="143"/>
      <c r="X503" s="143"/>
      <c r="Y503" s="143"/>
      <c r="Z503" s="143"/>
      <c r="AA503" s="143"/>
      <c r="AB503" s="143"/>
      <c r="AC503" s="143"/>
      <c r="AD503" s="143"/>
      <c r="AE503" s="143"/>
    </row>
    <row r="504">
      <c r="A504" s="156"/>
      <c r="B504" s="156"/>
      <c r="C504" s="156"/>
      <c r="D504" s="154"/>
      <c r="E504" s="156"/>
      <c r="F504" s="143"/>
      <c r="G504" s="143"/>
      <c r="H504" s="143"/>
      <c r="I504" s="143"/>
      <c r="J504" s="143"/>
      <c r="K504" s="143"/>
      <c r="L504" s="143"/>
      <c r="M504" s="143"/>
      <c r="N504" s="143"/>
      <c r="O504" s="143"/>
      <c r="P504" s="143"/>
      <c r="Q504" s="143"/>
      <c r="R504" s="143"/>
      <c r="S504" s="143"/>
      <c r="T504" s="143"/>
      <c r="U504" s="143"/>
      <c r="V504" s="143"/>
      <c r="W504" s="143"/>
      <c r="X504" s="143"/>
      <c r="Y504" s="143"/>
      <c r="Z504" s="143"/>
      <c r="AA504" s="143"/>
      <c r="AB504" s="143"/>
      <c r="AC504" s="143"/>
      <c r="AD504" s="143"/>
      <c r="AE504" s="143"/>
    </row>
    <row r="505">
      <c r="A505" s="156"/>
      <c r="B505" s="156"/>
      <c r="C505" s="156"/>
      <c r="D505" s="154"/>
      <c r="E505" s="156"/>
      <c r="F505" s="143"/>
      <c r="G505" s="143"/>
      <c r="H505" s="143"/>
      <c r="I505" s="143"/>
      <c r="J505" s="143"/>
      <c r="K505" s="143"/>
      <c r="L505" s="143"/>
      <c r="M505" s="143"/>
      <c r="N505" s="143"/>
      <c r="O505" s="143"/>
      <c r="P505" s="143"/>
      <c r="Q505" s="143"/>
      <c r="R505" s="143"/>
      <c r="S505" s="143"/>
      <c r="T505" s="143"/>
      <c r="U505" s="143"/>
      <c r="V505" s="143"/>
      <c r="W505" s="143"/>
      <c r="X505" s="143"/>
      <c r="Y505" s="143"/>
      <c r="Z505" s="143"/>
      <c r="AA505" s="143"/>
      <c r="AB505" s="143"/>
      <c r="AC505" s="143"/>
      <c r="AD505" s="143"/>
      <c r="AE505" s="143"/>
    </row>
    <row r="506">
      <c r="A506" s="156"/>
      <c r="B506" s="156"/>
      <c r="C506" s="156"/>
      <c r="D506" s="154"/>
      <c r="E506" s="156"/>
      <c r="F506" s="143"/>
      <c r="G506" s="143"/>
      <c r="H506" s="143"/>
      <c r="I506" s="143"/>
      <c r="J506" s="143"/>
      <c r="K506" s="143"/>
      <c r="L506" s="143"/>
      <c r="M506" s="143"/>
      <c r="N506" s="143"/>
      <c r="O506" s="143"/>
      <c r="P506" s="143"/>
      <c r="Q506" s="143"/>
      <c r="R506" s="143"/>
      <c r="S506" s="143"/>
      <c r="T506" s="143"/>
      <c r="U506" s="143"/>
      <c r="V506" s="143"/>
      <c r="W506" s="143"/>
      <c r="X506" s="143"/>
      <c r="Y506" s="143"/>
      <c r="Z506" s="143"/>
      <c r="AA506" s="143"/>
      <c r="AB506" s="143"/>
      <c r="AC506" s="143"/>
      <c r="AD506" s="143"/>
      <c r="AE506" s="143"/>
    </row>
    <row r="507">
      <c r="A507" s="156"/>
      <c r="B507" s="156"/>
      <c r="C507" s="156"/>
      <c r="D507" s="154"/>
      <c r="E507" s="156"/>
      <c r="F507" s="143"/>
      <c r="G507" s="143"/>
      <c r="H507" s="143"/>
      <c r="I507" s="143"/>
      <c r="J507" s="143"/>
      <c r="K507" s="143"/>
      <c r="L507" s="143"/>
      <c r="M507" s="143"/>
      <c r="N507" s="143"/>
      <c r="O507" s="143"/>
      <c r="P507" s="143"/>
      <c r="Q507" s="143"/>
      <c r="R507" s="143"/>
      <c r="S507" s="143"/>
      <c r="T507" s="143"/>
      <c r="U507" s="143"/>
      <c r="V507" s="143"/>
      <c r="W507" s="143"/>
      <c r="X507" s="143"/>
      <c r="Y507" s="143"/>
      <c r="Z507" s="143"/>
      <c r="AA507" s="143"/>
      <c r="AB507" s="143"/>
      <c r="AC507" s="143"/>
      <c r="AD507" s="143"/>
      <c r="AE507" s="143"/>
    </row>
    <row r="508">
      <c r="A508" s="156"/>
      <c r="B508" s="156"/>
      <c r="C508" s="156"/>
      <c r="D508" s="154"/>
      <c r="E508" s="156"/>
      <c r="F508" s="143"/>
      <c r="G508" s="143"/>
      <c r="H508" s="143"/>
      <c r="I508" s="143"/>
      <c r="J508" s="143"/>
      <c r="K508" s="143"/>
      <c r="L508" s="143"/>
      <c r="M508" s="143"/>
      <c r="N508" s="143"/>
      <c r="O508" s="143"/>
      <c r="P508" s="143"/>
      <c r="Q508" s="143"/>
      <c r="R508" s="143"/>
      <c r="S508" s="143"/>
      <c r="T508" s="143"/>
      <c r="U508" s="143"/>
      <c r="V508" s="143"/>
      <c r="W508" s="143"/>
      <c r="X508" s="143"/>
      <c r="Y508" s="143"/>
      <c r="Z508" s="143"/>
      <c r="AA508" s="143"/>
      <c r="AB508" s="143"/>
      <c r="AC508" s="143"/>
      <c r="AD508" s="143"/>
      <c r="AE508" s="143"/>
    </row>
    <row r="509">
      <c r="A509" s="156"/>
      <c r="B509" s="156"/>
      <c r="C509" s="156"/>
      <c r="D509" s="154"/>
      <c r="E509" s="156"/>
      <c r="F509" s="143"/>
      <c r="G509" s="143"/>
      <c r="H509" s="143"/>
      <c r="I509" s="143"/>
      <c r="J509" s="143"/>
      <c r="K509" s="143"/>
      <c r="L509" s="143"/>
      <c r="M509" s="143"/>
      <c r="N509" s="143"/>
      <c r="O509" s="143"/>
      <c r="P509" s="143"/>
      <c r="Q509" s="143"/>
      <c r="R509" s="143"/>
      <c r="S509" s="143"/>
      <c r="T509" s="143"/>
      <c r="U509" s="143"/>
      <c r="V509" s="143"/>
      <c r="W509" s="143"/>
      <c r="X509" s="143"/>
      <c r="Y509" s="143"/>
      <c r="Z509" s="143"/>
      <c r="AA509" s="143"/>
      <c r="AB509" s="143"/>
      <c r="AC509" s="143"/>
      <c r="AD509" s="143"/>
      <c r="AE509" s="143"/>
    </row>
    <row r="510">
      <c r="A510" s="156"/>
      <c r="B510" s="156"/>
      <c r="C510" s="156"/>
      <c r="D510" s="154"/>
      <c r="E510" s="156"/>
      <c r="F510" s="143"/>
      <c r="G510" s="143"/>
      <c r="H510" s="143"/>
      <c r="I510" s="143"/>
      <c r="J510" s="143"/>
      <c r="K510" s="143"/>
      <c r="L510" s="143"/>
      <c r="M510" s="143"/>
      <c r="N510" s="143"/>
      <c r="O510" s="143"/>
      <c r="P510" s="143"/>
      <c r="Q510" s="143"/>
      <c r="R510" s="143"/>
      <c r="S510" s="143"/>
      <c r="T510" s="143"/>
      <c r="U510" s="143"/>
      <c r="V510" s="143"/>
      <c r="W510" s="143"/>
      <c r="X510" s="143"/>
      <c r="Y510" s="143"/>
      <c r="Z510" s="143"/>
      <c r="AA510" s="143"/>
      <c r="AB510" s="143"/>
      <c r="AC510" s="143"/>
      <c r="AD510" s="143"/>
      <c r="AE510" s="143"/>
    </row>
    <row r="511">
      <c r="A511" s="156"/>
      <c r="B511" s="156"/>
      <c r="C511" s="156"/>
      <c r="D511" s="154"/>
      <c r="E511" s="156"/>
      <c r="F511" s="143"/>
      <c r="G511" s="143"/>
      <c r="H511" s="143"/>
      <c r="I511" s="143"/>
      <c r="J511" s="143"/>
      <c r="K511" s="143"/>
      <c r="L511" s="143"/>
      <c r="M511" s="143"/>
      <c r="N511" s="143"/>
      <c r="O511" s="143"/>
      <c r="P511" s="143"/>
      <c r="Q511" s="143"/>
      <c r="R511" s="143"/>
      <c r="S511" s="143"/>
      <c r="T511" s="143"/>
      <c r="U511" s="143"/>
      <c r="V511" s="143"/>
      <c r="W511" s="143"/>
      <c r="X511" s="143"/>
      <c r="Y511" s="143"/>
      <c r="Z511" s="143"/>
      <c r="AA511" s="143"/>
      <c r="AB511" s="143"/>
      <c r="AC511" s="143"/>
      <c r="AD511" s="143"/>
      <c r="AE511" s="143"/>
    </row>
    <row r="512">
      <c r="A512" s="156"/>
      <c r="B512" s="156"/>
      <c r="C512" s="156"/>
      <c r="D512" s="154"/>
      <c r="E512" s="156"/>
      <c r="F512" s="143"/>
      <c r="G512" s="143"/>
      <c r="H512" s="143"/>
      <c r="I512" s="143"/>
      <c r="J512" s="143"/>
      <c r="K512" s="143"/>
      <c r="L512" s="143"/>
      <c r="M512" s="143"/>
      <c r="N512" s="143"/>
      <c r="O512" s="143"/>
      <c r="P512" s="143"/>
      <c r="Q512" s="143"/>
      <c r="R512" s="143"/>
      <c r="S512" s="143"/>
      <c r="T512" s="143"/>
      <c r="U512" s="143"/>
      <c r="V512" s="143"/>
      <c r="W512" s="143"/>
      <c r="X512" s="143"/>
      <c r="Y512" s="143"/>
      <c r="Z512" s="143"/>
      <c r="AA512" s="143"/>
      <c r="AB512" s="143"/>
      <c r="AC512" s="143"/>
      <c r="AD512" s="143"/>
      <c r="AE512" s="143"/>
    </row>
    <row r="513">
      <c r="A513" s="156"/>
      <c r="B513" s="156"/>
      <c r="C513" s="156"/>
      <c r="D513" s="154"/>
      <c r="E513" s="156"/>
      <c r="F513" s="143"/>
      <c r="G513" s="143"/>
      <c r="H513" s="143"/>
      <c r="I513" s="143"/>
      <c r="J513" s="143"/>
      <c r="K513" s="143"/>
      <c r="L513" s="143"/>
      <c r="M513" s="143"/>
      <c r="N513" s="143"/>
      <c r="O513" s="143"/>
      <c r="P513" s="143"/>
      <c r="Q513" s="143"/>
      <c r="R513" s="143"/>
      <c r="S513" s="143"/>
      <c r="T513" s="143"/>
      <c r="U513" s="143"/>
      <c r="V513" s="143"/>
      <c r="W513" s="143"/>
      <c r="X513" s="143"/>
      <c r="Y513" s="143"/>
      <c r="Z513" s="143"/>
      <c r="AA513" s="143"/>
      <c r="AB513" s="143"/>
      <c r="AC513" s="143"/>
      <c r="AD513" s="143"/>
      <c r="AE513" s="143"/>
    </row>
    <row r="514">
      <c r="A514" s="156"/>
      <c r="B514" s="156"/>
      <c r="C514" s="156"/>
      <c r="D514" s="154"/>
      <c r="E514" s="156"/>
      <c r="F514" s="143"/>
      <c r="G514" s="143"/>
      <c r="H514" s="143"/>
      <c r="I514" s="143"/>
      <c r="J514" s="143"/>
      <c r="K514" s="143"/>
      <c r="L514" s="143"/>
      <c r="M514" s="143"/>
      <c r="N514" s="143"/>
      <c r="O514" s="143"/>
      <c r="P514" s="143"/>
      <c r="Q514" s="143"/>
      <c r="R514" s="143"/>
      <c r="S514" s="143"/>
      <c r="T514" s="143"/>
      <c r="U514" s="143"/>
      <c r="V514" s="143"/>
      <c r="W514" s="143"/>
      <c r="X514" s="143"/>
      <c r="Y514" s="143"/>
      <c r="Z514" s="143"/>
      <c r="AA514" s="143"/>
      <c r="AB514" s="143"/>
      <c r="AC514" s="143"/>
      <c r="AD514" s="143"/>
      <c r="AE514" s="143"/>
    </row>
    <row r="515">
      <c r="A515" s="156"/>
      <c r="B515" s="156"/>
      <c r="C515" s="156"/>
      <c r="D515" s="154"/>
      <c r="E515" s="156"/>
      <c r="F515" s="143"/>
      <c r="G515" s="143"/>
      <c r="H515" s="143"/>
      <c r="I515" s="143"/>
      <c r="J515" s="143"/>
      <c r="K515" s="143"/>
      <c r="L515" s="143"/>
      <c r="M515" s="143"/>
      <c r="N515" s="143"/>
      <c r="O515" s="143"/>
      <c r="P515" s="143"/>
      <c r="Q515" s="143"/>
      <c r="R515" s="143"/>
      <c r="S515" s="143"/>
      <c r="T515" s="143"/>
      <c r="U515" s="143"/>
      <c r="V515" s="143"/>
      <c r="W515" s="143"/>
      <c r="X515" s="143"/>
      <c r="Y515" s="143"/>
      <c r="Z515" s="143"/>
      <c r="AA515" s="143"/>
      <c r="AB515" s="143"/>
      <c r="AC515" s="143"/>
      <c r="AD515" s="143"/>
      <c r="AE515" s="143"/>
    </row>
    <row r="516">
      <c r="A516" s="156"/>
      <c r="B516" s="156"/>
      <c r="C516" s="156"/>
      <c r="D516" s="154"/>
      <c r="E516" s="156"/>
      <c r="F516" s="143"/>
      <c r="G516" s="143"/>
      <c r="H516" s="143"/>
      <c r="I516" s="143"/>
      <c r="J516" s="143"/>
      <c r="K516" s="143"/>
      <c r="L516" s="143"/>
      <c r="M516" s="143"/>
      <c r="N516" s="143"/>
      <c r="O516" s="143"/>
      <c r="P516" s="143"/>
      <c r="Q516" s="143"/>
      <c r="R516" s="143"/>
      <c r="S516" s="143"/>
      <c r="T516" s="143"/>
      <c r="U516" s="143"/>
      <c r="V516" s="143"/>
      <c r="W516" s="143"/>
      <c r="X516" s="143"/>
      <c r="Y516" s="143"/>
      <c r="Z516" s="143"/>
      <c r="AA516" s="143"/>
      <c r="AB516" s="143"/>
      <c r="AC516" s="143"/>
      <c r="AD516" s="143"/>
      <c r="AE516" s="143"/>
    </row>
    <row r="517">
      <c r="A517" s="156"/>
      <c r="B517" s="156"/>
      <c r="C517" s="156"/>
      <c r="D517" s="154"/>
      <c r="E517" s="156"/>
      <c r="F517" s="143"/>
      <c r="G517" s="143"/>
      <c r="H517" s="143"/>
      <c r="I517" s="143"/>
      <c r="J517" s="143"/>
      <c r="K517" s="143"/>
      <c r="L517" s="143"/>
      <c r="M517" s="143"/>
      <c r="N517" s="143"/>
      <c r="O517" s="143"/>
      <c r="P517" s="143"/>
      <c r="Q517" s="143"/>
      <c r="R517" s="143"/>
      <c r="S517" s="143"/>
      <c r="T517" s="143"/>
      <c r="U517" s="143"/>
      <c r="V517" s="143"/>
      <c r="W517" s="143"/>
      <c r="X517" s="143"/>
      <c r="Y517" s="143"/>
      <c r="Z517" s="143"/>
      <c r="AA517" s="143"/>
      <c r="AB517" s="143"/>
      <c r="AC517" s="143"/>
      <c r="AD517" s="143"/>
      <c r="AE517" s="143"/>
    </row>
    <row r="518">
      <c r="A518" s="156"/>
      <c r="B518" s="156"/>
      <c r="C518" s="156"/>
      <c r="D518" s="154"/>
      <c r="E518" s="156"/>
      <c r="F518" s="143"/>
      <c r="G518" s="143"/>
      <c r="H518" s="143"/>
      <c r="I518" s="143"/>
      <c r="J518" s="143"/>
      <c r="K518" s="143"/>
      <c r="L518" s="143"/>
      <c r="M518" s="143"/>
      <c r="N518" s="143"/>
      <c r="O518" s="143"/>
      <c r="P518" s="143"/>
      <c r="Q518" s="143"/>
      <c r="R518" s="143"/>
      <c r="S518" s="143"/>
      <c r="T518" s="143"/>
      <c r="U518" s="143"/>
      <c r="V518" s="143"/>
      <c r="W518" s="143"/>
      <c r="X518" s="143"/>
      <c r="Y518" s="143"/>
      <c r="Z518" s="143"/>
      <c r="AA518" s="143"/>
      <c r="AB518" s="143"/>
      <c r="AC518" s="143"/>
      <c r="AD518" s="143"/>
      <c r="AE518" s="143"/>
    </row>
    <row r="519">
      <c r="A519" s="156"/>
      <c r="B519" s="156"/>
      <c r="C519" s="156"/>
      <c r="D519" s="154"/>
      <c r="E519" s="156"/>
      <c r="F519" s="143"/>
      <c r="G519" s="143"/>
      <c r="H519" s="143"/>
      <c r="I519" s="143"/>
      <c r="J519" s="143"/>
      <c r="K519" s="143"/>
      <c r="L519" s="143"/>
      <c r="M519" s="143"/>
      <c r="N519" s="143"/>
      <c r="O519" s="143"/>
      <c r="P519" s="143"/>
      <c r="Q519" s="143"/>
      <c r="R519" s="143"/>
      <c r="S519" s="143"/>
      <c r="T519" s="143"/>
      <c r="U519" s="143"/>
      <c r="V519" s="143"/>
      <c r="W519" s="143"/>
      <c r="X519" s="143"/>
      <c r="Y519" s="143"/>
      <c r="Z519" s="143"/>
      <c r="AA519" s="143"/>
      <c r="AB519" s="143"/>
      <c r="AC519" s="143"/>
      <c r="AD519" s="143"/>
      <c r="AE519" s="143"/>
    </row>
    <row r="520">
      <c r="A520" s="156"/>
      <c r="B520" s="156"/>
      <c r="C520" s="156"/>
      <c r="D520" s="154"/>
      <c r="E520" s="156"/>
      <c r="F520" s="143"/>
      <c r="G520" s="143"/>
      <c r="H520" s="143"/>
      <c r="I520" s="143"/>
      <c r="J520" s="143"/>
      <c r="K520" s="143"/>
      <c r="L520" s="143"/>
      <c r="M520" s="143"/>
      <c r="N520" s="143"/>
      <c r="O520" s="143"/>
      <c r="P520" s="143"/>
      <c r="Q520" s="143"/>
      <c r="R520" s="143"/>
      <c r="S520" s="143"/>
      <c r="T520" s="143"/>
      <c r="U520" s="143"/>
      <c r="V520" s="143"/>
      <c r="W520" s="143"/>
      <c r="X520" s="143"/>
      <c r="Y520" s="143"/>
      <c r="Z520" s="143"/>
      <c r="AA520" s="143"/>
      <c r="AB520" s="143"/>
      <c r="AC520" s="143"/>
      <c r="AD520" s="143"/>
      <c r="AE520" s="143"/>
    </row>
    <row r="521">
      <c r="A521" s="156"/>
      <c r="B521" s="156"/>
      <c r="C521" s="156"/>
      <c r="D521" s="154"/>
      <c r="E521" s="156"/>
      <c r="F521" s="143"/>
      <c r="G521" s="143"/>
      <c r="H521" s="143"/>
      <c r="I521" s="143"/>
      <c r="J521" s="143"/>
      <c r="K521" s="143"/>
      <c r="L521" s="143"/>
      <c r="M521" s="143"/>
      <c r="N521" s="143"/>
      <c r="O521" s="143"/>
      <c r="P521" s="143"/>
      <c r="Q521" s="143"/>
      <c r="R521" s="143"/>
      <c r="S521" s="143"/>
      <c r="T521" s="143"/>
      <c r="U521" s="143"/>
      <c r="V521" s="143"/>
      <c r="W521" s="143"/>
      <c r="X521" s="143"/>
      <c r="Y521" s="143"/>
      <c r="Z521" s="143"/>
      <c r="AA521" s="143"/>
      <c r="AB521" s="143"/>
      <c r="AC521" s="143"/>
      <c r="AD521" s="143"/>
      <c r="AE521" s="143"/>
    </row>
    <row r="522">
      <c r="A522" s="156"/>
      <c r="B522" s="156"/>
      <c r="C522" s="156"/>
      <c r="D522" s="154"/>
      <c r="E522" s="156"/>
      <c r="F522" s="143"/>
      <c r="G522" s="143"/>
      <c r="H522" s="143"/>
      <c r="I522" s="143"/>
      <c r="J522" s="143"/>
      <c r="K522" s="143"/>
      <c r="L522" s="143"/>
      <c r="M522" s="143"/>
      <c r="N522" s="143"/>
      <c r="O522" s="143"/>
      <c r="P522" s="143"/>
      <c r="Q522" s="143"/>
      <c r="R522" s="143"/>
      <c r="S522" s="143"/>
      <c r="T522" s="143"/>
      <c r="U522" s="143"/>
      <c r="V522" s="143"/>
      <c r="W522" s="143"/>
      <c r="X522" s="143"/>
      <c r="Y522" s="143"/>
      <c r="Z522" s="143"/>
      <c r="AA522" s="143"/>
      <c r="AB522" s="143"/>
      <c r="AC522" s="143"/>
      <c r="AD522" s="143"/>
      <c r="AE522" s="143"/>
    </row>
    <row r="523">
      <c r="A523" s="156"/>
      <c r="B523" s="156"/>
      <c r="C523" s="156"/>
      <c r="D523" s="154"/>
      <c r="E523" s="156"/>
      <c r="F523" s="143"/>
      <c r="G523" s="143"/>
      <c r="H523" s="143"/>
      <c r="I523" s="143"/>
      <c r="J523" s="143"/>
      <c r="K523" s="143"/>
      <c r="L523" s="143"/>
      <c r="M523" s="143"/>
      <c r="N523" s="143"/>
      <c r="O523" s="143"/>
      <c r="P523" s="143"/>
      <c r="Q523" s="143"/>
      <c r="R523" s="143"/>
      <c r="S523" s="143"/>
      <c r="T523" s="143"/>
      <c r="U523" s="143"/>
      <c r="V523" s="143"/>
      <c r="W523" s="143"/>
      <c r="X523" s="143"/>
      <c r="Y523" s="143"/>
      <c r="Z523" s="143"/>
      <c r="AA523" s="143"/>
      <c r="AB523" s="143"/>
      <c r="AC523" s="143"/>
      <c r="AD523" s="143"/>
      <c r="AE523" s="143"/>
    </row>
    <row r="524">
      <c r="A524" s="156"/>
      <c r="B524" s="156"/>
      <c r="C524" s="156"/>
      <c r="D524" s="154"/>
      <c r="E524" s="156"/>
      <c r="F524" s="143"/>
      <c r="G524" s="143"/>
      <c r="H524" s="143"/>
      <c r="I524" s="143"/>
      <c r="J524" s="143"/>
      <c r="K524" s="143"/>
      <c r="L524" s="143"/>
      <c r="M524" s="143"/>
      <c r="N524" s="143"/>
      <c r="O524" s="143"/>
      <c r="P524" s="143"/>
      <c r="Q524" s="143"/>
      <c r="R524" s="143"/>
      <c r="S524" s="143"/>
      <c r="T524" s="143"/>
      <c r="U524" s="143"/>
      <c r="V524" s="143"/>
      <c r="W524" s="143"/>
      <c r="X524" s="143"/>
      <c r="Y524" s="143"/>
      <c r="Z524" s="143"/>
      <c r="AA524" s="143"/>
      <c r="AB524" s="143"/>
      <c r="AC524" s="143"/>
      <c r="AD524" s="143"/>
      <c r="AE524" s="143"/>
    </row>
    <row r="525">
      <c r="A525" s="156"/>
      <c r="B525" s="156"/>
      <c r="C525" s="156"/>
      <c r="D525" s="154"/>
      <c r="E525" s="156"/>
      <c r="F525" s="143"/>
      <c r="G525" s="143"/>
      <c r="H525" s="143"/>
      <c r="I525" s="143"/>
      <c r="J525" s="143"/>
      <c r="K525" s="143"/>
      <c r="L525" s="143"/>
      <c r="M525" s="143"/>
      <c r="N525" s="143"/>
      <c r="O525" s="143"/>
      <c r="P525" s="143"/>
      <c r="Q525" s="143"/>
      <c r="R525" s="143"/>
      <c r="S525" s="143"/>
      <c r="T525" s="143"/>
      <c r="U525" s="143"/>
      <c r="V525" s="143"/>
      <c r="W525" s="143"/>
      <c r="X525" s="143"/>
      <c r="Y525" s="143"/>
      <c r="Z525" s="143"/>
      <c r="AA525" s="143"/>
      <c r="AB525" s="143"/>
      <c r="AC525" s="143"/>
      <c r="AD525" s="143"/>
      <c r="AE525" s="143"/>
    </row>
    <row r="526">
      <c r="A526" s="156"/>
      <c r="B526" s="156"/>
      <c r="C526" s="156"/>
      <c r="D526" s="154"/>
      <c r="E526" s="156"/>
      <c r="F526" s="143"/>
      <c r="G526" s="143"/>
      <c r="H526" s="143"/>
      <c r="I526" s="143"/>
      <c r="J526" s="143"/>
      <c r="K526" s="143"/>
      <c r="L526" s="143"/>
      <c r="M526" s="143"/>
      <c r="N526" s="143"/>
      <c r="O526" s="143"/>
      <c r="P526" s="143"/>
      <c r="Q526" s="143"/>
      <c r="R526" s="143"/>
      <c r="S526" s="143"/>
      <c r="T526" s="143"/>
      <c r="U526" s="143"/>
      <c r="V526" s="143"/>
      <c r="W526" s="143"/>
      <c r="X526" s="143"/>
      <c r="Y526" s="143"/>
      <c r="Z526" s="143"/>
      <c r="AA526" s="143"/>
      <c r="AB526" s="143"/>
      <c r="AC526" s="143"/>
      <c r="AD526" s="143"/>
      <c r="AE526" s="143"/>
    </row>
    <row r="527">
      <c r="A527" s="156"/>
      <c r="B527" s="156"/>
      <c r="C527" s="156"/>
      <c r="D527" s="154"/>
      <c r="E527" s="156"/>
      <c r="F527" s="143"/>
      <c r="G527" s="143"/>
      <c r="H527" s="143"/>
      <c r="I527" s="143"/>
      <c r="J527" s="143"/>
      <c r="K527" s="143"/>
      <c r="L527" s="143"/>
      <c r="M527" s="143"/>
      <c r="N527" s="143"/>
      <c r="O527" s="143"/>
      <c r="P527" s="143"/>
      <c r="Q527" s="143"/>
      <c r="R527" s="143"/>
      <c r="S527" s="143"/>
      <c r="T527" s="143"/>
      <c r="U527" s="143"/>
      <c r="V527" s="143"/>
      <c r="W527" s="143"/>
      <c r="X527" s="143"/>
      <c r="Y527" s="143"/>
      <c r="Z527" s="143"/>
      <c r="AA527" s="143"/>
      <c r="AB527" s="143"/>
      <c r="AC527" s="143"/>
      <c r="AD527" s="143"/>
      <c r="AE527" s="143"/>
    </row>
    <row r="528">
      <c r="A528" s="156"/>
      <c r="B528" s="156"/>
      <c r="C528" s="156"/>
      <c r="D528" s="154"/>
      <c r="E528" s="156"/>
      <c r="F528" s="143"/>
      <c r="G528" s="143"/>
      <c r="H528" s="143"/>
      <c r="I528" s="143"/>
      <c r="J528" s="143"/>
      <c r="K528" s="143"/>
      <c r="L528" s="143"/>
      <c r="M528" s="143"/>
      <c r="N528" s="143"/>
      <c r="O528" s="143"/>
      <c r="P528" s="143"/>
      <c r="Q528" s="143"/>
      <c r="R528" s="143"/>
      <c r="S528" s="143"/>
      <c r="T528" s="143"/>
      <c r="U528" s="143"/>
      <c r="V528" s="143"/>
      <c r="W528" s="143"/>
      <c r="X528" s="143"/>
      <c r="Y528" s="143"/>
      <c r="Z528" s="143"/>
      <c r="AA528" s="143"/>
      <c r="AB528" s="143"/>
      <c r="AC528" s="143"/>
      <c r="AD528" s="143"/>
      <c r="AE528" s="143"/>
    </row>
    <row r="529">
      <c r="A529" s="156"/>
      <c r="B529" s="156"/>
      <c r="C529" s="156"/>
      <c r="D529" s="154"/>
      <c r="E529" s="156"/>
      <c r="F529" s="143"/>
      <c r="G529" s="143"/>
      <c r="H529" s="143"/>
      <c r="I529" s="143"/>
      <c r="J529" s="143"/>
      <c r="K529" s="143"/>
      <c r="L529" s="143"/>
      <c r="M529" s="143"/>
      <c r="N529" s="143"/>
      <c r="O529" s="143"/>
      <c r="P529" s="143"/>
      <c r="Q529" s="143"/>
      <c r="R529" s="143"/>
      <c r="S529" s="143"/>
      <c r="T529" s="143"/>
      <c r="U529" s="143"/>
      <c r="V529" s="143"/>
      <c r="W529" s="143"/>
      <c r="X529" s="143"/>
      <c r="Y529" s="143"/>
      <c r="Z529" s="143"/>
      <c r="AA529" s="143"/>
      <c r="AB529" s="143"/>
      <c r="AC529" s="143"/>
      <c r="AD529" s="143"/>
      <c r="AE529" s="143"/>
    </row>
    <row r="530">
      <c r="A530" s="156"/>
      <c r="B530" s="156"/>
      <c r="C530" s="156"/>
      <c r="D530" s="154"/>
      <c r="E530" s="156"/>
      <c r="F530" s="143"/>
      <c r="G530" s="143"/>
      <c r="H530" s="143"/>
      <c r="I530" s="143"/>
      <c r="J530" s="143"/>
      <c r="K530" s="143"/>
      <c r="L530" s="143"/>
      <c r="M530" s="143"/>
      <c r="N530" s="143"/>
      <c r="O530" s="143"/>
      <c r="P530" s="143"/>
      <c r="Q530" s="143"/>
      <c r="R530" s="143"/>
      <c r="S530" s="143"/>
      <c r="T530" s="143"/>
      <c r="U530" s="143"/>
      <c r="V530" s="143"/>
      <c r="W530" s="143"/>
      <c r="X530" s="143"/>
      <c r="Y530" s="143"/>
      <c r="Z530" s="143"/>
      <c r="AA530" s="143"/>
      <c r="AB530" s="143"/>
      <c r="AC530" s="143"/>
      <c r="AD530" s="143"/>
      <c r="AE530" s="143"/>
    </row>
    <row r="531">
      <c r="A531" s="156"/>
      <c r="B531" s="156"/>
      <c r="C531" s="156"/>
      <c r="D531" s="154"/>
      <c r="E531" s="156"/>
      <c r="F531" s="143"/>
      <c r="G531" s="143"/>
      <c r="H531" s="143"/>
      <c r="I531" s="143"/>
      <c r="J531" s="143"/>
      <c r="K531" s="143"/>
      <c r="L531" s="143"/>
      <c r="M531" s="143"/>
      <c r="N531" s="143"/>
      <c r="O531" s="143"/>
      <c r="P531" s="143"/>
      <c r="Q531" s="143"/>
      <c r="R531" s="143"/>
      <c r="S531" s="143"/>
      <c r="T531" s="143"/>
      <c r="U531" s="143"/>
      <c r="V531" s="143"/>
      <c r="W531" s="143"/>
      <c r="X531" s="143"/>
      <c r="Y531" s="143"/>
      <c r="Z531" s="143"/>
      <c r="AA531" s="143"/>
      <c r="AB531" s="143"/>
      <c r="AC531" s="143"/>
      <c r="AD531" s="143"/>
      <c r="AE531" s="143"/>
    </row>
    <row r="532">
      <c r="A532" s="156"/>
      <c r="B532" s="156"/>
      <c r="C532" s="156"/>
      <c r="D532" s="154"/>
      <c r="E532" s="156"/>
      <c r="F532" s="143"/>
      <c r="G532" s="143"/>
      <c r="H532" s="143"/>
      <c r="I532" s="143"/>
      <c r="J532" s="143"/>
      <c r="K532" s="143"/>
      <c r="L532" s="143"/>
      <c r="M532" s="143"/>
      <c r="N532" s="143"/>
      <c r="O532" s="143"/>
      <c r="P532" s="143"/>
      <c r="Q532" s="143"/>
      <c r="R532" s="143"/>
      <c r="S532" s="143"/>
      <c r="T532" s="143"/>
      <c r="U532" s="143"/>
      <c r="V532" s="143"/>
      <c r="W532" s="143"/>
      <c r="X532" s="143"/>
      <c r="Y532" s="143"/>
      <c r="Z532" s="143"/>
      <c r="AA532" s="143"/>
      <c r="AB532" s="143"/>
      <c r="AC532" s="143"/>
      <c r="AD532" s="143"/>
      <c r="AE532" s="143"/>
    </row>
    <row r="533">
      <c r="A533" s="156"/>
      <c r="B533" s="156"/>
      <c r="C533" s="156"/>
      <c r="D533" s="154"/>
      <c r="E533" s="156"/>
      <c r="F533" s="143"/>
      <c r="G533" s="143"/>
      <c r="H533" s="143"/>
      <c r="I533" s="143"/>
      <c r="J533" s="143"/>
      <c r="K533" s="143"/>
      <c r="L533" s="143"/>
      <c r="M533" s="143"/>
      <c r="N533" s="143"/>
      <c r="O533" s="143"/>
      <c r="P533" s="143"/>
      <c r="Q533" s="143"/>
      <c r="R533" s="143"/>
      <c r="S533" s="143"/>
      <c r="T533" s="143"/>
      <c r="U533" s="143"/>
      <c r="V533" s="143"/>
      <c r="W533" s="143"/>
      <c r="X533" s="143"/>
      <c r="Y533" s="143"/>
      <c r="Z533" s="143"/>
      <c r="AA533" s="143"/>
      <c r="AB533" s="143"/>
      <c r="AC533" s="143"/>
      <c r="AD533" s="143"/>
      <c r="AE533" s="143"/>
    </row>
    <row r="534">
      <c r="A534" s="156"/>
      <c r="B534" s="156"/>
      <c r="C534" s="156"/>
      <c r="D534" s="154"/>
      <c r="E534" s="156"/>
      <c r="F534" s="143"/>
      <c r="G534" s="143"/>
      <c r="H534" s="143"/>
      <c r="I534" s="143"/>
      <c r="J534" s="143"/>
      <c r="K534" s="143"/>
      <c r="L534" s="143"/>
      <c r="M534" s="143"/>
      <c r="N534" s="143"/>
      <c r="O534" s="143"/>
      <c r="P534" s="143"/>
      <c r="Q534" s="143"/>
      <c r="R534" s="143"/>
      <c r="S534" s="143"/>
      <c r="T534" s="143"/>
      <c r="U534" s="143"/>
      <c r="V534" s="143"/>
      <c r="W534" s="143"/>
      <c r="X534" s="143"/>
      <c r="Y534" s="143"/>
      <c r="Z534" s="143"/>
      <c r="AA534" s="143"/>
      <c r="AB534" s="143"/>
      <c r="AC534" s="143"/>
      <c r="AD534" s="143"/>
      <c r="AE534" s="143"/>
    </row>
    <row r="535">
      <c r="A535" s="156"/>
      <c r="B535" s="156"/>
      <c r="C535" s="156"/>
      <c r="D535" s="154"/>
      <c r="E535" s="156"/>
      <c r="F535" s="143"/>
      <c r="G535" s="143"/>
      <c r="H535" s="143"/>
      <c r="I535" s="143"/>
      <c r="J535" s="143"/>
      <c r="K535" s="143"/>
      <c r="L535" s="143"/>
      <c r="M535" s="143"/>
      <c r="N535" s="143"/>
      <c r="O535" s="143"/>
      <c r="P535" s="143"/>
      <c r="Q535" s="143"/>
      <c r="R535" s="143"/>
      <c r="S535" s="143"/>
      <c r="T535" s="143"/>
      <c r="U535" s="143"/>
      <c r="V535" s="143"/>
      <c r="W535" s="143"/>
      <c r="X535" s="143"/>
      <c r="Y535" s="143"/>
      <c r="Z535" s="143"/>
      <c r="AA535" s="143"/>
      <c r="AB535" s="143"/>
      <c r="AC535" s="143"/>
      <c r="AD535" s="143"/>
      <c r="AE535" s="143"/>
    </row>
    <row r="536">
      <c r="A536" s="156"/>
      <c r="B536" s="156"/>
      <c r="C536" s="156"/>
      <c r="D536" s="154"/>
      <c r="E536" s="156"/>
      <c r="F536" s="143"/>
      <c r="G536" s="143"/>
      <c r="H536" s="143"/>
      <c r="I536" s="143"/>
      <c r="J536" s="143"/>
      <c r="K536" s="143"/>
      <c r="L536" s="143"/>
      <c r="M536" s="143"/>
      <c r="N536" s="143"/>
      <c r="O536" s="143"/>
      <c r="P536" s="143"/>
      <c r="Q536" s="143"/>
      <c r="R536" s="143"/>
      <c r="S536" s="143"/>
      <c r="T536" s="143"/>
      <c r="U536" s="143"/>
      <c r="V536" s="143"/>
      <c r="W536" s="143"/>
      <c r="X536" s="143"/>
      <c r="Y536" s="143"/>
      <c r="Z536" s="143"/>
      <c r="AA536" s="143"/>
      <c r="AB536" s="143"/>
      <c r="AC536" s="143"/>
      <c r="AD536" s="143"/>
      <c r="AE536" s="143"/>
    </row>
    <row r="537">
      <c r="A537" s="156"/>
      <c r="B537" s="156"/>
      <c r="C537" s="156"/>
      <c r="D537" s="154"/>
      <c r="E537" s="156"/>
      <c r="F537" s="143"/>
      <c r="G537" s="143"/>
      <c r="H537" s="143"/>
      <c r="I537" s="143"/>
      <c r="J537" s="143"/>
      <c r="K537" s="143"/>
      <c r="L537" s="143"/>
      <c r="M537" s="143"/>
      <c r="N537" s="143"/>
      <c r="O537" s="143"/>
      <c r="P537" s="143"/>
      <c r="Q537" s="143"/>
      <c r="R537" s="143"/>
      <c r="S537" s="143"/>
      <c r="T537" s="143"/>
      <c r="U537" s="143"/>
      <c r="V537" s="143"/>
      <c r="W537" s="143"/>
      <c r="X537" s="143"/>
      <c r="Y537" s="143"/>
      <c r="Z537" s="143"/>
      <c r="AA537" s="143"/>
      <c r="AB537" s="143"/>
      <c r="AC537" s="143"/>
      <c r="AD537" s="143"/>
      <c r="AE537" s="143"/>
    </row>
    <row r="538">
      <c r="A538" s="156"/>
      <c r="B538" s="156"/>
      <c r="C538" s="156"/>
      <c r="D538" s="154"/>
      <c r="E538" s="156"/>
      <c r="F538" s="143"/>
      <c r="G538" s="143"/>
      <c r="H538" s="143"/>
      <c r="I538" s="143"/>
      <c r="J538" s="143"/>
      <c r="K538" s="143"/>
      <c r="L538" s="143"/>
      <c r="M538" s="143"/>
      <c r="N538" s="143"/>
      <c r="O538" s="143"/>
      <c r="P538" s="143"/>
      <c r="Q538" s="143"/>
      <c r="R538" s="143"/>
      <c r="S538" s="143"/>
      <c r="T538" s="143"/>
      <c r="U538" s="143"/>
      <c r="V538" s="143"/>
      <c r="W538" s="143"/>
      <c r="X538" s="143"/>
      <c r="Y538" s="143"/>
      <c r="Z538" s="143"/>
      <c r="AA538" s="143"/>
      <c r="AB538" s="143"/>
      <c r="AC538" s="143"/>
      <c r="AD538" s="143"/>
      <c r="AE538" s="143"/>
    </row>
    <row r="539">
      <c r="A539" s="156"/>
      <c r="B539" s="156"/>
      <c r="C539" s="156"/>
      <c r="D539" s="154"/>
      <c r="E539" s="156"/>
      <c r="F539" s="143"/>
      <c r="G539" s="143"/>
      <c r="H539" s="143"/>
      <c r="I539" s="143"/>
      <c r="J539" s="143"/>
      <c r="K539" s="143"/>
      <c r="L539" s="143"/>
      <c r="M539" s="143"/>
      <c r="N539" s="143"/>
      <c r="O539" s="143"/>
      <c r="P539" s="143"/>
      <c r="Q539" s="143"/>
      <c r="R539" s="143"/>
      <c r="S539" s="143"/>
      <c r="T539" s="143"/>
      <c r="U539" s="143"/>
      <c r="V539" s="143"/>
      <c r="W539" s="143"/>
      <c r="X539" s="143"/>
      <c r="Y539" s="143"/>
      <c r="Z539" s="143"/>
      <c r="AA539" s="143"/>
      <c r="AB539" s="143"/>
      <c r="AC539" s="143"/>
      <c r="AD539" s="143"/>
      <c r="AE539" s="143"/>
    </row>
    <row r="540">
      <c r="A540" s="156"/>
      <c r="B540" s="156"/>
      <c r="C540" s="156"/>
      <c r="D540" s="154"/>
      <c r="E540" s="156"/>
      <c r="F540" s="143"/>
      <c r="G540" s="143"/>
      <c r="H540" s="143"/>
      <c r="I540" s="143"/>
      <c r="J540" s="143"/>
      <c r="K540" s="143"/>
      <c r="L540" s="143"/>
      <c r="M540" s="143"/>
      <c r="N540" s="143"/>
      <c r="O540" s="143"/>
      <c r="P540" s="143"/>
      <c r="Q540" s="143"/>
      <c r="R540" s="143"/>
      <c r="S540" s="143"/>
      <c r="T540" s="143"/>
      <c r="U540" s="143"/>
      <c r="V540" s="143"/>
      <c r="W540" s="143"/>
      <c r="X540" s="143"/>
      <c r="Y540" s="143"/>
      <c r="Z540" s="143"/>
      <c r="AA540" s="143"/>
      <c r="AB540" s="143"/>
      <c r="AC540" s="143"/>
      <c r="AD540" s="143"/>
      <c r="AE540" s="143"/>
    </row>
    <row r="541">
      <c r="A541" s="156"/>
      <c r="B541" s="156"/>
      <c r="C541" s="156"/>
      <c r="D541" s="154"/>
      <c r="E541" s="156"/>
      <c r="F541" s="143"/>
      <c r="G541" s="143"/>
      <c r="H541" s="143"/>
      <c r="I541" s="143"/>
      <c r="J541" s="143"/>
      <c r="K541" s="143"/>
      <c r="L541" s="143"/>
      <c r="M541" s="143"/>
      <c r="N541" s="143"/>
      <c r="O541" s="143"/>
      <c r="P541" s="143"/>
      <c r="Q541" s="143"/>
      <c r="R541" s="143"/>
      <c r="S541" s="143"/>
      <c r="T541" s="143"/>
      <c r="U541" s="143"/>
      <c r="V541" s="143"/>
      <c r="W541" s="143"/>
      <c r="X541" s="143"/>
      <c r="Y541" s="143"/>
      <c r="Z541" s="143"/>
      <c r="AA541" s="143"/>
      <c r="AB541" s="143"/>
      <c r="AC541" s="143"/>
      <c r="AD541" s="143"/>
      <c r="AE541" s="143"/>
    </row>
    <row r="542">
      <c r="A542" s="156"/>
      <c r="B542" s="156"/>
      <c r="C542" s="156"/>
      <c r="D542" s="154"/>
      <c r="E542" s="156"/>
      <c r="F542" s="143"/>
      <c r="G542" s="143"/>
      <c r="H542" s="143"/>
      <c r="I542" s="143"/>
      <c r="J542" s="143"/>
      <c r="K542" s="143"/>
      <c r="L542" s="143"/>
      <c r="M542" s="143"/>
      <c r="N542" s="143"/>
      <c r="O542" s="143"/>
      <c r="P542" s="143"/>
      <c r="Q542" s="143"/>
      <c r="R542" s="143"/>
      <c r="S542" s="143"/>
      <c r="T542" s="143"/>
      <c r="U542" s="143"/>
      <c r="V542" s="143"/>
      <c r="W542" s="143"/>
      <c r="X542" s="143"/>
      <c r="Y542" s="143"/>
      <c r="Z542" s="143"/>
      <c r="AA542" s="143"/>
      <c r="AB542" s="143"/>
      <c r="AC542" s="143"/>
      <c r="AD542" s="143"/>
      <c r="AE542" s="143"/>
    </row>
    <row r="543">
      <c r="A543" s="156"/>
      <c r="B543" s="156"/>
      <c r="C543" s="156"/>
      <c r="D543" s="154"/>
      <c r="E543" s="156"/>
      <c r="F543" s="143"/>
      <c r="G543" s="143"/>
      <c r="H543" s="143"/>
      <c r="I543" s="143"/>
      <c r="J543" s="143"/>
      <c r="K543" s="143"/>
      <c r="L543" s="143"/>
      <c r="M543" s="143"/>
      <c r="N543" s="143"/>
      <c r="O543" s="143"/>
      <c r="P543" s="143"/>
      <c r="Q543" s="143"/>
      <c r="R543" s="143"/>
      <c r="S543" s="143"/>
      <c r="T543" s="143"/>
      <c r="U543" s="143"/>
      <c r="V543" s="143"/>
      <c r="W543" s="143"/>
      <c r="X543" s="143"/>
      <c r="Y543" s="143"/>
      <c r="Z543" s="143"/>
      <c r="AA543" s="143"/>
      <c r="AB543" s="143"/>
      <c r="AC543" s="143"/>
      <c r="AD543" s="143"/>
      <c r="AE543" s="143"/>
    </row>
    <row r="544">
      <c r="A544" s="156"/>
      <c r="B544" s="156"/>
      <c r="C544" s="156"/>
      <c r="D544" s="154"/>
      <c r="E544" s="156"/>
      <c r="F544" s="143"/>
      <c r="G544" s="143"/>
      <c r="H544" s="143"/>
      <c r="I544" s="143"/>
      <c r="J544" s="143"/>
      <c r="K544" s="143"/>
      <c r="L544" s="143"/>
      <c r="M544" s="143"/>
      <c r="N544" s="143"/>
      <c r="O544" s="143"/>
      <c r="P544" s="143"/>
      <c r="Q544" s="143"/>
      <c r="R544" s="143"/>
      <c r="S544" s="143"/>
      <c r="T544" s="143"/>
      <c r="U544" s="143"/>
      <c r="V544" s="143"/>
      <c r="W544" s="143"/>
      <c r="X544" s="143"/>
      <c r="Y544" s="143"/>
      <c r="Z544" s="143"/>
      <c r="AA544" s="143"/>
      <c r="AB544" s="143"/>
      <c r="AC544" s="143"/>
      <c r="AD544" s="143"/>
      <c r="AE544" s="143"/>
    </row>
    <row r="545">
      <c r="A545" s="156"/>
      <c r="B545" s="156"/>
      <c r="C545" s="156"/>
      <c r="D545" s="154"/>
      <c r="E545" s="156"/>
      <c r="F545" s="143"/>
      <c r="G545" s="143"/>
      <c r="H545" s="143"/>
      <c r="I545" s="143"/>
      <c r="J545" s="143"/>
      <c r="K545" s="143"/>
      <c r="L545" s="143"/>
      <c r="M545" s="143"/>
      <c r="N545" s="143"/>
      <c r="O545" s="143"/>
      <c r="P545" s="143"/>
      <c r="Q545" s="143"/>
      <c r="R545" s="143"/>
      <c r="S545" s="143"/>
      <c r="T545" s="143"/>
      <c r="U545" s="143"/>
      <c r="V545" s="143"/>
      <c r="W545" s="143"/>
      <c r="X545" s="143"/>
      <c r="Y545" s="143"/>
      <c r="Z545" s="143"/>
      <c r="AA545" s="143"/>
      <c r="AB545" s="143"/>
      <c r="AC545" s="143"/>
      <c r="AD545" s="143"/>
      <c r="AE545" s="143"/>
    </row>
    <row r="546">
      <c r="A546" s="156"/>
      <c r="B546" s="156"/>
      <c r="C546" s="156"/>
      <c r="D546" s="154"/>
      <c r="E546" s="156"/>
      <c r="F546" s="143"/>
      <c r="G546" s="143"/>
      <c r="H546" s="143"/>
      <c r="I546" s="143"/>
      <c r="J546" s="143"/>
      <c r="K546" s="143"/>
      <c r="L546" s="143"/>
      <c r="M546" s="143"/>
      <c r="N546" s="143"/>
      <c r="O546" s="143"/>
      <c r="P546" s="143"/>
      <c r="Q546" s="143"/>
      <c r="R546" s="143"/>
      <c r="S546" s="143"/>
      <c r="T546" s="143"/>
      <c r="U546" s="143"/>
      <c r="V546" s="143"/>
      <c r="W546" s="143"/>
      <c r="X546" s="143"/>
      <c r="Y546" s="143"/>
      <c r="Z546" s="143"/>
      <c r="AA546" s="143"/>
      <c r="AB546" s="143"/>
      <c r="AC546" s="143"/>
      <c r="AD546" s="143"/>
      <c r="AE546" s="143"/>
    </row>
    <row r="547">
      <c r="A547" s="156"/>
      <c r="B547" s="156"/>
      <c r="C547" s="156"/>
      <c r="D547" s="154"/>
      <c r="E547" s="156"/>
      <c r="F547" s="143"/>
      <c r="G547" s="143"/>
      <c r="H547" s="143"/>
      <c r="I547" s="143"/>
      <c r="J547" s="143"/>
      <c r="K547" s="143"/>
      <c r="L547" s="143"/>
      <c r="M547" s="143"/>
      <c r="N547" s="143"/>
      <c r="O547" s="143"/>
      <c r="P547" s="143"/>
      <c r="Q547" s="143"/>
      <c r="R547" s="143"/>
      <c r="S547" s="143"/>
      <c r="T547" s="143"/>
      <c r="U547" s="143"/>
      <c r="V547" s="143"/>
      <c r="W547" s="143"/>
      <c r="X547" s="143"/>
      <c r="Y547" s="143"/>
      <c r="Z547" s="143"/>
      <c r="AA547" s="143"/>
      <c r="AB547" s="143"/>
      <c r="AC547" s="143"/>
      <c r="AD547" s="143"/>
      <c r="AE547" s="143"/>
    </row>
    <row r="548">
      <c r="A548" s="156"/>
      <c r="B548" s="156"/>
      <c r="C548" s="156"/>
      <c r="D548" s="154"/>
      <c r="E548" s="156"/>
      <c r="F548" s="143"/>
      <c r="G548" s="143"/>
      <c r="H548" s="143"/>
      <c r="I548" s="143"/>
      <c r="J548" s="143"/>
      <c r="K548" s="143"/>
      <c r="L548" s="143"/>
      <c r="M548" s="143"/>
      <c r="N548" s="143"/>
      <c r="O548" s="143"/>
      <c r="P548" s="143"/>
      <c r="Q548" s="143"/>
      <c r="R548" s="143"/>
      <c r="S548" s="143"/>
      <c r="T548" s="143"/>
      <c r="U548" s="143"/>
      <c r="V548" s="143"/>
      <c r="W548" s="143"/>
      <c r="X548" s="143"/>
      <c r="Y548" s="143"/>
      <c r="Z548" s="143"/>
      <c r="AA548" s="143"/>
      <c r="AB548" s="143"/>
      <c r="AC548" s="143"/>
      <c r="AD548" s="143"/>
      <c r="AE548" s="143"/>
    </row>
    <row r="549">
      <c r="A549" s="156"/>
      <c r="B549" s="156"/>
      <c r="C549" s="156"/>
      <c r="D549" s="154"/>
      <c r="E549" s="156"/>
      <c r="F549" s="143"/>
      <c r="G549" s="143"/>
      <c r="H549" s="143"/>
      <c r="I549" s="143"/>
      <c r="J549" s="143"/>
      <c r="K549" s="143"/>
      <c r="L549" s="143"/>
      <c r="M549" s="143"/>
      <c r="N549" s="143"/>
      <c r="O549" s="143"/>
      <c r="P549" s="143"/>
      <c r="Q549" s="143"/>
      <c r="R549" s="143"/>
      <c r="S549" s="143"/>
      <c r="T549" s="143"/>
      <c r="U549" s="143"/>
      <c r="V549" s="143"/>
      <c r="W549" s="143"/>
      <c r="X549" s="143"/>
      <c r="Y549" s="143"/>
      <c r="Z549" s="143"/>
      <c r="AA549" s="143"/>
      <c r="AB549" s="143"/>
      <c r="AC549" s="143"/>
      <c r="AD549" s="143"/>
      <c r="AE549" s="143"/>
    </row>
    <row r="550">
      <c r="A550" s="156"/>
      <c r="B550" s="156"/>
      <c r="C550" s="156"/>
      <c r="D550" s="154"/>
      <c r="E550" s="156"/>
      <c r="F550" s="143"/>
      <c r="G550" s="143"/>
      <c r="H550" s="143"/>
      <c r="I550" s="143"/>
      <c r="J550" s="143"/>
      <c r="K550" s="143"/>
      <c r="L550" s="143"/>
      <c r="M550" s="143"/>
      <c r="N550" s="143"/>
      <c r="O550" s="143"/>
      <c r="P550" s="143"/>
      <c r="Q550" s="143"/>
      <c r="R550" s="143"/>
      <c r="S550" s="143"/>
      <c r="T550" s="143"/>
      <c r="U550" s="143"/>
      <c r="V550" s="143"/>
      <c r="W550" s="143"/>
      <c r="X550" s="143"/>
      <c r="Y550" s="143"/>
      <c r="Z550" s="143"/>
      <c r="AA550" s="143"/>
      <c r="AB550" s="143"/>
      <c r="AC550" s="143"/>
      <c r="AD550" s="143"/>
      <c r="AE550" s="143"/>
    </row>
    <row r="551">
      <c r="A551" s="156"/>
      <c r="B551" s="156"/>
      <c r="C551" s="156"/>
      <c r="D551" s="154"/>
      <c r="E551" s="156"/>
      <c r="F551" s="143"/>
      <c r="G551" s="143"/>
      <c r="H551" s="143"/>
      <c r="I551" s="143"/>
      <c r="J551" s="143"/>
      <c r="K551" s="143"/>
      <c r="L551" s="143"/>
      <c r="M551" s="143"/>
      <c r="N551" s="143"/>
      <c r="O551" s="143"/>
      <c r="P551" s="143"/>
      <c r="Q551" s="143"/>
      <c r="R551" s="143"/>
      <c r="S551" s="143"/>
      <c r="T551" s="143"/>
      <c r="U551" s="143"/>
      <c r="V551" s="143"/>
      <c r="W551" s="143"/>
      <c r="X551" s="143"/>
      <c r="Y551" s="143"/>
      <c r="Z551" s="143"/>
      <c r="AA551" s="143"/>
      <c r="AB551" s="143"/>
      <c r="AC551" s="143"/>
      <c r="AD551" s="143"/>
      <c r="AE551" s="143"/>
    </row>
    <row r="552">
      <c r="A552" s="156"/>
      <c r="B552" s="156"/>
      <c r="C552" s="156"/>
      <c r="D552" s="154"/>
      <c r="E552" s="156"/>
      <c r="F552" s="143"/>
      <c r="G552" s="143"/>
      <c r="H552" s="143"/>
      <c r="I552" s="143"/>
      <c r="J552" s="143"/>
      <c r="K552" s="143"/>
      <c r="L552" s="143"/>
      <c r="M552" s="143"/>
      <c r="N552" s="143"/>
      <c r="O552" s="143"/>
      <c r="P552" s="143"/>
      <c r="Q552" s="143"/>
      <c r="R552" s="143"/>
      <c r="S552" s="143"/>
      <c r="T552" s="143"/>
      <c r="U552" s="143"/>
      <c r="V552" s="143"/>
      <c r="W552" s="143"/>
      <c r="X552" s="143"/>
      <c r="Y552" s="143"/>
      <c r="Z552" s="143"/>
      <c r="AA552" s="143"/>
      <c r="AB552" s="143"/>
      <c r="AC552" s="143"/>
      <c r="AD552" s="143"/>
      <c r="AE552" s="143"/>
    </row>
    <row r="553">
      <c r="A553" s="156"/>
      <c r="B553" s="156"/>
      <c r="C553" s="156"/>
      <c r="D553" s="154"/>
      <c r="E553" s="156"/>
      <c r="F553" s="143"/>
      <c r="G553" s="143"/>
      <c r="H553" s="143"/>
      <c r="I553" s="143"/>
      <c r="J553" s="143"/>
      <c r="K553" s="143"/>
      <c r="L553" s="143"/>
      <c r="M553" s="143"/>
      <c r="N553" s="143"/>
      <c r="O553" s="143"/>
      <c r="P553" s="143"/>
      <c r="Q553" s="143"/>
      <c r="R553" s="143"/>
      <c r="S553" s="143"/>
      <c r="T553" s="143"/>
      <c r="U553" s="143"/>
      <c r="V553" s="143"/>
      <c r="W553" s="143"/>
      <c r="X553" s="143"/>
      <c r="Y553" s="143"/>
      <c r="Z553" s="143"/>
      <c r="AA553" s="143"/>
      <c r="AB553" s="143"/>
      <c r="AC553" s="143"/>
      <c r="AD553" s="143"/>
      <c r="AE553" s="143"/>
    </row>
    <row r="554">
      <c r="A554" s="156"/>
      <c r="B554" s="156"/>
      <c r="C554" s="156"/>
      <c r="D554" s="154"/>
      <c r="E554" s="156"/>
      <c r="F554" s="143"/>
      <c r="G554" s="143"/>
      <c r="H554" s="143"/>
      <c r="I554" s="143"/>
      <c r="J554" s="143"/>
      <c r="K554" s="143"/>
      <c r="L554" s="143"/>
      <c r="M554" s="143"/>
      <c r="N554" s="143"/>
      <c r="O554" s="143"/>
      <c r="P554" s="143"/>
      <c r="Q554" s="143"/>
      <c r="R554" s="143"/>
      <c r="S554" s="143"/>
      <c r="T554" s="143"/>
      <c r="U554" s="143"/>
      <c r="V554" s="143"/>
      <c r="W554" s="143"/>
      <c r="X554" s="143"/>
      <c r="Y554" s="143"/>
      <c r="Z554" s="143"/>
      <c r="AA554" s="143"/>
      <c r="AB554" s="143"/>
      <c r="AC554" s="143"/>
      <c r="AD554" s="143"/>
      <c r="AE554" s="143"/>
    </row>
    <row r="555">
      <c r="A555" s="156"/>
      <c r="B555" s="156"/>
      <c r="C555" s="156"/>
      <c r="D555" s="154"/>
      <c r="E555" s="156"/>
      <c r="F555" s="143"/>
      <c r="G555" s="143"/>
      <c r="H555" s="143"/>
      <c r="I555" s="143"/>
      <c r="J555" s="143"/>
      <c r="K555" s="143"/>
      <c r="L555" s="143"/>
      <c r="M555" s="143"/>
      <c r="N555" s="143"/>
      <c r="O555" s="143"/>
      <c r="P555" s="143"/>
      <c r="Q555" s="143"/>
      <c r="R555" s="143"/>
      <c r="S555" s="143"/>
      <c r="T555" s="143"/>
      <c r="U555" s="143"/>
      <c r="V555" s="143"/>
      <c r="W555" s="143"/>
      <c r="X555" s="143"/>
      <c r="Y555" s="143"/>
      <c r="Z555" s="143"/>
      <c r="AA555" s="143"/>
      <c r="AB555" s="143"/>
      <c r="AC555" s="143"/>
      <c r="AD555" s="143"/>
      <c r="AE555" s="143"/>
    </row>
    <row r="556">
      <c r="A556" s="156"/>
      <c r="B556" s="156"/>
      <c r="C556" s="156"/>
      <c r="D556" s="154"/>
      <c r="E556" s="156"/>
      <c r="F556" s="143"/>
      <c r="G556" s="143"/>
      <c r="H556" s="143"/>
      <c r="I556" s="143"/>
      <c r="J556" s="143"/>
      <c r="K556" s="143"/>
      <c r="L556" s="143"/>
      <c r="M556" s="143"/>
      <c r="N556" s="143"/>
      <c r="O556" s="143"/>
      <c r="P556" s="143"/>
      <c r="Q556" s="143"/>
      <c r="R556" s="143"/>
      <c r="S556" s="143"/>
      <c r="T556" s="143"/>
      <c r="U556" s="143"/>
      <c r="V556" s="143"/>
      <c r="W556" s="143"/>
      <c r="X556" s="143"/>
      <c r="Y556" s="143"/>
      <c r="Z556" s="143"/>
      <c r="AA556" s="143"/>
      <c r="AB556" s="143"/>
      <c r="AC556" s="143"/>
      <c r="AD556" s="143"/>
      <c r="AE556" s="143"/>
    </row>
    <row r="557">
      <c r="A557" s="156"/>
      <c r="B557" s="156"/>
      <c r="C557" s="156"/>
      <c r="D557" s="154"/>
      <c r="E557" s="156"/>
      <c r="F557" s="143"/>
      <c r="G557" s="143"/>
      <c r="H557" s="143"/>
      <c r="I557" s="143"/>
      <c r="J557" s="143"/>
      <c r="K557" s="143"/>
      <c r="L557" s="143"/>
      <c r="M557" s="143"/>
      <c r="N557" s="143"/>
      <c r="O557" s="143"/>
      <c r="P557" s="143"/>
      <c r="Q557" s="143"/>
      <c r="R557" s="143"/>
      <c r="S557" s="143"/>
      <c r="T557" s="143"/>
      <c r="U557" s="143"/>
      <c r="V557" s="143"/>
      <c r="W557" s="143"/>
      <c r="X557" s="143"/>
      <c r="Y557" s="143"/>
      <c r="Z557" s="143"/>
      <c r="AA557" s="143"/>
      <c r="AB557" s="143"/>
      <c r="AC557" s="143"/>
      <c r="AD557" s="143"/>
      <c r="AE557" s="143"/>
    </row>
    <row r="558">
      <c r="A558" s="156"/>
      <c r="B558" s="156"/>
      <c r="C558" s="156"/>
      <c r="D558" s="154"/>
      <c r="E558" s="156"/>
      <c r="F558" s="143"/>
      <c r="G558" s="143"/>
      <c r="H558" s="143"/>
      <c r="I558" s="143"/>
      <c r="J558" s="143"/>
      <c r="K558" s="143"/>
      <c r="L558" s="143"/>
      <c r="M558" s="143"/>
      <c r="N558" s="143"/>
      <c r="O558" s="143"/>
      <c r="P558" s="143"/>
      <c r="Q558" s="143"/>
      <c r="R558" s="143"/>
      <c r="S558" s="143"/>
      <c r="T558" s="143"/>
      <c r="U558" s="143"/>
      <c r="V558" s="143"/>
      <c r="W558" s="143"/>
      <c r="X558" s="143"/>
      <c r="Y558" s="143"/>
      <c r="Z558" s="143"/>
      <c r="AA558" s="143"/>
      <c r="AB558" s="143"/>
      <c r="AC558" s="143"/>
      <c r="AD558" s="143"/>
      <c r="AE558" s="143"/>
    </row>
    <row r="559">
      <c r="A559" s="156"/>
      <c r="B559" s="156"/>
      <c r="C559" s="156"/>
      <c r="D559" s="154"/>
      <c r="E559" s="156"/>
      <c r="F559" s="143"/>
      <c r="G559" s="143"/>
      <c r="H559" s="143"/>
      <c r="I559" s="143"/>
      <c r="J559" s="143"/>
      <c r="K559" s="143"/>
      <c r="L559" s="143"/>
      <c r="M559" s="143"/>
      <c r="N559" s="143"/>
      <c r="O559" s="143"/>
      <c r="P559" s="143"/>
      <c r="Q559" s="143"/>
      <c r="R559" s="143"/>
      <c r="S559" s="143"/>
      <c r="T559" s="143"/>
      <c r="U559" s="143"/>
      <c r="V559" s="143"/>
      <c r="W559" s="143"/>
      <c r="X559" s="143"/>
      <c r="Y559" s="143"/>
      <c r="Z559" s="143"/>
      <c r="AA559" s="143"/>
      <c r="AB559" s="143"/>
      <c r="AC559" s="143"/>
      <c r="AD559" s="143"/>
      <c r="AE559" s="143"/>
    </row>
    <row r="560">
      <c r="A560" s="156"/>
      <c r="B560" s="156"/>
      <c r="C560" s="156"/>
      <c r="D560" s="154"/>
      <c r="E560" s="156"/>
      <c r="F560" s="143"/>
      <c r="G560" s="143"/>
      <c r="H560" s="143"/>
      <c r="I560" s="143"/>
      <c r="J560" s="143"/>
      <c r="K560" s="143"/>
      <c r="L560" s="143"/>
      <c r="M560" s="143"/>
      <c r="N560" s="143"/>
      <c r="O560" s="143"/>
      <c r="P560" s="143"/>
      <c r="Q560" s="143"/>
      <c r="R560" s="143"/>
      <c r="S560" s="143"/>
      <c r="T560" s="143"/>
      <c r="U560" s="143"/>
      <c r="V560" s="143"/>
      <c r="W560" s="143"/>
      <c r="X560" s="143"/>
      <c r="Y560" s="143"/>
      <c r="Z560" s="143"/>
      <c r="AA560" s="143"/>
      <c r="AB560" s="143"/>
      <c r="AC560" s="143"/>
      <c r="AD560" s="143"/>
      <c r="AE560" s="143"/>
    </row>
    <row r="561">
      <c r="A561" s="156"/>
      <c r="B561" s="156"/>
      <c r="C561" s="156"/>
      <c r="D561" s="154"/>
      <c r="E561" s="156"/>
      <c r="F561" s="143"/>
      <c r="G561" s="143"/>
      <c r="H561" s="143"/>
      <c r="I561" s="143"/>
      <c r="J561" s="143"/>
      <c r="K561" s="143"/>
      <c r="L561" s="143"/>
      <c r="M561" s="143"/>
      <c r="N561" s="143"/>
      <c r="O561" s="143"/>
      <c r="P561" s="143"/>
      <c r="Q561" s="143"/>
      <c r="R561" s="143"/>
      <c r="S561" s="143"/>
      <c r="T561" s="143"/>
      <c r="U561" s="143"/>
      <c r="V561" s="143"/>
      <c r="W561" s="143"/>
      <c r="X561" s="143"/>
      <c r="Y561" s="143"/>
      <c r="Z561" s="143"/>
      <c r="AA561" s="143"/>
      <c r="AB561" s="143"/>
      <c r="AC561" s="143"/>
      <c r="AD561" s="143"/>
      <c r="AE561" s="143"/>
    </row>
    <row r="562">
      <c r="A562" s="156"/>
      <c r="B562" s="156"/>
      <c r="C562" s="156"/>
      <c r="D562" s="154"/>
      <c r="E562" s="156"/>
      <c r="F562" s="143"/>
      <c r="G562" s="143"/>
      <c r="H562" s="143"/>
      <c r="I562" s="143"/>
      <c r="J562" s="143"/>
      <c r="K562" s="143"/>
      <c r="L562" s="143"/>
      <c r="M562" s="143"/>
      <c r="N562" s="143"/>
      <c r="O562" s="143"/>
      <c r="P562" s="143"/>
      <c r="Q562" s="143"/>
      <c r="R562" s="143"/>
      <c r="S562" s="143"/>
      <c r="T562" s="143"/>
      <c r="U562" s="143"/>
      <c r="V562" s="143"/>
      <c r="W562" s="143"/>
      <c r="X562" s="143"/>
      <c r="Y562" s="143"/>
      <c r="Z562" s="143"/>
      <c r="AA562" s="143"/>
      <c r="AB562" s="143"/>
      <c r="AC562" s="143"/>
      <c r="AD562" s="143"/>
      <c r="AE562" s="143"/>
    </row>
    <row r="563">
      <c r="A563" s="156"/>
      <c r="B563" s="156"/>
      <c r="C563" s="156"/>
      <c r="D563" s="154"/>
      <c r="E563" s="156"/>
      <c r="F563" s="143"/>
      <c r="G563" s="143"/>
      <c r="H563" s="143"/>
      <c r="I563" s="143"/>
      <c r="J563" s="143"/>
      <c r="K563" s="143"/>
      <c r="L563" s="143"/>
      <c r="M563" s="143"/>
      <c r="N563" s="143"/>
      <c r="O563" s="143"/>
      <c r="P563" s="143"/>
      <c r="Q563" s="143"/>
      <c r="R563" s="143"/>
      <c r="S563" s="143"/>
      <c r="T563" s="143"/>
      <c r="U563" s="143"/>
      <c r="V563" s="143"/>
      <c r="W563" s="143"/>
      <c r="X563" s="143"/>
      <c r="Y563" s="143"/>
      <c r="Z563" s="143"/>
      <c r="AA563" s="143"/>
      <c r="AB563" s="143"/>
      <c r="AC563" s="143"/>
      <c r="AD563" s="143"/>
      <c r="AE563" s="143"/>
    </row>
    <row r="564">
      <c r="A564" s="156"/>
      <c r="B564" s="156"/>
      <c r="C564" s="156"/>
      <c r="D564" s="154"/>
      <c r="E564" s="156"/>
      <c r="F564" s="143"/>
      <c r="G564" s="143"/>
      <c r="H564" s="143"/>
      <c r="I564" s="143"/>
      <c r="J564" s="143"/>
      <c r="K564" s="143"/>
      <c r="L564" s="143"/>
      <c r="M564" s="143"/>
      <c r="N564" s="143"/>
      <c r="O564" s="143"/>
      <c r="P564" s="143"/>
      <c r="Q564" s="143"/>
      <c r="R564" s="143"/>
      <c r="S564" s="143"/>
      <c r="T564" s="143"/>
      <c r="U564" s="143"/>
      <c r="V564" s="143"/>
      <c r="W564" s="143"/>
      <c r="X564" s="143"/>
      <c r="Y564" s="143"/>
      <c r="Z564" s="143"/>
      <c r="AA564" s="143"/>
      <c r="AB564" s="143"/>
      <c r="AC564" s="143"/>
      <c r="AD564" s="143"/>
      <c r="AE564" s="143"/>
    </row>
    <row r="565">
      <c r="A565" s="156"/>
      <c r="B565" s="156"/>
      <c r="C565" s="156"/>
      <c r="D565" s="154"/>
      <c r="E565" s="156"/>
      <c r="F565" s="143"/>
      <c r="G565" s="143"/>
      <c r="H565" s="143"/>
      <c r="I565" s="143"/>
      <c r="J565" s="143"/>
      <c r="K565" s="143"/>
      <c r="L565" s="143"/>
      <c r="M565" s="143"/>
      <c r="N565" s="143"/>
      <c r="O565" s="143"/>
      <c r="P565" s="143"/>
      <c r="Q565" s="143"/>
      <c r="R565" s="143"/>
      <c r="S565" s="143"/>
      <c r="T565" s="143"/>
      <c r="U565" s="143"/>
      <c r="V565" s="143"/>
      <c r="W565" s="143"/>
      <c r="X565" s="143"/>
      <c r="Y565" s="143"/>
      <c r="Z565" s="143"/>
      <c r="AA565" s="143"/>
      <c r="AB565" s="143"/>
      <c r="AC565" s="143"/>
      <c r="AD565" s="143"/>
      <c r="AE565" s="143"/>
    </row>
    <row r="566">
      <c r="A566" s="156"/>
      <c r="B566" s="156"/>
      <c r="C566" s="156"/>
      <c r="D566" s="154"/>
      <c r="E566" s="156"/>
      <c r="F566" s="143"/>
      <c r="G566" s="143"/>
      <c r="H566" s="143"/>
      <c r="I566" s="143"/>
      <c r="J566" s="143"/>
      <c r="K566" s="143"/>
      <c r="L566" s="143"/>
      <c r="M566" s="143"/>
      <c r="N566" s="143"/>
      <c r="O566" s="143"/>
      <c r="P566" s="143"/>
      <c r="Q566" s="143"/>
      <c r="R566" s="143"/>
      <c r="S566" s="143"/>
      <c r="T566" s="143"/>
      <c r="U566" s="143"/>
      <c r="V566" s="143"/>
      <c r="W566" s="143"/>
      <c r="X566" s="143"/>
      <c r="Y566" s="143"/>
      <c r="Z566" s="143"/>
      <c r="AA566" s="143"/>
      <c r="AB566" s="143"/>
      <c r="AC566" s="143"/>
      <c r="AD566" s="143"/>
      <c r="AE566" s="143"/>
    </row>
    <row r="567">
      <c r="A567" s="156"/>
      <c r="B567" s="156"/>
      <c r="C567" s="156"/>
      <c r="D567" s="154"/>
      <c r="E567" s="156"/>
      <c r="F567" s="143"/>
      <c r="G567" s="143"/>
      <c r="H567" s="143"/>
      <c r="I567" s="143"/>
      <c r="J567" s="143"/>
      <c r="K567" s="143"/>
      <c r="L567" s="143"/>
      <c r="M567" s="143"/>
      <c r="N567" s="143"/>
      <c r="O567" s="143"/>
      <c r="P567" s="143"/>
      <c r="Q567" s="143"/>
      <c r="R567" s="143"/>
      <c r="S567" s="143"/>
      <c r="T567" s="143"/>
      <c r="U567" s="143"/>
      <c r="V567" s="143"/>
      <c r="W567" s="143"/>
      <c r="X567" s="143"/>
      <c r="Y567" s="143"/>
      <c r="Z567" s="143"/>
      <c r="AA567" s="143"/>
      <c r="AB567" s="143"/>
      <c r="AC567" s="143"/>
      <c r="AD567" s="143"/>
      <c r="AE567" s="143"/>
    </row>
    <row r="568">
      <c r="A568" s="156"/>
      <c r="B568" s="156"/>
      <c r="C568" s="156"/>
      <c r="D568" s="154"/>
      <c r="E568" s="156"/>
      <c r="F568" s="143"/>
      <c r="G568" s="143"/>
      <c r="H568" s="143"/>
      <c r="I568" s="143"/>
      <c r="J568" s="143"/>
      <c r="K568" s="143"/>
      <c r="L568" s="143"/>
      <c r="M568" s="143"/>
      <c r="N568" s="143"/>
      <c r="O568" s="143"/>
      <c r="P568" s="143"/>
      <c r="Q568" s="143"/>
      <c r="R568" s="143"/>
      <c r="S568" s="143"/>
      <c r="T568" s="143"/>
      <c r="U568" s="143"/>
      <c r="V568" s="143"/>
      <c r="W568" s="143"/>
      <c r="X568" s="143"/>
      <c r="Y568" s="143"/>
      <c r="Z568" s="143"/>
      <c r="AA568" s="143"/>
      <c r="AB568" s="143"/>
      <c r="AC568" s="143"/>
      <c r="AD568" s="143"/>
      <c r="AE568" s="143"/>
    </row>
    <row r="569">
      <c r="A569" s="156"/>
      <c r="B569" s="156"/>
      <c r="C569" s="156"/>
      <c r="D569" s="154"/>
      <c r="E569" s="156"/>
      <c r="F569" s="143"/>
      <c r="G569" s="143"/>
      <c r="H569" s="143"/>
      <c r="I569" s="143"/>
      <c r="J569" s="143"/>
      <c r="K569" s="143"/>
      <c r="L569" s="143"/>
      <c r="M569" s="143"/>
      <c r="N569" s="143"/>
      <c r="O569" s="143"/>
      <c r="P569" s="143"/>
      <c r="Q569" s="143"/>
      <c r="R569" s="143"/>
      <c r="S569" s="143"/>
      <c r="T569" s="143"/>
      <c r="U569" s="143"/>
      <c r="V569" s="143"/>
      <c r="W569" s="143"/>
      <c r="X569" s="143"/>
      <c r="Y569" s="143"/>
      <c r="Z569" s="143"/>
      <c r="AA569" s="143"/>
      <c r="AB569" s="143"/>
      <c r="AC569" s="143"/>
      <c r="AD569" s="143"/>
      <c r="AE569" s="143"/>
    </row>
    <row r="570">
      <c r="A570" s="156"/>
      <c r="B570" s="156"/>
      <c r="C570" s="156"/>
      <c r="D570" s="154"/>
      <c r="E570" s="156"/>
      <c r="F570" s="143"/>
      <c r="G570" s="143"/>
      <c r="H570" s="143"/>
      <c r="I570" s="143"/>
      <c r="J570" s="143"/>
      <c r="K570" s="143"/>
      <c r="L570" s="143"/>
      <c r="M570" s="143"/>
      <c r="N570" s="143"/>
      <c r="O570" s="143"/>
      <c r="P570" s="143"/>
      <c r="Q570" s="143"/>
      <c r="R570" s="143"/>
      <c r="S570" s="143"/>
      <c r="T570" s="143"/>
      <c r="U570" s="143"/>
      <c r="V570" s="143"/>
      <c r="W570" s="143"/>
      <c r="X570" s="143"/>
      <c r="Y570" s="143"/>
      <c r="Z570" s="143"/>
      <c r="AA570" s="143"/>
      <c r="AB570" s="143"/>
      <c r="AC570" s="143"/>
      <c r="AD570" s="143"/>
      <c r="AE570" s="143"/>
    </row>
    <row r="571">
      <c r="A571" s="156"/>
      <c r="B571" s="156"/>
      <c r="C571" s="156"/>
      <c r="D571" s="154"/>
      <c r="E571" s="156"/>
      <c r="F571" s="143"/>
      <c r="G571" s="143"/>
      <c r="H571" s="143"/>
      <c r="I571" s="143"/>
      <c r="J571" s="143"/>
      <c r="K571" s="143"/>
      <c r="L571" s="143"/>
      <c r="M571" s="143"/>
      <c r="N571" s="143"/>
      <c r="O571" s="143"/>
      <c r="P571" s="143"/>
      <c r="Q571" s="143"/>
      <c r="R571" s="143"/>
      <c r="S571" s="143"/>
      <c r="T571" s="143"/>
      <c r="U571" s="143"/>
      <c r="V571" s="143"/>
      <c r="W571" s="143"/>
      <c r="X571" s="143"/>
      <c r="Y571" s="143"/>
      <c r="Z571" s="143"/>
      <c r="AA571" s="143"/>
      <c r="AB571" s="143"/>
      <c r="AC571" s="143"/>
      <c r="AD571" s="143"/>
      <c r="AE571" s="143"/>
    </row>
    <row r="572">
      <c r="A572" s="156"/>
      <c r="B572" s="156"/>
      <c r="C572" s="156"/>
      <c r="D572" s="154"/>
      <c r="E572" s="156"/>
      <c r="F572" s="143"/>
      <c r="G572" s="143"/>
      <c r="H572" s="143"/>
      <c r="I572" s="143"/>
      <c r="J572" s="143"/>
      <c r="K572" s="143"/>
      <c r="L572" s="143"/>
      <c r="M572" s="143"/>
      <c r="N572" s="143"/>
      <c r="O572" s="143"/>
      <c r="P572" s="143"/>
      <c r="Q572" s="143"/>
      <c r="R572" s="143"/>
      <c r="S572" s="143"/>
      <c r="T572" s="143"/>
      <c r="U572" s="143"/>
      <c r="V572" s="143"/>
      <c r="W572" s="143"/>
      <c r="X572" s="143"/>
      <c r="Y572" s="143"/>
      <c r="Z572" s="143"/>
      <c r="AA572" s="143"/>
      <c r="AB572" s="143"/>
      <c r="AC572" s="143"/>
      <c r="AD572" s="143"/>
      <c r="AE572" s="143"/>
    </row>
    <row r="573">
      <c r="A573" s="156"/>
      <c r="B573" s="156"/>
      <c r="C573" s="156"/>
      <c r="D573" s="154"/>
      <c r="E573" s="156"/>
      <c r="F573" s="143"/>
      <c r="G573" s="143"/>
      <c r="H573" s="143"/>
      <c r="I573" s="143"/>
      <c r="J573" s="143"/>
      <c r="K573" s="143"/>
      <c r="L573" s="143"/>
      <c r="M573" s="143"/>
      <c r="N573" s="143"/>
      <c r="O573" s="143"/>
      <c r="P573" s="143"/>
      <c r="Q573" s="143"/>
      <c r="R573" s="143"/>
      <c r="S573" s="143"/>
      <c r="T573" s="143"/>
      <c r="U573" s="143"/>
      <c r="V573" s="143"/>
      <c r="W573" s="143"/>
      <c r="X573" s="143"/>
      <c r="Y573" s="143"/>
      <c r="Z573" s="143"/>
      <c r="AA573" s="143"/>
      <c r="AB573" s="143"/>
      <c r="AC573" s="143"/>
      <c r="AD573" s="143"/>
      <c r="AE573" s="143"/>
    </row>
    <row r="574">
      <c r="A574" s="156"/>
      <c r="B574" s="156"/>
      <c r="C574" s="156"/>
      <c r="D574" s="154"/>
      <c r="E574" s="156"/>
      <c r="F574" s="143"/>
      <c r="G574" s="143"/>
      <c r="H574" s="143"/>
      <c r="I574" s="143"/>
      <c r="J574" s="143"/>
      <c r="K574" s="143"/>
      <c r="L574" s="143"/>
      <c r="M574" s="143"/>
      <c r="N574" s="143"/>
      <c r="O574" s="143"/>
      <c r="P574" s="143"/>
      <c r="Q574" s="143"/>
      <c r="R574" s="143"/>
      <c r="S574" s="143"/>
      <c r="T574" s="143"/>
      <c r="U574" s="143"/>
      <c r="V574" s="143"/>
      <c r="W574" s="143"/>
      <c r="X574" s="143"/>
      <c r="Y574" s="143"/>
      <c r="Z574" s="143"/>
      <c r="AA574" s="143"/>
      <c r="AB574" s="143"/>
      <c r="AC574" s="143"/>
      <c r="AD574" s="143"/>
      <c r="AE574" s="143"/>
    </row>
    <row r="575">
      <c r="A575" s="156"/>
      <c r="B575" s="156"/>
      <c r="C575" s="156"/>
      <c r="D575" s="154"/>
      <c r="E575" s="156"/>
      <c r="F575" s="143"/>
      <c r="G575" s="143"/>
      <c r="H575" s="143"/>
      <c r="I575" s="143"/>
      <c r="J575" s="143"/>
      <c r="K575" s="143"/>
      <c r="L575" s="143"/>
      <c r="M575" s="143"/>
      <c r="N575" s="143"/>
      <c r="O575" s="143"/>
      <c r="P575" s="143"/>
      <c r="Q575" s="143"/>
      <c r="R575" s="143"/>
      <c r="S575" s="143"/>
      <c r="T575" s="143"/>
      <c r="U575" s="143"/>
      <c r="V575" s="143"/>
      <c r="W575" s="143"/>
      <c r="X575" s="143"/>
      <c r="Y575" s="143"/>
      <c r="Z575" s="143"/>
      <c r="AA575" s="143"/>
      <c r="AB575" s="143"/>
      <c r="AC575" s="143"/>
      <c r="AD575" s="143"/>
      <c r="AE575" s="143"/>
    </row>
    <row r="576">
      <c r="A576" s="156"/>
      <c r="B576" s="156"/>
      <c r="C576" s="156"/>
      <c r="D576" s="154"/>
      <c r="E576" s="156"/>
      <c r="F576" s="143"/>
      <c r="G576" s="143"/>
      <c r="H576" s="143"/>
      <c r="I576" s="143"/>
      <c r="J576" s="143"/>
      <c r="K576" s="143"/>
      <c r="L576" s="143"/>
      <c r="M576" s="143"/>
      <c r="N576" s="143"/>
      <c r="O576" s="143"/>
      <c r="P576" s="143"/>
      <c r="Q576" s="143"/>
      <c r="R576" s="143"/>
      <c r="S576" s="143"/>
      <c r="T576" s="143"/>
      <c r="U576" s="143"/>
      <c r="V576" s="143"/>
      <c r="W576" s="143"/>
      <c r="X576" s="143"/>
      <c r="Y576" s="143"/>
      <c r="Z576" s="143"/>
      <c r="AA576" s="143"/>
      <c r="AB576" s="143"/>
      <c r="AC576" s="143"/>
      <c r="AD576" s="143"/>
      <c r="AE576" s="143"/>
    </row>
    <row r="577">
      <c r="A577" s="156"/>
      <c r="B577" s="156"/>
      <c r="C577" s="156"/>
      <c r="D577" s="154"/>
      <c r="E577" s="156"/>
      <c r="F577" s="143"/>
      <c r="G577" s="143"/>
      <c r="H577" s="143"/>
      <c r="I577" s="143"/>
      <c r="J577" s="143"/>
      <c r="K577" s="143"/>
      <c r="L577" s="143"/>
      <c r="M577" s="143"/>
      <c r="N577" s="143"/>
      <c r="O577" s="143"/>
      <c r="P577" s="143"/>
      <c r="Q577" s="143"/>
      <c r="R577" s="143"/>
      <c r="S577" s="143"/>
      <c r="T577" s="143"/>
      <c r="U577" s="143"/>
      <c r="V577" s="143"/>
      <c r="W577" s="143"/>
      <c r="X577" s="143"/>
      <c r="Y577" s="143"/>
      <c r="Z577" s="143"/>
      <c r="AA577" s="143"/>
      <c r="AB577" s="143"/>
      <c r="AC577" s="143"/>
      <c r="AD577" s="143"/>
      <c r="AE577" s="143"/>
    </row>
    <row r="578">
      <c r="A578" s="156"/>
      <c r="B578" s="156"/>
      <c r="C578" s="156"/>
      <c r="D578" s="154"/>
      <c r="E578" s="156"/>
      <c r="F578" s="143"/>
      <c r="G578" s="143"/>
      <c r="H578" s="143"/>
      <c r="I578" s="143"/>
      <c r="J578" s="143"/>
      <c r="K578" s="143"/>
      <c r="L578" s="143"/>
      <c r="M578" s="143"/>
      <c r="N578" s="143"/>
      <c r="O578" s="143"/>
      <c r="P578" s="143"/>
      <c r="Q578" s="143"/>
      <c r="R578" s="143"/>
      <c r="S578" s="143"/>
      <c r="T578" s="143"/>
      <c r="U578" s="143"/>
      <c r="V578" s="143"/>
      <c r="W578" s="143"/>
      <c r="X578" s="143"/>
      <c r="Y578" s="143"/>
      <c r="Z578" s="143"/>
      <c r="AA578" s="143"/>
      <c r="AB578" s="143"/>
      <c r="AC578" s="143"/>
      <c r="AD578" s="143"/>
      <c r="AE578" s="143"/>
    </row>
    <row r="579">
      <c r="A579" s="156"/>
      <c r="B579" s="156"/>
      <c r="C579" s="156"/>
      <c r="D579" s="154"/>
      <c r="E579" s="156"/>
      <c r="F579" s="143"/>
      <c r="G579" s="143"/>
      <c r="H579" s="143"/>
      <c r="I579" s="143"/>
      <c r="J579" s="143"/>
      <c r="K579" s="143"/>
      <c r="L579" s="143"/>
      <c r="M579" s="143"/>
      <c r="N579" s="143"/>
      <c r="O579" s="143"/>
      <c r="P579" s="143"/>
      <c r="Q579" s="143"/>
      <c r="R579" s="143"/>
      <c r="S579" s="143"/>
      <c r="T579" s="143"/>
      <c r="U579" s="143"/>
      <c r="V579" s="143"/>
      <c r="W579" s="143"/>
      <c r="X579" s="143"/>
      <c r="Y579" s="143"/>
      <c r="Z579" s="143"/>
      <c r="AA579" s="143"/>
      <c r="AB579" s="143"/>
      <c r="AC579" s="143"/>
      <c r="AD579" s="143"/>
      <c r="AE579" s="143"/>
    </row>
    <row r="580">
      <c r="A580" s="156"/>
      <c r="B580" s="156"/>
      <c r="C580" s="156"/>
      <c r="D580" s="154"/>
      <c r="E580" s="156"/>
      <c r="F580" s="143"/>
      <c r="G580" s="143"/>
      <c r="H580" s="143"/>
      <c r="I580" s="143"/>
      <c r="J580" s="143"/>
      <c r="K580" s="143"/>
      <c r="L580" s="143"/>
      <c r="M580" s="143"/>
      <c r="N580" s="143"/>
      <c r="O580" s="143"/>
      <c r="P580" s="143"/>
      <c r="Q580" s="143"/>
      <c r="R580" s="143"/>
      <c r="S580" s="143"/>
      <c r="T580" s="143"/>
      <c r="U580" s="143"/>
      <c r="V580" s="143"/>
      <c r="W580" s="143"/>
      <c r="X580" s="143"/>
      <c r="Y580" s="143"/>
      <c r="Z580" s="143"/>
      <c r="AA580" s="143"/>
      <c r="AB580" s="143"/>
      <c r="AC580" s="143"/>
      <c r="AD580" s="143"/>
      <c r="AE580" s="143"/>
    </row>
    <row r="581">
      <c r="A581" s="156"/>
      <c r="B581" s="156"/>
      <c r="C581" s="156"/>
      <c r="D581" s="154"/>
      <c r="E581" s="156"/>
      <c r="F581" s="143"/>
      <c r="G581" s="143"/>
      <c r="H581" s="143"/>
      <c r="I581" s="143"/>
      <c r="J581" s="143"/>
      <c r="K581" s="143"/>
      <c r="L581" s="143"/>
      <c r="M581" s="143"/>
      <c r="N581" s="143"/>
      <c r="O581" s="143"/>
      <c r="P581" s="143"/>
      <c r="Q581" s="143"/>
      <c r="R581" s="143"/>
      <c r="S581" s="143"/>
      <c r="T581" s="143"/>
      <c r="U581" s="143"/>
      <c r="V581" s="143"/>
      <c r="W581" s="143"/>
      <c r="X581" s="143"/>
      <c r="Y581" s="143"/>
      <c r="Z581" s="143"/>
      <c r="AA581" s="143"/>
      <c r="AB581" s="143"/>
      <c r="AC581" s="143"/>
      <c r="AD581" s="143"/>
      <c r="AE581" s="143"/>
    </row>
    <row r="582">
      <c r="A582" s="156"/>
      <c r="B582" s="156"/>
      <c r="C582" s="156"/>
      <c r="D582" s="154"/>
      <c r="E582" s="156"/>
      <c r="F582" s="143"/>
      <c r="G582" s="143"/>
      <c r="H582" s="143"/>
      <c r="I582" s="143"/>
      <c r="J582" s="143"/>
      <c r="K582" s="143"/>
      <c r="L582" s="143"/>
      <c r="M582" s="143"/>
      <c r="N582" s="143"/>
      <c r="O582" s="143"/>
      <c r="P582" s="143"/>
      <c r="Q582" s="143"/>
      <c r="R582" s="143"/>
      <c r="S582" s="143"/>
      <c r="T582" s="143"/>
      <c r="U582" s="143"/>
      <c r="V582" s="143"/>
      <c r="W582" s="143"/>
      <c r="X582" s="143"/>
      <c r="Y582" s="143"/>
      <c r="Z582" s="143"/>
      <c r="AA582" s="143"/>
      <c r="AB582" s="143"/>
      <c r="AC582" s="143"/>
      <c r="AD582" s="143"/>
      <c r="AE582" s="143"/>
    </row>
    <row r="583">
      <c r="A583" s="156"/>
      <c r="B583" s="156"/>
      <c r="C583" s="156"/>
      <c r="D583" s="154"/>
      <c r="E583" s="156"/>
      <c r="F583" s="143"/>
      <c r="G583" s="143"/>
      <c r="H583" s="143"/>
      <c r="I583" s="143"/>
      <c r="J583" s="143"/>
      <c r="K583" s="143"/>
      <c r="L583" s="143"/>
      <c r="M583" s="143"/>
      <c r="N583" s="143"/>
      <c r="O583" s="143"/>
      <c r="P583" s="143"/>
      <c r="Q583" s="143"/>
      <c r="R583" s="143"/>
      <c r="S583" s="143"/>
      <c r="T583" s="143"/>
      <c r="U583" s="143"/>
      <c r="V583" s="143"/>
      <c r="W583" s="143"/>
      <c r="X583" s="143"/>
      <c r="Y583" s="143"/>
      <c r="Z583" s="143"/>
      <c r="AA583" s="143"/>
      <c r="AB583" s="143"/>
      <c r="AC583" s="143"/>
      <c r="AD583" s="143"/>
      <c r="AE583" s="143"/>
    </row>
    <row r="584">
      <c r="A584" s="156"/>
      <c r="B584" s="156"/>
      <c r="C584" s="156"/>
      <c r="D584" s="154"/>
      <c r="E584" s="156"/>
      <c r="F584" s="143"/>
      <c r="G584" s="143"/>
      <c r="H584" s="143"/>
      <c r="I584" s="143"/>
      <c r="J584" s="143"/>
      <c r="K584" s="143"/>
      <c r="L584" s="143"/>
      <c r="M584" s="143"/>
      <c r="N584" s="143"/>
      <c r="O584" s="143"/>
      <c r="P584" s="143"/>
      <c r="Q584" s="143"/>
      <c r="R584" s="143"/>
      <c r="S584" s="143"/>
      <c r="T584" s="143"/>
      <c r="U584" s="143"/>
      <c r="V584" s="143"/>
      <c r="W584" s="143"/>
      <c r="X584" s="143"/>
      <c r="Y584" s="143"/>
      <c r="Z584" s="143"/>
      <c r="AA584" s="143"/>
      <c r="AB584" s="143"/>
      <c r="AC584" s="143"/>
      <c r="AD584" s="143"/>
      <c r="AE584" s="143"/>
    </row>
    <row r="585">
      <c r="A585" s="156"/>
      <c r="B585" s="156"/>
      <c r="C585" s="156"/>
      <c r="D585" s="154"/>
      <c r="E585" s="156"/>
      <c r="F585" s="143"/>
      <c r="G585" s="143"/>
      <c r="H585" s="143"/>
      <c r="I585" s="143"/>
      <c r="J585" s="143"/>
      <c r="K585" s="143"/>
      <c r="L585" s="143"/>
      <c r="M585" s="143"/>
      <c r="N585" s="143"/>
      <c r="O585" s="143"/>
      <c r="P585" s="143"/>
      <c r="Q585" s="143"/>
      <c r="R585" s="143"/>
      <c r="S585" s="143"/>
      <c r="T585" s="143"/>
      <c r="U585" s="143"/>
      <c r="V585" s="143"/>
      <c r="W585" s="143"/>
      <c r="X585" s="143"/>
      <c r="Y585" s="143"/>
      <c r="Z585" s="143"/>
      <c r="AA585" s="143"/>
      <c r="AB585" s="143"/>
      <c r="AC585" s="143"/>
      <c r="AD585" s="143"/>
      <c r="AE585" s="143"/>
    </row>
    <row r="586">
      <c r="A586" s="156"/>
      <c r="B586" s="156"/>
      <c r="C586" s="156"/>
      <c r="D586" s="154"/>
      <c r="E586" s="156"/>
      <c r="F586" s="143"/>
      <c r="G586" s="143"/>
      <c r="H586" s="143"/>
      <c r="I586" s="143"/>
      <c r="J586" s="143"/>
      <c r="K586" s="143"/>
      <c r="L586" s="143"/>
      <c r="M586" s="143"/>
      <c r="N586" s="143"/>
      <c r="O586" s="143"/>
      <c r="P586" s="143"/>
      <c r="Q586" s="143"/>
      <c r="R586" s="143"/>
      <c r="S586" s="143"/>
      <c r="T586" s="143"/>
      <c r="U586" s="143"/>
      <c r="V586" s="143"/>
      <c r="W586" s="143"/>
      <c r="X586" s="143"/>
      <c r="Y586" s="143"/>
      <c r="Z586" s="143"/>
      <c r="AA586" s="143"/>
      <c r="AB586" s="143"/>
      <c r="AC586" s="143"/>
      <c r="AD586" s="143"/>
      <c r="AE586" s="143"/>
    </row>
    <row r="587">
      <c r="A587" s="156"/>
      <c r="B587" s="156"/>
      <c r="C587" s="156"/>
      <c r="D587" s="154"/>
      <c r="E587" s="156"/>
      <c r="F587" s="143"/>
      <c r="G587" s="143"/>
      <c r="H587" s="143"/>
      <c r="I587" s="143"/>
      <c r="J587" s="143"/>
      <c r="K587" s="143"/>
      <c r="L587" s="143"/>
      <c r="M587" s="143"/>
      <c r="N587" s="143"/>
      <c r="O587" s="143"/>
      <c r="P587" s="143"/>
      <c r="Q587" s="143"/>
      <c r="R587" s="143"/>
      <c r="S587" s="143"/>
      <c r="T587" s="143"/>
      <c r="U587" s="143"/>
      <c r="V587" s="143"/>
      <c r="W587" s="143"/>
      <c r="X587" s="143"/>
      <c r="Y587" s="143"/>
      <c r="Z587" s="143"/>
      <c r="AA587" s="143"/>
      <c r="AB587" s="143"/>
      <c r="AC587" s="143"/>
      <c r="AD587" s="143"/>
      <c r="AE587" s="143"/>
    </row>
    <row r="588">
      <c r="A588" s="156"/>
      <c r="B588" s="156"/>
      <c r="C588" s="156"/>
      <c r="D588" s="154"/>
      <c r="E588" s="156"/>
      <c r="F588" s="143"/>
      <c r="G588" s="143"/>
      <c r="H588" s="143"/>
      <c r="I588" s="143"/>
      <c r="J588" s="143"/>
      <c r="K588" s="143"/>
      <c r="L588" s="143"/>
      <c r="M588" s="143"/>
      <c r="N588" s="143"/>
      <c r="O588" s="143"/>
      <c r="P588" s="143"/>
      <c r="Q588" s="143"/>
      <c r="R588" s="143"/>
      <c r="S588" s="143"/>
      <c r="T588" s="143"/>
      <c r="U588" s="143"/>
      <c r="V588" s="143"/>
      <c r="W588" s="143"/>
      <c r="X588" s="143"/>
      <c r="Y588" s="143"/>
      <c r="Z588" s="143"/>
      <c r="AA588" s="143"/>
      <c r="AB588" s="143"/>
      <c r="AC588" s="143"/>
      <c r="AD588" s="143"/>
      <c r="AE588" s="143"/>
    </row>
    <row r="589">
      <c r="A589" s="156"/>
      <c r="B589" s="156"/>
      <c r="C589" s="156"/>
      <c r="D589" s="154"/>
      <c r="E589" s="156"/>
      <c r="F589" s="143"/>
      <c r="G589" s="143"/>
      <c r="H589" s="143"/>
      <c r="I589" s="143"/>
      <c r="J589" s="143"/>
      <c r="K589" s="143"/>
      <c r="L589" s="143"/>
      <c r="M589" s="143"/>
      <c r="N589" s="143"/>
      <c r="O589" s="143"/>
      <c r="P589" s="143"/>
      <c r="Q589" s="143"/>
      <c r="R589" s="143"/>
      <c r="S589" s="143"/>
      <c r="T589" s="143"/>
      <c r="U589" s="143"/>
      <c r="V589" s="143"/>
      <c r="W589" s="143"/>
      <c r="X589" s="143"/>
      <c r="Y589" s="143"/>
      <c r="Z589" s="143"/>
      <c r="AA589" s="143"/>
      <c r="AB589" s="143"/>
      <c r="AC589" s="143"/>
      <c r="AD589" s="143"/>
      <c r="AE589" s="143"/>
    </row>
    <row r="590">
      <c r="A590" s="156"/>
      <c r="B590" s="156"/>
      <c r="C590" s="156"/>
      <c r="D590" s="154"/>
      <c r="E590" s="156"/>
      <c r="F590" s="143"/>
      <c r="G590" s="143"/>
      <c r="H590" s="143"/>
      <c r="I590" s="143"/>
      <c r="J590" s="143"/>
      <c r="K590" s="143"/>
      <c r="L590" s="143"/>
      <c r="M590" s="143"/>
      <c r="N590" s="143"/>
      <c r="O590" s="143"/>
      <c r="P590" s="143"/>
      <c r="Q590" s="143"/>
      <c r="R590" s="143"/>
      <c r="S590" s="143"/>
      <c r="T590" s="143"/>
      <c r="U590" s="143"/>
      <c r="V590" s="143"/>
      <c r="W590" s="143"/>
      <c r="X590" s="143"/>
      <c r="Y590" s="143"/>
      <c r="Z590" s="143"/>
      <c r="AA590" s="143"/>
      <c r="AB590" s="143"/>
      <c r="AC590" s="143"/>
      <c r="AD590" s="143"/>
      <c r="AE590" s="143"/>
    </row>
    <row r="591">
      <c r="A591" s="156"/>
      <c r="B591" s="156"/>
      <c r="C591" s="156"/>
      <c r="D591" s="154"/>
      <c r="E591" s="156"/>
      <c r="F591" s="143"/>
      <c r="G591" s="143"/>
      <c r="H591" s="143"/>
      <c r="I591" s="143"/>
      <c r="J591" s="143"/>
      <c r="K591" s="143"/>
      <c r="L591" s="143"/>
      <c r="M591" s="143"/>
      <c r="N591" s="143"/>
      <c r="O591" s="143"/>
      <c r="P591" s="143"/>
      <c r="Q591" s="143"/>
      <c r="R591" s="143"/>
      <c r="S591" s="143"/>
      <c r="T591" s="143"/>
      <c r="U591" s="143"/>
      <c r="V591" s="143"/>
      <c r="W591" s="143"/>
      <c r="X591" s="143"/>
      <c r="Y591" s="143"/>
      <c r="Z591" s="143"/>
      <c r="AA591" s="143"/>
      <c r="AB591" s="143"/>
      <c r="AC591" s="143"/>
      <c r="AD591" s="143"/>
      <c r="AE591" s="143"/>
    </row>
    <row r="592">
      <c r="A592" s="156"/>
      <c r="B592" s="156"/>
      <c r="C592" s="156"/>
      <c r="D592" s="154"/>
      <c r="E592" s="156"/>
      <c r="F592" s="143"/>
      <c r="G592" s="143"/>
      <c r="H592" s="143"/>
      <c r="I592" s="143"/>
      <c r="J592" s="143"/>
      <c r="K592" s="143"/>
      <c r="L592" s="143"/>
      <c r="M592" s="143"/>
      <c r="N592" s="143"/>
      <c r="O592" s="143"/>
      <c r="P592" s="143"/>
      <c r="Q592" s="143"/>
      <c r="R592" s="143"/>
      <c r="S592" s="143"/>
      <c r="T592" s="143"/>
      <c r="U592" s="143"/>
      <c r="V592" s="143"/>
      <c r="W592" s="143"/>
      <c r="X592" s="143"/>
      <c r="Y592" s="143"/>
      <c r="Z592" s="143"/>
      <c r="AA592" s="143"/>
      <c r="AB592" s="143"/>
      <c r="AC592" s="143"/>
      <c r="AD592" s="143"/>
      <c r="AE592" s="143"/>
    </row>
    <row r="593">
      <c r="A593" s="156"/>
      <c r="B593" s="156"/>
      <c r="C593" s="156"/>
      <c r="D593" s="154"/>
      <c r="E593" s="156"/>
      <c r="F593" s="143"/>
      <c r="G593" s="143"/>
      <c r="H593" s="143"/>
      <c r="I593" s="143"/>
      <c r="J593" s="143"/>
      <c r="K593" s="143"/>
      <c r="L593" s="143"/>
      <c r="M593" s="143"/>
      <c r="N593" s="143"/>
      <c r="O593" s="143"/>
      <c r="P593" s="143"/>
      <c r="Q593" s="143"/>
      <c r="R593" s="143"/>
      <c r="S593" s="143"/>
      <c r="T593" s="143"/>
      <c r="U593" s="143"/>
      <c r="V593" s="143"/>
      <c r="W593" s="143"/>
      <c r="X593" s="143"/>
      <c r="Y593" s="143"/>
      <c r="Z593" s="143"/>
      <c r="AA593" s="143"/>
      <c r="AB593" s="143"/>
      <c r="AC593" s="143"/>
      <c r="AD593" s="143"/>
      <c r="AE593" s="143"/>
    </row>
    <row r="594">
      <c r="A594" s="156"/>
      <c r="B594" s="156"/>
      <c r="C594" s="156"/>
      <c r="D594" s="154"/>
      <c r="E594" s="156"/>
      <c r="F594" s="143"/>
      <c r="G594" s="143"/>
      <c r="H594" s="143"/>
      <c r="I594" s="143"/>
      <c r="J594" s="143"/>
      <c r="K594" s="143"/>
      <c r="L594" s="143"/>
      <c r="M594" s="143"/>
      <c r="N594" s="143"/>
      <c r="O594" s="143"/>
      <c r="P594" s="143"/>
      <c r="Q594" s="143"/>
      <c r="R594" s="143"/>
      <c r="S594" s="143"/>
      <c r="T594" s="143"/>
      <c r="U594" s="143"/>
      <c r="V594" s="143"/>
      <c r="W594" s="143"/>
      <c r="X594" s="143"/>
      <c r="Y594" s="143"/>
      <c r="Z594" s="143"/>
      <c r="AA594" s="143"/>
      <c r="AB594" s="143"/>
      <c r="AC594" s="143"/>
      <c r="AD594" s="143"/>
      <c r="AE594" s="143"/>
    </row>
    <row r="595">
      <c r="A595" s="156"/>
      <c r="B595" s="156"/>
      <c r="C595" s="156"/>
      <c r="D595" s="154"/>
      <c r="E595" s="156"/>
      <c r="F595" s="143"/>
      <c r="G595" s="143"/>
      <c r="H595" s="143"/>
      <c r="I595" s="143"/>
      <c r="J595" s="143"/>
      <c r="K595" s="143"/>
      <c r="L595" s="143"/>
      <c r="M595" s="143"/>
      <c r="N595" s="143"/>
      <c r="O595" s="143"/>
      <c r="P595" s="143"/>
      <c r="Q595" s="143"/>
      <c r="R595" s="143"/>
      <c r="S595" s="143"/>
      <c r="T595" s="143"/>
      <c r="U595" s="143"/>
      <c r="V595" s="143"/>
      <c r="W595" s="143"/>
      <c r="X595" s="143"/>
      <c r="Y595" s="143"/>
      <c r="Z595" s="143"/>
      <c r="AA595" s="143"/>
      <c r="AB595" s="143"/>
      <c r="AC595" s="143"/>
      <c r="AD595" s="143"/>
      <c r="AE595" s="143"/>
    </row>
    <row r="596">
      <c r="A596" s="156"/>
      <c r="B596" s="156"/>
      <c r="C596" s="156"/>
      <c r="D596" s="154"/>
      <c r="E596" s="156"/>
      <c r="F596" s="143"/>
      <c r="G596" s="143"/>
      <c r="H596" s="143"/>
      <c r="I596" s="143"/>
      <c r="J596" s="143"/>
      <c r="K596" s="143"/>
      <c r="L596" s="143"/>
      <c r="M596" s="143"/>
      <c r="N596" s="143"/>
      <c r="O596" s="143"/>
      <c r="P596" s="143"/>
      <c r="Q596" s="143"/>
      <c r="R596" s="143"/>
      <c r="S596" s="143"/>
      <c r="T596" s="143"/>
      <c r="U596" s="143"/>
      <c r="V596" s="143"/>
      <c r="W596" s="143"/>
      <c r="X596" s="143"/>
      <c r="Y596" s="143"/>
      <c r="Z596" s="143"/>
      <c r="AA596" s="143"/>
      <c r="AB596" s="143"/>
      <c r="AC596" s="143"/>
      <c r="AD596" s="143"/>
      <c r="AE596" s="143"/>
    </row>
    <row r="597">
      <c r="A597" s="156"/>
      <c r="B597" s="156"/>
      <c r="C597" s="156"/>
      <c r="D597" s="154"/>
      <c r="E597" s="156"/>
      <c r="F597" s="143"/>
      <c r="G597" s="143"/>
      <c r="H597" s="143"/>
      <c r="I597" s="143"/>
      <c r="J597" s="143"/>
      <c r="K597" s="143"/>
      <c r="L597" s="143"/>
      <c r="M597" s="143"/>
      <c r="N597" s="143"/>
      <c r="O597" s="143"/>
      <c r="P597" s="143"/>
      <c r="Q597" s="143"/>
      <c r="R597" s="143"/>
      <c r="S597" s="143"/>
      <c r="T597" s="143"/>
      <c r="U597" s="143"/>
      <c r="V597" s="143"/>
      <c r="W597" s="143"/>
      <c r="X597" s="143"/>
      <c r="Y597" s="143"/>
      <c r="Z597" s="143"/>
      <c r="AA597" s="143"/>
      <c r="AB597" s="143"/>
      <c r="AC597" s="143"/>
      <c r="AD597" s="143"/>
      <c r="AE597" s="143"/>
    </row>
    <row r="598">
      <c r="A598" s="156"/>
      <c r="B598" s="156"/>
      <c r="C598" s="156"/>
      <c r="D598" s="154"/>
      <c r="E598" s="156"/>
      <c r="F598" s="143"/>
      <c r="G598" s="143"/>
      <c r="H598" s="143"/>
      <c r="I598" s="143"/>
      <c r="J598" s="143"/>
      <c r="K598" s="143"/>
      <c r="L598" s="143"/>
      <c r="M598" s="143"/>
      <c r="N598" s="143"/>
      <c r="O598" s="143"/>
      <c r="P598" s="143"/>
      <c r="Q598" s="143"/>
      <c r="R598" s="143"/>
      <c r="S598" s="143"/>
      <c r="T598" s="143"/>
      <c r="U598" s="143"/>
      <c r="V598" s="143"/>
      <c r="W598" s="143"/>
      <c r="X598" s="143"/>
      <c r="Y598" s="143"/>
      <c r="Z598" s="143"/>
      <c r="AA598" s="143"/>
      <c r="AB598" s="143"/>
      <c r="AC598" s="143"/>
      <c r="AD598" s="143"/>
      <c r="AE598" s="143"/>
    </row>
    <row r="599">
      <c r="A599" s="156"/>
      <c r="B599" s="156"/>
      <c r="C599" s="156"/>
      <c r="D599" s="154"/>
      <c r="E599" s="156"/>
      <c r="F599" s="143"/>
      <c r="G599" s="143"/>
      <c r="H599" s="143"/>
      <c r="I599" s="143"/>
      <c r="J599" s="143"/>
      <c r="K599" s="143"/>
      <c r="L599" s="143"/>
      <c r="M599" s="143"/>
      <c r="N599" s="143"/>
      <c r="O599" s="143"/>
      <c r="P599" s="143"/>
      <c r="Q599" s="143"/>
      <c r="R599" s="143"/>
      <c r="S599" s="143"/>
      <c r="T599" s="143"/>
      <c r="U599" s="143"/>
      <c r="V599" s="143"/>
      <c r="W599" s="143"/>
      <c r="X599" s="143"/>
      <c r="Y599" s="143"/>
      <c r="Z599" s="143"/>
      <c r="AA599" s="143"/>
      <c r="AB599" s="143"/>
      <c r="AC599" s="143"/>
      <c r="AD599" s="143"/>
      <c r="AE599" s="143"/>
    </row>
    <row r="600">
      <c r="A600" s="156"/>
      <c r="B600" s="156"/>
      <c r="C600" s="156"/>
      <c r="D600" s="154"/>
      <c r="E600" s="156"/>
      <c r="F600" s="143"/>
      <c r="G600" s="143"/>
      <c r="H600" s="143"/>
      <c r="I600" s="143"/>
      <c r="J600" s="143"/>
      <c r="K600" s="143"/>
      <c r="L600" s="143"/>
      <c r="M600" s="143"/>
      <c r="N600" s="143"/>
      <c r="O600" s="143"/>
      <c r="P600" s="143"/>
      <c r="Q600" s="143"/>
      <c r="R600" s="143"/>
      <c r="S600" s="143"/>
      <c r="T600" s="143"/>
      <c r="U600" s="143"/>
      <c r="V600" s="143"/>
      <c r="W600" s="143"/>
      <c r="X600" s="143"/>
      <c r="Y600" s="143"/>
      <c r="Z600" s="143"/>
      <c r="AA600" s="143"/>
      <c r="AB600" s="143"/>
      <c r="AC600" s="143"/>
      <c r="AD600" s="143"/>
      <c r="AE600" s="143"/>
    </row>
    <row r="601">
      <c r="A601" s="156"/>
      <c r="B601" s="156"/>
      <c r="C601" s="156"/>
      <c r="D601" s="154"/>
      <c r="E601" s="156"/>
      <c r="F601" s="143"/>
      <c r="G601" s="143"/>
      <c r="H601" s="143"/>
      <c r="I601" s="143"/>
      <c r="J601" s="143"/>
      <c r="K601" s="143"/>
      <c r="L601" s="143"/>
      <c r="M601" s="143"/>
      <c r="N601" s="143"/>
      <c r="O601" s="143"/>
      <c r="P601" s="143"/>
      <c r="Q601" s="143"/>
      <c r="R601" s="143"/>
      <c r="S601" s="143"/>
      <c r="T601" s="143"/>
      <c r="U601" s="143"/>
      <c r="V601" s="143"/>
      <c r="W601" s="143"/>
      <c r="X601" s="143"/>
      <c r="Y601" s="143"/>
      <c r="Z601" s="143"/>
      <c r="AA601" s="143"/>
      <c r="AB601" s="143"/>
      <c r="AC601" s="143"/>
      <c r="AD601" s="143"/>
      <c r="AE601" s="143"/>
    </row>
    <row r="602">
      <c r="A602" s="156"/>
      <c r="B602" s="156"/>
      <c r="C602" s="156"/>
      <c r="D602" s="154"/>
      <c r="E602" s="156"/>
      <c r="F602" s="143"/>
      <c r="G602" s="143"/>
      <c r="H602" s="143"/>
      <c r="I602" s="143"/>
      <c r="J602" s="143"/>
      <c r="K602" s="143"/>
      <c r="L602" s="143"/>
      <c r="M602" s="143"/>
      <c r="N602" s="143"/>
      <c r="O602" s="143"/>
      <c r="P602" s="143"/>
      <c r="Q602" s="143"/>
      <c r="R602" s="143"/>
      <c r="S602" s="143"/>
      <c r="T602" s="143"/>
      <c r="U602" s="143"/>
      <c r="V602" s="143"/>
      <c r="W602" s="143"/>
      <c r="X602" s="143"/>
      <c r="Y602" s="143"/>
      <c r="Z602" s="143"/>
      <c r="AA602" s="143"/>
      <c r="AB602" s="143"/>
      <c r="AC602" s="143"/>
      <c r="AD602" s="143"/>
      <c r="AE602" s="143"/>
    </row>
    <row r="603">
      <c r="A603" s="156"/>
      <c r="B603" s="156"/>
      <c r="C603" s="156"/>
      <c r="D603" s="154"/>
      <c r="E603" s="156"/>
      <c r="F603" s="143"/>
      <c r="G603" s="143"/>
      <c r="H603" s="143"/>
      <c r="I603" s="143"/>
      <c r="J603" s="143"/>
      <c r="K603" s="143"/>
      <c r="L603" s="143"/>
      <c r="M603" s="143"/>
      <c r="N603" s="143"/>
      <c r="O603" s="143"/>
      <c r="P603" s="143"/>
      <c r="Q603" s="143"/>
      <c r="R603" s="143"/>
      <c r="S603" s="143"/>
      <c r="T603" s="143"/>
      <c r="U603" s="143"/>
      <c r="V603" s="143"/>
      <c r="W603" s="143"/>
      <c r="X603" s="143"/>
      <c r="Y603" s="143"/>
      <c r="Z603" s="143"/>
      <c r="AA603" s="143"/>
      <c r="AB603" s="143"/>
      <c r="AC603" s="143"/>
      <c r="AD603" s="143"/>
      <c r="AE603" s="143"/>
    </row>
    <row r="604">
      <c r="A604" s="156"/>
      <c r="B604" s="156"/>
      <c r="C604" s="156"/>
      <c r="D604" s="154"/>
      <c r="E604" s="156"/>
      <c r="F604" s="143"/>
      <c r="G604" s="143"/>
      <c r="H604" s="143"/>
      <c r="I604" s="143"/>
      <c r="J604" s="143"/>
      <c r="K604" s="143"/>
      <c r="L604" s="143"/>
      <c r="M604" s="143"/>
      <c r="N604" s="143"/>
      <c r="O604" s="143"/>
      <c r="P604" s="143"/>
      <c r="Q604" s="143"/>
      <c r="R604" s="143"/>
      <c r="S604" s="143"/>
      <c r="T604" s="143"/>
      <c r="U604" s="143"/>
      <c r="V604" s="143"/>
      <c r="W604" s="143"/>
      <c r="X604" s="143"/>
      <c r="Y604" s="143"/>
      <c r="Z604" s="143"/>
      <c r="AA604" s="143"/>
      <c r="AB604" s="143"/>
      <c r="AC604" s="143"/>
      <c r="AD604" s="143"/>
      <c r="AE604" s="143"/>
    </row>
    <row r="605">
      <c r="A605" s="156"/>
      <c r="B605" s="156"/>
      <c r="C605" s="156"/>
      <c r="D605" s="154"/>
      <c r="E605" s="156"/>
      <c r="F605" s="143"/>
      <c r="G605" s="143"/>
      <c r="H605" s="143"/>
      <c r="I605" s="143"/>
      <c r="J605" s="143"/>
      <c r="K605" s="143"/>
      <c r="L605" s="143"/>
      <c r="M605" s="143"/>
      <c r="N605" s="143"/>
      <c r="O605" s="143"/>
      <c r="P605" s="143"/>
      <c r="Q605" s="143"/>
      <c r="R605" s="143"/>
      <c r="S605" s="143"/>
      <c r="T605" s="143"/>
      <c r="U605" s="143"/>
      <c r="V605" s="143"/>
      <c r="W605" s="143"/>
      <c r="X605" s="143"/>
      <c r="Y605" s="143"/>
      <c r="Z605" s="143"/>
      <c r="AA605" s="143"/>
      <c r="AB605" s="143"/>
      <c r="AC605" s="143"/>
      <c r="AD605" s="143"/>
      <c r="AE605" s="143"/>
    </row>
    <row r="606">
      <c r="A606" s="156"/>
      <c r="B606" s="156"/>
      <c r="C606" s="156"/>
      <c r="D606" s="154"/>
      <c r="E606" s="156"/>
      <c r="F606" s="143"/>
      <c r="G606" s="143"/>
      <c r="H606" s="143"/>
      <c r="I606" s="143"/>
      <c r="J606" s="143"/>
      <c r="K606" s="143"/>
      <c r="L606" s="143"/>
      <c r="M606" s="143"/>
      <c r="N606" s="143"/>
      <c r="O606" s="143"/>
      <c r="P606" s="143"/>
      <c r="Q606" s="143"/>
      <c r="R606" s="143"/>
      <c r="S606" s="143"/>
      <c r="T606" s="143"/>
      <c r="U606" s="143"/>
      <c r="V606" s="143"/>
      <c r="W606" s="143"/>
      <c r="X606" s="143"/>
      <c r="Y606" s="143"/>
      <c r="Z606" s="143"/>
      <c r="AA606" s="143"/>
      <c r="AB606" s="143"/>
      <c r="AC606" s="143"/>
      <c r="AD606" s="143"/>
      <c r="AE606" s="143"/>
    </row>
    <row r="607">
      <c r="A607" s="156"/>
      <c r="B607" s="156"/>
      <c r="C607" s="156"/>
      <c r="D607" s="154"/>
      <c r="E607" s="156"/>
      <c r="F607" s="143"/>
      <c r="G607" s="143"/>
      <c r="H607" s="143"/>
      <c r="I607" s="143"/>
      <c r="J607" s="143"/>
      <c r="K607" s="143"/>
      <c r="L607" s="143"/>
      <c r="M607" s="143"/>
      <c r="N607" s="143"/>
      <c r="O607" s="143"/>
      <c r="P607" s="143"/>
      <c r="Q607" s="143"/>
      <c r="R607" s="143"/>
      <c r="S607" s="143"/>
      <c r="T607" s="143"/>
      <c r="U607" s="143"/>
      <c r="V607" s="143"/>
      <c r="W607" s="143"/>
      <c r="X607" s="143"/>
      <c r="Y607" s="143"/>
      <c r="Z607" s="143"/>
      <c r="AA607" s="143"/>
      <c r="AB607" s="143"/>
      <c r="AC607" s="143"/>
      <c r="AD607" s="143"/>
      <c r="AE607" s="143"/>
    </row>
    <row r="608">
      <c r="A608" s="156"/>
      <c r="B608" s="156"/>
      <c r="C608" s="156"/>
      <c r="D608" s="154"/>
      <c r="E608" s="156"/>
      <c r="F608" s="143"/>
      <c r="G608" s="143"/>
      <c r="H608" s="143"/>
      <c r="I608" s="143"/>
      <c r="J608" s="143"/>
      <c r="K608" s="143"/>
      <c r="L608" s="143"/>
      <c r="M608" s="143"/>
      <c r="N608" s="143"/>
      <c r="O608" s="143"/>
      <c r="P608" s="143"/>
      <c r="Q608" s="143"/>
      <c r="R608" s="143"/>
      <c r="S608" s="143"/>
      <c r="T608" s="143"/>
      <c r="U608" s="143"/>
      <c r="V608" s="143"/>
      <c r="W608" s="143"/>
      <c r="X608" s="143"/>
      <c r="Y608" s="143"/>
      <c r="Z608" s="143"/>
      <c r="AA608" s="143"/>
      <c r="AB608" s="143"/>
      <c r="AC608" s="143"/>
      <c r="AD608" s="143"/>
      <c r="AE608" s="143"/>
    </row>
    <row r="609">
      <c r="A609" s="156"/>
      <c r="B609" s="156"/>
      <c r="C609" s="156"/>
      <c r="D609" s="154"/>
      <c r="E609" s="156"/>
      <c r="F609" s="143"/>
      <c r="G609" s="143"/>
      <c r="H609" s="143"/>
      <c r="I609" s="143"/>
      <c r="J609" s="143"/>
      <c r="K609" s="143"/>
      <c r="L609" s="143"/>
      <c r="M609" s="143"/>
      <c r="N609" s="143"/>
      <c r="O609" s="143"/>
      <c r="P609" s="143"/>
      <c r="Q609" s="143"/>
      <c r="R609" s="143"/>
      <c r="S609" s="143"/>
      <c r="T609" s="143"/>
      <c r="U609" s="143"/>
      <c r="V609" s="143"/>
      <c r="W609" s="143"/>
      <c r="X609" s="143"/>
      <c r="Y609" s="143"/>
      <c r="Z609" s="143"/>
      <c r="AA609" s="143"/>
      <c r="AB609" s="143"/>
      <c r="AC609" s="143"/>
      <c r="AD609" s="143"/>
      <c r="AE609" s="143"/>
    </row>
    <row r="610">
      <c r="A610" s="156"/>
      <c r="B610" s="156"/>
      <c r="C610" s="156"/>
      <c r="D610" s="154"/>
      <c r="E610" s="156"/>
      <c r="F610" s="143"/>
      <c r="G610" s="143"/>
      <c r="H610" s="143"/>
      <c r="I610" s="143"/>
      <c r="J610" s="143"/>
      <c r="K610" s="143"/>
      <c r="L610" s="143"/>
      <c r="M610" s="143"/>
      <c r="N610" s="143"/>
      <c r="O610" s="143"/>
      <c r="P610" s="143"/>
      <c r="Q610" s="143"/>
      <c r="R610" s="143"/>
      <c r="S610" s="143"/>
      <c r="T610" s="143"/>
      <c r="U610" s="143"/>
      <c r="V610" s="143"/>
      <c r="W610" s="143"/>
      <c r="X610" s="143"/>
      <c r="Y610" s="143"/>
      <c r="Z610" s="143"/>
      <c r="AA610" s="143"/>
      <c r="AB610" s="143"/>
      <c r="AC610" s="143"/>
      <c r="AD610" s="143"/>
      <c r="AE610" s="143"/>
    </row>
    <row r="611">
      <c r="A611" s="156"/>
      <c r="B611" s="156"/>
      <c r="C611" s="156"/>
      <c r="D611" s="154"/>
      <c r="E611" s="156"/>
      <c r="F611" s="143"/>
      <c r="G611" s="143"/>
      <c r="H611" s="143"/>
      <c r="I611" s="143"/>
      <c r="J611" s="143"/>
      <c r="K611" s="143"/>
      <c r="L611" s="143"/>
      <c r="M611" s="143"/>
      <c r="N611" s="143"/>
      <c r="O611" s="143"/>
      <c r="P611" s="143"/>
      <c r="Q611" s="143"/>
      <c r="R611" s="143"/>
      <c r="S611" s="143"/>
      <c r="T611" s="143"/>
      <c r="U611" s="143"/>
      <c r="V611" s="143"/>
      <c r="W611" s="143"/>
      <c r="X611" s="143"/>
      <c r="Y611" s="143"/>
      <c r="Z611" s="143"/>
      <c r="AA611" s="143"/>
      <c r="AB611" s="143"/>
      <c r="AC611" s="143"/>
      <c r="AD611" s="143"/>
      <c r="AE611" s="143"/>
    </row>
    <row r="612">
      <c r="A612" s="156"/>
      <c r="B612" s="156"/>
      <c r="C612" s="156"/>
      <c r="D612" s="154"/>
      <c r="E612" s="156"/>
      <c r="F612" s="143"/>
      <c r="G612" s="143"/>
      <c r="H612" s="143"/>
      <c r="I612" s="143"/>
      <c r="J612" s="143"/>
      <c r="K612" s="143"/>
      <c r="L612" s="143"/>
      <c r="M612" s="143"/>
      <c r="N612" s="143"/>
      <c r="O612" s="143"/>
      <c r="P612" s="143"/>
      <c r="Q612" s="143"/>
      <c r="R612" s="143"/>
      <c r="S612" s="143"/>
      <c r="T612" s="143"/>
      <c r="U612" s="143"/>
      <c r="V612" s="143"/>
      <c r="W612" s="143"/>
      <c r="X612" s="143"/>
      <c r="Y612" s="143"/>
      <c r="Z612" s="143"/>
      <c r="AA612" s="143"/>
      <c r="AB612" s="143"/>
      <c r="AC612" s="143"/>
      <c r="AD612" s="143"/>
      <c r="AE612" s="143"/>
    </row>
    <row r="613">
      <c r="A613" s="156"/>
      <c r="B613" s="156"/>
      <c r="C613" s="156"/>
      <c r="D613" s="154"/>
      <c r="E613" s="156"/>
      <c r="F613" s="143"/>
      <c r="G613" s="143"/>
      <c r="H613" s="143"/>
      <c r="I613" s="143"/>
      <c r="J613" s="143"/>
      <c r="K613" s="143"/>
      <c r="L613" s="143"/>
      <c r="M613" s="143"/>
      <c r="N613" s="143"/>
      <c r="O613" s="143"/>
      <c r="P613" s="143"/>
      <c r="Q613" s="143"/>
      <c r="R613" s="143"/>
      <c r="S613" s="143"/>
      <c r="T613" s="143"/>
      <c r="U613" s="143"/>
      <c r="V613" s="143"/>
      <c r="W613" s="143"/>
      <c r="X613" s="143"/>
      <c r="Y613" s="143"/>
      <c r="Z613" s="143"/>
      <c r="AA613" s="143"/>
      <c r="AB613" s="143"/>
      <c r="AC613" s="143"/>
      <c r="AD613" s="143"/>
      <c r="AE613" s="143"/>
    </row>
    <row r="614">
      <c r="A614" s="156"/>
      <c r="B614" s="156"/>
      <c r="C614" s="156"/>
      <c r="D614" s="154"/>
      <c r="E614" s="156"/>
      <c r="F614" s="143"/>
      <c r="G614" s="143"/>
      <c r="H614" s="143"/>
      <c r="I614" s="143"/>
      <c r="J614" s="143"/>
      <c r="K614" s="143"/>
      <c r="L614" s="143"/>
      <c r="M614" s="143"/>
      <c r="N614" s="143"/>
      <c r="O614" s="143"/>
      <c r="P614" s="143"/>
      <c r="Q614" s="143"/>
      <c r="R614" s="143"/>
      <c r="S614" s="143"/>
      <c r="T614" s="143"/>
      <c r="U614" s="143"/>
      <c r="V614" s="143"/>
      <c r="W614" s="143"/>
      <c r="X614" s="143"/>
      <c r="Y614" s="143"/>
      <c r="Z614" s="143"/>
      <c r="AA614" s="143"/>
      <c r="AB614" s="143"/>
      <c r="AC614" s="143"/>
      <c r="AD614" s="143"/>
      <c r="AE614" s="143"/>
    </row>
    <row r="615">
      <c r="A615" s="156"/>
      <c r="B615" s="156"/>
      <c r="C615" s="156"/>
      <c r="D615" s="154"/>
      <c r="E615" s="156"/>
      <c r="F615" s="143"/>
      <c r="G615" s="143"/>
      <c r="H615" s="143"/>
      <c r="I615" s="143"/>
      <c r="J615" s="143"/>
      <c r="K615" s="143"/>
      <c r="L615" s="143"/>
      <c r="M615" s="143"/>
      <c r="N615" s="143"/>
      <c r="O615" s="143"/>
      <c r="P615" s="143"/>
      <c r="Q615" s="143"/>
      <c r="R615" s="143"/>
      <c r="S615" s="143"/>
      <c r="T615" s="143"/>
      <c r="U615" s="143"/>
      <c r="V615" s="143"/>
      <c r="W615" s="143"/>
      <c r="X615" s="143"/>
      <c r="Y615" s="143"/>
      <c r="Z615" s="143"/>
      <c r="AA615" s="143"/>
      <c r="AB615" s="143"/>
      <c r="AC615" s="143"/>
      <c r="AD615" s="143"/>
      <c r="AE615" s="143"/>
    </row>
    <row r="616">
      <c r="A616" s="156"/>
      <c r="B616" s="156"/>
      <c r="C616" s="156"/>
      <c r="D616" s="154"/>
      <c r="E616" s="156"/>
      <c r="F616" s="143"/>
      <c r="G616" s="143"/>
      <c r="H616" s="143"/>
      <c r="I616" s="143"/>
      <c r="J616" s="143"/>
      <c r="K616" s="143"/>
      <c r="L616" s="143"/>
      <c r="M616" s="143"/>
      <c r="N616" s="143"/>
      <c r="O616" s="143"/>
      <c r="P616" s="143"/>
      <c r="Q616" s="143"/>
      <c r="R616" s="143"/>
      <c r="S616" s="143"/>
      <c r="T616" s="143"/>
      <c r="U616" s="143"/>
      <c r="V616" s="143"/>
      <c r="W616" s="143"/>
      <c r="X616" s="143"/>
      <c r="Y616" s="143"/>
      <c r="Z616" s="143"/>
      <c r="AA616" s="143"/>
      <c r="AB616" s="143"/>
      <c r="AC616" s="143"/>
      <c r="AD616" s="143"/>
      <c r="AE616" s="143"/>
    </row>
    <row r="617">
      <c r="A617" s="156"/>
      <c r="B617" s="156"/>
      <c r="C617" s="156"/>
      <c r="D617" s="154"/>
      <c r="E617" s="156"/>
      <c r="F617" s="143"/>
      <c r="G617" s="143"/>
      <c r="H617" s="143"/>
      <c r="I617" s="143"/>
      <c r="J617" s="143"/>
      <c r="K617" s="143"/>
      <c r="L617" s="143"/>
      <c r="M617" s="143"/>
      <c r="N617" s="143"/>
      <c r="O617" s="143"/>
      <c r="P617" s="143"/>
      <c r="Q617" s="143"/>
      <c r="R617" s="143"/>
      <c r="S617" s="143"/>
      <c r="T617" s="143"/>
      <c r="U617" s="143"/>
      <c r="V617" s="143"/>
      <c r="W617" s="143"/>
      <c r="X617" s="143"/>
      <c r="Y617" s="143"/>
      <c r="Z617" s="143"/>
      <c r="AA617" s="143"/>
      <c r="AB617" s="143"/>
      <c r="AC617" s="143"/>
      <c r="AD617" s="143"/>
      <c r="AE617" s="143"/>
    </row>
    <row r="618">
      <c r="A618" s="156"/>
      <c r="B618" s="156"/>
      <c r="C618" s="156"/>
      <c r="D618" s="154"/>
      <c r="E618" s="156"/>
      <c r="F618" s="143"/>
      <c r="G618" s="143"/>
      <c r="H618" s="143"/>
      <c r="I618" s="143"/>
      <c r="J618" s="143"/>
      <c r="K618" s="143"/>
      <c r="L618" s="143"/>
      <c r="M618" s="143"/>
      <c r="N618" s="143"/>
      <c r="O618" s="143"/>
      <c r="P618" s="143"/>
      <c r="Q618" s="143"/>
      <c r="R618" s="143"/>
      <c r="S618" s="143"/>
      <c r="T618" s="143"/>
      <c r="U618" s="143"/>
      <c r="V618" s="143"/>
      <c r="W618" s="143"/>
      <c r="X618" s="143"/>
      <c r="Y618" s="143"/>
      <c r="Z618" s="143"/>
      <c r="AA618" s="143"/>
      <c r="AB618" s="143"/>
      <c r="AC618" s="143"/>
      <c r="AD618" s="143"/>
      <c r="AE618" s="143"/>
    </row>
    <row r="619">
      <c r="A619" s="156"/>
      <c r="B619" s="156"/>
      <c r="C619" s="156"/>
      <c r="D619" s="154"/>
      <c r="E619" s="156"/>
      <c r="F619" s="143"/>
      <c r="G619" s="143"/>
      <c r="H619" s="143"/>
      <c r="I619" s="143"/>
      <c r="J619" s="143"/>
      <c r="K619" s="143"/>
      <c r="L619" s="143"/>
      <c r="M619" s="143"/>
      <c r="N619" s="143"/>
      <c r="O619" s="143"/>
      <c r="P619" s="143"/>
      <c r="Q619" s="143"/>
      <c r="R619" s="143"/>
      <c r="S619" s="143"/>
      <c r="T619" s="143"/>
      <c r="U619" s="143"/>
      <c r="V619" s="143"/>
      <c r="W619" s="143"/>
      <c r="X619" s="143"/>
      <c r="Y619" s="143"/>
      <c r="Z619" s="143"/>
      <c r="AA619" s="143"/>
      <c r="AB619" s="143"/>
      <c r="AC619" s="143"/>
      <c r="AD619" s="143"/>
      <c r="AE619" s="143"/>
    </row>
    <row r="620">
      <c r="A620" s="156"/>
      <c r="B620" s="156"/>
      <c r="C620" s="156"/>
      <c r="D620" s="154"/>
      <c r="E620" s="156"/>
      <c r="F620" s="143"/>
      <c r="G620" s="143"/>
      <c r="H620" s="143"/>
      <c r="I620" s="143"/>
      <c r="J620" s="143"/>
      <c r="K620" s="143"/>
      <c r="L620" s="143"/>
      <c r="M620" s="143"/>
      <c r="N620" s="143"/>
      <c r="O620" s="143"/>
      <c r="P620" s="143"/>
      <c r="Q620" s="143"/>
      <c r="R620" s="143"/>
      <c r="S620" s="143"/>
      <c r="T620" s="143"/>
      <c r="U620" s="143"/>
      <c r="V620" s="143"/>
      <c r="W620" s="143"/>
      <c r="X620" s="143"/>
      <c r="Y620" s="143"/>
      <c r="Z620" s="143"/>
      <c r="AA620" s="143"/>
      <c r="AB620" s="143"/>
      <c r="AC620" s="143"/>
      <c r="AD620" s="143"/>
      <c r="AE620" s="143"/>
    </row>
    <row r="621">
      <c r="A621" s="156"/>
      <c r="B621" s="156"/>
      <c r="C621" s="156"/>
      <c r="D621" s="154"/>
      <c r="E621" s="156"/>
      <c r="F621" s="143"/>
      <c r="G621" s="143"/>
      <c r="H621" s="143"/>
      <c r="I621" s="143"/>
      <c r="J621" s="143"/>
      <c r="K621" s="143"/>
      <c r="L621" s="143"/>
      <c r="M621" s="143"/>
      <c r="N621" s="143"/>
      <c r="O621" s="143"/>
      <c r="P621" s="143"/>
      <c r="Q621" s="143"/>
      <c r="R621" s="143"/>
      <c r="S621" s="143"/>
      <c r="T621" s="143"/>
      <c r="U621" s="143"/>
      <c r="V621" s="143"/>
      <c r="W621" s="143"/>
      <c r="X621" s="143"/>
      <c r="Y621" s="143"/>
      <c r="Z621" s="143"/>
      <c r="AA621" s="143"/>
      <c r="AB621" s="143"/>
      <c r="AC621" s="143"/>
      <c r="AD621" s="143"/>
      <c r="AE621" s="143"/>
    </row>
    <row r="622">
      <c r="A622" s="156"/>
      <c r="B622" s="156"/>
      <c r="C622" s="156"/>
      <c r="D622" s="154"/>
      <c r="E622" s="156"/>
      <c r="F622" s="143"/>
      <c r="G622" s="143"/>
      <c r="H622" s="143"/>
      <c r="I622" s="143"/>
      <c r="J622" s="143"/>
      <c r="K622" s="143"/>
      <c r="L622" s="143"/>
      <c r="M622" s="143"/>
      <c r="N622" s="143"/>
      <c r="O622" s="143"/>
      <c r="P622" s="143"/>
      <c r="Q622" s="143"/>
      <c r="R622" s="143"/>
      <c r="S622" s="143"/>
      <c r="T622" s="143"/>
      <c r="U622" s="143"/>
      <c r="V622" s="143"/>
      <c r="W622" s="143"/>
      <c r="X622" s="143"/>
      <c r="Y622" s="143"/>
      <c r="Z622" s="143"/>
      <c r="AA622" s="143"/>
      <c r="AB622" s="143"/>
      <c r="AC622" s="143"/>
      <c r="AD622" s="143"/>
      <c r="AE622" s="143"/>
    </row>
    <row r="623">
      <c r="A623" s="156"/>
      <c r="B623" s="156"/>
      <c r="C623" s="156"/>
      <c r="D623" s="154"/>
      <c r="E623" s="156"/>
      <c r="F623" s="143"/>
      <c r="G623" s="143"/>
      <c r="H623" s="143"/>
      <c r="I623" s="143"/>
      <c r="J623" s="143"/>
      <c r="K623" s="143"/>
      <c r="L623" s="143"/>
      <c r="M623" s="143"/>
      <c r="N623" s="143"/>
      <c r="O623" s="143"/>
      <c r="P623" s="143"/>
      <c r="Q623" s="143"/>
      <c r="R623" s="143"/>
      <c r="S623" s="143"/>
      <c r="T623" s="143"/>
      <c r="U623" s="143"/>
      <c r="V623" s="143"/>
      <c r="W623" s="143"/>
      <c r="X623" s="143"/>
      <c r="Y623" s="143"/>
      <c r="Z623" s="143"/>
      <c r="AA623" s="143"/>
      <c r="AB623" s="143"/>
      <c r="AC623" s="143"/>
      <c r="AD623" s="143"/>
      <c r="AE623" s="143"/>
    </row>
    <row r="624">
      <c r="A624" s="156"/>
      <c r="B624" s="156"/>
      <c r="C624" s="156"/>
      <c r="D624" s="154"/>
      <c r="E624" s="156"/>
      <c r="F624" s="143"/>
      <c r="G624" s="143"/>
      <c r="H624" s="143"/>
      <c r="I624" s="143"/>
      <c r="J624" s="143"/>
      <c r="K624" s="143"/>
      <c r="L624" s="143"/>
      <c r="M624" s="143"/>
      <c r="N624" s="143"/>
      <c r="O624" s="143"/>
      <c r="P624" s="143"/>
      <c r="Q624" s="143"/>
      <c r="R624" s="143"/>
      <c r="S624" s="143"/>
      <c r="T624" s="143"/>
      <c r="U624" s="143"/>
      <c r="V624" s="143"/>
      <c r="W624" s="143"/>
      <c r="X624" s="143"/>
      <c r="Y624" s="143"/>
      <c r="Z624" s="143"/>
      <c r="AA624" s="143"/>
      <c r="AB624" s="143"/>
      <c r="AC624" s="143"/>
      <c r="AD624" s="143"/>
      <c r="AE624" s="143"/>
    </row>
    <row r="625">
      <c r="A625" s="156"/>
      <c r="B625" s="156"/>
      <c r="C625" s="156"/>
      <c r="D625" s="154"/>
      <c r="E625" s="156"/>
      <c r="F625" s="143"/>
      <c r="G625" s="143"/>
      <c r="H625" s="143"/>
      <c r="I625" s="143"/>
      <c r="J625" s="143"/>
      <c r="K625" s="143"/>
      <c r="L625" s="143"/>
      <c r="M625" s="143"/>
      <c r="N625" s="143"/>
      <c r="O625" s="143"/>
      <c r="P625" s="143"/>
      <c r="Q625" s="143"/>
      <c r="R625" s="143"/>
      <c r="S625" s="143"/>
      <c r="T625" s="143"/>
      <c r="U625" s="143"/>
      <c r="V625" s="143"/>
      <c r="W625" s="143"/>
      <c r="X625" s="143"/>
      <c r="Y625" s="143"/>
      <c r="Z625" s="143"/>
      <c r="AA625" s="143"/>
      <c r="AB625" s="143"/>
      <c r="AC625" s="143"/>
      <c r="AD625" s="143"/>
      <c r="AE625" s="143"/>
    </row>
    <row r="626">
      <c r="A626" s="156"/>
      <c r="B626" s="156"/>
      <c r="C626" s="156"/>
      <c r="D626" s="154"/>
      <c r="E626" s="156"/>
      <c r="F626" s="143"/>
      <c r="G626" s="143"/>
      <c r="H626" s="143"/>
      <c r="I626" s="143"/>
      <c r="J626" s="143"/>
      <c r="K626" s="143"/>
      <c r="L626" s="143"/>
      <c r="M626" s="143"/>
      <c r="N626" s="143"/>
      <c r="O626" s="143"/>
      <c r="P626" s="143"/>
      <c r="Q626" s="143"/>
      <c r="R626" s="143"/>
      <c r="S626" s="143"/>
      <c r="T626" s="143"/>
      <c r="U626" s="143"/>
      <c r="V626" s="143"/>
      <c r="W626" s="143"/>
      <c r="X626" s="143"/>
      <c r="Y626" s="143"/>
      <c r="Z626" s="143"/>
      <c r="AA626" s="143"/>
      <c r="AB626" s="143"/>
      <c r="AC626" s="143"/>
      <c r="AD626" s="143"/>
      <c r="AE626" s="143"/>
    </row>
    <row r="627">
      <c r="A627" s="156"/>
      <c r="B627" s="156"/>
      <c r="C627" s="156"/>
      <c r="D627" s="154"/>
      <c r="E627" s="156"/>
      <c r="F627" s="143"/>
      <c r="G627" s="143"/>
      <c r="H627" s="143"/>
      <c r="I627" s="143"/>
      <c r="J627" s="143"/>
      <c r="K627" s="143"/>
      <c r="L627" s="143"/>
      <c r="M627" s="143"/>
      <c r="N627" s="143"/>
      <c r="O627" s="143"/>
      <c r="P627" s="143"/>
      <c r="Q627" s="143"/>
      <c r="R627" s="143"/>
      <c r="S627" s="143"/>
      <c r="T627" s="143"/>
      <c r="U627" s="143"/>
      <c r="V627" s="143"/>
      <c r="W627" s="143"/>
      <c r="X627" s="143"/>
      <c r="Y627" s="143"/>
      <c r="Z627" s="143"/>
      <c r="AA627" s="143"/>
      <c r="AB627" s="143"/>
      <c r="AC627" s="143"/>
      <c r="AD627" s="143"/>
      <c r="AE627" s="143"/>
    </row>
    <row r="628">
      <c r="A628" s="156"/>
      <c r="B628" s="156"/>
      <c r="C628" s="156"/>
      <c r="D628" s="154"/>
      <c r="E628" s="156"/>
      <c r="F628" s="143"/>
      <c r="G628" s="143"/>
      <c r="H628" s="143"/>
      <c r="I628" s="143"/>
      <c r="J628" s="143"/>
      <c r="K628" s="143"/>
      <c r="L628" s="143"/>
      <c r="M628" s="143"/>
      <c r="N628" s="143"/>
      <c r="O628" s="143"/>
      <c r="P628" s="143"/>
      <c r="Q628" s="143"/>
      <c r="R628" s="143"/>
      <c r="S628" s="143"/>
      <c r="T628" s="143"/>
      <c r="U628" s="143"/>
      <c r="V628" s="143"/>
      <c r="W628" s="143"/>
      <c r="X628" s="143"/>
      <c r="Y628" s="143"/>
      <c r="Z628" s="143"/>
      <c r="AA628" s="143"/>
      <c r="AB628" s="143"/>
      <c r="AC628" s="143"/>
      <c r="AD628" s="143"/>
      <c r="AE628" s="143"/>
    </row>
    <row r="629">
      <c r="A629" s="156"/>
      <c r="B629" s="156"/>
      <c r="C629" s="156"/>
      <c r="D629" s="154"/>
      <c r="E629" s="156"/>
      <c r="F629" s="143"/>
      <c r="G629" s="143"/>
      <c r="H629" s="143"/>
      <c r="I629" s="143"/>
      <c r="J629" s="143"/>
      <c r="K629" s="143"/>
      <c r="L629" s="143"/>
      <c r="M629" s="143"/>
      <c r="N629" s="143"/>
      <c r="O629" s="143"/>
      <c r="P629" s="143"/>
      <c r="Q629" s="143"/>
      <c r="R629" s="143"/>
      <c r="S629" s="143"/>
      <c r="T629" s="143"/>
      <c r="U629" s="143"/>
      <c r="V629" s="143"/>
      <c r="W629" s="143"/>
      <c r="X629" s="143"/>
      <c r="Y629" s="143"/>
      <c r="Z629" s="143"/>
      <c r="AA629" s="143"/>
      <c r="AB629" s="143"/>
      <c r="AC629" s="143"/>
      <c r="AD629" s="143"/>
      <c r="AE629" s="143"/>
    </row>
    <row r="630">
      <c r="A630" s="156"/>
      <c r="B630" s="156"/>
      <c r="C630" s="156"/>
      <c r="D630" s="154"/>
      <c r="E630" s="156"/>
      <c r="F630" s="143"/>
      <c r="G630" s="143"/>
      <c r="H630" s="143"/>
      <c r="I630" s="143"/>
      <c r="J630" s="143"/>
      <c r="K630" s="143"/>
      <c r="L630" s="143"/>
      <c r="M630" s="143"/>
      <c r="N630" s="143"/>
      <c r="O630" s="143"/>
      <c r="P630" s="143"/>
      <c r="Q630" s="143"/>
      <c r="R630" s="143"/>
      <c r="S630" s="143"/>
      <c r="T630" s="143"/>
      <c r="U630" s="143"/>
      <c r="V630" s="143"/>
      <c r="W630" s="143"/>
      <c r="X630" s="143"/>
      <c r="Y630" s="143"/>
      <c r="Z630" s="143"/>
      <c r="AA630" s="143"/>
      <c r="AB630" s="143"/>
      <c r="AC630" s="143"/>
      <c r="AD630" s="143"/>
      <c r="AE630" s="143"/>
    </row>
    <row r="631">
      <c r="A631" s="156"/>
      <c r="B631" s="156"/>
      <c r="C631" s="156"/>
      <c r="D631" s="154"/>
      <c r="E631" s="156"/>
      <c r="F631" s="143"/>
      <c r="G631" s="143"/>
      <c r="H631" s="143"/>
      <c r="I631" s="143"/>
      <c r="J631" s="143"/>
      <c r="K631" s="143"/>
      <c r="L631" s="143"/>
      <c r="M631" s="143"/>
      <c r="N631" s="143"/>
      <c r="O631" s="143"/>
      <c r="P631" s="143"/>
      <c r="Q631" s="143"/>
      <c r="R631" s="143"/>
      <c r="S631" s="143"/>
      <c r="T631" s="143"/>
      <c r="U631" s="143"/>
      <c r="V631" s="143"/>
      <c r="W631" s="143"/>
      <c r="X631" s="143"/>
      <c r="Y631" s="143"/>
      <c r="Z631" s="143"/>
      <c r="AA631" s="143"/>
      <c r="AB631" s="143"/>
      <c r="AC631" s="143"/>
      <c r="AD631" s="143"/>
      <c r="AE631" s="143"/>
    </row>
    <row r="632">
      <c r="A632" s="156"/>
      <c r="B632" s="156"/>
      <c r="C632" s="156"/>
      <c r="D632" s="154"/>
      <c r="E632" s="156"/>
      <c r="F632" s="143"/>
      <c r="G632" s="143"/>
      <c r="H632" s="143"/>
      <c r="I632" s="143"/>
      <c r="J632" s="143"/>
      <c r="K632" s="143"/>
      <c r="L632" s="143"/>
      <c r="M632" s="143"/>
      <c r="N632" s="143"/>
      <c r="O632" s="143"/>
      <c r="P632" s="143"/>
      <c r="Q632" s="143"/>
      <c r="R632" s="143"/>
      <c r="S632" s="143"/>
      <c r="T632" s="143"/>
      <c r="U632" s="143"/>
      <c r="V632" s="143"/>
      <c r="W632" s="143"/>
      <c r="X632" s="143"/>
      <c r="Y632" s="143"/>
      <c r="Z632" s="143"/>
      <c r="AA632" s="143"/>
      <c r="AB632" s="143"/>
      <c r="AC632" s="143"/>
      <c r="AD632" s="143"/>
      <c r="AE632" s="143"/>
    </row>
    <row r="633">
      <c r="A633" s="156"/>
      <c r="B633" s="156"/>
      <c r="C633" s="156"/>
      <c r="D633" s="154"/>
      <c r="E633" s="156"/>
      <c r="F633" s="143"/>
      <c r="G633" s="143"/>
      <c r="H633" s="143"/>
      <c r="I633" s="143"/>
      <c r="J633" s="143"/>
      <c r="K633" s="143"/>
      <c r="L633" s="143"/>
      <c r="M633" s="143"/>
      <c r="N633" s="143"/>
      <c r="O633" s="143"/>
      <c r="P633" s="143"/>
      <c r="Q633" s="143"/>
      <c r="R633" s="143"/>
      <c r="S633" s="143"/>
      <c r="T633" s="143"/>
      <c r="U633" s="143"/>
      <c r="V633" s="143"/>
      <c r="W633" s="143"/>
      <c r="X633" s="143"/>
      <c r="Y633" s="143"/>
      <c r="Z633" s="143"/>
      <c r="AA633" s="143"/>
      <c r="AB633" s="143"/>
      <c r="AC633" s="143"/>
      <c r="AD633" s="143"/>
      <c r="AE633" s="143"/>
    </row>
    <row r="634">
      <c r="A634" s="156"/>
      <c r="B634" s="156"/>
      <c r="C634" s="156"/>
      <c r="D634" s="154"/>
      <c r="E634" s="156"/>
      <c r="F634" s="143"/>
      <c r="G634" s="143"/>
      <c r="H634" s="143"/>
      <c r="I634" s="143"/>
      <c r="J634" s="143"/>
      <c r="K634" s="143"/>
      <c r="L634" s="143"/>
      <c r="M634" s="143"/>
      <c r="N634" s="143"/>
      <c r="O634" s="143"/>
      <c r="P634" s="143"/>
      <c r="Q634" s="143"/>
      <c r="R634" s="143"/>
      <c r="S634" s="143"/>
      <c r="T634" s="143"/>
      <c r="U634" s="143"/>
      <c r="V634" s="143"/>
      <c r="W634" s="143"/>
      <c r="X634" s="143"/>
      <c r="Y634" s="143"/>
      <c r="Z634" s="143"/>
      <c r="AA634" s="143"/>
      <c r="AB634" s="143"/>
      <c r="AC634" s="143"/>
      <c r="AD634" s="143"/>
      <c r="AE634" s="143"/>
    </row>
    <row r="635">
      <c r="A635" s="156"/>
      <c r="B635" s="156"/>
      <c r="C635" s="156"/>
      <c r="D635" s="154"/>
      <c r="E635" s="156"/>
      <c r="F635" s="143"/>
      <c r="G635" s="143"/>
      <c r="H635" s="143"/>
      <c r="I635" s="143"/>
      <c r="J635" s="143"/>
      <c r="K635" s="143"/>
      <c r="L635" s="143"/>
      <c r="M635" s="143"/>
      <c r="N635" s="143"/>
      <c r="O635" s="143"/>
      <c r="P635" s="143"/>
      <c r="Q635" s="143"/>
      <c r="R635" s="143"/>
      <c r="S635" s="143"/>
      <c r="T635" s="143"/>
      <c r="U635" s="143"/>
      <c r="V635" s="143"/>
      <c r="W635" s="143"/>
      <c r="X635" s="143"/>
      <c r="Y635" s="143"/>
      <c r="Z635" s="143"/>
      <c r="AA635" s="143"/>
      <c r="AB635" s="143"/>
      <c r="AC635" s="143"/>
      <c r="AD635" s="143"/>
      <c r="AE635" s="143"/>
    </row>
    <row r="636">
      <c r="A636" s="156"/>
      <c r="B636" s="156"/>
      <c r="C636" s="156"/>
      <c r="D636" s="154"/>
      <c r="E636" s="156"/>
      <c r="F636" s="143"/>
      <c r="G636" s="143"/>
      <c r="H636" s="143"/>
      <c r="I636" s="143"/>
      <c r="J636" s="143"/>
      <c r="K636" s="143"/>
      <c r="L636" s="143"/>
      <c r="M636" s="143"/>
      <c r="N636" s="143"/>
      <c r="O636" s="143"/>
      <c r="P636" s="143"/>
      <c r="Q636" s="143"/>
      <c r="R636" s="143"/>
      <c r="S636" s="143"/>
      <c r="T636" s="143"/>
      <c r="U636" s="143"/>
      <c r="V636" s="143"/>
      <c r="W636" s="143"/>
      <c r="X636" s="143"/>
      <c r="Y636" s="143"/>
      <c r="Z636" s="143"/>
      <c r="AA636" s="143"/>
      <c r="AB636" s="143"/>
      <c r="AC636" s="143"/>
      <c r="AD636" s="143"/>
      <c r="AE636" s="143"/>
    </row>
    <row r="637">
      <c r="A637" s="156"/>
      <c r="B637" s="156"/>
      <c r="C637" s="156"/>
      <c r="D637" s="154"/>
      <c r="E637" s="156"/>
      <c r="F637" s="143"/>
      <c r="G637" s="143"/>
      <c r="H637" s="143"/>
      <c r="I637" s="143"/>
      <c r="J637" s="143"/>
      <c r="K637" s="143"/>
      <c r="L637" s="143"/>
      <c r="M637" s="143"/>
      <c r="N637" s="143"/>
      <c r="O637" s="143"/>
      <c r="P637" s="143"/>
      <c r="Q637" s="143"/>
      <c r="R637" s="143"/>
      <c r="S637" s="143"/>
      <c r="T637" s="143"/>
      <c r="U637" s="143"/>
      <c r="V637" s="143"/>
      <c r="W637" s="143"/>
      <c r="X637" s="143"/>
      <c r="Y637" s="143"/>
      <c r="Z637" s="143"/>
      <c r="AA637" s="143"/>
      <c r="AB637" s="143"/>
      <c r="AC637" s="143"/>
      <c r="AD637" s="143"/>
      <c r="AE637" s="143"/>
    </row>
    <row r="638">
      <c r="A638" s="156"/>
      <c r="B638" s="156"/>
      <c r="C638" s="156"/>
      <c r="D638" s="154"/>
      <c r="E638" s="156"/>
      <c r="F638" s="143"/>
      <c r="G638" s="143"/>
      <c r="H638" s="143"/>
      <c r="I638" s="143"/>
      <c r="J638" s="143"/>
      <c r="K638" s="143"/>
      <c r="L638" s="143"/>
      <c r="M638" s="143"/>
      <c r="N638" s="143"/>
      <c r="O638" s="143"/>
      <c r="P638" s="143"/>
      <c r="Q638" s="143"/>
      <c r="R638" s="143"/>
      <c r="S638" s="143"/>
      <c r="T638" s="143"/>
      <c r="U638" s="143"/>
      <c r="V638" s="143"/>
      <c r="W638" s="143"/>
      <c r="X638" s="143"/>
      <c r="Y638" s="143"/>
      <c r="Z638" s="143"/>
      <c r="AA638" s="143"/>
      <c r="AB638" s="143"/>
      <c r="AC638" s="143"/>
      <c r="AD638" s="143"/>
      <c r="AE638" s="143"/>
    </row>
    <row r="639">
      <c r="A639" s="156"/>
      <c r="B639" s="156"/>
      <c r="C639" s="156"/>
      <c r="D639" s="154"/>
      <c r="E639" s="156"/>
      <c r="F639" s="143"/>
      <c r="G639" s="143"/>
      <c r="H639" s="143"/>
      <c r="I639" s="143"/>
      <c r="J639" s="143"/>
      <c r="K639" s="143"/>
      <c r="L639" s="143"/>
      <c r="M639" s="143"/>
      <c r="N639" s="143"/>
      <c r="O639" s="143"/>
      <c r="P639" s="143"/>
      <c r="Q639" s="143"/>
      <c r="R639" s="143"/>
      <c r="S639" s="143"/>
      <c r="T639" s="143"/>
      <c r="U639" s="143"/>
      <c r="V639" s="143"/>
      <c r="W639" s="143"/>
      <c r="X639" s="143"/>
      <c r="Y639" s="143"/>
      <c r="Z639" s="143"/>
      <c r="AA639" s="143"/>
      <c r="AB639" s="143"/>
      <c r="AC639" s="143"/>
      <c r="AD639" s="143"/>
      <c r="AE639" s="143"/>
    </row>
    <row r="640">
      <c r="A640" s="156"/>
      <c r="B640" s="156"/>
      <c r="C640" s="156"/>
      <c r="D640" s="154"/>
      <c r="E640" s="156"/>
      <c r="F640" s="143"/>
      <c r="G640" s="143"/>
      <c r="H640" s="143"/>
      <c r="I640" s="143"/>
      <c r="J640" s="143"/>
      <c r="K640" s="143"/>
      <c r="L640" s="143"/>
      <c r="M640" s="143"/>
      <c r="N640" s="143"/>
      <c r="O640" s="143"/>
      <c r="P640" s="143"/>
      <c r="Q640" s="143"/>
      <c r="R640" s="143"/>
      <c r="S640" s="143"/>
      <c r="T640" s="143"/>
      <c r="U640" s="143"/>
      <c r="V640" s="143"/>
      <c r="W640" s="143"/>
      <c r="X640" s="143"/>
      <c r="Y640" s="143"/>
      <c r="Z640" s="143"/>
      <c r="AA640" s="143"/>
      <c r="AB640" s="143"/>
      <c r="AC640" s="143"/>
      <c r="AD640" s="143"/>
      <c r="AE640" s="143"/>
    </row>
    <row r="641">
      <c r="A641" s="156"/>
      <c r="B641" s="156"/>
      <c r="C641" s="156"/>
      <c r="D641" s="154"/>
      <c r="E641" s="156"/>
      <c r="F641" s="143"/>
      <c r="G641" s="143"/>
      <c r="H641" s="143"/>
      <c r="I641" s="143"/>
      <c r="J641" s="143"/>
      <c r="K641" s="143"/>
      <c r="L641" s="143"/>
      <c r="M641" s="143"/>
      <c r="N641" s="143"/>
      <c r="O641" s="143"/>
      <c r="P641" s="143"/>
      <c r="Q641" s="143"/>
      <c r="R641" s="143"/>
      <c r="S641" s="143"/>
      <c r="T641" s="143"/>
      <c r="U641" s="143"/>
      <c r="V641" s="143"/>
      <c r="W641" s="143"/>
      <c r="X641" s="143"/>
      <c r="Y641" s="143"/>
      <c r="Z641" s="143"/>
      <c r="AA641" s="143"/>
      <c r="AB641" s="143"/>
      <c r="AC641" s="143"/>
      <c r="AD641" s="143"/>
      <c r="AE641" s="143"/>
    </row>
    <row r="642">
      <c r="A642" s="156"/>
      <c r="B642" s="156"/>
      <c r="C642" s="156"/>
      <c r="D642" s="154"/>
      <c r="E642" s="156"/>
      <c r="F642" s="143"/>
      <c r="G642" s="143"/>
      <c r="H642" s="143"/>
      <c r="I642" s="143"/>
      <c r="J642" s="143"/>
      <c r="K642" s="143"/>
      <c r="L642" s="143"/>
      <c r="M642" s="143"/>
      <c r="N642" s="143"/>
      <c r="O642" s="143"/>
      <c r="P642" s="143"/>
      <c r="Q642" s="143"/>
      <c r="R642" s="143"/>
      <c r="S642" s="143"/>
      <c r="T642" s="143"/>
      <c r="U642" s="143"/>
      <c r="V642" s="143"/>
      <c r="W642" s="143"/>
      <c r="X642" s="143"/>
      <c r="Y642" s="143"/>
      <c r="Z642" s="143"/>
      <c r="AA642" s="143"/>
      <c r="AB642" s="143"/>
      <c r="AC642" s="143"/>
      <c r="AD642" s="143"/>
      <c r="AE642" s="143"/>
    </row>
    <row r="643">
      <c r="A643" s="156"/>
      <c r="B643" s="156"/>
      <c r="C643" s="156"/>
      <c r="D643" s="154"/>
      <c r="E643" s="156"/>
      <c r="F643" s="143"/>
      <c r="G643" s="143"/>
      <c r="H643" s="143"/>
      <c r="I643" s="143"/>
      <c r="J643" s="143"/>
      <c r="K643" s="143"/>
      <c r="L643" s="143"/>
      <c r="M643" s="143"/>
      <c r="N643" s="143"/>
      <c r="O643" s="143"/>
      <c r="P643" s="143"/>
      <c r="Q643" s="143"/>
      <c r="R643" s="143"/>
      <c r="S643" s="143"/>
      <c r="T643" s="143"/>
      <c r="U643" s="143"/>
      <c r="V643" s="143"/>
      <c r="W643" s="143"/>
      <c r="X643" s="143"/>
      <c r="Y643" s="143"/>
      <c r="Z643" s="143"/>
      <c r="AA643" s="143"/>
      <c r="AB643" s="143"/>
      <c r="AC643" s="143"/>
      <c r="AD643" s="143"/>
      <c r="AE643" s="143"/>
    </row>
    <row r="644">
      <c r="A644" s="156"/>
      <c r="B644" s="156"/>
      <c r="C644" s="156"/>
      <c r="D644" s="154"/>
      <c r="E644" s="156"/>
      <c r="F644" s="143"/>
      <c r="G644" s="143"/>
      <c r="H644" s="143"/>
      <c r="I644" s="143"/>
      <c r="J644" s="143"/>
      <c r="K644" s="143"/>
      <c r="L644" s="143"/>
      <c r="M644" s="143"/>
      <c r="N644" s="143"/>
      <c r="O644" s="143"/>
      <c r="P644" s="143"/>
      <c r="Q644" s="143"/>
      <c r="R644" s="143"/>
      <c r="S644" s="143"/>
      <c r="T644" s="143"/>
      <c r="U644" s="143"/>
      <c r="V644" s="143"/>
      <c r="W644" s="143"/>
      <c r="X644" s="143"/>
      <c r="Y644" s="143"/>
      <c r="Z644" s="143"/>
      <c r="AA644" s="143"/>
      <c r="AB644" s="143"/>
      <c r="AC644" s="143"/>
      <c r="AD644" s="143"/>
      <c r="AE644" s="143"/>
    </row>
    <row r="645">
      <c r="A645" s="156"/>
      <c r="B645" s="156"/>
      <c r="C645" s="156"/>
      <c r="D645" s="154"/>
      <c r="E645" s="156"/>
      <c r="F645" s="143"/>
      <c r="G645" s="143"/>
      <c r="H645" s="143"/>
      <c r="I645" s="143"/>
      <c r="J645" s="143"/>
      <c r="K645" s="143"/>
      <c r="L645" s="143"/>
      <c r="M645" s="143"/>
      <c r="N645" s="143"/>
      <c r="O645" s="143"/>
      <c r="P645" s="143"/>
      <c r="Q645" s="143"/>
      <c r="R645" s="143"/>
      <c r="S645" s="143"/>
      <c r="T645" s="143"/>
      <c r="U645" s="143"/>
      <c r="V645" s="143"/>
      <c r="W645" s="143"/>
      <c r="X645" s="143"/>
      <c r="Y645" s="143"/>
      <c r="Z645" s="143"/>
      <c r="AA645" s="143"/>
      <c r="AB645" s="143"/>
      <c r="AC645" s="143"/>
      <c r="AD645" s="143"/>
      <c r="AE645" s="143"/>
    </row>
    <row r="646">
      <c r="A646" s="156"/>
      <c r="B646" s="156"/>
      <c r="C646" s="156"/>
      <c r="D646" s="154"/>
      <c r="E646" s="156"/>
      <c r="F646" s="143"/>
      <c r="G646" s="143"/>
      <c r="H646" s="143"/>
      <c r="I646" s="143"/>
      <c r="J646" s="143"/>
      <c r="K646" s="143"/>
      <c r="L646" s="143"/>
      <c r="M646" s="143"/>
      <c r="N646" s="143"/>
      <c r="O646" s="143"/>
      <c r="P646" s="143"/>
      <c r="Q646" s="143"/>
      <c r="R646" s="143"/>
      <c r="S646" s="143"/>
      <c r="T646" s="143"/>
      <c r="U646" s="143"/>
      <c r="V646" s="143"/>
      <c r="W646" s="143"/>
      <c r="X646" s="143"/>
      <c r="Y646" s="143"/>
      <c r="Z646" s="143"/>
      <c r="AA646" s="143"/>
      <c r="AB646" s="143"/>
      <c r="AC646" s="143"/>
      <c r="AD646" s="143"/>
      <c r="AE646" s="143"/>
    </row>
    <row r="647">
      <c r="A647" s="156"/>
      <c r="B647" s="156"/>
      <c r="C647" s="156"/>
      <c r="D647" s="154"/>
      <c r="E647" s="156"/>
      <c r="F647" s="143"/>
      <c r="G647" s="143"/>
      <c r="H647" s="143"/>
      <c r="I647" s="143"/>
      <c r="J647" s="143"/>
      <c r="K647" s="143"/>
      <c r="L647" s="143"/>
      <c r="M647" s="143"/>
      <c r="N647" s="143"/>
      <c r="O647" s="143"/>
      <c r="P647" s="143"/>
      <c r="Q647" s="143"/>
      <c r="R647" s="143"/>
      <c r="S647" s="143"/>
      <c r="T647" s="143"/>
      <c r="U647" s="143"/>
      <c r="V647" s="143"/>
      <c r="W647" s="143"/>
      <c r="X647" s="143"/>
      <c r="Y647" s="143"/>
      <c r="Z647" s="143"/>
      <c r="AA647" s="143"/>
      <c r="AB647" s="143"/>
      <c r="AC647" s="143"/>
      <c r="AD647" s="143"/>
      <c r="AE647" s="143"/>
    </row>
    <row r="648">
      <c r="A648" s="156"/>
      <c r="B648" s="156"/>
      <c r="C648" s="156"/>
      <c r="D648" s="154"/>
      <c r="E648" s="156"/>
      <c r="F648" s="143"/>
      <c r="G648" s="143"/>
      <c r="H648" s="143"/>
      <c r="I648" s="143"/>
      <c r="J648" s="143"/>
      <c r="K648" s="143"/>
      <c r="L648" s="143"/>
      <c r="M648" s="143"/>
      <c r="N648" s="143"/>
      <c r="O648" s="143"/>
      <c r="P648" s="143"/>
      <c r="Q648" s="143"/>
      <c r="R648" s="143"/>
      <c r="S648" s="143"/>
      <c r="T648" s="143"/>
      <c r="U648" s="143"/>
      <c r="V648" s="143"/>
      <c r="W648" s="143"/>
      <c r="X648" s="143"/>
      <c r="Y648" s="143"/>
      <c r="Z648" s="143"/>
      <c r="AA648" s="143"/>
      <c r="AB648" s="143"/>
      <c r="AC648" s="143"/>
      <c r="AD648" s="143"/>
      <c r="AE648" s="143"/>
    </row>
    <row r="649">
      <c r="A649" s="156"/>
      <c r="B649" s="156"/>
      <c r="C649" s="156"/>
      <c r="D649" s="154"/>
      <c r="E649" s="156"/>
      <c r="F649" s="143"/>
      <c r="G649" s="143"/>
      <c r="H649" s="143"/>
      <c r="I649" s="143"/>
      <c r="J649" s="143"/>
      <c r="K649" s="143"/>
      <c r="L649" s="143"/>
      <c r="M649" s="143"/>
      <c r="N649" s="143"/>
      <c r="O649" s="143"/>
      <c r="P649" s="143"/>
      <c r="Q649" s="143"/>
      <c r="R649" s="143"/>
      <c r="S649" s="143"/>
      <c r="T649" s="143"/>
      <c r="U649" s="143"/>
      <c r="V649" s="143"/>
      <c r="W649" s="143"/>
      <c r="X649" s="143"/>
      <c r="Y649" s="143"/>
      <c r="Z649" s="143"/>
      <c r="AA649" s="143"/>
      <c r="AB649" s="143"/>
      <c r="AC649" s="143"/>
      <c r="AD649" s="143"/>
      <c r="AE649" s="143"/>
    </row>
    <row r="650">
      <c r="A650" s="156"/>
      <c r="B650" s="156"/>
      <c r="C650" s="156"/>
      <c r="D650" s="154"/>
      <c r="E650" s="156"/>
      <c r="F650" s="143"/>
      <c r="G650" s="143"/>
      <c r="H650" s="143"/>
      <c r="I650" s="143"/>
      <c r="J650" s="143"/>
      <c r="K650" s="143"/>
      <c r="L650" s="143"/>
      <c r="M650" s="143"/>
      <c r="N650" s="143"/>
      <c r="O650" s="143"/>
      <c r="P650" s="143"/>
      <c r="Q650" s="143"/>
      <c r="R650" s="143"/>
      <c r="S650" s="143"/>
      <c r="T650" s="143"/>
      <c r="U650" s="143"/>
      <c r="V650" s="143"/>
      <c r="W650" s="143"/>
      <c r="X650" s="143"/>
      <c r="Y650" s="143"/>
      <c r="Z650" s="143"/>
      <c r="AA650" s="143"/>
      <c r="AB650" s="143"/>
      <c r="AC650" s="143"/>
      <c r="AD650" s="143"/>
      <c r="AE650" s="143"/>
    </row>
    <row r="651">
      <c r="A651" s="156"/>
      <c r="B651" s="156"/>
      <c r="C651" s="156"/>
      <c r="D651" s="154"/>
      <c r="E651" s="156"/>
      <c r="F651" s="143"/>
      <c r="G651" s="143"/>
      <c r="H651" s="143"/>
      <c r="I651" s="143"/>
      <c r="J651" s="143"/>
      <c r="K651" s="143"/>
      <c r="L651" s="143"/>
      <c r="M651" s="143"/>
      <c r="N651" s="143"/>
      <c r="O651" s="143"/>
      <c r="P651" s="143"/>
      <c r="Q651" s="143"/>
      <c r="R651" s="143"/>
      <c r="S651" s="143"/>
      <c r="T651" s="143"/>
      <c r="U651" s="143"/>
      <c r="V651" s="143"/>
      <c r="W651" s="143"/>
      <c r="X651" s="143"/>
      <c r="Y651" s="143"/>
      <c r="Z651" s="143"/>
      <c r="AA651" s="143"/>
      <c r="AB651" s="143"/>
      <c r="AC651" s="143"/>
      <c r="AD651" s="143"/>
      <c r="AE651" s="143"/>
    </row>
    <row r="652">
      <c r="A652" s="156"/>
      <c r="B652" s="156"/>
      <c r="C652" s="156"/>
      <c r="D652" s="154"/>
      <c r="E652" s="156"/>
      <c r="F652" s="143"/>
      <c r="G652" s="143"/>
      <c r="H652" s="143"/>
      <c r="I652" s="143"/>
      <c r="J652" s="143"/>
      <c r="K652" s="143"/>
      <c r="L652" s="143"/>
      <c r="M652" s="143"/>
      <c r="N652" s="143"/>
      <c r="O652" s="143"/>
      <c r="P652" s="143"/>
      <c r="Q652" s="143"/>
      <c r="R652" s="143"/>
      <c r="S652" s="143"/>
      <c r="T652" s="143"/>
      <c r="U652" s="143"/>
      <c r="V652" s="143"/>
      <c r="W652" s="143"/>
      <c r="X652" s="143"/>
      <c r="Y652" s="143"/>
      <c r="Z652" s="143"/>
      <c r="AA652" s="143"/>
      <c r="AB652" s="143"/>
      <c r="AC652" s="143"/>
      <c r="AD652" s="143"/>
      <c r="AE652" s="143"/>
    </row>
    <row r="653">
      <c r="A653" s="156"/>
      <c r="B653" s="156"/>
      <c r="C653" s="156"/>
      <c r="D653" s="154"/>
      <c r="E653" s="156"/>
      <c r="F653" s="143"/>
      <c r="G653" s="143"/>
      <c r="H653" s="143"/>
      <c r="I653" s="143"/>
      <c r="J653" s="143"/>
      <c r="K653" s="143"/>
      <c r="L653" s="143"/>
      <c r="M653" s="143"/>
      <c r="N653" s="143"/>
      <c r="O653" s="143"/>
      <c r="P653" s="143"/>
      <c r="Q653" s="143"/>
      <c r="R653" s="143"/>
      <c r="S653" s="143"/>
      <c r="T653" s="143"/>
      <c r="U653" s="143"/>
      <c r="V653" s="143"/>
      <c r="W653" s="143"/>
      <c r="X653" s="143"/>
      <c r="Y653" s="143"/>
      <c r="Z653" s="143"/>
      <c r="AA653" s="143"/>
      <c r="AB653" s="143"/>
      <c r="AC653" s="143"/>
      <c r="AD653" s="143"/>
      <c r="AE653" s="143"/>
    </row>
    <row r="654">
      <c r="A654" s="156"/>
      <c r="B654" s="156"/>
      <c r="C654" s="156"/>
      <c r="D654" s="154"/>
      <c r="E654" s="156"/>
      <c r="F654" s="143"/>
      <c r="G654" s="143"/>
      <c r="H654" s="143"/>
      <c r="I654" s="143"/>
      <c r="J654" s="143"/>
      <c r="K654" s="143"/>
      <c r="L654" s="143"/>
      <c r="M654" s="143"/>
      <c r="N654" s="143"/>
      <c r="O654" s="143"/>
      <c r="P654" s="143"/>
      <c r="Q654" s="143"/>
      <c r="R654" s="143"/>
      <c r="S654" s="143"/>
      <c r="T654" s="143"/>
      <c r="U654" s="143"/>
      <c r="V654" s="143"/>
      <c r="W654" s="143"/>
      <c r="X654" s="143"/>
      <c r="Y654" s="143"/>
      <c r="Z654" s="143"/>
      <c r="AA654" s="143"/>
      <c r="AB654" s="143"/>
      <c r="AC654" s="143"/>
      <c r="AD654" s="143"/>
      <c r="AE654" s="143"/>
    </row>
    <row r="655">
      <c r="A655" s="156"/>
      <c r="B655" s="156"/>
      <c r="C655" s="156"/>
      <c r="D655" s="154"/>
      <c r="E655" s="156"/>
      <c r="F655" s="143"/>
      <c r="G655" s="143"/>
      <c r="H655" s="143"/>
      <c r="I655" s="143"/>
      <c r="J655" s="143"/>
      <c r="K655" s="143"/>
      <c r="L655" s="143"/>
      <c r="M655" s="143"/>
      <c r="N655" s="143"/>
      <c r="O655" s="143"/>
      <c r="P655" s="143"/>
      <c r="Q655" s="143"/>
      <c r="R655" s="143"/>
      <c r="S655" s="143"/>
      <c r="T655" s="143"/>
      <c r="U655" s="143"/>
      <c r="V655" s="143"/>
      <c r="W655" s="143"/>
      <c r="X655" s="143"/>
      <c r="Y655" s="143"/>
      <c r="Z655" s="143"/>
      <c r="AA655" s="143"/>
      <c r="AB655" s="143"/>
      <c r="AC655" s="143"/>
      <c r="AD655" s="143"/>
      <c r="AE655" s="143"/>
    </row>
    <row r="656">
      <c r="A656" s="156"/>
      <c r="B656" s="156"/>
      <c r="C656" s="156"/>
      <c r="D656" s="154"/>
      <c r="E656" s="156"/>
      <c r="F656" s="143"/>
      <c r="G656" s="143"/>
      <c r="H656" s="143"/>
      <c r="I656" s="143"/>
      <c r="J656" s="143"/>
      <c r="K656" s="143"/>
      <c r="L656" s="143"/>
      <c r="M656" s="143"/>
      <c r="N656" s="143"/>
      <c r="O656" s="143"/>
      <c r="P656" s="143"/>
      <c r="Q656" s="143"/>
      <c r="R656" s="143"/>
      <c r="S656" s="143"/>
      <c r="T656" s="143"/>
      <c r="U656" s="143"/>
      <c r="V656" s="143"/>
      <c r="W656" s="143"/>
      <c r="X656" s="143"/>
      <c r="Y656" s="143"/>
      <c r="Z656" s="143"/>
      <c r="AA656" s="143"/>
      <c r="AB656" s="143"/>
      <c r="AC656" s="143"/>
      <c r="AD656" s="143"/>
      <c r="AE656" s="143"/>
    </row>
    <row r="657">
      <c r="A657" s="156"/>
      <c r="B657" s="156"/>
      <c r="C657" s="156"/>
      <c r="D657" s="154"/>
      <c r="E657" s="156"/>
      <c r="F657" s="143"/>
      <c r="G657" s="143"/>
      <c r="H657" s="143"/>
      <c r="I657" s="143"/>
      <c r="J657" s="143"/>
      <c r="K657" s="143"/>
      <c r="L657" s="143"/>
      <c r="M657" s="143"/>
      <c r="N657" s="143"/>
      <c r="O657" s="143"/>
      <c r="P657" s="143"/>
      <c r="Q657" s="143"/>
      <c r="R657" s="143"/>
      <c r="S657" s="143"/>
      <c r="T657" s="143"/>
      <c r="U657" s="143"/>
      <c r="V657" s="143"/>
      <c r="W657" s="143"/>
      <c r="X657" s="143"/>
      <c r="Y657" s="143"/>
      <c r="Z657" s="143"/>
      <c r="AA657" s="156"/>
      <c r="AB657" s="156"/>
      <c r="AC657" s="156"/>
      <c r="AD657" s="156"/>
      <c r="AE657" s="156"/>
    </row>
    <row r="658">
      <c r="A658" s="156"/>
      <c r="B658" s="156"/>
      <c r="C658" s="156"/>
      <c r="D658" s="154"/>
      <c r="E658" s="156"/>
      <c r="F658" s="143"/>
      <c r="G658" s="143"/>
      <c r="H658" s="143"/>
      <c r="I658" s="143"/>
      <c r="J658" s="143"/>
      <c r="K658" s="143"/>
      <c r="L658" s="143"/>
      <c r="M658" s="143"/>
      <c r="N658" s="143"/>
      <c r="O658" s="143"/>
      <c r="P658" s="143"/>
      <c r="Q658" s="143"/>
      <c r="R658" s="143"/>
      <c r="S658" s="143"/>
      <c r="T658" s="143"/>
      <c r="U658" s="143"/>
      <c r="V658" s="143"/>
      <c r="W658" s="143"/>
      <c r="X658" s="143"/>
      <c r="Y658" s="143"/>
      <c r="Z658" s="143"/>
      <c r="AA658" s="156"/>
      <c r="AB658" s="156"/>
      <c r="AC658" s="156"/>
      <c r="AD658" s="156"/>
      <c r="AE658" s="156"/>
    </row>
    <row r="659">
      <c r="A659" s="156"/>
      <c r="B659" s="156"/>
      <c r="C659" s="156"/>
      <c r="D659" s="154"/>
      <c r="E659" s="156"/>
      <c r="F659" s="143"/>
      <c r="G659" s="143"/>
      <c r="H659" s="143"/>
      <c r="I659" s="143"/>
      <c r="J659" s="143"/>
      <c r="K659" s="143"/>
      <c r="L659" s="143"/>
      <c r="M659" s="143"/>
      <c r="N659" s="143"/>
      <c r="O659" s="143"/>
      <c r="P659" s="143"/>
      <c r="Q659" s="143"/>
      <c r="R659" s="143"/>
      <c r="S659" s="143"/>
      <c r="T659" s="143"/>
      <c r="U659" s="143"/>
      <c r="V659" s="143"/>
      <c r="W659" s="143"/>
      <c r="X659" s="143"/>
      <c r="Y659" s="143"/>
      <c r="Z659" s="143"/>
      <c r="AA659" s="156"/>
      <c r="AB659" s="156"/>
      <c r="AC659" s="156"/>
      <c r="AD659" s="156"/>
      <c r="AE659" s="156"/>
    </row>
    <row r="660">
      <c r="A660" s="156"/>
      <c r="B660" s="156"/>
      <c r="C660" s="156"/>
      <c r="D660" s="154"/>
      <c r="E660" s="156"/>
      <c r="F660" s="143"/>
      <c r="G660" s="143"/>
      <c r="H660" s="143"/>
      <c r="I660" s="143"/>
      <c r="J660" s="143"/>
      <c r="K660" s="143"/>
      <c r="L660" s="143"/>
      <c r="M660" s="143"/>
      <c r="N660" s="143"/>
      <c r="O660" s="143"/>
      <c r="P660" s="143"/>
      <c r="Q660" s="143"/>
      <c r="R660" s="143"/>
      <c r="S660" s="143"/>
      <c r="T660" s="143"/>
      <c r="U660" s="143"/>
      <c r="V660" s="143"/>
      <c r="W660" s="143"/>
      <c r="X660" s="143"/>
      <c r="Y660" s="143"/>
      <c r="Z660" s="143"/>
      <c r="AA660" s="156"/>
      <c r="AB660" s="156"/>
      <c r="AC660" s="156"/>
      <c r="AD660" s="156"/>
      <c r="AE660" s="156"/>
    </row>
    <row r="661">
      <c r="A661" s="156"/>
      <c r="B661" s="156"/>
      <c r="C661" s="156"/>
      <c r="D661" s="154"/>
      <c r="E661" s="156"/>
      <c r="F661" s="143"/>
      <c r="G661" s="143"/>
      <c r="H661" s="143"/>
      <c r="I661" s="143"/>
      <c r="J661" s="143"/>
      <c r="K661" s="143"/>
      <c r="L661" s="143"/>
      <c r="M661" s="143"/>
      <c r="N661" s="143"/>
      <c r="O661" s="143"/>
      <c r="P661" s="143"/>
      <c r="Q661" s="143"/>
      <c r="R661" s="143"/>
      <c r="S661" s="143"/>
      <c r="T661" s="143"/>
      <c r="U661" s="143"/>
      <c r="V661" s="143"/>
      <c r="W661" s="143"/>
      <c r="X661" s="143"/>
      <c r="Y661" s="143"/>
      <c r="Z661" s="143"/>
      <c r="AA661" s="156"/>
      <c r="AB661" s="156"/>
      <c r="AC661" s="156"/>
      <c r="AD661" s="156"/>
      <c r="AE661" s="156"/>
    </row>
    <row r="662">
      <c r="A662" s="156"/>
      <c r="B662" s="156"/>
      <c r="C662" s="156"/>
      <c r="D662" s="154"/>
      <c r="E662" s="156"/>
      <c r="F662" s="143"/>
      <c r="G662" s="143"/>
      <c r="H662" s="143"/>
      <c r="I662" s="143"/>
      <c r="J662" s="143"/>
      <c r="K662" s="143"/>
      <c r="L662" s="143"/>
      <c r="M662" s="143"/>
      <c r="N662" s="143"/>
      <c r="O662" s="143"/>
      <c r="P662" s="143"/>
      <c r="Q662" s="143"/>
      <c r="R662" s="143"/>
      <c r="S662" s="143"/>
      <c r="T662" s="143"/>
      <c r="U662" s="143"/>
      <c r="V662" s="143"/>
      <c r="W662" s="143"/>
      <c r="X662" s="143"/>
      <c r="Y662" s="143"/>
      <c r="Z662" s="143"/>
      <c r="AA662" s="156"/>
      <c r="AB662" s="156"/>
      <c r="AC662" s="156"/>
      <c r="AD662" s="156"/>
      <c r="AE662" s="156"/>
    </row>
    <row r="663">
      <c r="A663" s="156"/>
      <c r="B663" s="156"/>
      <c r="C663" s="156"/>
      <c r="D663" s="154"/>
      <c r="E663" s="156"/>
      <c r="F663" s="143"/>
      <c r="G663" s="143"/>
      <c r="H663" s="143"/>
      <c r="I663" s="143"/>
      <c r="J663" s="143"/>
      <c r="K663" s="143"/>
      <c r="L663" s="143"/>
      <c r="M663" s="143"/>
      <c r="N663" s="143"/>
      <c r="O663" s="143"/>
      <c r="P663" s="143"/>
      <c r="Q663" s="143"/>
      <c r="R663" s="143"/>
      <c r="S663" s="143"/>
      <c r="T663" s="143"/>
      <c r="U663" s="143"/>
      <c r="V663" s="143"/>
      <c r="W663" s="143"/>
      <c r="X663" s="143"/>
      <c r="Y663" s="143"/>
      <c r="Z663" s="143"/>
      <c r="AA663" s="156"/>
      <c r="AB663" s="156"/>
      <c r="AC663" s="156"/>
      <c r="AD663" s="156"/>
      <c r="AE663" s="156"/>
    </row>
    <row r="664">
      <c r="A664" s="156"/>
      <c r="B664" s="156"/>
      <c r="C664" s="156"/>
      <c r="D664" s="154"/>
      <c r="E664" s="156"/>
      <c r="F664" s="143"/>
      <c r="G664" s="143"/>
      <c r="H664" s="143"/>
      <c r="I664" s="143"/>
      <c r="J664" s="143"/>
      <c r="K664" s="143"/>
      <c r="L664" s="143"/>
      <c r="M664" s="143"/>
      <c r="N664" s="143"/>
      <c r="O664" s="143"/>
      <c r="P664" s="143"/>
      <c r="Q664" s="143"/>
      <c r="R664" s="143"/>
      <c r="S664" s="143"/>
      <c r="T664" s="143"/>
      <c r="U664" s="143"/>
      <c r="V664" s="143"/>
      <c r="W664" s="143"/>
      <c r="X664" s="143"/>
      <c r="Y664" s="143"/>
      <c r="Z664" s="143"/>
      <c r="AA664" s="156"/>
      <c r="AB664" s="156"/>
      <c r="AC664" s="156"/>
      <c r="AD664" s="156"/>
      <c r="AE664" s="156"/>
    </row>
    <row r="665">
      <c r="A665" s="156"/>
      <c r="B665" s="156"/>
      <c r="C665" s="156"/>
      <c r="D665" s="154"/>
      <c r="E665" s="156"/>
      <c r="F665" s="143"/>
      <c r="G665" s="143"/>
      <c r="H665" s="143"/>
      <c r="I665" s="143"/>
      <c r="J665" s="143"/>
      <c r="K665" s="143"/>
      <c r="L665" s="143"/>
      <c r="M665" s="143"/>
      <c r="N665" s="143"/>
      <c r="O665" s="143"/>
      <c r="P665" s="143"/>
      <c r="Q665" s="143"/>
      <c r="R665" s="143"/>
      <c r="S665" s="143"/>
      <c r="T665" s="143"/>
      <c r="U665" s="143"/>
      <c r="V665" s="143"/>
      <c r="W665" s="143"/>
      <c r="X665" s="143"/>
      <c r="Y665" s="143"/>
      <c r="Z665" s="143"/>
      <c r="AA665" s="156"/>
      <c r="AB665" s="156"/>
      <c r="AC665" s="156"/>
      <c r="AD665" s="156"/>
      <c r="AE665" s="156"/>
    </row>
    <row r="666">
      <c r="A666" s="156"/>
      <c r="B666" s="156"/>
      <c r="C666" s="156"/>
      <c r="D666" s="154"/>
      <c r="E666" s="156"/>
      <c r="F666" s="143"/>
      <c r="G666" s="143"/>
      <c r="H666" s="143"/>
      <c r="I666" s="143"/>
      <c r="J666" s="143"/>
      <c r="K666" s="143"/>
      <c r="L666" s="143"/>
      <c r="M666" s="143"/>
      <c r="N666" s="143"/>
      <c r="O666" s="143"/>
      <c r="P666" s="143"/>
      <c r="Q666" s="143"/>
      <c r="R666" s="143"/>
      <c r="S666" s="143"/>
      <c r="T666" s="143"/>
      <c r="U666" s="143"/>
      <c r="V666" s="143"/>
      <c r="W666" s="143"/>
      <c r="X666" s="143"/>
      <c r="Y666" s="143"/>
      <c r="Z666" s="143"/>
      <c r="AA666" s="156"/>
      <c r="AB666" s="156"/>
      <c r="AC666" s="156"/>
      <c r="AD666" s="156"/>
      <c r="AE666" s="156"/>
    </row>
    <row r="667">
      <c r="A667" s="156"/>
      <c r="B667" s="156"/>
      <c r="C667" s="156"/>
      <c r="D667" s="154"/>
      <c r="E667" s="156"/>
      <c r="F667" s="143"/>
      <c r="G667" s="143"/>
      <c r="H667" s="143"/>
      <c r="I667" s="143"/>
      <c r="J667" s="143"/>
      <c r="K667" s="143"/>
      <c r="L667" s="143"/>
      <c r="M667" s="143"/>
      <c r="N667" s="143"/>
      <c r="O667" s="143"/>
      <c r="P667" s="143"/>
      <c r="Q667" s="143"/>
      <c r="R667" s="143"/>
      <c r="S667" s="143"/>
      <c r="T667" s="143"/>
      <c r="U667" s="143"/>
      <c r="V667" s="143"/>
      <c r="W667" s="143"/>
      <c r="X667" s="143"/>
      <c r="Y667" s="143"/>
      <c r="Z667" s="143"/>
      <c r="AA667" s="156"/>
      <c r="AB667" s="156"/>
      <c r="AC667" s="156"/>
      <c r="AD667" s="156"/>
      <c r="AE667" s="156"/>
    </row>
    <row r="668">
      <c r="A668" s="156"/>
      <c r="B668" s="156"/>
      <c r="C668" s="156"/>
      <c r="D668" s="154"/>
      <c r="E668" s="156"/>
      <c r="F668" s="143"/>
      <c r="G668" s="143"/>
      <c r="H668" s="143"/>
      <c r="I668" s="143"/>
      <c r="J668" s="143"/>
      <c r="K668" s="143"/>
      <c r="L668" s="143"/>
      <c r="M668" s="143"/>
      <c r="N668" s="143"/>
      <c r="O668" s="143"/>
      <c r="P668" s="143"/>
      <c r="Q668" s="143"/>
      <c r="R668" s="143"/>
      <c r="S668" s="143"/>
      <c r="T668" s="143"/>
      <c r="U668" s="143"/>
      <c r="V668" s="143"/>
      <c r="W668" s="143"/>
      <c r="X668" s="143"/>
      <c r="Y668" s="143"/>
      <c r="Z668" s="143"/>
      <c r="AA668" s="156"/>
      <c r="AB668" s="156"/>
      <c r="AC668" s="156"/>
      <c r="AD668" s="156"/>
      <c r="AE668" s="156"/>
    </row>
    <row r="669">
      <c r="A669" s="156"/>
      <c r="B669" s="156"/>
      <c r="C669" s="156"/>
      <c r="D669" s="154"/>
      <c r="E669" s="156"/>
      <c r="F669" s="143"/>
      <c r="G669" s="143"/>
      <c r="H669" s="143"/>
      <c r="I669" s="143"/>
      <c r="J669" s="143"/>
      <c r="K669" s="143"/>
      <c r="L669" s="143"/>
      <c r="M669" s="143"/>
      <c r="N669" s="143"/>
      <c r="O669" s="143"/>
      <c r="P669" s="143"/>
      <c r="Q669" s="143"/>
      <c r="R669" s="143"/>
      <c r="S669" s="143"/>
      <c r="T669" s="143"/>
      <c r="U669" s="143"/>
      <c r="V669" s="143"/>
      <c r="W669" s="143"/>
      <c r="X669" s="143"/>
      <c r="Y669" s="143"/>
      <c r="Z669" s="143"/>
      <c r="AA669" s="156"/>
      <c r="AB669" s="156"/>
      <c r="AC669" s="156"/>
      <c r="AD669" s="156"/>
      <c r="AE669" s="156"/>
    </row>
    <row r="670">
      <c r="A670" s="156"/>
      <c r="B670" s="156"/>
      <c r="C670" s="156"/>
      <c r="D670" s="154"/>
      <c r="E670" s="156"/>
      <c r="F670" s="143"/>
      <c r="G670" s="143"/>
      <c r="H670" s="143"/>
      <c r="I670" s="143"/>
      <c r="J670" s="143"/>
      <c r="K670" s="143"/>
      <c r="L670" s="143"/>
      <c r="M670" s="143"/>
      <c r="N670" s="143"/>
      <c r="O670" s="143"/>
      <c r="P670" s="143"/>
      <c r="Q670" s="143"/>
      <c r="R670" s="143"/>
      <c r="S670" s="143"/>
      <c r="T670" s="143"/>
      <c r="U670" s="143"/>
      <c r="V670" s="143"/>
      <c r="W670" s="143"/>
      <c r="X670" s="143"/>
      <c r="Y670" s="143"/>
      <c r="Z670" s="143"/>
      <c r="AA670" s="156"/>
      <c r="AB670" s="156"/>
      <c r="AC670" s="156"/>
      <c r="AD670" s="156"/>
      <c r="AE670" s="156"/>
    </row>
    <row r="671">
      <c r="A671" s="156"/>
      <c r="B671" s="156"/>
      <c r="C671" s="156"/>
      <c r="D671" s="154"/>
      <c r="E671" s="156"/>
      <c r="F671" s="143"/>
      <c r="G671" s="143"/>
      <c r="H671" s="143"/>
      <c r="I671" s="143"/>
      <c r="J671" s="143"/>
      <c r="K671" s="143"/>
      <c r="L671" s="143"/>
      <c r="M671" s="143"/>
      <c r="N671" s="143"/>
      <c r="O671" s="143"/>
      <c r="P671" s="143"/>
      <c r="Q671" s="143"/>
      <c r="R671" s="143"/>
      <c r="S671" s="143"/>
      <c r="T671" s="143"/>
      <c r="U671" s="143"/>
      <c r="V671" s="143"/>
      <c r="W671" s="143"/>
      <c r="X671" s="143"/>
      <c r="Y671" s="143"/>
      <c r="Z671" s="143"/>
      <c r="AA671" s="156"/>
      <c r="AB671" s="156"/>
      <c r="AC671" s="156"/>
      <c r="AD671" s="156"/>
      <c r="AE671" s="156"/>
    </row>
    <row r="672">
      <c r="A672" s="156"/>
      <c r="B672" s="156"/>
      <c r="C672" s="156"/>
      <c r="D672" s="154"/>
      <c r="E672" s="156"/>
      <c r="F672" s="143"/>
      <c r="G672" s="143"/>
      <c r="H672" s="143"/>
      <c r="I672" s="143"/>
      <c r="J672" s="143"/>
      <c r="K672" s="143"/>
      <c r="L672" s="143"/>
      <c r="M672" s="143"/>
      <c r="N672" s="143"/>
      <c r="O672" s="143"/>
      <c r="P672" s="143"/>
      <c r="Q672" s="143"/>
      <c r="R672" s="143"/>
      <c r="S672" s="143"/>
      <c r="T672" s="143"/>
      <c r="U672" s="143"/>
      <c r="V672" s="143"/>
      <c r="W672" s="143"/>
      <c r="X672" s="143"/>
      <c r="Y672" s="143"/>
      <c r="Z672" s="143"/>
      <c r="AA672" s="156"/>
      <c r="AB672" s="156"/>
      <c r="AC672" s="156"/>
      <c r="AD672" s="156"/>
      <c r="AE672" s="156"/>
    </row>
    <row r="673">
      <c r="A673" s="156"/>
      <c r="B673" s="156"/>
      <c r="C673" s="156"/>
      <c r="D673" s="154"/>
      <c r="E673" s="156"/>
      <c r="F673" s="143"/>
      <c r="G673" s="143"/>
      <c r="H673" s="143"/>
      <c r="I673" s="143"/>
      <c r="J673" s="143"/>
      <c r="K673" s="143"/>
      <c r="L673" s="143"/>
      <c r="M673" s="143"/>
      <c r="N673" s="143"/>
      <c r="O673" s="143"/>
      <c r="P673" s="143"/>
      <c r="Q673" s="143"/>
      <c r="R673" s="143"/>
      <c r="S673" s="143"/>
      <c r="T673" s="143"/>
      <c r="U673" s="143"/>
      <c r="V673" s="143"/>
      <c r="W673" s="143"/>
      <c r="X673" s="143"/>
      <c r="Y673" s="143"/>
      <c r="Z673" s="143"/>
      <c r="AA673" s="156"/>
      <c r="AB673" s="156"/>
      <c r="AC673" s="156"/>
      <c r="AD673" s="156"/>
      <c r="AE673" s="156"/>
    </row>
    <row r="674">
      <c r="A674" s="156"/>
      <c r="B674" s="156"/>
      <c r="C674" s="156"/>
      <c r="D674" s="154"/>
      <c r="E674" s="156"/>
      <c r="F674" s="143"/>
      <c r="G674" s="143"/>
      <c r="H674" s="143"/>
      <c r="I674" s="143"/>
      <c r="J674" s="143"/>
      <c r="K674" s="143"/>
      <c r="L674" s="143"/>
      <c r="M674" s="143"/>
      <c r="N674" s="143"/>
      <c r="O674" s="143"/>
      <c r="P674" s="143"/>
      <c r="Q674" s="143"/>
      <c r="R674" s="143"/>
      <c r="S674" s="143"/>
      <c r="T674" s="143"/>
      <c r="U674" s="143"/>
      <c r="V674" s="143"/>
      <c r="W674" s="143"/>
      <c r="X674" s="143"/>
      <c r="Y674" s="143"/>
      <c r="Z674" s="143"/>
      <c r="AA674" s="156"/>
      <c r="AB674" s="156"/>
      <c r="AC674" s="156"/>
      <c r="AD674" s="156"/>
      <c r="AE674" s="156"/>
    </row>
    <row r="675">
      <c r="A675" s="156"/>
      <c r="B675" s="156"/>
      <c r="C675" s="156"/>
      <c r="D675" s="154"/>
      <c r="E675" s="156"/>
      <c r="F675" s="143"/>
      <c r="G675" s="143"/>
      <c r="H675" s="143"/>
      <c r="I675" s="143"/>
      <c r="J675" s="143"/>
      <c r="K675" s="143"/>
      <c r="L675" s="143"/>
      <c r="M675" s="143"/>
      <c r="N675" s="143"/>
      <c r="O675" s="143"/>
      <c r="P675" s="143"/>
      <c r="Q675" s="143"/>
      <c r="R675" s="143"/>
      <c r="S675" s="143"/>
      <c r="T675" s="143"/>
      <c r="U675" s="143"/>
      <c r="V675" s="143"/>
      <c r="W675" s="143"/>
      <c r="X675" s="143"/>
      <c r="Y675" s="143"/>
      <c r="Z675" s="143"/>
      <c r="AA675" s="156"/>
      <c r="AB675" s="156"/>
      <c r="AC675" s="156"/>
      <c r="AD675" s="156"/>
      <c r="AE675" s="156"/>
    </row>
    <row r="676">
      <c r="A676" s="156"/>
      <c r="B676" s="156"/>
      <c r="C676" s="156"/>
      <c r="D676" s="154"/>
      <c r="E676" s="156"/>
      <c r="F676" s="143"/>
      <c r="G676" s="143"/>
      <c r="H676" s="143"/>
      <c r="I676" s="143"/>
      <c r="J676" s="143"/>
      <c r="K676" s="143"/>
      <c r="L676" s="143"/>
      <c r="M676" s="143"/>
      <c r="N676" s="143"/>
      <c r="O676" s="143"/>
      <c r="P676" s="143"/>
      <c r="Q676" s="143"/>
      <c r="R676" s="143"/>
      <c r="S676" s="143"/>
      <c r="T676" s="143"/>
      <c r="U676" s="143"/>
      <c r="V676" s="143"/>
      <c r="W676" s="143"/>
      <c r="X676" s="143"/>
      <c r="Y676" s="143"/>
      <c r="Z676" s="143"/>
      <c r="AA676" s="156"/>
      <c r="AB676" s="156"/>
      <c r="AC676" s="156"/>
      <c r="AD676" s="156"/>
      <c r="AE676" s="156"/>
    </row>
    <row r="677">
      <c r="A677" s="156"/>
      <c r="B677" s="156"/>
      <c r="C677" s="156"/>
      <c r="D677" s="154"/>
      <c r="E677" s="156"/>
      <c r="F677" s="143"/>
      <c r="G677" s="143"/>
      <c r="H677" s="143"/>
      <c r="I677" s="143"/>
      <c r="J677" s="143"/>
      <c r="K677" s="143"/>
      <c r="L677" s="143"/>
      <c r="M677" s="143"/>
      <c r="N677" s="143"/>
      <c r="O677" s="143"/>
      <c r="P677" s="143"/>
      <c r="Q677" s="143"/>
      <c r="R677" s="143"/>
      <c r="S677" s="143"/>
      <c r="T677" s="143"/>
      <c r="U677" s="143"/>
      <c r="V677" s="143"/>
      <c r="W677" s="143"/>
      <c r="X677" s="143"/>
      <c r="Y677" s="143"/>
      <c r="Z677" s="143"/>
      <c r="AA677" s="156"/>
      <c r="AB677" s="156"/>
      <c r="AC677" s="156"/>
      <c r="AD677" s="156"/>
      <c r="AE677" s="156"/>
    </row>
    <row r="678">
      <c r="A678" s="156"/>
      <c r="B678" s="156"/>
      <c r="C678" s="156"/>
      <c r="D678" s="154"/>
      <c r="E678" s="156"/>
      <c r="F678" s="143"/>
      <c r="G678" s="143"/>
      <c r="H678" s="143"/>
      <c r="I678" s="143"/>
      <c r="J678" s="143"/>
      <c r="K678" s="143"/>
      <c r="L678" s="143"/>
      <c r="M678" s="143"/>
      <c r="N678" s="143"/>
      <c r="O678" s="143"/>
      <c r="P678" s="143"/>
      <c r="Q678" s="143"/>
      <c r="R678" s="143"/>
      <c r="S678" s="143"/>
      <c r="T678" s="143"/>
      <c r="U678" s="143"/>
      <c r="V678" s="143"/>
      <c r="W678" s="143"/>
      <c r="X678" s="143"/>
      <c r="Y678" s="143"/>
      <c r="Z678" s="143"/>
      <c r="AA678" s="156"/>
      <c r="AB678" s="156"/>
      <c r="AC678" s="156"/>
      <c r="AD678" s="156"/>
      <c r="AE678" s="156"/>
    </row>
    <row r="679">
      <c r="A679" s="156"/>
      <c r="B679" s="156"/>
      <c r="C679" s="156"/>
      <c r="D679" s="154"/>
      <c r="E679" s="156"/>
      <c r="F679" s="143"/>
      <c r="G679" s="143"/>
      <c r="H679" s="143"/>
      <c r="I679" s="143"/>
      <c r="J679" s="143"/>
      <c r="K679" s="143"/>
      <c r="L679" s="143"/>
      <c r="M679" s="143"/>
      <c r="N679" s="143"/>
      <c r="O679" s="143"/>
      <c r="P679" s="143"/>
      <c r="Q679" s="143"/>
      <c r="R679" s="143"/>
      <c r="S679" s="143"/>
      <c r="T679" s="143"/>
      <c r="U679" s="143"/>
      <c r="V679" s="143"/>
      <c r="W679" s="143"/>
      <c r="X679" s="143"/>
      <c r="Y679" s="143"/>
      <c r="Z679" s="143"/>
      <c r="AA679" s="156"/>
      <c r="AB679" s="156"/>
      <c r="AC679" s="156"/>
      <c r="AD679" s="156"/>
      <c r="AE679" s="156"/>
    </row>
    <row r="680">
      <c r="A680" s="156"/>
      <c r="B680" s="156"/>
      <c r="C680" s="156"/>
      <c r="D680" s="154"/>
      <c r="E680" s="156"/>
      <c r="F680" s="143"/>
      <c r="G680" s="143"/>
      <c r="H680" s="143"/>
      <c r="I680" s="143"/>
      <c r="J680" s="143"/>
      <c r="K680" s="143"/>
      <c r="L680" s="143"/>
      <c r="M680" s="143"/>
      <c r="N680" s="143"/>
      <c r="O680" s="143"/>
      <c r="P680" s="143"/>
      <c r="Q680" s="143"/>
      <c r="R680" s="143"/>
      <c r="S680" s="143"/>
      <c r="T680" s="143"/>
      <c r="U680" s="143"/>
      <c r="V680" s="143"/>
      <c r="W680" s="143"/>
      <c r="X680" s="143"/>
      <c r="Y680" s="143"/>
      <c r="Z680" s="143"/>
      <c r="AA680" s="156"/>
      <c r="AB680" s="156"/>
      <c r="AC680" s="156"/>
      <c r="AD680" s="156"/>
      <c r="AE680" s="156"/>
    </row>
    <row r="681">
      <c r="A681" s="156"/>
      <c r="B681" s="156"/>
      <c r="C681" s="156"/>
      <c r="D681" s="154"/>
      <c r="E681" s="156"/>
      <c r="F681" s="143"/>
      <c r="G681" s="143"/>
      <c r="H681" s="143"/>
      <c r="I681" s="143"/>
      <c r="J681" s="143"/>
      <c r="K681" s="143"/>
      <c r="L681" s="143"/>
      <c r="M681" s="143"/>
      <c r="N681" s="143"/>
      <c r="O681" s="143"/>
      <c r="P681" s="143"/>
      <c r="Q681" s="143"/>
      <c r="R681" s="143"/>
      <c r="S681" s="143"/>
      <c r="T681" s="143"/>
      <c r="U681" s="143"/>
      <c r="V681" s="143"/>
      <c r="W681" s="143"/>
      <c r="X681" s="143"/>
      <c r="Y681" s="143"/>
      <c r="Z681" s="143"/>
      <c r="AA681" s="156"/>
      <c r="AB681" s="156"/>
      <c r="AC681" s="156"/>
      <c r="AD681" s="156"/>
      <c r="AE681" s="156"/>
    </row>
    <row r="682">
      <c r="A682" s="156"/>
      <c r="B682" s="156"/>
      <c r="C682" s="156"/>
      <c r="D682" s="154"/>
      <c r="E682" s="156"/>
      <c r="F682" s="143"/>
      <c r="G682" s="143"/>
      <c r="H682" s="143"/>
      <c r="I682" s="143"/>
      <c r="J682" s="143"/>
      <c r="K682" s="143"/>
      <c r="L682" s="143"/>
      <c r="M682" s="143"/>
      <c r="N682" s="143"/>
      <c r="O682" s="143"/>
      <c r="P682" s="143"/>
      <c r="Q682" s="143"/>
      <c r="R682" s="143"/>
      <c r="S682" s="143"/>
      <c r="T682" s="143"/>
      <c r="U682" s="143"/>
      <c r="V682" s="143"/>
      <c r="W682" s="143"/>
      <c r="X682" s="143"/>
      <c r="Y682" s="143"/>
      <c r="Z682" s="143"/>
      <c r="AA682" s="156"/>
      <c r="AB682" s="156"/>
      <c r="AC682" s="156"/>
      <c r="AD682" s="156"/>
      <c r="AE682" s="156"/>
    </row>
    <row r="683">
      <c r="A683" s="156"/>
      <c r="B683" s="156"/>
      <c r="C683" s="156"/>
      <c r="D683" s="154"/>
      <c r="E683" s="156"/>
      <c r="F683" s="143"/>
      <c r="G683" s="143"/>
      <c r="H683" s="143"/>
      <c r="I683" s="143"/>
      <c r="J683" s="143"/>
      <c r="K683" s="143"/>
      <c r="L683" s="143"/>
      <c r="M683" s="143"/>
      <c r="N683" s="143"/>
      <c r="O683" s="143"/>
      <c r="P683" s="143"/>
      <c r="Q683" s="143"/>
      <c r="R683" s="143"/>
      <c r="S683" s="143"/>
      <c r="T683" s="143"/>
      <c r="U683" s="143"/>
      <c r="V683" s="143"/>
      <c r="W683" s="143"/>
      <c r="X683" s="143"/>
      <c r="Y683" s="143"/>
      <c r="Z683" s="143"/>
      <c r="AA683" s="156"/>
      <c r="AB683" s="156"/>
      <c r="AC683" s="156"/>
      <c r="AD683" s="156"/>
      <c r="AE683" s="156"/>
    </row>
    <row r="684">
      <c r="A684" s="156"/>
      <c r="B684" s="156"/>
      <c r="C684" s="156"/>
      <c r="D684" s="154"/>
      <c r="E684" s="156"/>
      <c r="F684" s="143"/>
      <c r="G684" s="143"/>
      <c r="H684" s="143"/>
      <c r="I684" s="143"/>
      <c r="J684" s="143"/>
      <c r="K684" s="143"/>
      <c r="L684" s="143"/>
      <c r="M684" s="143"/>
      <c r="N684" s="143"/>
      <c r="O684" s="143"/>
      <c r="P684" s="143"/>
      <c r="Q684" s="143"/>
      <c r="R684" s="143"/>
      <c r="S684" s="143"/>
      <c r="T684" s="143"/>
      <c r="U684" s="143"/>
      <c r="V684" s="143"/>
      <c r="W684" s="143"/>
      <c r="X684" s="143"/>
      <c r="Y684" s="143"/>
      <c r="Z684" s="143"/>
      <c r="AA684" s="156"/>
      <c r="AB684" s="156"/>
      <c r="AC684" s="156"/>
      <c r="AD684" s="156"/>
      <c r="AE684" s="156"/>
    </row>
    <row r="685">
      <c r="A685" s="156"/>
      <c r="B685" s="156"/>
      <c r="C685" s="156"/>
      <c r="D685" s="154"/>
      <c r="E685" s="156"/>
      <c r="F685" s="143"/>
      <c r="G685" s="143"/>
      <c r="H685" s="143"/>
      <c r="I685" s="143"/>
      <c r="J685" s="143"/>
      <c r="K685" s="143"/>
      <c r="L685" s="143"/>
      <c r="M685" s="143"/>
      <c r="N685" s="143"/>
      <c r="O685" s="143"/>
      <c r="P685" s="143"/>
      <c r="Q685" s="143"/>
      <c r="R685" s="143"/>
      <c r="S685" s="143"/>
      <c r="T685" s="143"/>
      <c r="U685" s="143"/>
      <c r="V685" s="143"/>
      <c r="W685" s="143"/>
      <c r="X685" s="143"/>
      <c r="Y685" s="143"/>
      <c r="Z685" s="143"/>
      <c r="AA685" s="156"/>
      <c r="AB685" s="156"/>
      <c r="AC685" s="156"/>
      <c r="AD685" s="156"/>
      <c r="AE685" s="156"/>
    </row>
    <row r="686">
      <c r="A686" s="156"/>
      <c r="B686" s="156"/>
      <c r="C686" s="156"/>
      <c r="D686" s="154"/>
      <c r="E686" s="156"/>
      <c r="F686" s="143"/>
      <c r="G686" s="143"/>
      <c r="H686" s="143"/>
      <c r="I686" s="143"/>
      <c r="J686" s="143"/>
      <c r="K686" s="143"/>
      <c r="L686" s="143"/>
      <c r="M686" s="143"/>
      <c r="N686" s="143"/>
      <c r="O686" s="143"/>
      <c r="P686" s="143"/>
      <c r="Q686" s="143"/>
      <c r="R686" s="143"/>
      <c r="S686" s="143"/>
      <c r="T686" s="143"/>
      <c r="U686" s="143"/>
      <c r="V686" s="143"/>
      <c r="W686" s="143"/>
      <c r="X686" s="143"/>
      <c r="Y686" s="143"/>
      <c r="Z686" s="143"/>
      <c r="AA686" s="156"/>
      <c r="AB686" s="156"/>
      <c r="AC686" s="156"/>
      <c r="AD686" s="156"/>
      <c r="AE686" s="156"/>
    </row>
    <row r="687">
      <c r="A687" s="156"/>
      <c r="B687" s="156"/>
      <c r="C687" s="156"/>
      <c r="D687" s="154"/>
      <c r="E687" s="156"/>
      <c r="F687" s="143"/>
      <c r="G687" s="143"/>
      <c r="H687" s="143"/>
      <c r="I687" s="143"/>
      <c r="J687" s="143"/>
      <c r="K687" s="143"/>
      <c r="L687" s="143"/>
      <c r="M687" s="143"/>
      <c r="N687" s="143"/>
      <c r="O687" s="143"/>
      <c r="P687" s="143"/>
      <c r="Q687" s="143"/>
      <c r="R687" s="143"/>
      <c r="S687" s="143"/>
      <c r="T687" s="143"/>
      <c r="U687" s="143"/>
      <c r="V687" s="143"/>
      <c r="W687" s="143"/>
      <c r="X687" s="143"/>
      <c r="Y687" s="143"/>
      <c r="Z687" s="143"/>
      <c r="AA687" s="156"/>
      <c r="AB687" s="156"/>
      <c r="AC687" s="156"/>
      <c r="AD687" s="156"/>
      <c r="AE687" s="156"/>
    </row>
    <row r="688">
      <c r="A688" s="156"/>
      <c r="B688" s="156"/>
      <c r="C688" s="156"/>
      <c r="D688" s="154"/>
      <c r="E688" s="156"/>
      <c r="F688" s="143"/>
      <c r="G688" s="143"/>
      <c r="H688" s="143"/>
      <c r="I688" s="143"/>
      <c r="J688" s="143"/>
      <c r="K688" s="143"/>
      <c r="L688" s="143"/>
      <c r="M688" s="143"/>
      <c r="N688" s="143"/>
      <c r="O688" s="143"/>
      <c r="P688" s="143"/>
      <c r="Q688" s="143"/>
      <c r="R688" s="143"/>
      <c r="S688" s="143"/>
      <c r="T688" s="143"/>
      <c r="U688" s="143"/>
      <c r="V688" s="143"/>
      <c r="W688" s="143"/>
      <c r="X688" s="143"/>
      <c r="Y688" s="143"/>
      <c r="Z688" s="143"/>
      <c r="AA688" s="156"/>
      <c r="AB688" s="156"/>
      <c r="AC688" s="156"/>
      <c r="AD688" s="156"/>
      <c r="AE688" s="156"/>
    </row>
    <row r="689">
      <c r="A689" s="156"/>
      <c r="B689" s="156"/>
      <c r="C689" s="156"/>
      <c r="D689" s="154"/>
      <c r="E689" s="156"/>
      <c r="F689" s="143"/>
      <c r="G689" s="143"/>
      <c r="H689" s="143"/>
      <c r="I689" s="143"/>
      <c r="J689" s="143"/>
      <c r="K689" s="143"/>
      <c r="L689" s="143"/>
      <c r="M689" s="143"/>
      <c r="N689" s="143"/>
      <c r="O689" s="143"/>
      <c r="P689" s="143"/>
      <c r="Q689" s="143"/>
      <c r="R689" s="143"/>
      <c r="S689" s="143"/>
      <c r="T689" s="143"/>
      <c r="U689" s="143"/>
      <c r="V689" s="143"/>
      <c r="W689" s="143"/>
      <c r="X689" s="143"/>
      <c r="Y689" s="143"/>
      <c r="Z689" s="143"/>
      <c r="AA689" s="156"/>
      <c r="AB689" s="156"/>
      <c r="AC689" s="156"/>
      <c r="AD689" s="156"/>
      <c r="AE689" s="156"/>
    </row>
    <row r="690">
      <c r="A690" s="156"/>
      <c r="B690" s="156"/>
      <c r="C690" s="156"/>
      <c r="D690" s="154"/>
      <c r="E690" s="156"/>
      <c r="F690" s="143"/>
      <c r="G690" s="143"/>
      <c r="H690" s="143"/>
      <c r="I690" s="143"/>
      <c r="J690" s="143"/>
      <c r="K690" s="143"/>
      <c r="L690" s="143"/>
      <c r="M690" s="143"/>
      <c r="N690" s="143"/>
      <c r="O690" s="143"/>
      <c r="P690" s="143"/>
      <c r="Q690" s="143"/>
      <c r="R690" s="143"/>
      <c r="S690" s="143"/>
      <c r="T690" s="143"/>
      <c r="U690" s="143"/>
      <c r="V690" s="143"/>
      <c r="W690" s="143"/>
      <c r="X690" s="143"/>
      <c r="Y690" s="143"/>
      <c r="Z690" s="143"/>
      <c r="AA690" s="156"/>
      <c r="AB690" s="156"/>
      <c r="AC690" s="156"/>
      <c r="AD690" s="156"/>
      <c r="AE690" s="156"/>
    </row>
    <row r="691">
      <c r="A691" s="156"/>
      <c r="B691" s="156"/>
      <c r="C691" s="156"/>
      <c r="D691" s="154"/>
      <c r="E691" s="156"/>
      <c r="F691" s="143"/>
      <c r="G691" s="143"/>
      <c r="H691" s="143"/>
      <c r="I691" s="143"/>
      <c r="J691" s="143"/>
      <c r="K691" s="143"/>
      <c r="L691" s="143"/>
      <c r="M691" s="143"/>
      <c r="N691" s="143"/>
      <c r="O691" s="143"/>
      <c r="P691" s="143"/>
      <c r="Q691" s="143"/>
      <c r="R691" s="143"/>
      <c r="S691" s="143"/>
      <c r="T691" s="143"/>
      <c r="U691" s="143"/>
      <c r="V691" s="143"/>
      <c r="W691" s="143"/>
      <c r="X691" s="143"/>
      <c r="Y691" s="143"/>
      <c r="Z691" s="143"/>
      <c r="AA691" s="156"/>
      <c r="AB691" s="156"/>
      <c r="AC691" s="156"/>
      <c r="AD691" s="156"/>
      <c r="AE691" s="156"/>
    </row>
    <row r="692">
      <c r="A692" s="156"/>
      <c r="B692" s="156"/>
      <c r="C692" s="156"/>
      <c r="D692" s="154"/>
      <c r="E692" s="156"/>
      <c r="F692" s="143"/>
      <c r="G692" s="143"/>
      <c r="H692" s="143"/>
      <c r="I692" s="143"/>
      <c r="J692" s="143"/>
      <c r="K692" s="143"/>
      <c r="L692" s="143"/>
      <c r="M692" s="143"/>
      <c r="N692" s="143"/>
      <c r="O692" s="143"/>
      <c r="P692" s="143"/>
      <c r="Q692" s="143"/>
      <c r="R692" s="143"/>
      <c r="S692" s="143"/>
      <c r="T692" s="143"/>
      <c r="U692" s="143"/>
      <c r="V692" s="143"/>
      <c r="W692" s="143"/>
      <c r="X692" s="143"/>
      <c r="Y692" s="143"/>
      <c r="Z692" s="143"/>
      <c r="AA692" s="156"/>
      <c r="AB692" s="156"/>
      <c r="AC692" s="156"/>
      <c r="AD692" s="156"/>
      <c r="AE692" s="156"/>
    </row>
    <row r="693">
      <c r="A693" s="156"/>
      <c r="B693" s="156"/>
      <c r="C693" s="156"/>
      <c r="D693" s="154"/>
      <c r="E693" s="156"/>
      <c r="F693" s="143"/>
      <c r="G693" s="143"/>
      <c r="H693" s="143"/>
      <c r="I693" s="143"/>
      <c r="J693" s="143"/>
      <c r="K693" s="143"/>
      <c r="L693" s="143"/>
      <c r="M693" s="143"/>
      <c r="N693" s="143"/>
      <c r="O693" s="143"/>
      <c r="P693" s="143"/>
      <c r="Q693" s="143"/>
      <c r="R693" s="143"/>
      <c r="S693" s="143"/>
      <c r="T693" s="143"/>
      <c r="U693" s="143"/>
      <c r="V693" s="143"/>
      <c r="W693" s="143"/>
      <c r="X693" s="143"/>
      <c r="Y693" s="143"/>
      <c r="Z693" s="143"/>
      <c r="AA693" s="156"/>
      <c r="AB693" s="156"/>
      <c r="AC693" s="156"/>
      <c r="AD693" s="156"/>
      <c r="AE693" s="156"/>
    </row>
    <row r="694">
      <c r="A694" s="156"/>
      <c r="B694" s="156"/>
      <c r="C694" s="156"/>
      <c r="D694" s="154"/>
      <c r="E694" s="156"/>
      <c r="F694" s="143"/>
      <c r="G694" s="143"/>
      <c r="H694" s="143"/>
      <c r="I694" s="143"/>
      <c r="J694" s="143"/>
      <c r="K694" s="143"/>
      <c r="L694" s="143"/>
      <c r="M694" s="143"/>
      <c r="N694" s="143"/>
      <c r="O694" s="143"/>
      <c r="P694" s="143"/>
      <c r="Q694" s="143"/>
      <c r="R694" s="143"/>
      <c r="S694" s="143"/>
      <c r="T694" s="143"/>
      <c r="U694" s="143"/>
      <c r="V694" s="143"/>
      <c r="W694" s="143"/>
      <c r="X694" s="143"/>
      <c r="Y694" s="143"/>
      <c r="Z694" s="143"/>
      <c r="AA694" s="156"/>
      <c r="AB694" s="156"/>
      <c r="AC694" s="156"/>
      <c r="AD694" s="156"/>
      <c r="AE694" s="156"/>
    </row>
    <row r="695">
      <c r="A695" s="156"/>
      <c r="B695" s="156"/>
      <c r="C695" s="156"/>
      <c r="D695" s="154"/>
      <c r="E695" s="156"/>
      <c r="F695" s="143"/>
      <c r="G695" s="143"/>
      <c r="H695" s="143"/>
      <c r="I695" s="143"/>
      <c r="J695" s="143"/>
      <c r="K695" s="143"/>
      <c r="L695" s="143"/>
      <c r="M695" s="143"/>
      <c r="N695" s="143"/>
      <c r="O695" s="143"/>
      <c r="P695" s="143"/>
      <c r="Q695" s="143"/>
      <c r="R695" s="143"/>
      <c r="S695" s="143"/>
      <c r="T695" s="143"/>
      <c r="U695" s="143"/>
      <c r="V695" s="143"/>
      <c r="W695" s="143"/>
      <c r="X695" s="143"/>
      <c r="Y695" s="143"/>
      <c r="Z695" s="143"/>
      <c r="AA695" s="156"/>
      <c r="AB695" s="156"/>
      <c r="AC695" s="156"/>
      <c r="AD695" s="156"/>
      <c r="AE695" s="156"/>
    </row>
    <row r="696">
      <c r="A696" s="156"/>
      <c r="B696" s="156"/>
      <c r="C696" s="156"/>
      <c r="D696" s="154"/>
      <c r="E696" s="156"/>
      <c r="F696" s="143"/>
      <c r="G696" s="143"/>
      <c r="H696" s="143"/>
      <c r="I696" s="143"/>
      <c r="J696" s="143"/>
      <c r="K696" s="143"/>
      <c r="L696" s="143"/>
      <c r="M696" s="143"/>
      <c r="N696" s="143"/>
      <c r="O696" s="143"/>
      <c r="P696" s="143"/>
      <c r="Q696" s="143"/>
      <c r="R696" s="143"/>
      <c r="S696" s="143"/>
      <c r="T696" s="143"/>
      <c r="U696" s="143"/>
      <c r="V696" s="143"/>
      <c r="W696" s="143"/>
      <c r="X696" s="143"/>
      <c r="Y696" s="143"/>
      <c r="Z696" s="143"/>
      <c r="AA696" s="156"/>
      <c r="AB696" s="156"/>
      <c r="AC696" s="156"/>
      <c r="AD696" s="156"/>
      <c r="AE696" s="156"/>
    </row>
    <row r="697">
      <c r="A697" s="156"/>
      <c r="B697" s="156"/>
      <c r="C697" s="156"/>
      <c r="D697" s="154"/>
      <c r="E697" s="156"/>
      <c r="F697" s="143"/>
      <c r="G697" s="143"/>
      <c r="H697" s="143"/>
      <c r="I697" s="143"/>
      <c r="J697" s="143"/>
      <c r="K697" s="143"/>
      <c r="L697" s="143"/>
      <c r="M697" s="143"/>
      <c r="N697" s="143"/>
      <c r="O697" s="143"/>
      <c r="P697" s="143"/>
      <c r="Q697" s="143"/>
      <c r="R697" s="143"/>
      <c r="S697" s="143"/>
      <c r="T697" s="143"/>
      <c r="U697" s="143"/>
      <c r="V697" s="143"/>
      <c r="W697" s="143"/>
      <c r="X697" s="143"/>
      <c r="Y697" s="143"/>
      <c r="Z697" s="143"/>
      <c r="AA697" s="156"/>
      <c r="AB697" s="156"/>
      <c r="AC697" s="156"/>
      <c r="AD697" s="156"/>
      <c r="AE697" s="156"/>
    </row>
    <row r="698">
      <c r="A698" s="156"/>
      <c r="B698" s="156"/>
      <c r="C698" s="156"/>
      <c r="D698" s="154"/>
      <c r="E698" s="156"/>
      <c r="F698" s="143"/>
      <c r="G698" s="143"/>
      <c r="H698" s="143"/>
      <c r="I698" s="143"/>
      <c r="J698" s="143"/>
      <c r="K698" s="143"/>
      <c r="L698" s="143"/>
      <c r="M698" s="143"/>
      <c r="N698" s="143"/>
      <c r="O698" s="143"/>
      <c r="P698" s="143"/>
      <c r="Q698" s="143"/>
      <c r="R698" s="143"/>
      <c r="S698" s="143"/>
      <c r="T698" s="143"/>
      <c r="U698" s="143"/>
      <c r="V698" s="143"/>
      <c r="W698" s="143"/>
      <c r="X698" s="143"/>
      <c r="Y698" s="143"/>
      <c r="Z698" s="143"/>
      <c r="AA698" s="156"/>
      <c r="AB698" s="156"/>
      <c r="AC698" s="156"/>
      <c r="AD698" s="156"/>
      <c r="AE698" s="156"/>
    </row>
    <row r="699">
      <c r="A699" s="156"/>
      <c r="B699" s="156"/>
      <c r="C699" s="156"/>
      <c r="D699" s="154"/>
      <c r="E699" s="156"/>
      <c r="F699" s="143"/>
      <c r="G699" s="143"/>
      <c r="H699" s="143"/>
      <c r="I699" s="143"/>
      <c r="J699" s="143"/>
      <c r="K699" s="143"/>
      <c r="L699" s="143"/>
      <c r="M699" s="143"/>
      <c r="N699" s="143"/>
      <c r="O699" s="143"/>
      <c r="P699" s="143"/>
      <c r="Q699" s="143"/>
      <c r="R699" s="143"/>
      <c r="S699" s="143"/>
      <c r="T699" s="143"/>
      <c r="U699" s="143"/>
      <c r="V699" s="143"/>
      <c r="W699" s="143"/>
      <c r="X699" s="143"/>
      <c r="Y699" s="143"/>
      <c r="Z699" s="143"/>
      <c r="AA699" s="156"/>
      <c r="AB699" s="156"/>
      <c r="AC699" s="156"/>
      <c r="AD699" s="156"/>
      <c r="AE699" s="156"/>
    </row>
    <row r="700">
      <c r="A700" s="156"/>
      <c r="B700" s="156"/>
      <c r="C700" s="156"/>
      <c r="D700" s="154"/>
      <c r="E700" s="156"/>
      <c r="F700" s="143"/>
      <c r="G700" s="143"/>
      <c r="H700" s="143"/>
      <c r="I700" s="143"/>
      <c r="J700" s="143"/>
      <c r="K700" s="143"/>
      <c r="L700" s="143"/>
      <c r="M700" s="143"/>
      <c r="N700" s="143"/>
      <c r="O700" s="143"/>
      <c r="P700" s="143"/>
      <c r="Q700" s="143"/>
      <c r="R700" s="143"/>
      <c r="S700" s="143"/>
      <c r="T700" s="143"/>
      <c r="U700" s="143"/>
      <c r="V700" s="143"/>
      <c r="W700" s="143"/>
      <c r="X700" s="143"/>
      <c r="Y700" s="143"/>
      <c r="Z700" s="143"/>
      <c r="AA700" s="156"/>
      <c r="AB700" s="156"/>
      <c r="AC700" s="156"/>
      <c r="AD700" s="156"/>
      <c r="AE700" s="156"/>
    </row>
    <row r="701">
      <c r="A701" s="156"/>
      <c r="B701" s="156"/>
      <c r="C701" s="156"/>
      <c r="D701" s="154"/>
      <c r="E701" s="156"/>
      <c r="F701" s="143"/>
      <c r="G701" s="143"/>
      <c r="H701" s="143"/>
      <c r="I701" s="143"/>
      <c r="J701" s="143"/>
      <c r="K701" s="143"/>
      <c r="L701" s="143"/>
      <c r="M701" s="143"/>
      <c r="N701" s="143"/>
      <c r="O701" s="143"/>
      <c r="P701" s="143"/>
      <c r="Q701" s="143"/>
      <c r="R701" s="143"/>
      <c r="S701" s="143"/>
      <c r="T701" s="143"/>
      <c r="U701" s="143"/>
      <c r="V701" s="143"/>
      <c r="W701" s="143"/>
      <c r="X701" s="143"/>
      <c r="Y701" s="143"/>
      <c r="Z701" s="143"/>
      <c r="AA701" s="156"/>
      <c r="AB701" s="156"/>
      <c r="AC701" s="156"/>
      <c r="AD701" s="156"/>
      <c r="AE701" s="156"/>
    </row>
    <row r="702">
      <c r="A702" s="156"/>
      <c r="B702" s="156"/>
      <c r="C702" s="156"/>
      <c r="D702" s="154"/>
      <c r="E702" s="156"/>
      <c r="F702" s="143"/>
      <c r="G702" s="143"/>
      <c r="H702" s="143"/>
      <c r="I702" s="143"/>
      <c r="J702" s="143"/>
      <c r="K702" s="143"/>
      <c r="L702" s="143"/>
      <c r="M702" s="143"/>
      <c r="N702" s="143"/>
      <c r="O702" s="143"/>
      <c r="P702" s="143"/>
      <c r="Q702" s="143"/>
      <c r="R702" s="143"/>
      <c r="S702" s="143"/>
      <c r="T702" s="143"/>
      <c r="U702" s="143"/>
      <c r="V702" s="143"/>
      <c r="W702" s="143"/>
      <c r="X702" s="143"/>
      <c r="Y702" s="143"/>
      <c r="Z702" s="143"/>
      <c r="AA702" s="156"/>
      <c r="AB702" s="156"/>
      <c r="AC702" s="156"/>
      <c r="AD702" s="156"/>
      <c r="AE702" s="156"/>
    </row>
    <row r="703">
      <c r="A703" s="156"/>
      <c r="B703" s="156"/>
      <c r="C703" s="156"/>
      <c r="D703" s="154"/>
      <c r="E703" s="156"/>
      <c r="F703" s="143"/>
      <c r="G703" s="143"/>
      <c r="H703" s="143"/>
      <c r="I703" s="143"/>
      <c r="J703" s="143"/>
      <c r="K703" s="143"/>
      <c r="L703" s="143"/>
      <c r="M703" s="143"/>
      <c r="N703" s="143"/>
      <c r="O703" s="143"/>
      <c r="P703" s="143"/>
      <c r="Q703" s="143"/>
      <c r="R703" s="143"/>
      <c r="S703" s="143"/>
      <c r="T703" s="143"/>
      <c r="U703" s="143"/>
      <c r="V703" s="143"/>
      <c r="W703" s="143"/>
      <c r="X703" s="143"/>
      <c r="Y703" s="143"/>
      <c r="Z703" s="143"/>
      <c r="AA703" s="156"/>
      <c r="AB703" s="156"/>
      <c r="AC703" s="156"/>
      <c r="AD703" s="156"/>
      <c r="AE703" s="156"/>
    </row>
    <row r="704">
      <c r="A704" s="156"/>
      <c r="B704" s="156"/>
      <c r="C704" s="156"/>
      <c r="D704" s="154"/>
      <c r="E704" s="156"/>
      <c r="F704" s="143"/>
      <c r="G704" s="143"/>
      <c r="H704" s="143"/>
      <c r="I704" s="143"/>
      <c r="J704" s="143"/>
      <c r="K704" s="143"/>
      <c r="L704" s="143"/>
      <c r="M704" s="143"/>
      <c r="N704" s="143"/>
      <c r="O704" s="143"/>
      <c r="P704" s="143"/>
      <c r="Q704" s="143"/>
      <c r="R704" s="143"/>
      <c r="S704" s="143"/>
      <c r="T704" s="143"/>
      <c r="U704" s="143"/>
      <c r="V704" s="143"/>
      <c r="W704" s="143"/>
      <c r="X704" s="143"/>
      <c r="Y704" s="143"/>
      <c r="Z704" s="143"/>
      <c r="AA704" s="156"/>
      <c r="AB704" s="156"/>
      <c r="AC704" s="156"/>
      <c r="AD704" s="156"/>
      <c r="AE704" s="156"/>
    </row>
    <row r="705">
      <c r="A705" s="156"/>
      <c r="B705" s="156"/>
      <c r="C705" s="156"/>
      <c r="D705" s="154"/>
      <c r="E705" s="156"/>
      <c r="F705" s="143"/>
      <c r="G705" s="143"/>
      <c r="H705" s="143"/>
      <c r="I705" s="143"/>
      <c r="J705" s="143"/>
      <c r="K705" s="143"/>
      <c r="L705" s="143"/>
      <c r="M705" s="143"/>
      <c r="N705" s="143"/>
      <c r="O705" s="143"/>
      <c r="P705" s="143"/>
      <c r="Q705" s="143"/>
      <c r="R705" s="143"/>
      <c r="S705" s="143"/>
      <c r="T705" s="143"/>
      <c r="U705" s="143"/>
      <c r="V705" s="143"/>
      <c r="W705" s="143"/>
      <c r="X705" s="143"/>
      <c r="Y705" s="143"/>
      <c r="Z705" s="143"/>
      <c r="AA705" s="156"/>
      <c r="AB705" s="156"/>
      <c r="AC705" s="156"/>
      <c r="AD705" s="156"/>
      <c r="AE705" s="156"/>
    </row>
    <row r="706">
      <c r="A706" s="156"/>
      <c r="B706" s="156"/>
      <c r="C706" s="156"/>
      <c r="D706" s="154"/>
      <c r="E706" s="156"/>
      <c r="F706" s="143"/>
      <c r="G706" s="143"/>
      <c r="H706" s="143"/>
      <c r="I706" s="143"/>
      <c r="J706" s="143"/>
      <c r="K706" s="143"/>
      <c r="L706" s="143"/>
      <c r="M706" s="143"/>
      <c r="N706" s="143"/>
      <c r="O706" s="143"/>
      <c r="P706" s="143"/>
      <c r="Q706" s="143"/>
      <c r="R706" s="143"/>
      <c r="S706" s="143"/>
      <c r="T706" s="143"/>
      <c r="U706" s="143"/>
      <c r="V706" s="143"/>
      <c r="W706" s="143"/>
      <c r="X706" s="143"/>
      <c r="Y706" s="143"/>
      <c r="Z706" s="143"/>
      <c r="AA706" s="156"/>
      <c r="AB706" s="156"/>
      <c r="AC706" s="156"/>
      <c r="AD706" s="156"/>
      <c r="AE706" s="156"/>
    </row>
    <row r="707">
      <c r="A707" s="156"/>
      <c r="B707" s="156"/>
      <c r="C707" s="156"/>
      <c r="D707" s="154"/>
      <c r="E707" s="156"/>
      <c r="F707" s="143"/>
      <c r="G707" s="143"/>
      <c r="H707" s="143"/>
      <c r="I707" s="143"/>
      <c r="J707" s="143"/>
      <c r="K707" s="143"/>
      <c r="L707" s="143"/>
      <c r="M707" s="143"/>
      <c r="N707" s="143"/>
      <c r="O707" s="143"/>
      <c r="P707" s="143"/>
      <c r="Q707" s="143"/>
      <c r="R707" s="143"/>
      <c r="S707" s="143"/>
      <c r="T707" s="143"/>
      <c r="U707" s="143"/>
      <c r="V707" s="143"/>
      <c r="W707" s="143"/>
      <c r="X707" s="143"/>
      <c r="Y707" s="143"/>
      <c r="Z707" s="143"/>
      <c r="AA707" s="156"/>
      <c r="AB707" s="156"/>
      <c r="AC707" s="156"/>
      <c r="AD707" s="156"/>
      <c r="AE707" s="156"/>
    </row>
    <row r="708">
      <c r="A708" s="156"/>
      <c r="B708" s="156"/>
      <c r="C708" s="156"/>
      <c r="D708" s="154"/>
      <c r="E708" s="156"/>
      <c r="F708" s="143"/>
      <c r="G708" s="143"/>
      <c r="H708" s="143"/>
      <c r="I708" s="143"/>
      <c r="J708" s="143"/>
      <c r="K708" s="143"/>
      <c r="L708" s="143"/>
      <c r="M708" s="143"/>
      <c r="N708" s="143"/>
      <c r="O708" s="143"/>
      <c r="P708" s="143"/>
      <c r="Q708" s="143"/>
      <c r="R708" s="143"/>
      <c r="S708" s="143"/>
      <c r="T708" s="143"/>
      <c r="U708" s="143"/>
      <c r="V708" s="143"/>
      <c r="W708" s="143"/>
      <c r="X708" s="143"/>
      <c r="Y708" s="143"/>
      <c r="Z708" s="143"/>
      <c r="AA708" s="156"/>
      <c r="AB708" s="156"/>
      <c r="AC708" s="156"/>
      <c r="AD708" s="156"/>
      <c r="AE708" s="156"/>
    </row>
    <row r="709">
      <c r="A709" s="156"/>
      <c r="B709" s="156"/>
      <c r="C709" s="156"/>
      <c r="D709" s="154"/>
      <c r="E709" s="156"/>
      <c r="F709" s="143"/>
      <c r="G709" s="143"/>
      <c r="H709" s="143"/>
      <c r="I709" s="143"/>
      <c r="J709" s="143"/>
      <c r="K709" s="143"/>
      <c r="L709" s="143"/>
      <c r="M709" s="143"/>
      <c r="N709" s="143"/>
      <c r="O709" s="143"/>
      <c r="P709" s="143"/>
      <c r="Q709" s="143"/>
      <c r="R709" s="143"/>
      <c r="S709" s="143"/>
      <c r="T709" s="143"/>
      <c r="U709" s="143"/>
      <c r="V709" s="143"/>
      <c r="W709" s="143"/>
      <c r="X709" s="143"/>
      <c r="Y709" s="143"/>
      <c r="Z709" s="143"/>
      <c r="AA709" s="156"/>
      <c r="AB709" s="156"/>
      <c r="AC709" s="156"/>
      <c r="AD709" s="156"/>
      <c r="AE709" s="156"/>
    </row>
    <row r="710">
      <c r="A710" s="156"/>
      <c r="B710" s="156"/>
      <c r="C710" s="156"/>
      <c r="D710" s="154"/>
      <c r="E710" s="156"/>
      <c r="F710" s="143"/>
      <c r="G710" s="143"/>
      <c r="H710" s="143"/>
      <c r="I710" s="143"/>
      <c r="J710" s="143"/>
      <c r="K710" s="143"/>
      <c r="L710" s="143"/>
      <c r="M710" s="143"/>
      <c r="N710" s="143"/>
      <c r="O710" s="143"/>
      <c r="P710" s="143"/>
      <c r="Q710" s="143"/>
      <c r="R710" s="143"/>
      <c r="S710" s="143"/>
      <c r="T710" s="143"/>
      <c r="U710" s="143"/>
      <c r="V710" s="143"/>
      <c r="W710" s="143"/>
      <c r="X710" s="143"/>
      <c r="Y710" s="143"/>
      <c r="Z710" s="143"/>
      <c r="AA710" s="156"/>
      <c r="AB710" s="156"/>
      <c r="AC710" s="156"/>
      <c r="AD710" s="156"/>
      <c r="AE710" s="156"/>
    </row>
    <row r="711">
      <c r="A711" s="156"/>
      <c r="B711" s="156"/>
      <c r="C711" s="156"/>
      <c r="D711" s="154"/>
      <c r="E711" s="156"/>
      <c r="F711" s="143"/>
      <c r="G711" s="143"/>
      <c r="H711" s="143"/>
      <c r="I711" s="143"/>
      <c r="J711" s="143"/>
      <c r="K711" s="143"/>
      <c r="L711" s="143"/>
      <c r="M711" s="143"/>
      <c r="N711" s="143"/>
      <c r="O711" s="143"/>
      <c r="P711" s="143"/>
      <c r="Q711" s="143"/>
      <c r="R711" s="143"/>
      <c r="S711" s="143"/>
      <c r="T711" s="143"/>
      <c r="U711" s="143"/>
      <c r="V711" s="143"/>
      <c r="W711" s="143"/>
      <c r="X711" s="143"/>
      <c r="Y711" s="143"/>
      <c r="Z711" s="143"/>
      <c r="AA711" s="156"/>
      <c r="AB711" s="156"/>
      <c r="AC711" s="156"/>
      <c r="AD711" s="156"/>
      <c r="AE711" s="156"/>
    </row>
    <row r="712">
      <c r="A712" s="156"/>
      <c r="B712" s="156"/>
      <c r="C712" s="156"/>
      <c r="D712" s="154"/>
      <c r="E712" s="156"/>
      <c r="F712" s="143"/>
      <c r="G712" s="143"/>
      <c r="H712" s="143"/>
      <c r="I712" s="143"/>
      <c r="J712" s="143"/>
      <c r="K712" s="143"/>
      <c r="L712" s="143"/>
      <c r="M712" s="143"/>
      <c r="N712" s="143"/>
      <c r="O712" s="143"/>
      <c r="P712" s="143"/>
      <c r="Q712" s="143"/>
      <c r="R712" s="143"/>
      <c r="S712" s="143"/>
      <c r="T712" s="143"/>
      <c r="U712" s="143"/>
      <c r="V712" s="143"/>
      <c r="W712" s="143"/>
      <c r="X712" s="143"/>
      <c r="Y712" s="143"/>
      <c r="Z712" s="143"/>
      <c r="AA712" s="156"/>
      <c r="AB712" s="156"/>
      <c r="AC712" s="156"/>
      <c r="AD712" s="156"/>
      <c r="AE712" s="156"/>
    </row>
    <row r="713">
      <c r="A713" s="156"/>
      <c r="B713" s="156"/>
      <c r="C713" s="156"/>
      <c r="D713" s="154"/>
      <c r="E713" s="156"/>
      <c r="F713" s="143"/>
      <c r="G713" s="143"/>
      <c r="H713" s="143"/>
      <c r="I713" s="143"/>
      <c r="J713" s="143"/>
      <c r="K713" s="143"/>
      <c r="L713" s="143"/>
      <c r="M713" s="143"/>
      <c r="N713" s="143"/>
      <c r="O713" s="143"/>
      <c r="P713" s="143"/>
      <c r="Q713" s="143"/>
      <c r="R713" s="143"/>
      <c r="S713" s="143"/>
      <c r="T713" s="143"/>
      <c r="U713" s="143"/>
      <c r="V713" s="143"/>
      <c r="W713" s="143"/>
      <c r="X713" s="143"/>
      <c r="Y713" s="143"/>
      <c r="Z713" s="143"/>
      <c r="AA713" s="156"/>
      <c r="AB713" s="156"/>
      <c r="AC713" s="156"/>
      <c r="AD713" s="156"/>
      <c r="AE713" s="156"/>
    </row>
    <row r="714">
      <c r="A714" s="156"/>
      <c r="B714" s="156"/>
      <c r="C714" s="156"/>
      <c r="D714" s="154"/>
      <c r="E714" s="156"/>
      <c r="F714" s="143"/>
      <c r="G714" s="143"/>
      <c r="H714" s="143"/>
      <c r="I714" s="143"/>
      <c r="J714" s="143"/>
      <c r="K714" s="143"/>
      <c r="L714" s="143"/>
      <c r="M714" s="143"/>
      <c r="N714" s="143"/>
      <c r="O714" s="143"/>
      <c r="P714" s="143"/>
      <c r="Q714" s="143"/>
      <c r="R714" s="143"/>
      <c r="S714" s="143"/>
      <c r="T714" s="143"/>
      <c r="U714" s="143"/>
      <c r="V714" s="143"/>
      <c r="W714" s="143"/>
      <c r="X714" s="143"/>
      <c r="Y714" s="143"/>
      <c r="Z714" s="143"/>
      <c r="AA714" s="156"/>
      <c r="AB714" s="156"/>
      <c r="AC714" s="156"/>
      <c r="AD714" s="156"/>
      <c r="AE714" s="156"/>
    </row>
    <row r="715">
      <c r="A715" s="156"/>
      <c r="B715" s="156"/>
      <c r="C715" s="156"/>
      <c r="D715" s="154"/>
      <c r="E715" s="156"/>
      <c r="F715" s="143"/>
      <c r="G715" s="143"/>
      <c r="H715" s="143"/>
      <c r="I715" s="143"/>
      <c r="J715" s="143"/>
      <c r="K715" s="143"/>
      <c r="L715" s="143"/>
      <c r="M715" s="143"/>
      <c r="N715" s="143"/>
      <c r="O715" s="143"/>
      <c r="P715" s="143"/>
      <c r="Q715" s="143"/>
      <c r="R715" s="143"/>
      <c r="S715" s="143"/>
      <c r="T715" s="143"/>
      <c r="U715" s="143"/>
      <c r="V715" s="143"/>
      <c r="W715" s="143"/>
      <c r="X715" s="143"/>
      <c r="Y715" s="143"/>
      <c r="Z715" s="143"/>
      <c r="AA715" s="156"/>
      <c r="AB715" s="156"/>
      <c r="AC715" s="156"/>
      <c r="AD715" s="156"/>
      <c r="AE715" s="156"/>
    </row>
    <row r="716">
      <c r="A716" s="156"/>
      <c r="B716" s="156"/>
      <c r="C716" s="156"/>
      <c r="D716" s="154"/>
      <c r="E716" s="156"/>
      <c r="F716" s="143"/>
      <c r="G716" s="143"/>
      <c r="H716" s="143"/>
      <c r="I716" s="143"/>
      <c r="J716" s="143"/>
      <c r="K716" s="143"/>
      <c r="L716" s="143"/>
      <c r="M716" s="143"/>
      <c r="N716" s="143"/>
      <c r="O716" s="143"/>
      <c r="P716" s="143"/>
      <c r="Q716" s="143"/>
      <c r="R716" s="143"/>
      <c r="S716" s="143"/>
      <c r="T716" s="143"/>
      <c r="U716" s="143"/>
      <c r="V716" s="143"/>
      <c r="W716" s="143"/>
      <c r="X716" s="143"/>
      <c r="Y716" s="143"/>
      <c r="Z716" s="143"/>
      <c r="AA716" s="156"/>
      <c r="AB716" s="156"/>
      <c r="AC716" s="156"/>
      <c r="AD716" s="156"/>
      <c r="AE716" s="156"/>
    </row>
    <row r="717">
      <c r="A717" s="156"/>
      <c r="B717" s="156"/>
      <c r="C717" s="156"/>
      <c r="D717" s="154"/>
      <c r="E717" s="156"/>
      <c r="F717" s="143"/>
      <c r="G717" s="143"/>
      <c r="H717" s="143"/>
      <c r="I717" s="143"/>
      <c r="J717" s="143"/>
      <c r="K717" s="143"/>
      <c r="L717" s="143"/>
      <c r="M717" s="143"/>
      <c r="N717" s="143"/>
      <c r="O717" s="143"/>
      <c r="P717" s="143"/>
      <c r="Q717" s="143"/>
      <c r="R717" s="143"/>
      <c r="S717" s="143"/>
      <c r="T717" s="143"/>
      <c r="U717" s="143"/>
      <c r="V717" s="143"/>
      <c r="W717" s="143"/>
      <c r="X717" s="143"/>
      <c r="Y717" s="143"/>
      <c r="Z717" s="143"/>
      <c r="AA717" s="156"/>
      <c r="AB717" s="156"/>
      <c r="AC717" s="156"/>
      <c r="AD717" s="156"/>
      <c r="AE717" s="156"/>
    </row>
    <row r="718">
      <c r="A718" s="156"/>
      <c r="B718" s="156"/>
      <c r="C718" s="156"/>
      <c r="D718" s="154"/>
      <c r="E718" s="156"/>
      <c r="F718" s="143"/>
      <c r="G718" s="143"/>
      <c r="H718" s="143"/>
      <c r="I718" s="143"/>
      <c r="J718" s="143"/>
      <c r="K718" s="143"/>
      <c r="L718" s="143"/>
      <c r="M718" s="143"/>
      <c r="N718" s="143"/>
      <c r="O718" s="143"/>
      <c r="P718" s="143"/>
      <c r="Q718" s="143"/>
      <c r="R718" s="143"/>
      <c r="S718" s="143"/>
      <c r="T718" s="143"/>
      <c r="U718" s="143"/>
      <c r="V718" s="143"/>
      <c r="W718" s="143"/>
      <c r="X718" s="143"/>
      <c r="Y718" s="143"/>
      <c r="Z718" s="143"/>
      <c r="AA718" s="156"/>
      <c r="AB718" s="156"/>
      <c r="AC718" s="156"/>
      <c r="AD718" s="156"/>
      <c r="AE718" s="156"/>
    </row>
    <row r="719">
      <c r="A719" s="156"/>
      <c r="B719" s="156"/>
      <c r="C719" s="156"/>
      <c r="D719" s="154"/>
      <c r="E719" s="156"/>
      <c r="F719" s="143"/>
      <c r="G719" s="143"/>
      <c r="H719" s="143"/>
      <c r="I719" s="143"/>
      <c r="J719" s="143"/>
      <c r="K719" s="143"/>
      <c r="L719" s="143"/>
      <c r="M719" s="143"/>
      <c r="N719" s="143"/>
      <c r="O719" s="143"/>
      <c r="P719" s="143"/>
      <c r="Q719" s="143"/>
      <c r="R719" s="143"/>
      <c r="S719" s="143"/>
      <c r="T719" s="143"/>
      <c r="U719" s="143"/>
      <c r="V719" s="143"/>
      <c r="W719" s="143"/>
      <c r="X719" s="143"/>
      <c r="Y719" s="143"/>
      <c r="Z719" s="143"/>
      <c r="AA719" s="156"/>
      <c r="AB719" s="156"/>
      <c r="AC719" s="156"/>
      <c r="AD719" s="156"/>
      <c r="AE719" s="156"/>
    </row>
    <row r="720">
      <c r="A720" s="156"/>
      <c r="B720" s="156"/>
      <c r="C720" s="156"/>
      <c r="D720" s="154"/>
      <c r="E720" s="156"/>
      <c r="F720" s="143"/>
      <c r="G720" s="143"/>
      <c r="H720" s="143"/>
      <c r="I720" s="143"/>
      <c r="J720" s="143"/>
      <c r="K720" s="143"/>
      <c r="L720" s="143"/>
      <c r="M720" s="143"/>
      <c r="N720" s="143"/>
      <c r="O720" s="143"/>
      <c r="P720" s="143"/>
      <c r="Q720" s="143"/>
      <c r="R720" s="143"/>
      <c r="S720" s="143"/>
      <c r="T720" s="143"/>
      <c r="U720" s="143"/>
      <c r="V720" s="143"/>
      <c r="W720" s="143"/>
      <c r="X720" s="143"/>
      <c r="Y720" s="143"/>
      <c r="Z720" s="143"/>
      <c r="AA720" s="156"/>
      <c r="AB720" s="156"/>
      <c r="AC720" s="156"/>
      <c r="AD720" s="156"/>
      <c r="AE720" s="156"/>
    </row>
    <row r="721">
      <c r="A721" s="156"/>
      <c r="B721" s="156"/>
      <c r="C721" s="156"/>
      <c r="D721" s="154"/>
      <c r="E721" s="156"/>
      <c r="F721" s="143"/>
      <c r="G721" s="143"/>
      <c r="H721" s="143"/>
      <c r="I721" s="143"/>
      <c r="J721" s="143"/>
      <c r="K721" s="143"/>
      <c r="L721" s="143"/>
      <c r="M721" s="143"/>
      <c r="N721" s="143"/>
      <c r="O721" s="143"/>
      <c r="P721" s="143"/>
      <c r="Q721" s="143"/>
      <c r="R721" s="143"/>
      <c r="S721" s="143"/>
      <c r="T721" s="143"/>
      <c r="U721" s="143"/>
      <c r="V721" s="143"/>
      <c r="W721" s="143"/>
      <c r="X721" s="143"/>
      <c r="Y721" s="143"/>
      <c r="Z721" s="143"/>
      <c r="AA721" s="156"/>
      <c r="AB721" s="156"/>
      <c r="AC721" s="156"/>
      <c r="AD721" s="156"/>
      <c r="AE721" s="156"/>
    </row>
    <row r="722">
      <c r="A722" s="156"/>
      <c r="B722" s="156"/>
      <c r="C722" s="156"/>
      <c r="D722" s="154"/>
      <c r="E722" s="156"/>
      <c r="F722" s="143"/>
      <c r="G722" s="143"/>
      <c r="H722" s="143"/>
      <c r="I722" s="143"/>
      <c r="J722" s="143"/>
      <c r="K722" s="143"/>
      <c r="L722" s="143"/>
      <c r="M722" s="143"/>
      <c r="N722" s="143"/>
      <c r="O722" s="143"/>
      <c r="P722" s="143"/>
      <c r="Q722" s="143"/>
      <c r="R722" s="143"/>
      <c r="S722" s="143"/>
      <c r="T722" s="143"/>
      <c r="U722" s="143"/>
      <c r="V722" s="143"/>
      <c r="W722" s="143"/>
      <c r="X722" s="143"/>
      <c r="Y722" s="143"/>
      <c r="Z722" s="143"/>
      <c r="AA722" s="156"/>
      <c r="AB722" s="156"/>
      <c r="AC722" s="156"/>
      <c r="AD722" s="156"/>
      <c r="AE722" s="156"/>
    </row>
    <row r="723">
      <c r="A723" s="156"/>
      <c r="B723" s="156"/>
      <c r="C723" s="156"/>
      <c r="D723" s="154"/>
      <c r="E723" s="156"/>
      <c r="F723" s="143"/>
      <c r="G723" s="143"/>
      <c r="H723" s="143"/>
      <c r="I723" s="143"/>
      <c r="J723" s="143"/>
      <c r="K723" s="143"/>
      <c r="L723" s="143"/>
      <c r="M723" s="143"/>
      <c r="N723" s="143"/>
      <c r="O723" s="143"/>
      <c r="P723" s="143"/>
      <c r="Q723" s="143"/>
      <c r="R723" s="143"/>
      <c r="S723" s="143"/>
      <c r="T723" s="143"/>
      <c r="U723" s="143"/>
      <c r="V723" s="143"/>
      <c r="W723" s="143"/>
      <c r="X723" s="143"/>
      <c r="Y723" s="143"/>
      <c r="Z723" s="143"/>
      <c r="AA723" s="156"/>
      <c r="AB723" s="156"/>
      <c r="AC723" s="156"/>
      <c r="AD723" s="156"/>
      <c r="AE723" s="156"/>
    </row>
    <row r="724">
      <c r="A724" s="156"/>
      <c r="B724" s="156"/>
      <c r="C724" s="156"/>
      <c r="D724" s="154"/>
      <c r="E724" s="156"/>
      <c r="F724" s="143"/>
      <c r="G724" s="143"/>
      <c r="H724" s="143"/>
      <c r="I724" s="143"/>
      <c r="J724" s="143"/>
      <c r="K724" s="143"/>
      <c r="L724" s="143"/>
      <c r="M724" s="143"/>
      <c r="N724" s="143"/>
      <c r="O724" s="143"/>
      <c r="P724" s="143"/>
      <c r="Q724" s="143"/>
      <c r="R724" s="143"/>
      <c r="S724" s="143"/>
      <c r="T724" s="143"/>
      <c r="U724" s="143"/>
      <c r="V724" s="143"/>
      <c r="W724" s="143"/>
      <c r="X724" s="143"/>
      <c r="Y724" s="143"/>
      <c r="Z724" s="143"/>
      <c r="AA724" s="156"/>
      <c r="AB724" s="156"/>
      <c r="AC724" s="156"/>
      <c r="AD724" s="156"/>
      <c r="AE724" s="156"/>
    </row>
    <row r="725">
      <c r="A725" s="156"/>
      <c r="B725" s="156"/>
      <c r="C725" s="156"/>
      <c r="D725" s="154"/>
      <c r="E725" s="156"/>
      <c r="F725" s="143"/>
      <c r="G725" s="143"/>
      <c r="H725" s="143"/>
      <c r="I725" s="143"/>
      <c r="J725" s="143"/>
      <c r="K725" s="143"/>
      <c r="L725" s="143"/>
      <c r="M725" s="143"/>
      <c r="N725" s="143"/>
      <c r="O725" s="143"/>
      <c r="P725" s="143"/>
      <c r="Q725" s="143"/>
      <c r="R725" s="143"/>
      <c r="S725" s="143"/>
      <c r="T725" s="143"/>
      <c r="U725" s="143"/>
      <c r="V725" s="143"/>
      <c r="W725" s="143"/>
      <c r="X725" s="143"/>
      <c r="Y725" s="143"/>
      <c r="Z725" s="143"/>
      <c r="AA725" s="156"/>
      <c r="AB725" s="156"/>
      <c r="AC725" s="156"/>
      <c r="AD725" s="156"/>
      <c r="AE725" s="156"/>
    </row>
    <row r="726">
      <c r="A726" s="156"/>
      <c r="B726" s="156"/>
      <c r="C726" s="156"/>
      <c r="D726" s="154"/>
      <c r="E726" s="156"/>
      <c r="F726" s="143"/>
      <c r="G726" s="143"/>
      <c r="H726" s="143"/>
      <c r="I726" s="143"/>
      <c r="J726" s="143"/>
      <c r="K726" s="143"/>
      <c r="L726" s="143"/>
      <c r="M726" s="143"/>
      <c r="N726" s="143"/>
      <c r="O726" s="143"/>
      <c r="P726" s="143"/>
      <c r="Q726" s="143"/>
      <c r="R726" s="143"/>
      <c r="S726" s="143"/>
      <c r="T726" s="143"/>
      <c r="U726" s="143"/>
      <c r="V726" s="143"/>
      <c r="W726" s="143"/>
      <c r="X726" s="143"/>
      <c r="Y726" s="143"/>
      <c r="Z726" s="143"/>
      <c r="AA726" s="156"/>
      <c r="AB726" s="156"/>
      <c r="AC726" s="156"/>
      <c r="AD726" s="156"/>
      <c r="AE726" s="156"/>
    </row>
    <row r="727">
      <c r="A727" s="156"/>
      <c r="B727" s="156"/>
      <c r="C727" s="156"/>
      <c r="D727" s="154"/>
      <c r="E727" s="156"/>
      <c r="F727" s="143"/>
      <c r="G727" s="143"/>
      <c r="H727" s="143"/>
      <c r="I727" s="143"/>
      <c r="J727" s="143"/>
      <c r="K727" s="143"/>
      <c r="L727" s="143"/>
      <c r="M727" s="143"/>
      <c r="N727" s="143"/>
      <c r="O727" s="143"/>
      <c r="P727" s="143"/>
      <c r="Q727" s="143"/>
      <c r="R727" s="143"/>
      <c r="S727" s="143"/>
      <c r="T727" s="143"/>
      <c r="U727" s="143"/>
      <c r="V727" s="143"/>
      <c r="W727" s="143"/>
      <c r="X727" s="143"/>
      <c r="Y727" s="143"/>
      <c r="Z727" s="143"/>
      <c r="AA727" s="156"/>
      <c r="AB727" s="156"/>
      <c r="AC727" s="156"/>
      <c r="AD727" s="156"/>
      <c r="AE727" s="156"/>
    </row>
    <row r="728">
      <c r="A728" s="156"/>
      <c r="B728" s="156"/>
      <c r="C728" s="156"/>
      <c r="D728" s="154"/>
      <c r="E728" s="156"/>
      <c r="F728" s="143"/>
      <c r="G728" s="143"/>
      <c r="H728" s="143"/>
      <c r="I728" s="143"/>
      <c r="J728" s="143"/>
      <c r="K728" s="143"/>
      <c r="L728" s="143"/>
      <c r="M728" s="143"/>
      <c r="N728" s="143"/>
      <c r="O728" s="143"/>
      <c r="P728" s="143"/>
      <c r="Q728" s="143"/>
      <c r="R728" s="143"/>
      <c r="S728" s="143"/>
      <c r="T728" s="143"/>
      <c r="U728" s="143"/>
      <c r="V728" s="143"/>
      <c r="W728" s="143"/>
      <c r="X728" s="143"/>
      <c r="Y728" s="143"/>
      <c r="Z728" s="143"/>
      <c r="AA728" s="156"/>
      <c r="AB728" s="156"/>
      <c r="AC728" s="156"/>
      <c r="AD728" s="156"/>
      <c r="AE728" s="156"/>
    </row>
    <row r="729">
      <c r="A729" s="156"/>
      <c r="B729" s="156"/>
      <c r="C729" s="156"/>
      <c r="D729" s="154"/>
      <c r="E729" s="156"/>
      <c r="F729" s="143"/>
      <c r="G729" s="143"/>
      <c r="H729" s="143"/>
      <c r="I729" s="143"/>
      <c r="J729" s="143"/>
      <c r="K729" s="143"/>
      <c r="L729" s="143"/>
      <c r="M729" s="143"/>
      <c r="N729" s="143"/>
      <c r="O729" s="143"/>
      <c r="P729" s="143"/>
      <c r="Q729" s="143"/>
      <c r="R729" s="143"/>
      <c r="S729" s="143"/>
      <c r="T729" s="143"/>
      <c r="U729" s="143"/>
      <c r="V729" s="143"/>
      <c r="W729" s="143"/>
      <c r="X729" s="143"/>
      <c r="Y729" s="143"/>
      <c r="Z729" s="143"/>
      <c r="AA729" s="156"/>
      <c r="AB729" s="156"/>
      <c r="AC729" s="156"/>
      <c r="AD729" s="156"/>
      <c r="AE729" s="156"/>
    </row>
    <row r="730">
      <c r="A730" s="156"/>
      <c r="B730" s="156"/>
      <c r="C730" s="156"/>
      <c r="D730" s="154"/>
      <c r="E730" s="156"/>
      <c r="F730" s="143"/>
      <c r="G730" s="143"/>
      <c r="H730" s="143"/>
      <c r="I730" s="143"/>
      <c r="J730" s="143"/>
      <c r="K730" s="143"/>
      <c r="L730" s="143"/>
      <c r="M730" s="143"/>
      <c r="N730" s="143"/>
      <c r="O730" s="143"/>
      <c r="P730" s="143"/>
      <c r="Q730" s="143"/>
      <c r="R730" s="143"/>
      <c r="S730" s="143"/>
      <c r="T730" s="143"/>
      <c r="U730" s="143"/>
      <c r="V730" s="143"/>
      <c r="W730" s="143"/>
      <c r="X730" s="143"/>
      <c r="Y730" s="143"/>
      <c r="Z730" s="143"/>
      <c r="AA730" s="156"/>
      <c r="AB730" s="156"/>
      <c r="AC730" s="156"/>
      <c r="AD730" s="156"/>
      <c r="AE730" s="156"/>
    </row>
    <row r="731">
      <c r="A731" s="156"/>
      <c r="B731" s="156"/>
      <c r="C731" s="156"/>
      <c r="D731" s="154"/>
      <c r="E731" s="156"/>
      <c r="F731" s="143"/>
      <c r="G731" s="143"/>
      <c r="H731" s="143"/>
      <c r="I731" s="143"/>
      <c r="J731" s="143"/>
      <c r="K731" s="143"/>
      <c r="L731" s="143"/>
      <c r="M731" s="143"/>
      <c r="N731" s="143"/>
      <c r="O731" s="143"/>
      <c r="P731" s="143"/>
      <c r="Q731" s="143"/>
      <c r="R731" s="143"/>
      <c r="S731" s="143"/>
      <c r="T731" s="143"/>
      <c r="U731" s="143"/>
      <c r="V731" s="143"/>
      <c r="W731" s="143"/>
      <c r="X731" s="143"/>
      <c r="Y731" s="143"/>
      <c r="Z731" s="143"/>
      <c r="AA731" s="156"/>
      <c r="AB731" s="156"/>
      <c r="AC731" s="156"/>
      <c r="AD731" s="156"/>
      <c r="AE731" s="156"/>
    </row>
    <row r="732">
      <c r="A732" s="156"/>
      <c r="B732" s="156"/>
      <c r="C732" s="156"/>
      <c r="D732" s="154"/>
      <c r="E732" s="156"/>
      <c r="F732" s="143"/>
      <c r="G732" s="143"/>
      <c r="H732" s="143"/>
      <c r="I732" s="143"/>
      <c r="J732" s="143"/>
      <c r="K732" s="143"/>
      <c r="L732" s="143"/>
      <c r="M732" s="143"/>
      <c r="N732" s="143"/>
      <c r="O732" s="143"/>
      <c r="P732" s="143"/>
      <c r="Q732" s="143"/>
      <c r="R732" s="143"/>
      <c r="S732" s="143"/>
      <c r="T732" s="143"/>
      <c r="U732" s="143"/>
      <c r="V732" s="143"/>
      <c r="W732" s="143"/>
      <c r="X732" s="143"/>
      <c r="Y732" s="143"/>
      <c r="Z732" s="143"/>
      <c r="AA732" s="156"/>
      <c r="AB732" s="156"/>
      <c r="AC732" s="156"/>
      <c r="AD732" s="156"/>
      <c r="AE732" s="156"/>
    </row>
    <row r="733">
      <c r="A733" s="156"/>
      <c r="B733" s="156"/>
      <c r="C733" s="156"/>
      <c r="D733" s="154"/>
      <c r="E733" s="156"/>
      <c r="F733" s="143"/>
      <c r="G733" s="143"/>
      <c r="H733" s="143"/>
      <c r="I733" s="143"/>
      <c r="J733" s="143"/>
      <c r="K733" s="143"/>
      <c r="L733" s="143"/>
      <c r="M733" s="143"/>
      <c r="N733" s="143"/>
      <c r="O733" s="143"/>
      <c r="P733" s="143"/>
      <c r="Q733" s="143"/>
      <c r="R733" s="143"/>
      <c r="S733" s="143"/>
      <c r="T733" s="143"/>
      <c r="U733" s="143"/>
      <c r="V733" s="143"/>
      <c r="W733" s="143"/>
      <c r="X733" s="143"/>
      <c r="Y733" s="143"/>
      <c r="Z733" s="143"/>
      <c r="AA733" s="156"/>
      <c r="AB733" s="156"/>
      <c r="AC733" s="156"/>
      <c r="AD733" s="156"/>
      <c r="AE733" s="156"/>
    </row>
    <row r="734">
      <c r="A734" s="156"/>
      <c r="B734" s="156"/>
      <c r="C734" s="156"/>
      <c r="D734" s="154"/>
      <c r="E734" s="156"/>
      <c r="F734" s="143"/>
      <c r="G734" s="143"/>
      <c r="H734" s="143"/>
      <c r="I734" s="143"/>
      <c r="J734" s="143"/>
      <c r="K734" s="143"/>
      <c r="L734" s="143"/>
      <c r="M734" s="143"/>
      <c r="N734" s="143"/>
      <c r="O734" s="143"/>
      <c r="P734" s="143"/>
      <c r="Q734" s="143"/>
      <c r="R734" s="143"/>
      <c r="S734" s="143"/>
      <c r="T734" s="143"/>
      <c r="U734" s="143"/>
      <c r="V734" s="143"/>
      <c r="W734" s="143"/>
      <c r="X734" s="143"/>
      <c r="Y734" s="143"/>
      <c r="Z734" s="143"/>
      <c r="AA734" s="156"/>
      <c r="AB734" s="156"/>
      <c r="AC734" s="156"/>
      <c r="AD734" s="156"/>
      <c r="AE734" s="156"/>
    </row>
    <row r="735">
      <c r="A735" s="156"/>
      <c r="B735" s="156"/>
      <c r="C735" s="156"/>
      <c r="D735" s="154"/>
      <c r="E735" s="156"/>
      <c r="F735" s="143"/>
      <c r="G735" s="143"/>
      <c r="H735" s="143"/>
      <c r="I735" s="143"/>
      <c r="J735" s="143"/>
      <c r="K735" s="143"/>
      <c r="L735" s="143"/>
      <c r="M735" s="143"/>
      <c r="N735" s="143"/>
      <c r="O735" s="143"/>
      <c r="P735" s="143"/>
      <c r="Q735" s="143"/>
      <c r="R735" s="143"/>
      <c r="S735" s="143"/>
      <c r="T735" s="143"/>
      <c r="U735" s="143"/>
      <c r="V735" s="143"/>
      <c r="W735" s="143"/>
      <c r="X735" s="143"/>
      <c r="Y735" s="143"/>
      <c r="Z735" s="143"/>
      <c r="AA735" s="156"/>
      <c r="AB735" s="156"/>
      <c r="AC735" s="156"/>
      <c r="AD735" s="156"/>
      <c r="AE735" s="156"/>
    </row>
    <row r="736">
      <c r="A736" s="156"/>
      <c r="B736" s="156"/>
      <c r="C736" s="156"/>
      <c r="D736" s="154"/>
      <c r="E736" s="156"/>
      <c r="F736" s="143"/>
      <c r="G736" s="143"/>
      <c r="H736" s="143"/>
      <c r="I736" s="143"/>
      <c r="J736" s="143"/>
      <c r="K736" s="143"/>
      <c r="L736" s="143"/>
      <c r="M736" s="143"/>
      <c r="N736" s="143"/>
      <c r="O736" s="143"/>
      <c r="P736" s="143"/>
      <c r="Q736" s="143"/>
      <c r="R736" s="143"/>
      <c r="S736" s="143"/>
      <c r="T736" s="143"/>
      <c r="U736" s="143"/>
      <c r="V736" s="143"/>
      <c r="W736" s="143"/>
      <c r="X736" s="143"/>
      <c r="Y736" s="143"/>
      <c r="Z736" s="143"/>
      <c r="AA736" s="156"/>
      <c r="AB736" s="156"/>
      <c r="AC736" s="156"/>
      <c r="AD736" s="156"/>
      <c r="AE736" s="156"/>
    </row>
    <row r="737">
      <c r="A737" s="156"/>
      <c r="B737" s="156"/>
      <c r="C737" s="156"/>
      <c r="D737" s="154"/>
      <c r="E737" s="156"/>
      <c r="F737" s="143"/>
      <c r="G737" s="143"/>
      <c r="H737" s="143"/>
      <c r="I737" s="143"/>
      <c r="J737" s="143"/>
      <c r="K737" s="143"/>
      <c r="L737" s="143"/>
      <c r="M737" s="143"/>
      <c r="N737" s="143"/>
      <c r="O737" s="143"/>
      <c r="P737" s="143"/>
      <c r="Q737" s="143"/>
      <c r="R737" s="143"/>
      <c r="S737" s="143"/>
      <c r="T737" s="143"/>
      <c r="U737" s="143"/>
      <c r="V737" s="143"/>
      <c r="W737" s="143"/>
      <c r="X737" s="143"/>
      <c r="Y737" s="143"/>
      <c r="Z737" s="143"/>
      <c r="AA737" s="156"/>
      <c r="AB737" s="156"/>
      <c r="AC737" s="156"/>
      <c r="AD737" s="156"/>
      <c r="AE737" s="156"/>
    </row>
    <row r="738">
      <c r="A738" s="156"/>
      <c r="B738" s="156"/>
      <c r="C738" s="156"/>
      <c r="D738" s="154"/>
      <c r="E738" s="156"/>
      <c r="F738" s="143"/>
      <c r="G738" s="143"/>
      <c r="H738" s="143"/>
      <c r="I738" s="143"/>
      <c r="J738" s="143"/>
      <c r="K738" s="143"/>
      <c r="L738" s="143"/>
      <c r="M738" s="143"/>
      <c r="N738" s="143"/>
      <c r="O738" s="143"/>
      <c r="P738" s="143"/>
      <c r="Q738" s="143"/>
      <c r="R738" s="143"/>
      <c r="S738" s="143"/>
      <c r="T738" s="143"/>
      <c r="U738" s="143"/>
      <c r="V738" s="143"/>
      <c r="W738" s="143"/>
      <c r="X738" s="143"/>
      <c r="Y738" s="143"/>
      <c r="Z738" s="143"/>
      <c r="AA738" s="156"/>
      <c r="AB738" s="156"/>
      <c r="AC738" s="156"/>
      <c r="AD738" s="156"/>
      <c r="AE738" s="156"/>
    </row>
    <row r="739">
      <c r="A739" s="156"/>
      <c r="B739" s="156"/>
      <c r="C739" s="156"/>
      <c r="D739" s="154"/>
      <c r="E739" s="156"/>
      <c r="F739" s="143"/>
      <c r="G739" s="143"/>
      <c r="H739" s="143"/>
      <c r="I739" s="143"/>
      <c r="J739" s="143"/>
      <c r="K739" s="143"/>
      <c r="L739" s="143"/>
      <c r="M739" s="143"/>
      <c r="N739" s="143"/>
      <c r="O739" s="143"/>
      <c r="P739" s="143"/>
      <c r="Q739" s="143"/>
      <c r="R739" s="143"/>
      <c r="S739" s="143"/>
      <c r="T739" s="143"/>
      <c r="U739" s="143"/>
      <c r="V739" s="143"/>
      <c r="W739" s="143"/>
      <c r="X739" s="143"/>
      <c r="Y739" s="143"/>
      <c r="Z739" s="143"/>
      <c r="AA739" s="156"/>
      <c r="AB739" s="156"/>
      <c r="AC739" s="156"/>
      <c r="AD739" s="156"/>
      <c r="AE739" s="156"/>
    </row>
    <row r="740">
      <c r="A740" s="156"/>
      <c r="B740" s="156"/>
      <c r="C740" s="156"/>
      <c r="D740" s="154"/>
      <c r="E740" s="156"/>
      <c r="F740" s="143"/>
      <c r="G740" s="143"/>
      <c r="H740" s="143"/>
      <c r="I740" s="143"/>
      <c r="J740" s="143"/>
      <c r="K740" s="143"/>
      <c r="L740" s="143"/>
      <c r="M740" s="143"/>
      <c r="N740" s="143"/>
      <c r="O740" s="143"/>
      <c r="P740" s="143"/>
      <c r="Q740" s="143"/>
      <c r="R740" s="143"/>
      <c r="S740" s="143"/>
      <c r="T740" s="143"/>
      <c r="U740" s="143"/>
      <c r="V740" s="143"/>
      <c r="W740" s="143"/>
      <c r="X740" s="143"/>
      <c r="Y740" s="143"/>
      <c r="Z740" s="143"/>
      <c r="AA740" s="156"/>
      <c r="AB740" s="156"/>
      <c r="AC740" s="156"/>
      <c r="AD740" s="156"/>
      <c r="AE740" s="156"/>
    </row>
    <row r="741">
      <c r="A741" s="156"/>
      <c r="B741" s="156"/>
      <c r="C741" s="156"/>
      <c r="D741" s="154"/>
      <c r="E741" s="156"/>
      <c r="F741" s="143"/>
      <c r="G741" s="143"/>
      <c r="H741" s="143"/>
      <c r="I741" s="143"/>
      <c r="J741" s="143"/>
      <c r="K741" s="143"/>
      <c r="L741" s="143"/>
      <c r="M741" s="143"/>
      <c r="N741" s="143"/>
      <c r="O741" s="143"/>
      <c r="P741" s="143"/>
      <c r="Q741" s="143"/>
      <c r="R741" s="143"/>
      <c r="S741" s="143"/>
      <c r="T741" s="143"/>
      <c r="U741" s="143"/>
      <c r="V741" s="143"/>
      <c r="W741" s="143"/>
      <c r="X741" s="143"/>
      <c r="Y741" s="143"/>
      <c r="Z741" s="143"/>
      <c r="AA741" s="156"/>
      <c r="AB741" s="156"/>
      <c r="AC741" s="156"/>
      <c r="AD741" s="156"/>
      <c r="AE741" s="156"/>
    </row>
    <row r="742">
      <c r="A742" s="156"/>
      <c r="B742" s="156"/>
      <c r="C742" s="156"/>
      <c r="D742" s="154"/>
      <c r="E742" s="156"/>
      <c r="F742" s="143"/>
      <c r="G742" s="143"/>
      <c r="H742" s="143"/>
      <c r="I742" s="143"/>
      <c r="J742" s="143"/>
      <c r="K742" s="143"/>
      <c r="L742" s="143"/>
      <c r="M742" s="143"/>
      <c r="N742" s="143"/>
      <c r="O742" s="143"/>
      <c r="P742" s="143"/>
      <c r="Q742" s="143"/>
      <c r="R742" s="143"/>
      <c r="S742" s="143"/>
      <c r="T742" s="143"/>
      <c r="U742" s="143"/>
      <c r="V742" s="143"/>
      <c r="W742" s="143"/>
      <c r="X742" s="143"/>
      <c r="Y742" s="143"/>
      <c r="Z742" s="143"/>
      <c r="AA742" s="156"/>
      <c r="AB742" s="156"/>
      <c r="AC742" s="156"/>
      <c r="AD742" s="156"/>
      <c r="AE742" s="156"/>
    </row>
    <row r="743">
      <c r="A743" s="156"/>
      <c r="B743" s="156"/>
      <c r="C743" s="156"/>
      <c r="D743" s="154"/>
      <c r="E743" s="156"/>
      <c r="F743" s="143"/>
      <c r="G743" s="143"/>
      <c r="H743" s="143"/>
      <c r="I743" s="143"/>
      <c r="J743" s="143"/>
      <c r="K743" s="143"/>
      <c r="L743" s="143"/>
      <c r="M743" s="143"/>
      <c r="N743" s="143"/>
      <c r="O743" s="143"/>
      <c r="P743" s="143"/>
      <c r="Q743" s="143"/>
      <c r="R743" s="143"/>
      <c r="S743" s="143"/>
      <c r="T743" s="143"/>
      <c r="U743" s="143"/>
      <c r="V743" s="143"/>
      <c r="W743" s="143"/>
      <c r="X743" s="143"/>
      <c r="Y743" s="143"/>
      <c r="Z743" s="143"/>
      <c r="AA743" s="156"/>
      <c r="AB743" s="156"/>
      <c r="AC743" s="156"/>
      <c r="AD743" s="156"/>
      <c r="AE743" s="156"/>
    </row>
    <row r="744">
      <c r="A744" s="156"/>
      <c r="B744" s="156"/>
      <c r="C744" s="156"/>
      <c r="D744" s="154"/>
      <c r="E744" s="156"/>
      <c r="F744" s="143"/>
      <c r="G744" s="143"/>
      <c r="H744" s="143"/>
      <c r="I744" s="143"/>
      <c r="J744" s="143"/>
      <c r="K744" s="143"/>
      <c r="L744" s="143"/>
      <c r="M744" s="143"/>
      <c r="N744" s="143"/>
      <c r="O744" s="143"/>
      <c r="P744" s="143"/>
      <c r="Q744" s="143"/>
      <c r="R744" s="143"/>
      <c r="S744" s="143"/>
      <c r="T744" s="143"/>
      <c r="U744" s="143"/>
      <c r="V744" s="143"/>
      <c r="W744" s="143"/>
      <c r="X744" s="143"/>
      <c r="Y744" s="143"/>
      <c r="Z744" s="143"/>
      <c r="AA744" s="156"/>
      <c r="AB744" s="156"/>
      <c r="AC744" s="156"/>
      <c r="AD744" s="156"/>
      <c r="AE744" s="156"/>
    </row>
    <row r="745">
      <c r="A745" s="156"/>
      <c r="B745" s="156"/>
      <c r="C745" s="156"/>
      <c r="D745" s="154"/>
      <c r="E745" s="156"/>
      <c r="F745" s="143"/>
      <c r="G745" s="143"/>
      <c r="H745" s="143"/>
      <c r="I745" s="143"/>
      <c r="J745" s="143"/>
      <c r="K745" s="143"/>
      <c r="L745" s="143"/>
      <c r="M745" s="143"/>
      <c r="N745" s="143"/>
      <c r="O745" s="143"/>
      <c r="P745" s="143"/>
      <c r="Q745" s="143"/>
      <c r="R745" s="143"/>
      <c r="S745" s="143"/>
      <c r="T745" s="143"/>
      <c r="U745" s="143"/>
      <c r="V745" s="143"/>
      <c r="W745" s="143"/>
      <c r="X745" s="143"/>
      <c r="Y745" s="143"/>
      <c r="Z745" s="143"/>
      <c r="AA745" s="156"/>
      <c r="AB745" s="156"/>
      <c r="AC745" s="156"/>
      <c r="AD745" s="156"/>
      <c r="AE745" s="156"/>
    </row>
    <row r="746">
      <c r="A746" s="156"/>
      <c r="B746" s="156"/>
      <c r="C746" s="156"/>
      <c r="D746" s="154"/>
      <c r="E746" s="156"/>
      <c r="F746" s="143"/>
      <c r="G746" s="143"/>
      <c r="H746" s="143"/>
      <c r="I746" s="143"/>
      <c r="J746" s="143"/>
      <c r="K746" s="143"/>
      <c r="L746" s="143"/>
      <c r="M746" s="143"/>
      <c r="N746" s="143"/>
      <c r="O746" s="143"/>
      <c r="P746" s="143"/>
      <c r="Q746" s="143"/>
      <c r="R746" s="143"/>
      <c r="S746" s="143"/>
      <c r="T746" s="143"/>
      <c r="U746" s="143"/>
      <c r="V746" s="143"/>
      <c r="W746" s="143"/>
      <c r="X746" s="143"/>
      <c r="Y746" s="143"/>
      <c r="Z746" s="143"/>
      <c r="AA746" s="156"/>
      <c r="AB746" s="156"/>
      <c r="AC746" s="156"/>
      <c r="AD746" s="156"/>
      <c r="AE746" s="156"/>
    </row>
    <row r="747">
      <c r="A747" s="156"/>
      <c r="B747" s="156"/>
      <c r="C747" s="156"/>
      <c r="D747" s="154"/>
      <c r="E747" s="156"/>
      <c r="F747" s="143"/>
      <c r="G747" s="143"/>
      <c r="H747" s="143"/>
      <c r="I747" s="143"/>
      <c r="J747" s="143"/>
      <c r="K747" s="143"/>
      <c r="L747" s="143"/>
      <c r="M747" s="143"/>
      <c r="N747" s="143"/>
      <c r="O747" s="143"/>
      <c r="P747" s="143"/>
      <c r="Q747" s="143"/>
      <c r="R747" s="143"/>
      <c r="S747" s="143"/>
      <c r="T747" s="143"/>
      <c r="U747" s="143"/>
      <c r="V747" s="143"/>
      <c r="W747" s="143"/>
      <c r="X747" s="143"/>
      <c r="Y747" s="143"/>
      <c r="Z747" s="143"/>
      <c r="AA747" s="156"/>
      <c r="AB747" s="156"/>
      <c r="AC747" s="156"/>
      <c r="AD747" s="156"/>
      <c r="AE747" s="156"/>
    </row>
    <row r="748">
      <c r="A748" s="156"/>
      <c r="B748" s="156"/>
      <c r="C748" s="156"/>
      <c r="D748" s="154"/>
      <c r="E748" s="156"/>
      <c r="F748" s="143"/>
      <c r="G748" s="143"/>
      <c r="H748" s="143"/>
      <c r="I748" s="143"/>
      <c r="J748" s="143"/>
      <c r="K748" s="143"/>
      <c r="L748" s="143"/>
      <c r="M748" s="143"/>
      <c r="N748" s="143"/>
      <c r="O748" s="143"/>
      <c r="P748" s="143"/>
      <c r="Q748" s="143"/>
      <c r="R748" s="143"/>
      <c r="S748" s="143"/>
      <c r="T748" s="143"/>
      <c r="U748" s="143"/>
      <c r="V748" s="143"/>
      <c r="W748" s="143"/>
      <c r="X748" s="143"/>
      <c r="Y748" s="143"/>
      <c r="Z748" s="143"/>
      <c r="AA748" s="156"/>
      <c r="AB748" s="156"/>
      <c r="AC748" s="156"/>
      <c r="AD748" s="156"/>
      <c r="AE748" s="156"/>
    </row>
    <row r="749">
      <c r="A749" s="156"/>
      <c r="B749" s="156"/>
      <c r="C749" s="156"/>
      <c r="D749" s="154"/>
      <c r="E749" s="156"/>
      <c r="F749" s="143"/>
      <c r="G749" s="143"/>
      <c r="H749" s="143"/>
      <c r="I749" s="143"/>
      <c r="J749" s="143"/>
      <c r="K749" s="143"/>
      <c r="L749" s="143"/>
      <c r="M749" s="143"/>
      <c r="N749" s="143"/>
      <c r="O749" s="143"/>
      <c r="P749" s="143"/>
      <c r="Q749" s="143"/>
      <c r="R749" s="143"/>
      <c r="S749" s="143"/>
      <c r="T749" s="143"/>
      <c r="U749" s="143"/>
      <c r="V749" s="143"/>
      <c r="W749" s="143"/>
      <c r="X749" s="143"/>
      <c r="Y749" s="143"/>
      <c r="Z749" s="143"/>
      <c r="AA749" s="156"/>
      <c r="AB749" s="156"/>
      <c r="AC749" s="156"/>
      <c r="AD749" s="156"/>
      <c r="AE749" s="156"/>
    </row>
    <row r="750">
      <c r="A750" s="156"/>
      <c r="B750" s="156"/>
      <c r="C750" s="156"/>
      <c r="D750" s="154"/>
      <c r="E750" s="156"/>
      <c r="F750" s="143"/>
      <c r="G750" s="143"/>
      <c r="H750" s="143"/>
      <c r="I750" s="143"/>
      <c r="J750" s="143"/>
      <c r="K750" s="143"/>
      <c r="L750" s="143"/>
      <c r="M750" s="143"/>
      <c r="N750" s="143"/>
      <c r="O750" s="143"/>
      <c r="P750" s="143"/>
      <c r="Q750" s="143"/>
      <c r="R750" s="143"/>
      <c r="S750" s="143"/>
      <c r="T750" s="143"/>
      <c r="U750" s="143"/>
      <c r="V750" s="143"/>
      <c r="W750" s="143"/>
      <c r="X750" s="143"/>
      <c r="Y750" s="143"/>
      <c r="Z750" s="143"/>
      <c r="AA750" s="156"/>
      <c r="AB750" s="156"/>
      <c r="AC750" s="156"/>
      <c r="AD750" s="156"/>
      <c r="AE750" s="156"/>
    </row>
    <row r="751">
      <c r="A751" s="156"/>
      <c r="B751" s="156"/>
      <c r="C751" s="156"/>
      <c r="D751" s="154"/>
      <c r="E751" s="156"/>
      <c r="F751" s="143"/>
      <c r="G751" s="143"/>
      <c r="H751" s="143"/>
      <c r="I751" s="143"/>
      <c r="J751" s="143"/>
      <c r="K751" s="143"/>
      <c r="L751" s="143"/>
      <c r="M751" s="143"/>
      <c r="N751" s="143"/>
      <c r="O751" s="143"/>
      <c r="P751" s="143"/>
      <c r="Q751" s="143"/>
      <c r="R751" s="143"/>
      <c r="S751" s="143"/>
      <c r="T751" s="143"/>
      <c r="U751" s="143"/>
      <c r="V751" s="143"/>
      <c r="W751" s="143"/>
      <c r="X751" s="143"/>
      <c r="Y751" s="143"/>
      <c r="Z751" s="143"/>
      <c r="AA751" s="156"/>
      <c r="AB751" s="156"/>
      <c r="AC751" s="156"/>
      <c r="AD751" s="156"/>
      <c r="AE751" s="156"/>
    </row>
    <row r="752">
      <c r="A752" s="156"/>
      <c r="B752" s="156"/>
      <c r="C752" s="156"/>
      <c r="D752" s="154"/>
      <c r="E752" s="156"/>
      <c r="F752" s="143"/>
      <c r="G752" s="143"/>
      <c r="H752" s="143"/>
      <c r="I752" s="143"/>
      <c r="J752" s="143"/>
      <c r="K752" s="143"/>
      <c r="L752" s="143"/>
      <c r="M752" s="143"/>
      <c r="N752" s="143"/>
      <c r="O752" s="143"/>
      <c r="P752" s="143"/>
      <c r="Q752" s="143"/>
      <c r="R752" s="143"/>
      <c r="S752" s="143"/>
      <c r="T752" s="143"/>
      <c r="U752" s="143"/>
      <c r="V752" s="143"/>
      <c r="W752" s="143"/>
      <c r="X752" s="143"/>
      <c r="Y752" s="143"/>
      <c r="Z752" s="143"/>
      <c r="AA752" s="156"/>
      <c r="AB752" s="156"/>
      <c r="AC752" s="156"/>
      <c r="AD752" s="156"/>
      <c r="AE752" s="156"/>
    </row>
    <row r="753">
      <c r="A753" s="156"/>
      <c r="B753" s="156"/>
      <c r="C753" s="156"/>
      <c r="D753" s="154"/>
      <c r="E753" s="156"/>
      <c r="F753" s="143"/>
      <c r="G753" s="143"/>
      <c r="H753" s="143"/>
      <c r="I753" s="143"/>
      <c r="J753" s="143"/>
      <c r="K753" s="143"/>
      <c r="L753" s="143"/>
      <c r="M753" s="143"/>
      <c r="N753" s="143"/>
      <c r="O753" s="143"/>
      <c r="P753" s="143"/>
      <c r="Q753" s="143"/>
      <c r="R753" s="143"/>
      <c r="S753" s="143"/>
      <c r="T753" s="143"/>
      <c r="U753" s="143"/>
      <c r="V753" s="143"/>
      <c r="W753" s="143"/>
      <c r="X753" s="143"/>
      <c r="Y753" s="143"/>
      <c r="Z753" s="143"/>
      <c r="AA753" s="156"/>
      <c r="AB753" s="156"/>
      <c r="AC753" s="156"/>
      <c r="AD753" s="156"/>
      <c r="AE753" s="156"/>
    </row>
    <row r="754">
      <c r="A754" s="156"/>
      <c r="B754" s="156"/>
      <c r="C754" s="156"/>
      <c r="D754" s="154"/>
      <c r="E754" s="156"/>
      <c r="F754" s="143"/>
      <c r="G754" s="143"/>
      <c r="H754" s="143"/>
      <c r="I754" s="143"/>
      <c r="J754" s="143"/>
      <c r="K754" s="143"/>
      <c r="L754" s="143"/>
      <c r="M754" s="143"/>
      <c r="N754" s="143"/>
      <c r="O754" s="143"/>
      <c r="P754" s="143"/>
      <c r="Q754" s="143"/>
      <c r="R754" s="143"/>
      <c r="S754" s="143"/>
      <c r="T754" s="143"/>
      <c r="U754" s="143"/>
      <c r="V754" s="143"/>
      <c r="W754" s="143"/>
      <c r="X754" s="143"/>
      <c r="Y754" s="143"/>
      <c r="Z754" s="143"/>
      <c r="AA754" s="156"/>
      <c r="AB754" s="156"/>
      <c r="AC754" s="156"/>
      <c r="AD754" s="156"/>
      <c r="AE754" s="156"/>
    </row>
    <row r="755">
      <c r="A755" s="156"/>
      <c r="B755" s="156"/>
      <c r="C755" s="156"/>
      <c r="D755" s="154"/>
      <c r="E755" s="156"/>
      <c r="F755" s="143"/>
      <c r="G755" s="143"/>
      <c r="H755" s="143"/>
      <c r="I755" s="143"/>
      <c r="J755" s="143"/>
      <c r="K755" s="143"/>
      <c r="L755" s="143"/>
      <c r="M755" s="143"/>
      <c r="N755" s="143"/>
      <c r="O755" s="143"/>
      <c r="P755" s="143"/>
      <c r="Q755" s="143"/>
      <c r="R755" s="143"/>
      <c r="S755" s="143"/>
      <c r="T755" s="143"/>
      <c r="U755" s="143"/>
      <c r="V755" s="143"/>
      <c r="W755" s="143"/>
      <c r="X755" s="143"/>
      <c r="Y755" s="143"/>
      <c r="Z755" s="143"/>
      <c r="AA755" s="156"/>
      <c r="AB755" s="156"/>
      <c r="AC755" s="156"/>
      <c r="AD755" s="156"/>
      <c r="AE755" s="156"/>
    </row>
    <row r="756">
      <c r="A756" s="156"/>
      <c r="B756" s="156"/>
      <c r="C756" s="156"/>
      <c r="D756" s="154"/>
      <c r="E756" s="156"/>
      <c r="F756" s="143"/>
      <c r="G756" s="143"/>
      <c r="H756" s="143"/>
      <c r="I756" s="143"/>
      <c r="J756" s="143"/>
      <c r="K756" s="143"/>
      <c r="L756" s="143"/>
      <c r="M756" s="143"/>
      <c r="N756" s="143"/>
      <c r="O756" s="143"/>
      <c r="P756" s="143"/>
      <c r="Q756" s="143"/>
      <c r="R756" s="143"/>
      <c r="S756" s="143"/>
      <c r="T756" s="143"/>
      <c r="U756" s="143"/>
      <c r="V756" s="143"/>
      <c r="W756" s="143"/>
      <c r="X756" s="143"/>
      <c r="Y756" s="143"/>
      <c r="Z756" s="143"/>
      <c r="AA756" s="156"/>
      <c r="AB756" s="156"/>
      <c r="AC756" s="156"/>
      <c r="AD756" s="156"/>
      <c r="AE756" s="156"/>
    </row>
    <row r="757">
      <c r="A757" s="156"/>
      <c r="B757" s="156"/>
      <c r="C757" s="156"/>
      <c r="D757" s="154"/>
      <c r="E757" s="156"/>
      <c r="F757" s="143"/>
      <c r="G757" s="143"/>
      <c r="H757" s="143"/>
      <c r="I757" s="143"/>
      <c r="J757" s="143"/>
      <c r="K757" s="143"/>
      <c r="L757" s="143"/>
      <c r="M757" s="143"/>
      <c r="N757" s="143"/>
      <c r="O757" s="143"/>
      <c r="P757" s="143"/>
      <c r="Q757" s="143"/>
      <c r="R757" s="143"/>
      <c r="S757" s="143"/>
      <c r="T757" s="143"/>
      <c r="U757" s="143"/>
      <c r="V757" s="143"/>
      <c r="W757" s="143"/>
      <c r="X757" s="143"/>
      <c r="Y757" s="143"/>
      <c r="Z757" s="143"/>
      <c r="AA757" s="156"/>
      <c r="AB757" s="156"/>
      <c r="AC757" s="156"/>
      <c r="AD757" s="156"/>
      <c r="AE757" s="156"/>
    </row>
    <row r="758">
      <c r="A758" s="156"/>
      <c r="B758" s="156"/>
      <c r="C758" s="156"/>
      <c r="D758" s="154"/>
      <c r="E758" s="156"/>
      <c r="F758" s="143"/>
      <c r="G758" s="143"/>
      <c r="H758" s="143"/>
      <c r="I758" s="143"/>
      <c r="J758" s="143"/>
      <c r="K758" s="143"/>
      <c r="L758" s="143"/>
      <c r="M758" s="143"/>
      <c r="N758" s="143"/>
      <c r="O758" s="143"/>
      <c r="P758" s="143"/>
      <c r="Q758" s="143"/>
      <c r="R758" s="143"/>
      <c r="S758" s="143"/>
      <c r="T758" s="143"/>
      <c r="U758" s="143"/>
      <c r="V758" s="143"/>
      <c r="W758" s="143"/>
      <c r="X758" s="143"/>
      <c r="Y758" s="143"/>
      <c r="Z758" s="143"/>
      <c r="AA758" s="156"/>
      <c r="AB758" s="156"/>
      <c r="AC758" s="156"/>
      <c r="AD758" s="156"/>
      <c r="AE758" s="156"/>
    </row>
    <row r="759">
      <c r="A759" s="156"/>
      <c r="B759" s="156"/>
      <c r="C759" s="156"/>
      <c r="D759" s="154"/>
      <c r="E759" s="156"/>
      <c r="F759" s="143"/>
      <c r="G759" s="143"/>
      <c r="H759" s="143"/>
      <c r="I759" s="143"/>
      <c r="J759" s="143"/>
      <c r="K759" s="143"/>
      <c r="L759" s="143"/>
      <c r="M759" s="143"/>
      <c r="N759" s="143"/>
      <c r="O759" s="143"/>
      <c r="P759" s="143"/>
      <c r="Q759" s="143"/>
      <c r="R759" s="143"/>
      <c r="S759" s="143"/>
      <c r="T759" s="143"/>
      <c r="U759" s="143"/>
      <c r="V759" s="143"/>
      <c r="W759" s="143"/>
      <c r="X759" s="143"/>
      <c r="Y759" s="143"/>
      <c r="Z759" s="143"/>
      <c r="AA759" s="156"/>
      <c r="AB759" s="156"/>
      <c r="AC759" s="156"/>
      <c r="AD759" s="156"/>
      <c r="AE759" s="156"/>
    </row>
    <row r="760">
      <c r="A760" s="156"/>
      <c r="B760" s="156"/>
      <c r="C760" s="156"/>
      <c r="D760" s="154"/>
      <c r="E760" s="156"/>
      <c r="F760" s="143"/>
      <c r="G760" s="143"/>
      <c r="H760" s="143"/>
      <c r="I760" s="143"/>
      <c r="J760" s="143"/>
      <c r="K760" s="143"/>
      <c r="L760" s="143"/>
      <c r="M760" s="143"/>
      <c r="N760" s="143"/>
      <c r="O760" s="143"/>
      <c r="P760" s="143"/>
      <c r="Q760" s="143"/>
      <c r="R760" s="143"/>
      <c r="S760" s="143"/>
      <c r="T760" s="143"/>
      <c r="U760" s="143"/>
      <c r="V760" s="143"/>
      <c r="W760" s="143"/>
      <c r="X760" s="143"/>
      <c r="Y760" s="143"/>
      <c r="Z760" s="143"/>
      <c r="AA760" s="156"/>
      <c r="AB760" s="156"/>
      <c r="AC760" s="156"/>
      <c r="AD760" s="156"/>
      <c r="AE760" s="156"/>
    </row>
    <row r="761">
      <c r="A761" s="156"/>
      <c r="B761" s="156"/>
      <c r="C761" s="156"/>
      <c r="D761" s="154"/>
      <c r="E761" s="156"/>
      <c r="F761" s="143"/>
      <c r="G761" s="143"/>
      <c r="H761" s="143"/>
      <c r="I761" s="143"/>
      <c r="J761" s="143"/>
      <c r="K761" s="143"/>
      <c r="L761" s="143"/>
      <c r="M761" s="143"/>
      <c r="N761" s="143"/>
      <c r="O761" s="143"/>
      <c r="P761" s="143"/>
      <c r="Q761" s="143"/>
      <c r="R761" s="143"/>
      <c r="S761" s="143"/>
      <c r="T761" s="143"/>
      <c r="U761" s="143"/>
      <c r="V761" s="143"/>
      <c r="W761" s="143"/>
      <c r="X761" s="143"/>
      <c r="Y761" s="143"/>
      <c r="Z761" s="143"/>
      <c r="AA761" s="156"/>
      <c r="AB761" s="156"/>
      <c r="AC761" s="156"/>
      <c r="AD761" s="156"/>
      <c r="AE761" s="156"/>
    </row>
    <row r="762">
      <c r="A762" s="156"/>
      <c r="B762" s="156"/>
      <c r="C762" s="156"/>
      <c r="D762" s="154"/>
      <c r="E762" s="156"/>
      <c r="F762" s="143"/>
      <c r="G762" s="143"/>
      <c r="H762" s="143"/>
      <c r="I762" s="143"/>
      <c r="J762" s="143"/>
      <c r="K762" s="143"/>
      <c r="L762" s="143"/>
      <c r="M762" s="143"/>
      <c r="N762" s="143"/>
      <c r="O762" s="143"/>
      <c r="P762" s="143"/>
      <c r="Q762" s="143"/>
      <c r="R762" s="143"/>
      <c r="S762" s="143"/>
      <c r="T762" s="143"/>
      <c r="U762" s="143"/>
      <c r="V762" s="143"/>
      <c r="W762" s="143"/>
      <c r="X762" s="143"/>
      <c r="Y762" s="143"/>
      <c r="Z762" s="143"/>
      <c r="AA762" s="156"/>
      <c r="AB762" s="156"/>
      <c r="AC762" s="156"/>
      <c r="AD762" s="156"/>
      <c r="AE762" s="156"/>
    </row>
    <row r="763">
      <c r="A763" s="156"/>
      <c r="B763" s="156"/>
      <c r="C763" s="156"/>
      <c r="D763" s="154"/>
      <c r="E763" s="156"/>
      <c r="F763" s="143"/>
      <c r="G763" s="143"/>
      <c r="H763" s="143"/>
      <c r="I763" s="143"/>
      <c r="J763" s="143"/>
      <c r="K763" s="143"/>
      <c r="L763" s="143"/>
      <c r="M763" s="143"/>
      <c r="N763" s="143"/>
      <c r="O763" s="143"/>
      <c r="P763" s="143"/>
      <c r="Q763" s="143"/>
      <c r="R763" s="143"/>
      <c r="S763" s="143"/>
      <c r="T763" s="143"/>
      <c r="U763" s="143"/>
      <c r="V763" s="143"/>
      <c r="W763" s="143"/>
      <c r="X763" s="143"/>
      <c r="Y763" s="143"/>
      <c r="Z763" s="143"/>
      <c r="AA763" s="156"/>
      <c r="AB763" s="156"/>
      <c r="AC763" s="156"/>
      <c r="AD763" s="156"/>
      <c r="AE763" s="156"/>
    </row>
    <row r="764">
      <c r="A764" s="156"/>
      <c r="B764" s="156"/>
      <c r="C764" s="156"/>
      <c r="D764" s="154"/>
      <c r="E764" s="156"/>
      <c r="F764" s="143"/>
      <c r="G764" s="143"/>
      <c r="H764" s="143"/>
      <c r="I764" s="143"/>
      <c r="J764" s="143"/>
      <c r="K764" s="143"/>
      <c r="L764" s="143"/>
      <c r="M764" s="143"/>
      <c r="N764" s="143"/>
      <c r="O764" s="143"/>
      <c r="P764" s="143"/>
      <c r="Q764" s="143"/>
      <c r="R764" s="143"/>
      <c r="S764" s="143"/>
      <c r="T764" s="143"/>
      <c r="U764" s="143"/>
      <c r="V764" s="143"/>
      <c r="W764" s="143"/>
      <c r="X764" s="143"/>
      <c r="Y764" s="143"/>
      <c r="Z764" s="143"/>
      <c r="AA764" s="156"/>
      <c r="AB764" s="156"/>
      <c r="AC764" s="156"/>
      <c r="AD764" s="156"/>
      <c r="AE764" s="156"/>
    </row>
    <row r="765">
      <c r="A765" s="156"/>
      <c r="B765" s="156"/>
      <c r="C765" s="156"/>
      <c r="D765" s="154"/>
      <c r="E765" s="156"/>
      <c r="F765" s="143"/>
      <c r="G765" s="143"/>
      <c r="H765" s="143"/>
      <c r="I765" s="143"/>
      <c r="J765" s="143"/>
      <c r="K765" s="143"/>
      <c r="L765" s="143"/>
      <c r="M765" s="143"/>
      <c r="N765" s="143"/>
      <c r="O765" s="143"/>
      <c r="P765" s="143"/>
      <c r="Q765" s="143"/>
      <c r="R765" s="143"/>
      <c r="S765" s="143"/>
      <c r="T765" s="143"/>
      <c r="U765" s="143"/>
      <c r="V765" s="143"/>
      <c r="W765" s="143"/>
      <c r="X765" s="143"/>
      <c r="Y765" s="143"/>
      <c r="Z765" s="143"/>
      <c r="AA765" s="156"/>
      <c r="AB765" s="156"/>
      <c r="AC765" s="156"/>
      <c r="AD765" s="156"/>
      <c r="AE765" s="156"/>
    </row>
    <row r="766">
      <c r="A766" s="156"/>
      <c r="B766" s="156"/>
      <c r="C766" s="156"/>
      <c r="D766" s="154"/>
      <c r="E766" s="156"/>
      <c r="F766" s="143"/>
      <c r="G766" s="143"/>
      <c r="H766" s="143"/>
      <c r="I766" s="143"/>
      <c r="J766" s="143"/>
      <c r="K766" s="143"/>
      <c r="L766" s="143"/>
      <c r="M766" s="143"/>
      <c r="N766" s="143"/>
      <c r="O766" s="143"/>
      <c r="P766" s="143"/>
      <c r="Q766" s="143"/>
      <c r="R766" s="143"/>
      <c r="S766" s="143"/>
      <c r="T766" s="143"/>
      <c r="U766" s="143"/>
      <c r="V766" s="143"/>
      <c r="W766" s="143"/>
      <c r="X766" s="143"/>
      <c r="Y766" s="143"/>
      <c r="Z766" s="143"/>
      <c r="AA766" s="156"/>
      <c r="AB766" s="156"/>
      <c r="AC766" s="156"/>
      <c r="AD766" s="156"/>
      <c r="AE766" s="156"/>
    </row>
    <row r="767">
      <c r="A767" s="156"/>
      <c r="B767" s="156"/>
      <c r="C767" s="156"/>
      <c r="D767" s="154"/>
      <c r="E767" s="156"/>
      <c r="F767" s="143"/>
      <c r="G767" s="143"/>
      <c r="H767" s="143"/>
      <c r="I767" s="143"/>
      <c r="J767" s="143"/>
      <c r="K767" s="143"/>
      <c r="L767" s="143"/>
      <c r="M767" s="143"/>
      <c r="N767" s="143"/>
      <c r="O767" s="143"/>
      <c r="P767" s="143"/>
      <c r="Q767" s="143"/>
      <c r="R767" s="143"/>
      <c r="S767" s="143"/>
      <c r="T767" s="143"/>
      <c r="U767" s="143"/>
      <c r="V767" s="143"/>
      <c r="W767" s="143"/>
      <c r="X767" s="143"/>
      <c r="Y767" s="143"/>
      <c r="Z767" s="143"/>
      <c r="AA767" s="156"/>
      <c r="AB767" s="156"/>
      <c r="AC767" s="156"/>
      <c r="AD767" s="156"/>
      <c r="AE767" s="156"/>
    </row>
    <row r="768">
      <c r="A768" s="156"/>
      <c r="B768" s="156"/>
      <c r="C768" s="156"/>
      <c r="D768" s="154"/>
      <c r="E768" s="156"/>
      <c r="F768" s="143"/>
      <c r="G768" s="143"/>
      <c r="H768" s="143"/>
      <c r="I768" s="143"/>
      <c r="J768" s="143"/>
      <c r="K768" s="143"/>
      <c r="L768" s="143"/>
      <c r="M768" s="143"/>
      <c r="N768" s="143"/>
      <c r="O768" s="143"/>
      <c r="P768" s="143"/>
      <c r="Q768" s="143"/>
      <c r="R768" s="143"/>
      <c r="S768" s="143"/>
      <c r="T768" s="143"/>
      <c r="U768" s="143"/>
      <c r="V768" s="143"/>
      <c r="W768" s="143"/>
      <c r="X768" s="143"/>
      <c r="Y768" s="143"/>
      <c r="Z768" s="143"/>
      <c r="AA768" s="156"/>
      <c r="AB768" s="156"/>
      <c r="AC768" s="156"/>
      <c r="AD768" s="156"/>
      <c r="AE768" s="156"/>
    </row>
    <row r="769">
      <c r="A769" s="156"/>
      <c r="B769" s="156"/>
      <c r="C769" s="156"/>
      <c r="D769" s="154"/>
      <c r="E769" s="156"/>
      <c r="F769" s="143"/>
      <c r="G769" s="143"/>
      <c r="H769" s="143"/>
      <c r="I769" s="143"/>
      <c r="J769" s="143"/>
      <c r="K769" s="143"/>
      <c r="L769" s="143"/>
      <c r="M769" s="143"/>
      <c r="N769" s="143"/>
      <c r="O769" s="143"/>
      <c r="P769" s="143"/>
      <c r="Q769" s="143"/>
      <c r="R769" s="143"/>
      <c r="S769" s="143"/>
      <c r="T769" s="143"/>
      <c r="U769" s="143"/>
      <c r="V769" s="143"/>
      <c r="W769" s="143"/>
      <c r="X769" s="143"/>
      <c r="Y769" s="143"/>
      <c r="Z769" s="143"/>
      <c r="AA769" s="156"/>
      <c r="AB769" s="156"/>
      <c r="AC769" s="156"/>
      <c r="AD769" s="156"/>
      <c r="AE769" s="156"/>
    </row>
    <row r="770">
      <c r="A770" s="156"/>
      <c r="B770" s="156"/>
      <c r="C770" s="156"/>
      <c r="D770" s="154"/>
      <c r="E770" s="156"/>
      <c r="F770" s="143"/>
      <c r="G770" s="143"/>
      <c r="H770" s="143"/>
      <c r="I770" s="143"/>
      <c r="J770" s="143"/>
      <c r="K770" s="143"/>
      <c r="L770" s="143"/>
      <c r="M770" s="143"/>
      <c r="N770" s="143"/>
      <c r="O770" s="143"/>
      <c r="P770" s="143"/>
      <c r="Q770" s="143"/>
      <c r="R770" s="143"/>
      <c r="S770" s="143"/>
      <c r="T770" s="143"/>
      <c r="U770" s="143"/>
      <c r="V770" s="143"/>
      <c r="W770" s="143"/>
      <c r="X770" s="143"/>
      <c r="Y770" s="143"/>
      <c r="Z770" s="143"/>
      <c r="AA770" s="156"/>
      <c r="AB770" s="156"/>
      <c r="AC770" s="156"/>
      <c r="AD770" s="156"/>
      <c r="AE770" s="156"/>
    </row>
    <row r="771">
      <c r="A771" s="156"/>
      <c r="B771" s="156"/>
      <c r="C771" s="156"/>
      <c r="D771" s="154"/>
      <c r="E771" s="156"/>
      <c r="F771" s="143"/>
      <c r="G771" s="143"/>
      <c r="H771" s="143"/>
      <c r="I771" s="143"/>
      <c r="J771" s="143"/>
      <c r="K771" s="143"/>
      <c r="L771" s="143"/>
      <c r="M771" s="143"/>
      <c r="N771" s="143"/>
      <c r="O771" s="143"/>
      <c r="P771" s="143"/>
      <c r="Q771" s="143"/>
      <c r="R771" s="143"/>
      <c r="S771" s="143"/>
      <c r="T771" s="143"/>
      <c r="U771" s="143"/>
      <c r="V771" s="143"/>
      <c r="W771" s="143"/>
      <c r="X771" s="143"/>
      <c r="Y771" s="143"/>
      <c r="Z771" s="143"/>
      <c r="AA771" s="156"/>
      <c r="AB771" s="156"/>
      <c r="AC771" s="156"/>
      <c r="AD771" s="156"/>
      <c r="AE771" s="156"/>
    </row>
    <row r="772">
      <c r="A772" s="156"/>
      <c r="B772" s="156"/>
      <c r="C772" s="156"/>
      <c r="D772" s="154"/>
      <c r="E772" s="156"/>
      <c r="F772" s="143"/>
      <c r="G772" s="143"/>
      <c r="H772" s="143"/>
      <c r="I772" s="143"/>
      <c r="J772" s="143"/>
      <c r="K772" s="143"/>
      <c r="L772" s="143"/>
      <c r="M772" s="143"/>
      <c r="N772" s="143"/>
      <c r="O772" s="143"/>
      <c r="P772" s="143"/>
      <c r="Q772" s="143"/>
      <c r="R772" s="143"/>
      <c r="S772" s="143"/>
      <c r="T772" s="143"/>
      <c r="U772" s="143"/>
      <c r="V772" s="143"/>
      <c r="W772" s="143"/>
      <c r="X772" s="143"/>
      <c r="Y772" s="143"/>
      <c r="Z772" s="143"/>
      <c r="AA772" s="156"/>
      <c r="AB772" s="156"/>
      <c r="AC772" s="156"/>
      <c r="AD772" s="156"/>
      <c r="AE772" s="156"/>
    </row>
    <row r="773">
      <c r="A773" s="156"/>
      <c r="B773" s="156"/>
      <c r="C773" s="156"/>
      <c r="D773" s="154"/>
      <c r="E773" s="156"/>
      <c r="F773" s="143"/>
      <c r="G773" s="143"/>
      <c r="H773" s="143"/>
      <c r="I773" s="143"/>
      <c r="J773" s="143"/>
      <c r="K773" s="143"/>
      <c r="L773" s="143"/>
      <c r="M773" s="143"/>
      <c r="N773" s="143"/>
      <c r="O773" s="143"/>
      <c r="P773" s="143"/>
      <c r="Q773" s="143"/>
      <c r="R773" s="143"/>
      <c r="S773" s="143"/>
      <c r="T773" s="143"/>
      <c r="U773" s="143"/>
      <c r="V773" s="143"/>
      <c r="W773" s="143"/>
      <c r="X773" s="143"/>
      <c r="Y773" s="143"/>
      <c r="Z773" s="143"/>
      <c r="AA773" s="156"/>
      <c r="AB773" s="156"/>
      <c r="AC773" s="156"/>
      <c r="AD773" s="156"/>
      <c r="AE773" s="156"/>
    </row>
    <row r="774">
      <c r="A774" s="156"/>
      <c r="B774" s="156"/>
      <c r="C774" s="156"/>
      <c r="D774" s="154"/>
      <c r="E774" s="156"/>
      <c r="F774" s="143"/>
      <c r="G774" s="143"/>
      <c r="H774" s="143"/>
      <c r="I774" s="143"/>
      <c r="J774" s="143"/>
      <c r="K774" s="143"/>
      <c r="L774" s="143"/>
      <c r="M774" s="143"/>
      <c r="N774" s="143"/>
      <c r="O774" s="143"/>
      <c r="P774" s="143"/>
      <c r="Q774" s="143"/>
      <c r="R774" s="143"/>
      <c r="S774" s="143"/>
      <c r="T774" s="143"/>
      <c r="U774" s="143"/>
      <c r="V774" s="143"/>
      <c r="W774" s="143"/>
      <c r="X774" s="143"/>
      <c r="Y774" s="143"/>
      <c r="Z774" s="143"/>
      <c r="AA774" s="156"/>
      <c r="AB774" s="156"/>
      <c r="AC774" s="156"/>
      <c r="AD774" s="156"/>
      <c r="AE774" s="156"/>
    </row>
    <row r="775">
      <c r="A775" s="156"/>
      <c r="B775" s="156"/>
      <c r="C775" s="156"/>
      <c r="D775" s="154"/>
      <c r="E775" s="156"/>
      <c r="F775" s="143"/>
      <c r="G775" s="143"/>
      <c r="H775" s="143"/>
      <c r="I775" s="143"/>
      <c r="J775" s="143"/>
      <c r="K775" s="143"/>
      <c r="L775" s="143"/>
      <c r="M775" s="143"/>
      <c r="N775" s="143"/>
      <c r="O775" s="143"/>
      <c r="P775" s="143"/>
      <c r="Q775" s="143"/>
      <c r="R775" s="143"/>
      <c r="S775" s="143"/>
      <c r="T775" s="143"/>
      <c r="U775" s="143"/>
      <c r="V775" s="143"/>
      <c r="W775" s="143"/>
      <c r="X775" s="143"/>
      <c r="Y775" s="143"/>
      <c r="Z775" s="143"/>
      <c r="AA775" s="156"/>
      <c r="AB775" s="156"/>
      <c r="AC775" s="156"/>
      <c r="AD775" s="156"/>
      <c r="AE775" s="156"/>
    </row>
    <row r="776">
      <c r="A776" s="156"/>
      <c r="B776" s="156"/>
      <c r="C776" s="156"/>
      <c r="D776" s="154"/>
      <c r="E776" s="156"/>
      <c r="F776" s="143"/>
      <c r="G776" s="143"/>
      <c r="H776" s="143"/>
      <c r="I776" s="143"/>
      <c r="J776" s="143"/>
      <c r="K776" s="143"/>
      <c r="L776" s="143"/>
      <c r="M776" s="143"/>
      <c r="N776" s="143"/>
      <c r="O776" s="143"/>
      <c r="P776" s="143"/>
      <c r="Q776" s="143"/>
      <c r="R776" s="143"/>
      <c r="S776" s="143"/>
      <c r="T776" s="143"/>
      <c r="U776" s="143"/>
      <c r="V776" s="143"/>
      <c r="W776" s="143"/>
      <c r="X776" s="143"/>
      <c r="Y776" s="143"/>
      <c r="Z776" s="143"/>
      <c r="AA776" s="156"/>
      <c r="AB776" s="156"/>
      <c r="AC776" s="156"/>
      <c r="AD776" s="156"/>
      <c r="AE776" s="156"/>
    </row>
    <row r="777">
      <c r="A777" s="156"/>
      <c r="B777" s="156"/>
      <c r="C777" s="156"/>
      <c r="D777" s="154"/>
      <c r="E777" s="156"/>
      <c r="F777" s="143"/>
      <c r="G777" s="143"/>
      <c r="H777" s="143"/>
      <c r="I777" s="143"/>
      <c r="J777" s="143"/>
      <c r="K777" s="143"/>
      <c r="L777" s="143"/>
      <c r="M777" s="143"/>
      <c r="N777" s="143"/>
      <c r="O777" s="143"/>
      <c r="P777" s="143"/>
      <c r="Q777" s="143"/>
      <c r="R777" s="143"/>
      <c r="S777" s="143"/>
      <c r="T777" s="143"/>
      <c r="U777" s="143"/>
      <c r="V777" s="143"/>
      <c r="W777" s="143"/>
      <c r="X777" s="143"/>
      <c r="Y777" s="143"/>
      <c r="Z777" s="143"/>
      <c r="AA777" s="156"/>
      <c r="AB777" s="156"/>
      <c r="AC777" s="156"/>
      <c r="AD777" s="156"/>
      <c r="AE777" s="156"/>
    </row>
    <row r="778">
      <c r="A778" s="156"/>
      <c r="B778" s="156"/>
      <c r="C778" s="156"/>
      <c r="D778" s="154"/>
      <c r="E778" s="156"/>
      <c r="F778" s="143"/>
      <c r="G778" s="143"/>
      <c r="H778" s="143"/>
      <c r="I778" s="143"/>
      <c r="J778" s="143"/>
      <c r="K778" s="143"/>
      <c r="L778" s="143"/>
      <c r="M778" s="143"/>
      <c r="N778" s="143"/>
      <c r="O778" s="143"/>
      <c r="P778" s="143"/>
      <c r="Q778" s="143"/>
      <c r="R778" s="143"/>
      <c r="S778" s="143"/>
      <c r="T778" s="143"/>
      <c r="U778" s="143"/>
      <c r="V778" s="143"/>
      <c r="W778" s="143"/>
      <c r="X778" s="143"/>
      <c r="Y778" s="143"/>
      <c r="Z778" s="143"/>
      <c r="AA778" s="156"/>
      <c r="AB778" s="156"/>
      <c r="AC778" s="156"/>
      <c r="AD778" s="156"/>
      <c r="AE778" s="156"/>
    </row>
    <row r="779">
      <c r="A779" s="156"/>
      <c r="B779" s="156"/>
      <c r="C779" s="156"/>
      <c r="D779" s="154"/>
      <c r="E779" s="156"/>
      <c r="F779" s="143"/>
      <c r="G779" s="143"/>
      <c r="H779" s="143"/>
      <c r="I779" s="143"/>
      <c r="J779" s="143"/>
      <c r="K779" s="143"/>
      <c r="L779" s="143"/>
      <c r="M779" s="143"/>
      <c r="N779" s="143"/>
      <c r="O779" s="143"/>
      <c r="P779" s="143"/>
      <c r="Q779" s="143"/>
      <c r="R779" s="143"/>
      <c r="S779" s="143"/>
      <c r="T779" s="143"/>
      <c r="U779" s="143"/>
      <c r="V779" s="143"/>
      <c r="W779" s="143"/>
      <c r="X779" s="143"/>
      <c r="Y779" s="143"/>
      <c r="Z779" s="143"/>
      <c r="AA779" s="156"/>
      <c r="AB779" s="156"/>
      <c r="AC779" s="156"/>
      <c r="AD779" s="156"/>
      <c r="AE779" s="156"/>
    </row>
    <row r="780">
      <c r="A780" s="156"/>
      <c r="B780" s="156"/>
      <c r="C780" s="156"/>
      <c r="D780" s="154"/>
      <c r="E780" s="156"/>
      <c r="F780" s="143"/>
      <c r="G780" s="143"/>
      <c r="H780" s="143"/>
      <c r="I780" s="143"/>
      <c r="J780" s="143"/>
      <c r="K780" s="143"/>
      <c r="L780" s="143"/>
      <c r="M780" s="143"/>
      <c r="N780" s="143"/>
      <c r="O780" s="143"/>
      <c r="P780" s="143"/>
      <c r="Q780" s="143"/>
      <c r="R780" s="143"/>
      <c r="S780" s="143"/>
      <c r="T780" s="143"/>
      <c r="U780" s="143"/>
      <c r="V780" s="143"/>
      <c r="W780" s="143"/>
      <c r="X780" s="143"/>
      <c r="Y780" s="143"/>
      <c r="Z780" s="143"/>
      <c r="AA780" s="156"/>
      <c r="AB780" s="156"/>
      <c r="AC780" s="156"/>
      <c r="AD780" s="156"/>
      <c r="AE780" s="156"/>
    </row>
    <row r="781">
      <c r="A781" s="156"/>
      <c r="B781" s="156"/>
      <c r="C781" s="156"/>
      <c r="D781" s="154"/>
      <c r="E781" s="156"/>
      <c r="F781" s="143"/>
      <c r="G781" s="143"/>
      <c r="H781" s="143"/>
      <c r="I781" s="143"/>
      <c r="J781" s="143"/>
      <c r="K781" s="143"/>
      <c r="L781" s="143"/>
      <c r="M781" s="143"/>
      <c r="N781" s="143"/>
      <c r="O781" s="143"/>
      <c r="P781" s="143"/>
      <c r="Q781" s="143"/>
      <c r="R781" s="143"/>
      <c r="S781" s="143"/>
      <c r="T781" s="143"/>
      <c r="U781" s="143"/>
      <c r="V781" s="143"/>
      <c r="W781" s="143"/>
      <c r="X781" s="143"/>
      <c r="Y781" s="143"/>
      <c r="Z781" s="143"/>
      <c r="AA781" s="156"/>
      <c r="AB781" s="156"/>
      <c r="AC781" s="156"/>
      <c r="AD781" s="156"/>
      <c r="AE781" s="156"/>
    </row>
    <row r="782">
      <c r="A782" s="156"/>
      <c r="B782" s="156"/>
      <c r="C782" s="156"/>
      <c r="D782" s="154"/>
      <c r="E782" s="156"/>
      <c r="F782" s="143"/>
      <c r="G782" s="143"/>
      <c r="H782" s="143"/>
      <c r="I782" s="143"/>
      <c r="J782" s="143"/>
      <c r="K782" s="143"/>
      <c r="L782" s="143"/>
      <c r="M782" s="143"/>
      <c r="N782" s="143"/>
      <c r="O782" s="143"/>
      <c r="P782" s="143"/>
      <c r="Q782" s="143"/>
      <c r="R782" s="143"/>
      <c r="S782" s="143"/>
      <c r="T782" s="143"/>
      <c r="U782" s="143"/>
      <c r="V782" s="143"/>
      <c r="W782" s="143"/>
      <c r="X782" s="143"/>
      <c r="Y782" s="143"/>
      <c r="Z782" s="143"/>
      <c r="AA782" s="156"/>
      <c r="AB782" s="156"/>
      <c r="AC782" s="156"/>
      <c r="AD782" s="156"/>
      <c r="AE782" s="156"/>
    </row>
    <row r="783">
      <c r="A783" s="156"/>
      <c r="B783" s="156"/>
      <c r="C783" s="156"/>
      <c r="D783" s="154"/>
      <c r="E783" s="156"/>
      <c r="F783" s="143"/>
      <c r="G783" s="143"/>
      <c r="H783" s="143"/>
      <c r="I783" s="143"/>
      <c r="J783" s="143"/>
      <c r="K783" s="143"/>
      <c r="L783" s="143"/>
      <c r="M783" s="143"/>
      <c r="N783" s="143"/>
      <c r="O783" s="143"/>
      <c r="P783" s="143"/>
      <c r="Q783" s="143"/>
      <c r="R783" s="143"/>
      <c r="S783" s="143"/>
      <c r="T783" s="143"/>
      <c r="U783" s="143"/>
      <c r="V783" s="143"/>
      <c r="W783" s="143"/>
      <c r="X783" s="143"/>
      <c r="Y783" s="143"/>
      <c r="Z783" s="143"/>
      <c r="AA783" s="156"/>
      <c r="AB783" s="156"/>
      <c r="AC783" s="156"/>
      <c r="AD783" s="156"/>
      <c r="AE783" s="156"/>
    </row>
    <row r="784">
      <c r="A784" s="156"/>
      <c r="B784" s="156"/>
      <c r="C784" s="156"/>
      <c r="D784" s="154"/>
      <c r="E784" s="156"/>
      <c r="F784" s="143"/>
      <c r="G784" s="143"/>
      <c r="H784" s="143"/>
      <c r="I784" s="143"/>
      <c r="J784" s="143"/>
      <c r="K784" s="143"/>
      <c r="L784" s="143"/>
      <c r="M784" s="143"/>
      <c r="N784" s="143"/>
      <c r="O784" s="143"/>
      <c r="P784" s="143"/>
      <c r="Q784" s="143"/>
      <c r="R784" s="143"/>
      <c r="S784" s="143"/>
      <c r="T784" s="143"/>
      <c r="U784" s="143"/>
      <c r="V784" s="143"/>
      <c r="W784" s="143"/>
      <c r="X784" s="143"/>
      <c r="Y784" s="143"/>
      <c r="Z784" s="143"/>
      <c r="AA784" s="156"/>
      <c r="AB784" s="156"/>
      <c r="AC784" s="156"/>
      <c r="AD784" s="156"/>
      <c r="AE784" s="156"/>
    </row>
    <row r="785">
      <c r="A785" s="156"/>
      <c r="B785" s="156"/>
      <c r="C785" s="156"/>
      <c r="D785" s="154"/>
      <c r="E785" s="156"/>
      <c r="F785" s="143"/>
      <c r="G785" s="143"/>
      <c r="H785" s="143"/>
      <c r="I785" s="143"/>
      <c r="J785" s="143"/>
      <c r="K785" s="143"/>
      <c r="L785" s="143"/>
      <c r="M785" s="143"/>
      <c r="N785" s="143"/>
      <c r="O785" s="143"/>
      <c r="P785" s="143"/>
      <c r="Q785" s="143"/>
      <c r="R785" s="143"/>
      <c r="S785" s="143"/>
      <c r="T785" s="143"/>
      <c r="U785" s="143"/>
      <c r="V785" s="143"/>
      <c r="W785" s="143"/>
      <c r="X785" s="143"/>
      <c r="Y785" s="143"/>
      <c r="Z785" s="143"/>
      <c r="AA785" s="156"/>
      <c r="AB785" s="156"/>
      <c r="AC785" s="156"/>
      <c r="AD785" s="156"/>
      <c r="AE785" s="156"/>
    </row>
    <row r="786">
      <c r="A786" s="156"/>
      <c r="B786" s="156"/>
      <c r="C786" s="156"/>
      <c r="D786" s="154"/>
      <c r="E786" s="156"/>
      <c r="F786" s="143"/>
      <c r="G786" s="143"/>
      <c r="H786" s="143"/>
      <c r="I786" s="143"/>
      <c r="J786" s="143"/>
      <c r="K786" s="143"/>
      <c r="L786" s="143"/>
      <c r="M786" s="143"/>
      <c r="N786" s="143"/>
      <c r="O786" s="143"/>
      <c r="P786" s="143"/>
      <c r="Q786" s="143"/>
      <c r="R786" s="143"/>
      <c r="S786" s="143"/>
      <c r="T786" s="143"/>
      <c r="U786" s="143"/>
      <c r="V786" s="143"/>
      <c r="W786" s="143"/>
      <c r="X786" s="143"/>
      <c r="Y786" s="143"/>
      <c r="Z786" s="143"/>
      <c r="AA786" s="156"/>
      <c r="AB786" s="156"/>
      <c r="AC786" s="156"/>
      <c r="AD786" s="156"/>
      <c r="AE786" s="156"/>
    </row>
    <row r="787">
      <c r="A787" s="156"/>
      <c r="B787" s="156"/>
      <c r="C787" s="156"/>
      <c r="D787" s="154"/>
      <c r="E787" s="156"/>
      <c r="F787" s="143"/>
      <c r="G787" s="143"/>
      <c r="H787" s="143"/>
      <c r="I787" s="143"/>
      <c r="J787" s="143"/>
      <c r="K787" s="143"/>
      <c r="L787" s="143"/>
      <c r="M787" s="143"/>
      <c r="N787" s="143"/>
      <c r="O787" s="143"/>
      <c r="P787" s="143"/>
      <c r="Q787" s="143"/>
      <c r="R787" s="143"/>
      <c r="S787" s="143"/>
      <c r="T787" s="143"/>
      <c r="U787" s="143"/>
      <c r="V787" s="143"/>
      <c r="W787" s="143"/>
      <c r="X787" s="143"/>
      <c r="Y787" s="143"/>
      <c r="Z787" s="143"/>
      <c r="AA787" s="156"/>
      <c r="AB787" s="156"/>
      <c r="AC787" s="156"/>
      <c r="AD787" s="156"/>
      <c r="AE787" s="156"/>
    </row>
    <row r="788">
      <c r="A788" s="156"/>
      <c r="B788" s="156"/>
      <c r="C788" s="156"/>
      <c r="D788" s="154"/>
      <c r="E788" s="156"/>
      <c r="F788" s="143"/>
      <c r="G788" s="143"/>
      <c r="H788" s="143"/>
      <c r="I788" s="143"/>
      <c r="J788" s="143"/>
      <c r="K788" s="143"/>
      <c r="L788" s="143"/>
      <c r="M788" s="143"/>
      <c r="N788" s="143"/>
      <c r="O788" s="143"/>
      <c r="P788" s="143"/>
      <c r="Q788" s="143"/>
      <c r="R788" s="143"/>
      <c r="S788" s="143"/>
      <c r="T788" s="143"/>
      <c r="U788" s="143"/>
      <c r="V788" s="143"/>
      <c r="W788" s="143"/>
      <c r="X788" s="143"/>
      <c r="Y788" s="143"/>
      <c r="Z788" s="143"/>
      <c r="AA788" s="156"/>
      <c r="AB788" s="156"/>
      <c r="AC788" s="156"/>
      <c r="AD788" s="156"/>
      <c r="AE788" s="156"/>
    </row>
    <row r="789">
      <c r="A789" s="156"/>
      <c r="B789" s="156"/>
      <c r="C789" s="156"/>
      <c r="D789" s="154"/>
      <c r="E789" s="156"/>
      <c r="F789" s="143"/>
      <c r="G789" s="143"/>
      <c r="H789" s="143"/>
      <c r="I789" s="143"/>
      <c r="J789" s="143"/>
      <c r="K789" s="143"/>
      <c r="L789" s="143"/>
      <c r="M789" s="143"/>
      <c r="N789" s="143"/>
      <c r="O789" s="143"/>
      <c r="P789" s="143"/>
      <c r="Q789" s="143"/>
      <c r="R789" s="143"/>
      <c r="S789" s="143"/>
      <c r="T789" s="143"/>
      <c r="U789" s="143"/>
      <c r="V789" s="143"/>
      <c r="W789" s="143"/>
      <c r="X789" s="143"/>
      <c r="Y789" s="143"/>
      <c r="Z789" s="143"/>
      <c r="AA789" s="156"/>
      <c r="AB789" s="156"/>
      <c r="AC789" s="156"/>
      <c r="AD789" s="156"/>
      <c r="AE789" s="156"/>
    </row>
    <row r="790">
      <c r="A790" s="156"/>
      <c r="B790" s="156"/>
      <c r="C790" s="156"/>
      <c r="D790" s="154"/>
      <c r="E790" s="156"/>
      <c r="F790" s="143"/>
      <c r="G790" s="143"/>
      <c r="H790" s="143"/>
      <c r="I790" s="143"/>
      <c r="J790" s="143"/>
      <c r="K790" s="143"/>
      <c r="L790" s="143"/>
      <c r="M790" s="143"/>
      <c r="N790" s="143"/>
      <c r="O790" s="143"/>
      <c r="P790" s="143"/>
      <c r="Q790" s="143"/>
      <c r="R790" s="143"/>
      <c r="S790" s="143"/>
      <c r="T790" s="143"/>
      <c r="U790" s="143"/>
      <c r="V790" s="143"/>
      <c r="W790" s="143"/>
      <c r="X790" s="143"/>
      <c r="Y790" s="143"/>
      <c r="Z790" s="143"/>
      <c r="AA790" s="156"/>
      <c r="AB790" s="156"/>
      <c r="AC790" s="156"/>
      <c r="AD790" s="156"/>
      <c r="AE790" s="156"/>
    </row>
    <row r="791">
      <c r="A791" s="156"/>
      <c r="B791" s="156"/>
      <c r="C791" s="156"/>
      <c r="D791" s="154"/>
      <c r="E791" s="156"/>
      <c r="F791" s="143"/>
      <c r="G791" s="143"/>
      <c r="H791" s="143"/>
      <c r="I791" s="143"/>
      <c r="J791" s="143"/>
      <c r="K791" s="143"/>
      <c r="L791" s="143"/>
      <c r="M791" s="143"/>
      <c r="N791" s="143"/>
      <c r="O791" s="143"/>
      <c r="P791" s="143"/>
      <c r="Q791" s="143"/>
      <c r="R791" s="143"/>
      <c r="S791" s="143"/>
      <c r="T791" s="143"/>
      <c r="U791" s="143"/>
      <c r="V791" s="143"/>
      <c r="W791" s="143"/>
      <c r="X791" s="143"/>
      <c r="Y791" s="143"/>
      <c r="Z791" s="143"/>
      <c r="AA791" s="156"/>
      <c r="AB791" s="156"/>
      <c r="AC791" s="156"/>
      <c r="AD791" s="156"/>
      <c r="AE791" s="156"/>
    </row>
    <row r="792">
      <c r="A792" s="156"/>
      <c r="B792" s="156"/>
      <c r="C792" s="156"/>
      <c r="D792" s="154"/>
      <c r="E792" s="156"/>
      <c r="F792" s="143"/>
      <c r="G792" s="143"/>
      <c r="H792" s="143"/>
      <c r="I792" s="143"/>
      <c r="J792" s="143"/>
      <c r="K792" s="143"/>
      <c r="L792" s="143"/>
      <c r="M792" s="143"/>
      <c r="N792" s="143"/>
      <c r="O792" s="143"/>
      <c r="P792" s="143"/>
      <c r="Q792" s="143"/>
      <c r="R792" s="143"/>
      <c r="S792" s="143"/>
      <c r="T792" s="143"/>
      <c r="U792" s="143"/>
      <c r="V792" s="143"/>
      <c r="W792" s="143"/>
      <c r="X792" s="143"/>
      <c r="Y792" s="143"/>
      <c r="Z792" s="143"/>
      <c r="AA792" s="156"/>
      <c r="AB792" s="156"/>
      <c r="AC792" s="156"/>
      <c r="AD792" s="156"/>
      <c r="AE792" s="156"/>
    </row>
    <row r="793">
      <c r="A793" s="156"/>
      <c r="B793" s="156"/>
      <c r="C793" s="156"/>
      <c r="D793" s="154"/>
      <c r="E793" s="156"/>
      <c r="F793" s="143"/>
      <c r="G793" s="143"/>
      <c r="H793" s="143"/>
      <c r="I793" s="143"/>
      <c r="J793" s="143"/>
      <c r="K793" s="143"/>
      <c r="L793" s="143"/>
      <c r="M793" s="143"/>
      <c r="N793" s="143"/>
      <c r="O793" s="143"/>
      <c r="P793" s="143"/>
      <c r="Q793" s="143"/>
      <c r="R793" s="143"/>
      <c r="S793" s="143"/>
      <c r="T793" s="143"/>
      <c r="U793" s="143"/>
      <c r="V793" s="143"/>
      <c r="W793" s="143"/>
      <c r="X793" s="143"/>
      <c r="Y793" s="143"/>
      <c r="Z793" s="143"/>
      <c r="AA793" s="156"/>
      <c r="AB793" s="156"/>
      <c r="AC793" s="156"/>
      <c r="AD793" s="156"/>
      <c r="AE793" s="156"/>
    </row>
    <row r="794">
      <c r="A794" s="156"/>
      <c r="B794" s="156"/>
      <c r="C794" s="156"/>
      <c r="D794" s="154"/>
      <c r="E794" s="156"/>
      <c r="F794" s="143"/>
      <c r="G794" s="143"/>
      <c r="H794" s="143"/>
      <c r="I794" s="143"/>
      <c r="J794" s="143"/>
      <c r="K794" s="143"/>
      <c r="L794" s="143"/>
      <c r="M794" s="143"/>
      <c r="N794" s="143"/>
      <c r="O794" s="143"/>
      <c r="P794" s="143"/>
      <c r="Q794" s="143"/>
      <c r="R794" s="143"/>
      <c r="S794" s="143"/>
      <c r="T794" s="143"/>
      <c r="U794" s="143"/>
      <c r="V794" s="143"/>
      <c r="W794" s="143"/>
      <c r="X794" s="143"/>
      <c r="Y794" s="143"/>
      <c r="Z794" s="143"/>
      <c r="AA794" s="156"/>
      <c r="AB794" s="156"/>
      <c r="AC794" s="156"/>
      <c r="AD794" s="156"/>
      <c r="AE794" s="156"/>
    </row>
    <row r="795">
      <c r="A795" s="156"/>
      <c r="B795" s="156"/>
      <c r="C795" s="156"/>
      <c r="D795" s="154"/>
      <c r="E795" s="156"/>
      <c r="F795" s="143"/>
      <c r="G795" s="143"/>
      <c r="H795" s="143"/>
      <c r="I795" s="143"/>
      <c r="J795" s="143"/>
      <c r="K795" s="143"/>
      <c r="L795" s="143"/>
      <c r="M795" s="143"/>
      <c r="N795" s="143"/>
      <c r="O795" s="143"/>
      <c r="P795" s="143"/>
      <c r="Q795" s="143"/>
      <c r="R795" s="143"/>
      <c r="S795" s="143"/>
      <c r="T795" s="143"/>
      <c r="U795" s="143"/>
      <c r="V795" s="143"/>
      <c r="W795" s="143"/>
      <c r="X795" s="143"/>
      <c r="Y795" s="143"/>
      <c r="Z795" s="143"/>
      <c r="AA795" s="156"/>
      <c r="AB795" s="156"/>
      <c r="AC795" s="156"/>
      <c r="AD795" s="156"/>
      <c r="AE795" s="156"/>
    </row>
    <row r="796">
      <c r="A796" s="156"/>
      <c r="B796" s="156"/>
      <c r="C796" s="156"/>
      <c r="D796" s="154"/>
      <c r="E796" s="156"/>
      <c r="F796" s="143"/>
      <c r="G796" s="143"/>
      <c r="H796" s="143"/>
      <c r="I796" s="143"/>
      <c r="J796" s="143"/>
      <c r="K796" s="143"/>
      <c r="L796" s="143"/>
      <c r="M796" s="143"/>
      <c r="N796" s="143"/>
      <c r="O796" s="143"/>
      <c r="P796" s="143"/>
      <c r="Q796" s="143"/>
      <c r="R796" s="143"/>
      <c r="S796" s="143"/>
      <c r="T796" s="143"/>
      <c r="U796" s="143"/>
      <c r="V796" s="143"/>
      <c r="W796" s="143"/>
      <c r="X796" s="143"/>
      <c r="Y796" s="143"/>
      <c r="Z796" s="143"/>
      <c r="AA796" s="156"/>
      <c r="AB796" s="156"/>
      <c r="AC796" s="156"/>
      <c r="AD796" s="156"/>
      <c r="AE796" s="156"/>
    </row>
    <row r="797">
      <c r="A797" s="156"/>
      <c r="B797" s="156"/>
      <c r="C797" s="156"/>
      <c r="D797" s="154"/>
      <c r="E797" s="156"/>
      <c r="F797" s="143"/>
      <c r="G797" s="143"/>
      <c r="H797" s="143"/>
      <c r="I797" s="143"/>
      <c r="J797" s="143"/>
      <c r="K797" s="143"/>
      <c r="L797" s="143"/>
      <c r="M797" s="143"/>
      <c r="N797" s="143"/>
      <c r="O797" s="143"/>
      <c r="P797" s="143"/>
      <c r="Q797" s="143"/>
      <c r="R797" s="143"/>
      <c r="S797" s="143"/>
      <c r="T797" s="143"/>
      <c r="U797" s="143"/>
      <c r="V797" s="143"/>
      <c r="W797" s="143"/>
      <c r="X797" s="143"/>
      <c r="Y797" s="143"/>
      <c r="Z797" s="143"/>
      <c r="AA797" s="156"/>
      <c r="AB797" s="156"/>
      <c r="AC797" s="156"/>
      <c r="AD797" s="156"/>
      <c r="AE797" s="156"/>
    </row>
    <row r="798">
      <c r="A798" s="156"/>
      <c r="B798" s="156"/>
      <c r="C798" s="156"/>
      <c r="D798" s="154"/>
      <c r="E798" s="156"/>
      <c r="F798" s="143"/>
      <c r="G798" s="143"/>
      <c r="H798" s="143"/>
      <c r="I798" s="143"/>
      <c r="J798" s="143"/>
      <c r="K798" s="143"/>
      <c r="L798" s="143"/>
      <c r="M798" s="143"/>
      <c r="N798" s="143"/>
      <c r="O798" s="143"/>
      <c r="P798" s="143"/>
      <c r="Q798" s="143"/>
      <c r="R798" s="143"/>
      <c r="S798" s="143"/>
      <c r="T798" s="143"/>
      <c r="U798" s="143"/>
      <c r="V798" s="143"/>
      <c r="W798" s="143"/>
      <c r="X798" s="143"/>
      <c r="Y798" s="143"/>
      <c r="Z798" s="143"/>
      <c r="AA798" s="156"/>
      <c r="AB798" s="156"/>
      <c r="AC798" s="156"/>
      <c r="AD798" s="156"/>
      <c r="AE798" s="156"/>
    </row>
    <row r="799">
      <c r="A799" s="156"/>
      <c r="B799" s="156"/>
      <c r="C799" s="156"/>
      <c r="D799" s="154"/>
      <c r="E799" s="156"/>
      <c r="F799" s="143"/>
      <c r="G799" s="143"/>
      <c r="H799" s="143"/>
      <c r="I799" s="143"/>
      <c r="J799" s="143"/>
      <c r="K799" s="143"/>
      <c r="L799" s="143"/>
      <c r="M799" s="143"/>
      <c r="N799" s="143"/>
      <c r="O799" s="143"/>
      <c r="P799" s="143"/>
      <c r="Q799" s="143"/>
      <c r="R799" s="143"/>
      <c r="S799" s="143"/>
      <c r="T799" s="143"/>
      <c r="U799" s="143"/>
      <c r="V799" s="143"/>
      <c r="W799" s="143"/>
      <c r="X799" s="143"/>
      <c r="Y799" s="143"/>
      <c r="Z799" s="143"/>
      <c r="AA799" s="156"/>
      <c r="AB799" s="156"/>
      <c r="AC799" s="156"/>
      <c r="AD799" s="156"/>
      <c r="AE799" s="156"/>
    </row>
    <row r="800">
      <c r="A800" s="156"/>
      <c r="B800" s="156"/>
      <c r="C800" s="156"/>
      <c r="D800" s="154"/>
      <c r="E800" s="156"/>
      <c r="F800" s="143"/>
      <c r="G800" s="143"/>
      <c r="H800" s="143"/>
      <c r="I800" s="143"/>
      <c r="J800" s="143"/>
      <c r="K800" s="143"/>
      <c r="L800" s="143"/>
      <c r="M800" s="143"/>
      <c r="N800" s="143"/>
      <c r="O800" s="143"/>
      <c r="P800" s="143"/>
      <c r="Q800" s="143"/>
      <c r="R800" s="143"/>
      <c r="S800" s="143"/>
      <c r="T800" s="143"/>
      <c r="U800" s="143"/>
      <c r="V800" s="143"/>
      <c r="W800" s="143"/>
      <c r="X800" s="143"/>
      <c r="Y800" s="143"/>
      <c r="Z800" s="143"/>
      <c r="AA800" s="156"/>
      <c r="AB800" s="156"/>
      <c r="AC800" s="156"/>
      <c r="AD800" s="156"/>
      <c r="AE800" s="156"/>
    </row>
    <row r="801">
      <c r="A801" s="156"/>
      <c r="B801" s="156"/>
      <c r="C801" s="156"/>
      <c r="D801" s="154"/>
      <c r="E801" s="156"/>
      <c r="F801" s="143"/>
      <c r="G801" s="143"/>
      <c r="H801" s="143"/>
      <c r="I801" s="143"/>
      <c r="J801" s="143"/>
      <c r="K801" s="143"/>
      <c r="L801" s="143"/>
      <c r="M801" s="143"/>
      <c r="N801" s="143"/>
      <c r="O801" s="143"/>
      <c r="P801" s="143"/>
      <c r="Q801" s="143"/>
      <c r="R801" s="143"/>
      <c r="S801" s="143"/>
      <c r="T801" s="143"/>
      <c r="U801" s="143"/>
      <c r="V801" s="143"/>
      <c r="W801" s="143"/>
      <c r="X801" s="143"/>
      <c r="Y801" s="143"/>
      <c r="Z801" s="143"/>
      <c r="AA801" s="156"/>
      <c r="AB801" s="156"/>
      <c r="AC801" s="156"/>
      <c r="AD801" s="156"/>
      <c r="AE801" s="156"/>
    </row>
    <row r="802">
      <c r="A802" s="156"/>
      <c r="B802" s="156"/>
      <c r="C802" s="156"/>
      <c r="D802" s="154"/>
      <c r="E802" s="156"/>
      <c r="F802" s="143"/>
      <c r="G802" s="143"/>
      <c r="H802" s="143"/>
      <c r="I802" s="143"/>
      <c r="J802" s="143"/>
      <c r="K802" s="143"/>
      <c r="L802" s="143"/>
      <c r="M802" s="143"/>
      <c r="N802" s="143"/>
      <c r="O802" s="143"/>
      <c r="P802" s="143"/>
      <c r="Q802" s="143"/>
      <c r="R802" s="143"/>
      <c r="S802" s="143"/>
      <c r="T802" s="143"/>
      <c r="U802" s="143"/>
      <c r="V802" s="143"/>
      <c r="W802" s="143"/>
      <c r="X802" s="143"/>
      <c r="Y802" s="143"/>
      <c r="Z802" s="143"/>
      <c r="AA802" s="156"/>
      <c r="AB802" s="156"/>
      <c r="AC802" s="156"/>
      <c r="AD802" s="156"/>
      <c r="AE802" s="156"/>
    </row>
    <row r="803">
      <c r="A803" s="156"/>
      <c r="B803" s="156"/>
      <c r="C803" s="156"/>
      <c r="D803" s="154"/>
      <c r="E803" s="156"/>
      <c r="F803" s="143"/>
      <c r="G803" s="143"/>
      <c r="H803" s="143"/>
      <c r="I803" s="143"/>
      <c r="J803" s="143"/>
      <c r="K803" s="143"/>
      <c r="L803" s="143"/>
      <c r="M803" s="143"/>
      <c r="N803" s="143"/>
      <c r="O803" s="143"/>
      <c r="P803" s="143"/>
      <c r="Q803" s="143"/>
      <c r="R803" s="143"/>
      <c r="S803" s="143"/>
      <c r="T803" s="143"/>
      <c r="U803" s="143"/>
      <c r="V803" s="143"/>
      <c r="W803" s="143"/>
      <c r="X803" s="143"/>
      <c r="Y803" s="143"/>
      <c r="Z803" s="143"/>
      <c r="AA803" s="156"/>
      <c r="AB803" s="156"/>
      <c r="AC803" s="156"/>
      <c r="AD803" s="156"/>
      <c r="AE803" s="156"/>
    </row>
    <row r="804">
      <c r="A804" s="156"/>
      <c r="B804" s="156"/>
      <c r="C804" s="156"/>
      <c r="D804" s="154"/>
      <c r="E804" s="156"/>
      <c r="F804" s="143"/>
      <c r="G804" s="143"/>
      <c r="H804" s="143"/>
      <c r="I804" s="143"/>
      <c r="J804" s="143"/>
      <c r="K804" s="143"/>
      <c r="L804" s="143"/>
      <c r="M804" s="143"/>
      <c r="N804" s="143"/>
      <c r="O804" s="143"/>
      <c r="P804" s="143"/>
      <c r="Q804" s="143"/>
      <c r="R804" s="143"/>
      <c r="S804" s="143"/>
      <c r="T804" s="143"/>
      <c r="U804" s="143"/>
      <c r="V804" s="143"/>
      <c r="W804" s="143"/>
      <c r="X804" s="143"/>
      <c r="Y804" s="143"/>
      <c r="Z804" s="143"/>
      <c r="AA804" s="156"/>
      <c r="AB804" s="156"/>
      <c r="AC804" s="156"/>
      <c r="AD804" s="156"/>
      <c r="AE804" s="156"/>
    </row>
    <row r="805">
      <c r="A805" s="156"/>
      <c r="B805" s="156"/>
      <c r="C805" s="156"/>
      <c r="D805" s="154"/>
      <c r="E805" s="156"/>
      <c r="F805" s="143"/>
      <c r="G805" s="143"/>
      <c r="H805" s="143"/>
      <c r="I805" s="143"/>
      <c r="J805" s="143"/>
      <c r="K805" s="143"/>
      <c r="L805" s="143"/>
      <c r="M805" s="143"/>
      <c r="N805" s="143"/>
      <c r="O805" s="143"/>
      <c r="P805" s="143"/>
      <c r="Q805" s="143"/>
      <c r="R805" s="143"/>
      <c r="S805" s="143"/>
      <c r="T805" s="143"/>
      <c r="U805" s="143"/>
      <c r="V805" s="143"/>
      <c r="W805" s="143"/>
      <c r="X805" s="143"/>
      <c r="Y805" s="143"/>
      <c r="Z805" s="143"/>
      <c r="AA805" s="156"/>
      <c r="AB805" s="156"/>
      <c r="AC805" s="156"/>
      <c r="AD805" s="156"/>
      <c r="AE805" s="156"/>
    </row>
    <row r="806">
      <c r="A806" s="156"/>
      <c r="B806" s="156"/>
      <c r="C806" s="156"/>
      <c r="D806" s="154"/>
      <c r="E806" s="156"/>
      <c r="F806" s="143"/>
      <c r="G806" s="143"/>
      <c r="H806" s="143"/>
      <c r="I806" s="143"/>
      <c r="J806" s="143"/>
      <c r="K806" s="143"/>
      <c r="L806" s="143"/>
      <c r="M806" s="143"/>
      <c r="N806" s="143"/>
      <c r="O806" s="143"/>
      <c r="P806" s="143"/>
      <c r="Q806" s="143"/>
      <c r="R806" s="143"/>
      <c r="S806" s="143"/>
      <c r="T806" s="143"/>
      <c r="U806" s="143"/>
      <c r="V806" s="143"/>
      <c r="W806" s="143"/>
      <c r="X806" s="143"/>
      <c r="Y806" s="143"/>
      <c r="Z806" s="143"/>
      <c r="AA806" s="156"/>
      <c r="AB806" s="156"/>
      <c r="AC806" s="156"/>
      <c r="AD806" s="156"/>
      <c r="AE806" s="156"/>
    </row>
    <row r="807">
      <c r="A807" s="156"/>
      <c r="B807" s="156"/>
      <c r="C807" s="156"/>
      <c r="D807" s="154"/>
      <c r="E807" s="156"/>
      <c r="F807" s="143"/>
      <c r="G807" s="143"/>
      <c r="H807" s="143"/>
      <c r="I807" s="143"/>
      <c r="J807" s="143"/>
      <c r="K807" s="143"/>
      <c r="L807" s="143"/>
      <c r="M807" s="143"/>
      <c r="N807" s="143"/>
      <c r="O807" s="143"/>
      <c r="P807" s="143"/>
      <c r="Q807" s="143"/>
      <c r="R807" s="143"/>
      <c r="S807" s="143"/>
      <c r="T807" s="143"/>
      <c r="U807" s="143"/>
      <c r="V807" s="143"/>
      <c r="W807" s="143"/>
      <c r="X807" s="143"/>
      <c r="Y807" s="143"/>
      <c r="Z807" s="143"/>
      <c r="AA807" s="156"/>
      <c r="AB807" s="156"/>
      <c r="AC807" s="156"/>
      <c r="AD807" s="156"/>
      <c r="AE807" s="156"/>
    </row>
    <row r="808">
      <c r="A808" s="156"/>
      <c r="B808" s="156"/>
      <c r="C808" s="156"/>
      <c r="D808" s="154"/>
      <c r="E808" s="156"/>
      <c r="F808" s="143"/>
      <c r="G808" s="143"/>
      <c r="H808" s="143"/>
      <c r="I808" s="143"/>
      <c r="J808" s="143"/>
      <c r="K808" s="143"/>
      <c r="L808" s="143"/>
      <c r="M808" s="143"/>
      <c r="N808" s="143"/>
      <c r="O808" s="143"/>
      <c r="P808" s="143"/>
      <c r="Q808" s="143"/>
      <c r="R808" s="143"/>
      <c r="S808" s="143"/>
      <c r="T808" s="143"/>
      <c r="U808" s="143"/>
      <c r="V808" s="143"/>
      <c r="W808" s="143"/>
      <c r="X808" s="143"/>
      <c r="Y808" s="143"/>
      <c r="Z808" s="143"/>
      <c r="AA808" s="156"/>
      <c r="AB808" s="156"/>
      <c r="AC808" s="156"/>
      <c r="AD808" s="156"/>
      <c r="AE808" s="156"/>
    </row>
    <row r="809">
      <c r="A809" s="156"/>
      <c r="B809" s="156"/>
      <c r="C809" s="156"/>
      <c r="D809" s="154"/>
      <c r="E809" s="156"/>
      <c r="F809" s="143"/>
      <c r="G809" s="143"/>
      <c r="H809" s="143"/>
      <c r="I809" s="143"/>
      <c r="J809" s="143"/>
      <c r="K809" s="143"/>
      <c r="L809" s="143"/>
      <c r="M809" s="143"/>
      <c r="N809" s="143"/>
      <c r="O809" s="143"/>
      <c r="P809" s="143"/>
      <c r="Q809" s="143"/>
      <c r="R809" s="143"/>
      <c r="S809" s="143"/>
      <c r="T809" s="143"/>
      <c r="U809" s="143"/>
      <c r="V809" s="143"/>
      <c r="W809" s="143"/>
      <c r="X809" s="143"/>
      <c r="Y809" s="143"/>
      <c r="Z809" s="143"/>
      <c r="AA809" s="156"/>
      <c r="AB809" s="156"/>
      <c r="AC809" s="156"/>
      <c r="AD809" s="156"/>
      <c r="AE809" s="156"/>
    </row>
    <row r="810">
      <c r="A810" s="156"/>
      <c r="B810" s="156"/>
      <c r="C810" s="156"/>
      <c r="D810" s="154"/>
      <c r="E810" s="156"/>
      <c r="F810" s="143"/>
      <c r="G810" s="143"/>
      <c r="H810" s="143"/>
      <c r="I810" s="143"/>
      <c r="J810" s="143"/>
      <c r="K810" s="143"/>
      <c r="L810" s="143"/>
      <c r="M810" s="143"/>
      <c r="N810" s="143"/>
      <c r="O810" s="143"/>
      <c r="P810" s="143"/>
      <c r="Q810" s="143"/>
      <c r="R810" s="143"/>
      <c r="S810" s="143"/>
      <c r="T810" s="143"/>
      <c r="U810" s="143"/>
      <c r="V810" s="143"/>
      <c r="W810" s="143"/>
      <c r="X810" s="143"/>
      <c r="Y810" s="143"/>
      <c r="Z810" s="143"/>
      <c r="AA810" s="156"/>
      <c r="AB810" s="156"/>
      <c r="AC810" s="156"/>
      <c r="AD810" s="156"/>
      <c r="AE810" s="156"/>
    </row>
    <row r="811">
      <c r="A811" s="156"/>
      <c r="B811" s="156"/>
      <c r="C811" s="156"/>
      <c r="D811" s="154"/>
      <c r="E811" s="156"/>
      <c r="F811" s="143"/>
      <c r="G811" s="143"/>
      <c r="H811" s="143"/>
      <c r="I811" s="143"/>
      <c r="J811" s="143"/>
      <c r="K811" s="143"/>
      <c r="L811" s="143"/>
      <c r="M811" s="143"/>
      <c r="N811" s="143"/>
      <c r="O811" s="143"/>
      <c r="P811" s="143"/>
      <c r="Q811" s="143"/>
      <c r="R811" s="143"/>
      <c r="S811" s="143"/>
      <c r="T811" s="143"/>
      <c r="U811" s="143"/>
      <c r="V811" s="143"/>
      <c r="W811" s="143"/>
      <c r="X811" s="143"/>
      <c r="Y811" s="143"/>
      <c r="Z811" s="143"/>
      <c r="AA811" s="156"/>
      <c r="AB811" s="156"/>
      <c r="AC811" s="156"/>
      <c r="AD811" s="156"/>
      <c r="AE811" s="156"/>
    </row>
    <row r="812">
      <c r="A812" s="156"/>
      <c r="B812" s="156"/>
      <c r="C812" s="156"/>
      <c r="D812" s="154"/>
      <c r="E812" s="156"/>
      <c r="F812" s="143"/>
      <c r="G812" s="143"/>
      <c r="H812" s="143"/>
      <c r="I812" s="143"/>
      <c r="J812" s="143"/>
      <c r="K812" s="143"/>
      <c r="L812" s="143"/>
      <c r="M812" s="143"/>
      <c r="N812" s="143"/>
      <c r="O812" s="143"/>
      <c r="P812" s="143"/>
      <c r="Q812" s="143"/>
      <c r="R812" s="143"/>
      <c r="S812" s="143"/>
      <c r="T812" s="143"/>
      <c r="U812" s="143"/>
      <c r="V812" s="143"/>
      <c r="W812" s="143"/>
      <c r="X812" s="143"/>
      <c r="Y812" s="143"/>
      <c r="Z812" s="143"/>
      <c r="AA812" s="156"/>
      <c r="AB812" s="156"/>
      <c r="AC812" s="156"/>
      <c r="AD812" s="156"/>
      <c r="AE812" s="156"/>
    </row>
    <row r="813">
      <c r="A813" s="156"/>
      <c r="B813" s="156"/>
      <c r="C813" s="156"/>
      <c r="D813" s="154"/>
      <c r="E813" s="156"/>
      <c r="F813" s="143"/>
      <c r="G813" s="143"/>
      <c r="H813" s="143"/>
      <c r="I813" s="143"/>
      <c r="J813" s="143"/>
      <c r="K813" s="143"/>
      <c r="L813" s="143"/>
      <c r="M813" s="143"/>
      <c r="N813" s="143"/>
      <c r="O813" s="143"/>
      <c r="P813" s="143"/>
      <c r="Q813" s="143"/>
      <c r="R813" s="143"/>
      <c r="S813" s="143"/>
      <c r="T813" s="143"/>
      <c r="U813" s="143"/>
      <c r="V813" s="143"/>
      <c r="W813" s="143"/>
      <c r="X813" s="143"/>
      <c r="Y813" s="143"/>
      <c r="Z813" s="143"/>
      <c r="AA813" s="156"/>
      <c r="AB813" s="156"/>
      <c r="AC813" s="156"/>
      <c r="AD813" s="156"/>
      <c r="AE813" s="156"/>
    </row>
    <row r="814">
      <c r="A814" s="156"/>
      <c r="B814" s="156"/>
      <c r="C814" s="156"/>
      <c r="D814" s="154"/>
      <c r="E814" s="156"/>
      <c r="F814" s="143"/>
      <c r="G814" s="143"/>
      <c r="H814" s="143"/>
      <c r="I814" s="143"/>
      <c r="J814" s="143"/>
      <c r="K814" s="143"/>
      <c r="L814" s="143"/>
      <c r="M814" s="143"/>
      <c r="N814" s="143"/>
      <c r="O814" s="143"/>
      <c r="P814" s="143"/>
      <c r="Q814" s="143"/>
      <c r="R814" s="143"/>
      <c r="S814" s="143"/>
      <c r="T814" s="143"/>
      <c r="U814" s="143"/>
      <c r="V814" s="143"/>
      <c r="W814" s="143"/>
      <c r="X814" s="143"/>
      <c r="Y814" s="143"/>
      <c r="Z814" s="143"/>
      <c r="AA814" s="156"/>
      <c r="AB814" s="156"/>
      <c r="AC814" s="156"/>
      <c r="AD814" s="156"/>
      <c r="AE814" s="156"/>
    </row>
    <row r="815">
      <c r="A815" s="156"/>
      <c r="B815" s="156"/>
      <c r="C815" s="156"/>
      <c r="D815" s="154"/>
      <c r="E815" s="156"/>
      <c r="F815" s="143"/>
      <c r="G815" s="143"/>
      <c r="H815" s="143"/>
      <c r="I815" s="143"/>
      <c r="J815" s="143"/>
      <c r="K815" s="143"/>
      <c r="L815" s="143"/>
      <c r="M815" s="143"/>
      <c r="N815" s="143"/>
      <c r="O815" s="143"/>
      <c r="P815" s="143"/>
      <c r="Q815" s="143"/>
      <c r="R815" s="143"/>
      <c r="S815" s="143"/>
      <c r="T815" s="143"/>
      <c r="U815" s="143"/>
      <c r="V815" s="143"/>
      <c r="W815" s="143"/>
      <c r="X815" s="143"/>
      <c r="Y815" s="143"/>
      <c r="Z815" s="143"/>
      <c r="AA815" s="156"/>
      <c r="AB815" s="156"/>
      <c r="AC815" s="156"/>
      <c r="AD815" s="156"/>
      <c r="AE815" s="156"/>
    </row>
    <row r="816">
      <c r="A816" s="156"/>
      <c r="B816" s="156"/>
      <c r="C816" s="156"/>
      <c r="D816" s="154"/>
      <c r="E816" s="156"/>
      <c r="F816" s="143"/>
      <c r="G816" s="143"/>
      <c r="H816" s="143"/>
      <c r="I816" s="143"/>
      <c r="J816" s="143"/>
      <c r="K816" s="143"/>
      <c r="L816" s="143"/>
      <c r="M816" s="143"/>
      <c r="N816" s="143"/>
      <c r="O816" s="143"/>
      <c r="P816" s="143"/>
      <c r="Q816" s="143"/>
      <c r="R816" s="143"/>
      <c r="S816" s="143"/>
      <c r="T816" s="143"/>
      <c r="U816" s="143"/>
      <c r="V816" s="143"/>
      <c r="W816" s="143"/>
      <c r="X816" s="143"/>
      <c r="Y816" s="143"/>
      <c r="Z816" s="143"/>
      <c r="AA816" s="156"/>
      <c r="AB816" s="156"/>
      <c r="AC816" s="156"/>
      <c r="AD816" s="156"/>
      <c r="AE816" s="156"/>
    </row>
    <row r="817">
      <c r="A817" s="156"/>
      <c r="B817" s="156"/>
      <c r="C817" s="156"/>
      <c r="D817" s="154"/>
      <c r="E817" s="156"/>
      <c r="F817" s="143"/>
      <c r="G817" s="143"/>
      <c r="H817" s="143"/>
      <c r="I817" s="143"/>
      <c r="J817" s="143"/>
      <c r="K817" s="143"/>
      <c r="L817" s="143"/>
      <c r="M817" s="143"/>
      <c r="N817" s="143"/>
      <c r="O817" s="143"/>
      <c r="P817" s="143"/>
      <c r="Q817" s="143"/>
      <c r="R817" s="143"/>
      <c r="S817" s="143"/>
      <c r="T817" s="143"/>
      <c r="U817" s="143"/>
      <c r="V817" s="143"/>
      <c r="W817" s="143"/>
      <c r="X817" s="143"/>
      <c r="Y817" s="143"/>
      <c r="Z817" s="143"/>
      <c r="AA817" s="156"/>
      <c r="AB817" s="156"/>
      <c r="AC817" s="156"/>
      <c r="AD817" s="156"/>
      <c r="AE817" s="156"/>
    </row>
    <row r="818">
      <c r="A818" s="156"/>
      <c r="B818" s="156"/>
      <c r="C818" s="156"/>
      <c r="D818" s="154"/>
      <c r="E818" s="156"/>
      <c r="F818" s="143"/>
      <c r="G818" s="143"/>
      <c r="H818" s="143"/>
      <c r="I818" s="143"/>
      <c r="J818" s="143"/>
      <c r="K818" s="143"/>
      <c r="L818" s="143"/>
      <c r="M818" s="143"/>
      <c r="N818" s="143"/>
      <c r="O818" s="143"/>
      <c r="P818" s="143"/>
      <c r="Q818" s="143"/>
      <c r="R818" s="143"/>
      <c r="S818" s="143"/>
      <c r="T818" s="143"/>
      <c r="U818" s="143"/>
      <c r="V818" s="143"/>
      <c r="W818" s="143"/>
      <c r="X818" s="143"/>
      <c r="Y818" s="143"/>
      <c r="Z818" s="143"/>
      <c r="AA818" s="156"/>
      <c r="AB818" s="156"/>
      <c r="AC818" s="156"/>
      <c r="AD818" s="156"/>
      <c r="AE818" s="156"/>
    </row>
    <row r="819">
      <c r="A819" s="156"/>
      <c r="B819" s="156"/>
      <c r="C819" s="156"/>
      <c r="D819" s="154"/>
      <c r="E819" s="156"/>
      <c r="F819" s="143"/>
      <c r="G819" s="143"/>
      <c r="H819" s="143"/>
      <c r="I819" s="143"/>
      <c r="J819" s="143"/>
      <c r="K819" s="143"/>
      <c r="L819" s="143"/>
      <c r="M819" s="143"/>
      <c r="N819" s="143"/>
      <c r="O819" s="143"/>
      <c r="P819" s="143"/>
      <c r="Q819" s="143"/>
      <c r="R819" s="143"/>
      <c r="S819" s="143"/>
      <c r="T819" s="143"/>
      <c r="U819" s="143"/>
      <c r="V819" s="143"/>
      <c r="W819" s="143"/>
      <c r="X819" s="143"/>
      <c r="Y819" s="143"/>
      <c r="Z819" s="143"/>
      <c r="AA819" s="156"/>
      <c r="AB819" s="156"/>
      <c r="AC819" s="156"/>
      <c r="AD819" s="156"/>
      <c r="AE819" s="156"/>
    </row>
    <row r="820">
      <c r="A820" s="156"/>
      <c r="B820" s="156"/>
      <c r="C820" s="156"/>
      <c r="D820" s="154"/>
      <c r="E820" s="156"/>
      <c r="F820" s="143"/>
      <c r="G820" s="143"/>
      <c r="H820" s="143"/>
      <c r="I820" s="143"/>
      <c r="J820" s="143"/>
      <c r="K820" s="143"/>
      <c r="L820" s="143"/>
      <c r="M820" s="143"/>
      <c r="N820" s="143"/>
      <c r="O820" s="143"/>
      <c r="P820" s="143"/>
      <c r="Q820" s="143"/>
      <c r="R820" s="143"/>
      <c r="S820" s="143"/>
      <c r="T820" s="143"/>
      <c r="U820" s="143"/>
      <c r="V820" s="143"/>
      <c r="W820" s="143"/>
      <c r="X820" s="143"/>
      <c r="Y820" s="143"/>
      <c r="Z820" s="143"/>
      <c r="AA820" s="156"/>
      <c r="AB820" s="156"/>
      <c r="AC820" s="156"/>
      <c r="AD820" s="156"/>
      <c r="AE820" s="156"/>
    </row>
    <row r="821">
      <c r="A821" s="156"/>
      <c r="B821" s="156"/>
      <c r="C821" s="156"/>
      <c r="D821" s="154"/>
      <c r="E821" s="156"/>
      <c r="F821" s="143"/>
      <c r="G821" s="143"/>
      <c r="H821" s="143"/>
      <c r="I821" s="143"/>
      <c r="J821" s="143"/>
      <c r="K821" s="143"/>
      <c r="L821" s="143"/>
      <c r="M821" s="143"/>
      <c r="N821" s="143"/>
      <c r="O821" s="143"/>
      <c r="P821" s="143"/>
      <c r="Q821" s="143"/>
      <c r="R821" s="143"/>
      <c r="S821" s="143"/>
      <c r="T821" s="143"/>
      <c r="U821" s="143"/>
      <c r="V821" s="143"/>
      <c r="W821" s="143"/>
      <c r="X821" s="143"/>
      <c r="Y821" s="143"/>
      <c r="Z821" s="143"/>
      <c r="AA821" s="156"/>
      <c r="AB821" s="156"/>
      <c r="AC821" s="156"/>
      <c r="AD821" s="156"/>
      <c r="AE821" s="156"/>
    </row>
    <row r="822">
      <c r="A822" s="156"/>
      <c r="B822" s="156"/>
      <c r="C822" s="156"/>
      <c r="D822" s="154"/>
      <c r="E822" s="156"/>
      <c r="F822" s="143"/>
      <c r="G822" s="143"/>
      <c r="H822" s="143"/>
      <c r="I822" s="143"/>
      <c r="J822" s="143"/>
      <c r="K822" s="143"/>
      <c r="L822" s="143"/>
      <c r="M822" s="143"/>
      <c r="N822" s="143"/>
      <c r="O822" s="143"/>
      <c r="P822" s="143"/>
      <c r="Q822" s="143"/>
      <c r="R822" s="143"/>
      <c r="S822" s="143"/>
      <c r="T822" s="143"/>
      <c r="U822" s="143"/>
      <c r="V822" s="143"/>
      <c r="W822" s="143"/>
      <c r="X822" s="143"/>
      <c r="Y822" s="143"/>
      <c r="Z822" s="143"/>
      <c r="AA822" s="156"/>
      <c r="AB822" s="156"/>
      <c r="AC822" s="156"/>
      <c r="AD822" s="156"/>
      <c r="AE822" s="156"/>
    </row>
    <row r="823">
      <c r="A823" s="156"/>
      <c r="B823" s="156"/>
      <c r="C823" s="156"/>
      <c r="D823" s="154"/>
      <c r="E823" s="156"/>
      <c r="F823" s="143"/>
      <c r="G823" s="143"/>
      <c r="H823" s="143"/>
      <c r="I823" s="143"/>
      <c r="J823" s="143"/>
      <c r="K823" s="143"/>
      <c r="L823" s="143"/>
      <c r="M823" s="143"/>
      <c r="N823" s="143"/>
      <c r="O823" s="143"/>
      <c r="P823" s="143"/>
      <c r="Q823" s="143"/>
      <c r="R823" s="143"/>
      <c r="S823" s="143"/>
      <c r="T823" s="143"/>
      <c r="U823" s="143"/>
      <c r="V823" s="143"/>
      <c r="W823" s="143"/>
      <c r="X823" s="143"/>
      <c r="Y823" s="143"/>
      <c r="Z823" s="143"/>
      <c r="AA823" s="156"/>
      <c r="AB823" s="156"/>
      <c r="AC823" s="156"/>
      <c r="AD823" s="156"/>
      <c r="AE823" s="156"/>
    </row>
    <row r="824">
      <c r="A824" s="156"/>
      <c r="B824" s="156"/>
      <c r="C824" s="156"/>
      <c r="D824" s="154"/>
      <c r="E824" s="156"/>
      <c r="F824" s="143"/>
      <c r="G824" s="143"/>
      <c r="H824" s="143"/>
      <c r="I824" s="143"/>
      <c r="J824" s="143"/>
      <c r="K824" s="143"/>
      <c r="L824" s="143"/>
      <c r="M824" s="143"/>
      <c r="N824" s="143"/>
      <c r="O824" s="143"/>
      <c r="P824" s="143"/>
      <c r="Q824" s="143"/>
      <c r="R824" s="143"/>
      <c r="S824" s="143"/>
      <c r="T824" s="143"/>
      <c r="U824" s="143"/>
      <c r="V824" s="143"/>
      <c r="W824" s="143"/>
      <c r="X824" s="143"/>
      <c r="Y824" s="143"/>
      <c r="Z824" s="143"/>
      <c r="AA824" s="156"/>
      <c r="AB824" s="156"/>
      <c r="AC824" s="156"/>
      <c r="AD824" s="156"/>
      <c r="AE824" s="156"/>
    </row>
    <row r="825">
      <c r="A825" s="156"/>
      <c r="B825" s="156"/>
      <c r="C825" s="156"/>
      <c r="D825" s="154"/>
      <c r="E825" s="156"/>
      <c r="F825" s="143"/>
      <c r="G825" s="143"/>
      <c r="H825" s="143"/>
      <c r="I825" s="143"/>
      <c r="J825" s="143"/>
      <c r="K825" s="143"/>
      <c r="L825" s="143"/>
      <c r="M825" s="143"/>
      <c r="N825" s="143"/>
      <c r="O825" s="143"/>
      <c r="P825" s="143"/>
      <c r="Q825" s="143"/>
      <c r="R825" s="143"/>
      <c r="S825" s="143"/>
      <c r="T825" s="143"/>
      <c r="U825" s="143"/>
      <c r="V825" s="143"/>
      <c r="W825" s="143"/>
      <c r="X825" s="143"/>
      <c r="Y825" s="143"/>
      <c r="Z825" s="143"/>
      <c r="AA825" s="156"/>
      <c r="AB825" s="156"/>
      <c r="AC825" s="156"/>
      <c r="AD825" s="156"/>
      <c r="AE825" s="156"/>
    </row>
    <row r="826">
      <c r="A826" s="156"/>
      <c r="B826" s="156"/>
      <c r="C826" s="156"/>
      <c r="D826" s="154"/>
      <c r="E826" s="156"/>
      <c r="F826" s="143"/>
      <c r="G826" s="143"/>
      <c r="H826" s="143"/>
      <c r="I826" s="143"/>
      <c r="J826" s="143"/>
      <c r="K826" s="143"/>
      <c r="L826" s="143"/>
      <c r="M826" s="143"/>
      <c r="N826" s="143"/>
      <c r="O826" s="143"/>
      <c r="P826" s="143"/>
      <c r="Q826" s="143"/>
      <c r="R826" s="143"/>
      <c r="S826" s="143"/>
      <c r="T826" s="143"/>
      <c r="U826" s="143"/>
      <c r="V826" s="143"/>
      <c r="W826" s="143"/>
      <c r="X826" s="143"/>
      <c r="Y826" s="143"/>
      <c r="Z826" s="143"/>
      <c r="AA826" s="156"/>
      <c r="AB826" s="156"/>
      <c r="AC826" s="156"/>
      <c r="AD826" s="156"/>
      <c r="AE826" s="156"/>
    </row>
    <row r="827">
      <c r="A827" s="156"/>
      <c r="B827" s="156"/>
      <c r="C827" s="156"/>
      <c r="D827" s="154"/>
      <c r="E827" s="156"/>
      <c r="F827" s="143"/>
      <c r="G827" s="143"/>
      <c r="H827" s="143"/>
      <c r="I827" s="143"/>
      <c r="J827" s="143"/>
      <c r="K827" s="143"/>
      <c r="L827" s="143"/>
      <c r="M827" s="143"/>
      <c r="N827" s="143"/>
      <c r="O827" s="143"/>
      <c r="P827" s="143"/>
      <c r="Q827" s="143"/>
      <c r="R827" s="143"/>
      <c r="S827" s="143"/>
      <c r="T827" s="143"/>
      <c r="U827" s="143"/>
      <c r="V827" s="143"/>
      <c r="W827" s="143"/>
      <c r="X827" s="143"/>
      <c r="Y827" s="143"/>
      <c r="Z827" s="143"/>
      <c r="AA827" s="156"/>
      <c r="AB827" s="156"/>
      <c r="AC827" s="156"/>
      <c r="AD827" s="156"/>
      <c r="AE827" s="156"/>
    </row>
    <row r="828">
      <c r="A828" s="156"/>
      <c r="B828" s="156"/>
      <c r="C828" s="156"/>
      <c r="D828" s="154"/>
      <c r="E828" s="156"/>
      <c r="F828" s="143"/>
      <c r="G828" s="143"/>
      <c r="H828" s="143"/>
      <c r="I828" s="143"/>
      <c r="J828" s="143"/>
      <c r="K828" s="143"/>
      <c r="L828" s="143"/>
      <c r="M828" s="143"/>
      <c r="N828" s="143"/>
      <c r="O828" s="143"/>
      <c r="P828" s="143"/>
      <c r="Q828" s="143"/>
      <c r="R828" s="143"/>
      <c r="S828" s="143"/>
      <c r="T828" s="143"/>
      <c r="U828" s="143"/>
      <c r="V828" s="143"/>
      <c r="W828" s="143"/>
      <c r="X828" s="143"/>
      <c r="Y828" s="143"/>
      <c r="Z828" s="143"/>
      <c r="AA828" s="156"/>
      <c r="AB828" s="156"/>
      <c r="AC828" s="156"/>
      <c r="AD828" s="156"/>
      <c r="AE828" s="156"/>
    </row>
    <row r="829">
      <c r="A829" s="156"/>
      <c r="B829" s="156"/>
      <c r="C829" s="156"/>
      <c r="D829" s="154"/>
      <c r="E829" s="156"/>
      <c r="F829" s="143"/>
      <c r="G829" s="143"/>
      <c r="H829" s="143"/>
      <c r="I829" s="143"/>
      <c r="J829" s="143"/>
      <c r="K829" s="143"/>
      <c r="L829" s="143"/>
      <c r="M829" s="143"/>
      <c r="N829" s="143"/>
      <c r="O829" s="143"/>
      <c r="P829" s="143"/>
      <c r="Q829" s="143"/>
      <c r="R829" s="143"/>
      <c r="S829" s="143"/>
      <c r="T829" s="143"/>
      <c r="U829" s="143"/>
      <c r="V829" s="143"/>
      <c r="W829" s="143"/>
      <c r="X829" s="143"/>
      <c r="Y829" s="143"/>
      <c r="Z829" s="143"/>
      <c r="AA829" s="156"/>
      <c r="AB829" s="156"/>
      <c r="AC829" s="156"/>
      <c r="AD829" s="156"/>
      <c r="AE829" s="156"/>
    </row>
    <row r="830">
      <c r="A830" s="156"/>
      <c r="B830" s="156"/>
      <c r="C830" s="156"/>
      <c r="D830" s="154"/>
      <c r="E830" s="156"/>
      <c r="F830" s="143"/>
      <c r="G830" s="143"/>
      <c r="H830" s="143"/>
      <c r="I830" s="143"/>
      <c r="J830" s="143"/>
      <c r="K830" s="143"/>
      <c r="L830" s="143"/>
      <c r="M830" s="143"/>
      <c r="N830" s="143"/>
      <c r="O830" s="143"/>
      <c r="P830" s="143"/>
      <c r="Q830" s="143"/>
      <c r="R830" s="143"/>
      <c r="S830" s="143"/>
      <c r="T830" s="143"/>
      <c r="U830" s="143"/>
      <c r="V830" s="143"/>
      <c r="W830" s="143"/>
      <c r="X830" s="143"/>
      <c r="Y830" s="143"/>
      <c r="Z830" s="143"/>
      <c r="AA830" s="156"/>
      <c r="AB830" s="156"/>
      <c r="AC830" s="156"/>
      <c r="AD830" s="156"/>
      <c r="AE830" s="156"/>
    </row>
    <row r="831">
      <c r="A831" s="156"/>
      <c r="B831" s="156"/>
      <c r="C831" s="156"/>
      <c r="D831" s="154"/>
      <c r="E831" s="156"/>
      <c r="F831" s="143"/>
      <c r="G831" s="143"/>
      <c r="H831" s="143"/>
      <c r="I831" s="143"/>
      <c r="J831" s="143"/>
      <c r="K831" s="143"/>
      <c r="L831" s="143"/>
      <c r="M831" s="143"/>
      <c r="N831" s="143"/>
      <c r="O831" s="143"/>
      <c r="P831" s="143"/>
      <c r="Q831" s="143"/>
      <c r="R831" s="143"/>
      <c r="S831" s="143"/>
      <c r="T831" s="143"/>
      <c r="U831" s="143"/>
      <c r="V831" s="143"/>
      <c r="W831" s="143"/>
      <c r="X831" s="143"/>
      <c r="Y831" s="143"/>
      <c r="Z831" s="143"/>
      <c r="AA831" s="156"/>
      <c r="AB831" s="156"/>
      <c r="AC831" s="156"/>
      <c r="AD831" s="156"/>
      <c r="AE831" s="156"/>
    </row>
    <row r="832">
      <c r="A832" s="156"/>
      <c r="B832" s="156"/>
      <c r="C832" s="156"/>
      <c r="D832" s="154"/>
      <c r="E832" s="156"/>
      <c r="F832" s="143"/>
      <c r="G832" s="143"/>
      <c r="H832" s="143"/>
      <c r="I832" s="143"/>
      <c r="J832" s="143"/>
      <c r="K832" s="143"/>
      <c r="L832" s="143"/>
      <c r="M832" s="143"/>
      <c r="N832" s="143"/>
      <c r="O832" s="143"/>
      <c r="P832" s="143"/>
      <c r="Q832" s="143"/>
      <c r="R832" s="143"/>
      <c r="S832" s="143"/>
      <c r="T832" s="143"/>
      <c r="U832" s="143"/>
      <c r="V832" s="143"/>
      <c r="W832" s="143"/>
      <c r="X832" s="143"/>
      <c r="Y832" s="143"/>
      <c r="Z832" s="143"/>
      <c r="AA832" s="156"/>
      <c r="AB832" s="156"/>
      <c r="AC832" s="156"/>
      <c r="AD832" s="156"/>
      <c r="AE832" s="156"/>
    </row>
    <row r="833">
      <c r="A833" s="156"/>
      <c r="B833" s="156"/>
      <c r="C833" s="156"/>
      <c r="D833" s="154"/>
      <c r="E833" s="156"/>
      <c r="F833" s="143"/>
      <c r="G833" s="143"/>
      <c r="H833" s="143"/>
      <c r="I833" s="143"/>
      <c r="J833" s="143"/>
      <c r="K833" s="143"/>
      <c r="L833" s="143"/>
      <c r="M833" s="143"/>
      <c r="N833" s="143"/>
      <c r="O833" s="143"/>
      <c r="P833" s="143"/>
      <c r="Q833" s="143"/>
      <c r="R833" s="143"/>
      <c r="S833" s="143"/>
      <c r="T833" s="143"/>
      <c r="U833" s="143"/>
      <c r="V833" s="143"/>
      <c r="W833" s="143"/>
      <c r="X833" s="143"/>
      <c r="Y833" s="143"/>
      <c r="Z833" s="143"/>
      <c r="AA833" s="156"/>
      <c r="AB833" s="156"/>
      <c r="AC833" s="156"/>
      <c r="AD833" s="156"/>
      <c r="AE833" s="156"/>
    </row>
    <row r="834">
      <c r="A834" s="156"/>
      <c r="B834" s="156"/>
      <c r="C834" s="156"/>
      <c r="D834" s="154"/>
      <c r="E834" s="156"/>
      <c r="F834" s="143"/>
      <c r="G834" s="143"/>
      <c r="H834" s="143"/>
      <c r="I834" s="143"/>
      <c r="J834" s="143"/>
      <c r="K834" s="143"/>
      <c r="L834" s="143"/>
      <c r="M834" s="143"/>
      <c r="N834" s="143"/>
      <c r="O834" s="143"/>
      <c r="P834" s="143"/>
      <c r="Q834" s="143"/>
      <c r="R834" s="143"/>
      <c r="S834" s="143"/>
      <c r="T834" s="143"/>
      <c r="U834" s="143"/>
      <c r="V834" s="143"/>
      <c r="W834" s="143"/>
      <c r="X834" s="143"/>
      <c r="Y834" s="143"/>
      <c r="Z834" s="143"/>
      <c r="AA834" s="156"/>
      <c r="AB834" s="156"/>
      <c r="AC834" s="156"/>
      <c r="AD834" s="156"/>
      <c r="AE834" s="156"/>
    </row>
    <row r="835">
      <c r="A835" s="156"/>
      <c r="B835" s="156"/>
      <c r="C835" s="156"/>
      <c r="D835" s="154"/>
      <c r="E835" s="156"/>
      <c r="F835" s="143"/>
      <c r="G835" s="143"/>
      <c r="H835" s="143"/>
      <c r="I835" s="143"/>
      <c r="J835" s="143"/>
      <c r="K835" s="143"/>
      <c r="L835" s="143"/>
      <c r="M835" s="143"/>
      <c r="N835" s="143"/>
      <c r="O835" s="143"/>
      <c r="P835" s="143"/>
      <c r="Q835" s="143"/>
      <c r="R835" s="143"/>
      <c r="S835" s="143"/>
      <c r="T835" s="143"/>
      <c r="U835" s="143"/>
      <c r="V835" s="143"/>
      <c r="W835" s="143"/>
      <c r="X835" s="143"/>
      <c r="Y835" s="143"/>
      <c r="Z835" s="143"/>
      <c r="AA835" s="156"/>
      <c r="AB835" s="156"/>
      <c r="AC835" s="156"/>
      <c r="AD835" s="156"/>
      <c r="AE835" s="156"/>
    </row>
    <row r="836">
      <c r="A836" s="156"/>
      <c r="B836" s="156"/>
      <c r="C836" s="156"/>
      <c r="D836" s="154"/>
      <c r="E836" s="156"/>
      <c r="F836" s="143"/>
      <c r="G836" s="143"/>
      <c r="H836" s="143"/>
      <c r="I836" s="143"/>
      <c r="J836" s="143"/>
      <c r="K836" s="143"/>
      <c r="L836" s="143"/>
      <c r="M836" s="143"/>
      <c r="N836" s="143"/>
      <c r="O836" s="143"/>
      <c r="P836" s="143"/>
      <c r="Q836" s="143"/>
      <c r="R836" s="143"/>
      <c r="S836" s="143"/>
      <c r="T836" s="143"/>
      <c r="U836" s="143"/>
      <c r="V836" s="143"/>
      <c r="W836" s="143"/>
      <c r="X836" s="143"/>
      <c r="Y836" s="143"/>
      <c r="Z836" s="143"/>
      <c r="AA836" s="156"/>
      <c r="AB836" s="156"/>
      <c r="AC836" s="156"/>
      <c r="AD836" s="156"/>
      <c r="AE836" s="156"/>
    </row>
    <row r="837">
      <c r="A837" s="156"/>
      <c r="B837" s="156"/>
      <c r="C837" s="156"/>
      <c r="D837" s="154"/>
      <c r="E837" s="156"/>
      <c r="F837" s="143"/>
      <c r="G837" s="143"/>
      <c r="H837" s="143"/>
      <c r="I837" s="143"/>
      <c r="J837" s="143"/>
      <c r="K837" s="143"/>
      <c r="L837" s="143"/>
      <c r="M837" s="143"/>
      <c r="N837" s="143"/>
      <c r="O837" s="143"/>
      <c r="P837" s="143"/>
      <c r="Q837" s="143"/>
      <c r="R837" s="143"/>
      <c r="S837" s="143"/>
      <c r="T837" s="143"/>
      <c r="U837" s="143"/>
      <c r="V837" s="143"/>
      <c r="W837" s="143"/>
      <c r="X837" s="143"/>
      <c r="Y837" s="143"/>
      <c r="Z837" s="143"/>
      <c r="AA837" s="156"/>
      <c r="AB837" s="156"/>
      <c r="AC837" s="156"/>
      <c r="AD837" s="156"/>
      <c r="AE837" s="156"/>
    </row>
    <row r="838">
      <c r="A838" s="156"/>
      <c r="B838" s="156"/>
      <c r="C838" s="156"/>
      <c r="D838" s="154"/>
      <c r="E838" s="156"/>
      <c r="F838" s="143"/>
      <c r="G838" s="143"/>
      <c r="H838" s="143"/>
      <c r="I838" s="143"/>
      <c r="J838" s="143"/>
      <c r="K838" s="143"/>
      <c r="L838" s="143"/>
      <c r="M838" s="143"/>
      <c r="N838" s="143"/>
      <c r="O838" s="143"/>
      <c r="P838" s="143"/>
      <c r="Q838" s="143"/>
      <c r="R838" s="143"/>
      <c r="S838" s="143"/>
      <c r="T838" s="143"/>
      <c r="U838" s="143"/>
      <c r="V838" s="143"/>
      <c r="W838" s="143"/>
      <c r="X838" s="143"/>
      <c r="Y838" s="143"/>
      <c r="Z838" s="143"/>
      <c r="AA838" s="156"/>
      <c r="AB838" s="156"/>
      <c r="AC838" s="156"/>
      <c r="AD838" s="156"/>
      <c r="AE838" s="156"/>
    </row>
    <row r="839">
      <c r="A839" s="156"/>
      <c r="B839" s="156"/>
      <c r="C839" s="156"/>
      <c r="D839" s="154"/>
      <c r="E839" s="156"/>
      <c r="F839" s="143"/>
      <c r="G839" s="143"/>
      <c r="H839" s="143"/>
      <c r="I839" s="143"/>
      <c r="J839" s="143"/>
      <c r="K839" s="143"/>
      <c r="L839" s="143"/>
      <c r="M839" s="143"/>
      <c r="N839" s="143"/>
      <c r="O839" s="143"/>
      <c r="P839" s="143"/>
      <c r="Q839" s="143"/>
      <c r="R839" s="143"/>
      <c r="S839" s="143"/>
      <c r="T839" s="143"/>
      <c r="U839" s="143"/>
      <c r="V839" s="143"/>
      <c r="W839" s="143"/>
      <c r="X839" s="143"/>
      <c r="Y839" s="143"/>
      <c r="Z839" s="143"/>
      <c r="AA839" s="156"/>
      <c r="AB839" s="156"/>
      <c r="AC839" s="156"/>
      <c r="AD839" s="156"/>
      <c r="AE839" s="156"/>
    </row>
    <row r="840">
      <c r="A840" s="156"/>
      <c r="B840" s="156"/>
      <c r="C840" s="156"/>
      <c r="D840" s="154"/>
      <c r="E840" s="156"/>
      <c r="F840" s="143"/>
      <c r="G840" s="143"/>
      <c r="H840" s="143"/>
      <c r="I840" s="143"/>
      <c r="J840" s="143"/>
      <c r="K840" s="143"/>
      <c r="L840" s="143"/>
      <c r="M840" s="143"/>
      <c r="N840" s="143"/>
      <c r="O840" s="143"/>
      <c r="P840" s="143"/>
      <c r="Q840" s="143"/>
      <c r="R840" s="143"/>
      <c r="S840" s="143"/>
      <c r="T840" s="143"/>
      <c r="U840" s="143"/>
      <c r="V840" s="143"/>
      <c r="W840" s="143"/>
      <c r="X840" s="143"/>
      <c r="Y840" s="143"/>
      <c r="Z840" s="143"/>
      <c r="AA840" s="156"/>
      <c r="AB840" s="156"/>
      <c r="AC840" s="156"/>
      <c r="AD840" s="156"/>
      <c r="AE840" s="156"/>
    </row>
    <row r="841">
      <c r="A841" s="156"/>
      <c r="B841" s="156"/>
      <c r="C841" s="156"/>
      <c r="D841" s="154"/>
      <c r="E841" s="156"/>
      <c r="F841" s="143"/>
      <c r="G841" s="143"/>
      <c r="H841" s="143"/>
      <c r="I841" s="143"/>
      <c r="J841" s="143"/>
      <c r="K841" s="143"/>
      <c r="L841" s="143"/>
      <c r="M841" s="143"/>
      <c r="N841" s="143"/>
      <c r="O841" s="143"/>
      <c r="P841" s="143"/>
      <c r="Q841" s="143"/>
      <c r="R841" s="143"/>
      <c r="S841" s="143"/>
      <c r="T841" s="143"/>
      <c r="U841" s="143"/>
      <c r="V841" s="143"/>
      <c r="W841" s="143"/>
      <c r="X841" s="143"/>
      <c r="Y841" s="143"/>
      <c r="Z841" s="143"/>
      <c r="AA841" s="156"/>
      <c r="AB841" s="156"/>
      <c r="AC841" s="156"/>
      <c r="AD841" s="156"/>
      <c r="AE841" s="156"/>
    </row>
    <row r="842">
      <c r="A842" s="156"/>
      <c r="B842" s="156"/>
      <c r="C842" s="156"/>
      <c r="D842" s="154"/>
      <c r="E842" s="156"/>
      <c r="F842" s="143"/>
      <c r="G842" s="143"/>
      <c r="H842" s="143"/>
      <c r="I842" s="143"/>
      <c r="J842" s="143"/>
      <c r="K842" s="143"/>
      <c r="L842" s="143"/>
      <c r="M842" s="143"/>
      <c r="N842" s="143"/>
      <c r="O842" s="143"/>
      <c r="P842" s="143"/>
      <c r="Q842" s="143"/>
      <c r="R842" s="143"/>
      <c r="S842" s="143"/>
      <c r="T842" s="143"/>
      <c r="U842" s="143"/>
      <c r="V842" s="143"/>
      <c r="W842" s="143"/>
      <c r="X842" s="143"/>
      <c r="Y842" s="143"/>
      <c r="Z842" s="143"/>
      <c r="AA842" s="156"/>
      <c r="AB842" s="156"/>
      <c r="AC842" s="156"/>
      <c r="AD842" s="156"/>
      <c r="AE842" s="156"/>
    </row>
    <row r="843">
      <c r="A843" s="156"/>
      <c r="B843" s="156"/>
      <c r="C843" s="156"/>
      <c r="D843" s="154"/>
      <c r="E843" s="156"/>
      <c r="F843" s="143"/>
      <c r="G843" s="143"/>
      <c r="H843" s="143"/>
      <c r="I843" s="143"/>
      <c r="J843" s="143"/>
      <c r="K843" s="143"/>
      <c r="L843" s="143"/>
      <c r="M843" s="143"/>
      <c r="N843" s="143"/>
      <c r="O843" s="143"/>
      <c r="P843" s="143"/>
      <c r="Q843" s="143"/>
      <c r="R843" s="143"/>
      <c r="S843" s="143"/>
      <c r="T843" s="143"/>
      <c r="U843" s="143"/>
      <c r="V843" s="143"/>
      <c r="W843" s="143"/>
      <c r="X843" s="143"/>
      <c r="Y843" s="143"/>
      <c r="Z843" s="143"/>
      <c r="AA843" s="156"/>
      <c r="AB843" s="156"/>
      <c r="AC843" s="156"/>
      <c r="AD843" s="156"/>
      <c r="AE843" s="156"/>
    </row>
    <row r="844">
      <c r="A844" s="156"/>
      <c r="B844" s="156"/>
      <c r="C844" s="156"/>
      <c r="D844" s="154"/>
      <c r="E844" s="156"/>
      <c r="F844" s="143"/>
      <c r="G844" s="143"/>
      <c r="H844" s="143"/>
      <c r="I844" s="143"/>
      <c r="J844" s="143"/>
      <c r="K844" s="143"/>
      <c r="L844" s="143"/>
      <c r="M844" s="143"/>
      <c r="N844" s="143"/>
      <c r="O844" s="143"/>
      <c r="P844" s="143"/>
      <c r="Q844" s="143"/>
      <c r="R844" s="143"/>
      <c r="S844" s="143"/>
      <c r="T844" s="143"/>
      <c r="U844" s="143"/>
      <c r="V844" s="143"/>
      <c r="W844" s="143"/>
      <c r="X844" s="143"/>
      <c r="Y844" s="143"/>
      <c r="Z844" s="143"/>
      <c r="AA844" s="156"/>
      <c r="AB844" s="156"/>
      <c r="AC844" s="156"/>
      <c r="AD844" s="156"/>
      <c r="AE844" s="156"/>
    </row>
    <row r="845">
      <c r="A845" s="156"/>
      <c r="B845" s="156"/>
      <c r="C845" s="156"/>
      <c r="D845" s="154"/>
      <c r="E845" s="156"/>
      <c r="F845" s="143"/>
      <c r="G845" s="143"/>
      <c r="H845" s="143"/>
      <c r="I845" s="143"/>
      <c r="J845" s="143"/>
      <c r="K845" s="143"/>
      <c r="L845" s="143"/>
      <c r="M845" s="143"/>
      <c r="N845" s="143"/>
      <c r="O845" s="143"/>
      <c r="P845" s="143"/>
      <c r="Q845" s="143"/>
      <c r="R845" s="143"/>
      <c r="S845" s="143"/>
      <c r="T845" s="143"/>
      <c r="U845" s="143"/>
      <c r="V845" s="143"/>
      <c r="W845" s="143"/>
      <c r="X845" s="143"/>
      <c r="Y845" s="143"/>
      <c r="Z845" s="143"/>
      <c r="AA845" s="156"/>
      <c r="AB845" s="156"/>
      <c r="AC845" s="156"/>
      <c r="AD845" s="156"/>
      <c r="AE845" s="156"/>
    </row>
    <row r="846">
      <c r="A846" s="156"/>
      <c r="B846" s="156"/>
      <c r="C846" s="156"/>
      <c r="D846" s="154"/>
      <c r="E846" s="156"/>
      <c r="F846" s="143"/>
      <c r="G846" s="143"/>
      <c r="H846" s="143"/>
      <c r="I846" s="143"/>
      <c r="J846" s="143"/>
      <c r="K846" s="143"/>
      <c r="L846" s="143"/>
      <c r="M846" s="143"/>
      <c r="N846" s="143"/>
      <c r="O846" s="143"/>
      <c r="P846" s="143"/>
      <c r="Q846" s="143"/>
      <c r="R846" s="143"/>
      <c r="S846" s="143"/>
      <c r="T846" s="143"/>
      <c r="U846" s="143"/>
      <c r="V846" s="143"/>
      <c r="W846" s="143"/>
      <c r="X846" s="143"/>
      <c r="Y846" s="143"/>
      <c r="Z846" s="143"/>
      <c r="AA846" s="156"/>
      <c r="AB846" s="156"/>
      <c r="AC846" s="156"/>
      <c r="AD846" s="156"/>
      <c r="AE846" s="156"/>
    </row>
    <row r="847">
      <c r="A847" s="156"/>
      <c r="B847" s="156"/>
      <c r="C847" s="156"/>
      <c r="D847" s="154"/>
      <c r="E847" s="156"/>
      <c r="F847" s="143"/>
      <c r="G847" s="143"/>
      <c r="H847" s="143"/>
      <c r="I847" s="143"/>
      <c r="J847" s="143"/>
      <c r="K847" s="143"/>
      <c r="L847" s="143"/>
      <c r="M847" s="143"/>
      <c r="N847" s="143"/>
      <c r="O847" s="143"/>
      <c r="P847" s="143"/>
      <c r="Q847" s="143"/>
      <c r="R847" s="143"/>
      <c r="S847" s="143"/>
      <c r="T847" s="143"/>
      <c r="U847" s="143"/>
      <c r="V847" s="143"/>
      <c r="W847" s="143"/>
      <c r="X847" s="143"/>
      <c r="Y847" s="143"/>
      <c r="Z847" s="143"/>
      <c r="AA847" s="156"/>
      <c r="AB847" s="156"/>
      <c r="AC847" s="156"/>
      <c r="AD847" s="156"/>
      <c r="AE847" s="156"/>
    </row>
    <row r="848">
      <c r="A848" s="156"/>
      <c r="B848" s="156"/>
      <c r="C848" s="156"/>
      <c r="D848" s="154"/>
      <c r="E848" s="156"/>
      <c r="F848" s="143"/>
      <c r="G848" s="143"/>
      <c r="H848" s="143"/>
      <c r="I848" s="143"/>
      <c r="J848" s="143"/>
      <c r="K848" s="143"/>
      <c r="L848" s="143"/>
      <c r="M848" s="143"/>
      <c r="N848" s="143"/>
      <c r="O848" s="143"/>
      <c r="P848" s="143"/>
      <c r="Q848" s="143"/>
      <c r="R848" s="143"/>
      <c r="S848" s="143"/>
      <c r="T848" s="143"/>
      <c r="U848" s="143"/>
      <c r="V848" s="143"/>
      <c r="W848" s="143"/>
      <c r="X848" s="143"/>
      <c r="Y848" s="143"/>
      <c r="Z848" s="143"/>
      <c r="AA848" s="156"/>
      <c r="AB848" s="156"/>
      <c r="AC848" s="156"/>
      <c r="AD848" s="156"/>
      <c r="AE848" s="156"/>
    </row>
    <row r="849">
      <c r="A849" s="156"/>
      <c r="B849" s="156"/>
      <c r="C849" s="156"/>
      <c r="D849" s="154"/>
      <c r="E849" s="156"/>
      <c r="F849" s="143"/>
      <c r="G849" s="143"/>
      <c r="H849" s="143"/>
      <c r="I849" s="143"/>
      <c r="J849" s="143"/>
      <c r="K849" s="143"/>
      <c r="L849" s="143"/>
      <c r="M849" s="143"/>
      <c r="N849" s="143"/>
      <c r="O849" s="143"/>
      <c r="P849" s="143"/>
      <c r="Q849" s="143"/>
      <c r="R849" s="143"/>
      <c r="S849" s="143"/>
      <c r="T849" s="143"/>
      <c r="U849" s="143"/>
      <c r="V849" s="143"/>
      <c r="W849" s="143"/>
      <c r="X849" s="143"/>
      <c r="Y849" s="143"/>
      <c r="Z849" s="143"/>
      <c r="AA849" s="156"/>
      <c r="AB849" s="156"/>
      <c r="AC849" s="156"/>
      <c r="AD849" s="156"/>
      <c r="AE849" s="156"/>
    </row>
    <row r="850">
      <c r="A850" s="156"/>
      <c r="B850" s="156"/>
      <c r="C850" s="156"/>
      <c r="D850" s="154"/>
      <c r="E850" s="156"/>
      <c r="F850" s="143"/>
      <c r="G850" s="143"/>
      <c r="H850" s="143"/>
      <c r="I850" s="143"/>
      <c r="J850" s="143"/>
      <c r="K850" s="143"/>
      <c r="L850" s="143"/>
      <c r="M850" s="143"/>
      <c r="N850" s="143"/>
      <c r="O850" s="143"/>
      <c r="P850" s="143"/>
      <c r="Q850" s="143"/>
      <c r="R850" s="143"/>
      <c r="S850" s="143"/>
      <c r="T850" s="143"/>
      <c r="U850" s="143"/>
      <c r="V850" s="143"/>
      <c r="W850" s="143"/>
      <c r="X850" s="143"/>
      <c r="Y850" s="143"/>
      <c r="Z850" s="143"/>
      <c r="AA850" s="156"/>
      <c r="AB850" s="156"/>
      <c r="AC850" s="156"/>
      <c r="AD850" s="156"/>
      <c r="AE850" s="156"/>
    </row>
    <row r="851">
      <c r="A851" s="156"/>
      <c r="B851" s="156"/>
      <c r="C851" s="156"/>
      <c r="D851" s="154"/>
      <c r="E851" s="156"/>
      <c r="F851" s="143"/>
      <c r="G851" s="143"/>
      <c r="H851" s="143"/>
      <c r="I851" s="143"/>
      <c r="J851" s="143"/>
      <c r="K851" s="143"/>
      <c r="L851" s="143"/>
      <c r="M851" s="143"/>
      <c r="N851" s="143"/>
      <c r="O851" s="143"/>
      <c r="P851" s="143"/>
      <c r="Q851" s="143"/>
      <c r="R851" s="143"/>
      <c r="S851" s="143"/>
      <c r="T851" s="143"/>
      <c r="U851" s="143"/>
      <c r="V851" s="143"/>
      <c r="W851" s="143"/>
      <c r="X851" s="143"/>
      <c r="Y851" s="143"/>
      <c r="Z851" s="143"/>
      <c r="AA851" s="156"/>
      <c r="AB851" s="156"/>
      <c r="AC851" s="156"/>
      <c r="AD851" s="156"/>
      <c r="AE851" s="156"/>
    </row>
    <row r="852">
      <c r="A852" s="156"/>
      <c r="B852" s="156"/>
      <c r="C852" s="156"/>
      <c r="D852" s="154"/>
      <c r="E852" s="156"/>
      <c r="F852" s="143"/>
      <c r="G852" s="143"/>
      <c r="H852" s="143"/>
      <c r="I852" s="143"/>
      <c r="J852" s="143"/>
      <c r="K852" s="143"/>
      <c r="L852" s="143"/>
      <c r="M852" s="143"/>
      <c r="N852" s="143"/>
      <c r="O852" s="143"/>
      <c r="P852" s="143"/>
      <c r="Q852" s="143"/>
      <c r="R852" s="143"/>
      <c r="S852" s="143"/>
      <c r="T852" s="143"/>
      <c r="U852" s="143"/>
      <c r="V852" s="143"/>
      <c r="W852" s="143"/>
      <c r="X852" s="143"/>
      <c r="Y852" s="143"/>
      <c r="Z852" s="143"/>
      <c r="AA852" s="156"/>
      <c r="AB852" s="156"/>
      <c r="AC852" s="156"/>
      <c r="AD852" s="156"/>
      <c r="AE852" s="156"/>
    </row>
    <row r="853">
      <c r="A853" s="156"/>
      <c r="B853" s="156"/>
      <c r="C853" s="156"/>
      <c r="D853" s="154"/>
      <c r="E853" s="156"/>
      <c r="F853" s="143"/>
      <c r="G853" s="143"/>
      <c r="H853" s="143"/>
      <c r="I853" s="143"/>
      <c r="J853" s="143"/>
      <c r="K853" s="143"/>
      <c r="L853" s="143"/>
      <c r="M853" s="143"/>
      <c r="N853" s="143"/>
      <c r="O853" s="143"/>
      <c r="P853" s="143"/>
      <c r="Q853" s="143"/>
      <c r="R853" s="143"/>
      <c r="S853" s="143"/>
      <c r="T853" s="143"/>
      <c r="U853" s="143"/>
      <c r="V853" s="143"/>
      <c r="W853" s="143"/>
      <c r="X853" s="143"/>
      <c r="Y853" s="143"/>
      <c r="Z853" s="143"/>
      <c r="AA853" s="156"/>
      <c r="AB853" s="156"/>
      <c r="AC853" s="156"/>
      <c r="AD853" s="156"/>
      <c r="AE853" s="156"/>
    </row>
    <row r="854">
      <c r="A854" s="156"/>
      <c r="B854" s="156"/>
      <c r="C854" s="156"/>
      <c r="D854" s="154"/>
      <c r="E854" s="156"/>
      <c r="F854" s="143"/>
      <c r="G854" s="143"/>
      <c r="H854" s="143"/>
      <c r="I854" s="143"/>
      <c r="J854" s="143"/>
      <c r="K854" s="143"/>
      <c r="L854" s="143"/>
      <c r="M854" s="143"/>
      <c r="N854" s="143"/>
      <c r="O854" s="143"/>
      <c r="P854" s="143"/>
      <c r="Q854" s="143"/>
      <c r="R854" s="143"/>
      <c r="S854" s="143"/>
      <c r="T854" s="143"/>
      <c r="U854" s="143"/>
      <c r="V854" s="143"/>
      <c r="W854" s="143"/>
      <c r="X854" s="143"/>
      <c r="Y854" s="143"/>
      <c r="Z854" s="143"/>
      <c r="AA854" s="156"/>
      <c r="AB854" s="156"/>
      <c r="AC854" s="156"/>
      <c r="AD854" s="156"/>
      <c r="AE854" s="156"/>
    </row>
    <row r="855">
      <c r="A855" s="156"/>
      <c r="B855" s="156"/>
      <c r="C855" s="156"/>
      <c r="D855" s="154"/>
      <c r="E855" s="156"/>
      <c r="F855" s="143"/>
      <c r="G855" s="143"/>
      <c r="H855" s="143"/>
      <c r="I855" s="143"/>
      <c r="J855" s="143"/>
      <c r="K855" s="143"/>
      <c r="L855" s="143"/>
      <c r="M855" s="143"/>
      <c r="N855" s="143"/>
      <c r="O855" s="143"/>
      <c r="P855" s="143"/>
      <c r="Q855" s="143"/>
      <c r="R855" s="143"/>
      <c r="S855" s="143"/>
      <c r="T855" s="143"/>
      <c r="U855" s="143"/>
      <c r="V855" s="143"/>
      <c r="W855" s="143"/>
      <c r="X855" s="143"/>
      <c r="Y855" s="143"/>
      <c r="Z855" s="143"/>
      <c r="AA855" s="156"/>
      <c r="AB855" s="156"/>
      <c r="AC855" s="156"/>
      <c r="AD855" s="156"/>
      <c r="AE855" s="156"/>
    </row>
    <row r="856">
      <c r="A856" s="156"/>
      <c r="B856" s="156"/>
      <c r="C856" s="156"/>
      <c r="D856" s="154"/>
      <c r="E856" s="156"/>
      <c r="F856" s="143"/>
      <c r="G856" s="143"/>
      <c r="H856" s="143"/>
      <c r="I856" s="143"/>
      <c r="J856" s="143"/>
      <c r="K856" s="143"/>
      <c r="L856" s="143"/>
      <c r="M856" s="143"/>
      <c r="N856" s="143"/>
      <c r="O856" s="143"/>
      <c r="P856" s="143"/>
      <c r="Q856" s="143"/>
      <c r="R856" s="143"/>
      <c r="S856" s="143"/>
      <c r="T856" s="143"/>
      <c r="U856" s="143"/>
      <c r="V856" s="143"/>
      <c r="W856" s="143"/>
      <c r="X856" s="143"/>
      <c r="Y856" s="143"/>
      <c r="Z856" s="143"/>
      <c r="AA856" s="156"/>
      <c r="AB856" s="156"/>
      <c r="AC856" s="156"/>
      <c r="AD856" s="156"/>
      <c r="AE856" s="156"/>
    </row>
    <row r="857">
      <c r="A857" s="156"/>
      <c r="B857" s="156"/>
      <c r="C857" s="156"/>
      <c r="D857" s="154"/>
      <c r="E857" s="156"/>
      <c r="F857" s="143"/>
      <c r="G857" s="143"/>
      <c r="H857" s="143"/>
      <c r="I857" s="143"/>
      <c r="J857" s="143"/>
      <c r="K857" s="143"/>
      <c r="L857" s="143"/>
      <c r="M857" s="143"/>
      <c r="N857" s="143"/>
      <c r="O857" s="143"/>
      <c r="P857" s="143"/>
      <c r="Q857" s="143"/>
      <c r="R857" s="143"/>
      <c r="S857" s="143"/>
      <c r="T857" s="143"/>
      <c r="U857" s="143"/>
      <c r="V857" s="143"/>
      <c r="W857" s="143"/>
      <c r="X857" s="143"/>
      <c r="Y857" s="143"/>
      <c r="Z857" s="143"/>
      <c r="AA857" s="156"/>
      <c r="AB857" s="156"/>
      <c r="AC857" s="156"/>
      <c r="AD857" s="156"/>
      <c r="AE857" s="156"/>
    </row>
    <row r="858">
      <c r="A858" s="156"/>
      <c r="B858" s="156"/>
      <c r="C858" s="156"/>
      <c r="D858" s="154"/>
      <c r="E858" s="156"/>
      <c r="F858" s="143"/>
      <c r="G858" s="143"/>
      <c r="H858" s="143"/>
      <c r="I858" s="143"/>
      <c r="J858" s="143"/>
      <c r="K858" s="143"/>
      <c r="L858" s="143"/>
      <c r="M858" s="143"/>
      <c r="N858" s="143"/>
      <c r="O858" s="143"/>
      <c r="P858" s="143"/>
      <c r="Q858" s="143"/>
      <c r="R858" s="143"/>
      <c r="S858" s="143"/>
      <c r="T858" s="143"/>
      <c r="U858" s="143"/>
      <c r="V858" s="143"/>
      <c r="W858" s="143"/>
      <c r="X858" s="143"/>
      <c r="Y858" s="143"/>
      <c r="Z858" s="143"/>
      <c r="AA858" s="156"/>
      <c r="AB858" s="156"/>
      <c r="AC858" s="156"/>
      <c r="AD858" s="156"/>
      <c r="AE858" s="156"/>
    </row>
    <row r="859">
      <c r="A859" s="156"/>
      <c r="B859" s="156"/>
      <c r="C859" s="156"/>
      <c r="D859" s="154"/>
      <c r="E859" s="156"/>
      <c r="F859" s="143"/>
      <c r="G859" s="143"/>
      <c r="H859" s="143"/>
      <c r="I859" s="143"/>
      <c r="J859" s="143"/>
      <c r="K859" s="143"/>
      <c r="L859" s="143"/>
      <c r="M859" s="143"/>
      <c r="N859" s="143"/>
      <c r="O859" s="143"/>
      <c r="P859" s="143"/>
      <c r="Q859" s="143"/>
      <c r="R859" s="143"/>
      <c r="S859" s="143"/>
      <c r="T859" s="143"/>
      <c r="U859" s="143"/>
      <c r="V859" s="143"/>
      <c r="W859" s="143"/>
      <c r="X859" s="143"/>
      <c r="Y859" s="143"/>
      <c r="Z859" s="143"/>
      <c r="AA859" s="156"/>
      <c r="AB859" s="156"/>
      <c r="AC859" s="156"/>
      <c r="AD859" s="156"/>
      <c r="AE859" s="156"/>
    </row>
    <row r="860">
      <c r="A860" s="156"/>
      <c r="B860" s="156"/>
      <c r="C860" s="156"/>
      <c r="D860" s="154"/>
      <c r="E860" s="156"/>
      <c r="F860" s="143"/>
      <c r="G860" s="143"/>
      <c r="H860" s="143"/>
      <c r="I860" s="143"/>
      <c r="J860" s="143"/>
      <c r="K860" s="143"/>
      <c r="L860" s="143"/>
      <c r="M860" s="143"/>
      <c r="N860" s="143"/>
      <c r="O860" s="143"/>
      <c r="P860" s="143"/>
      <c r="Q860" s="143"/>
      <c r="R860" s="143"/>
      <c r="S860" s="143"/>
      <c r="T860" s="143"/>
      <c r="U860" s="143"/>
      <c r="V860" s="143"/>
      <c r="W860" s="143"/>
      <c r="X860" s="143"/>
      <c r="Y860" s="143"/>
      <c r="Z860" s="143"/>
      <c r="AA860" s="156"/>
      <c r="AB860" s="156"/>
      <c r="AC860" s="156"/>
      <c r="AD860" s="156"/>
      <c r="AE860" s="156"/>
    </row>
    <row r="861">
      <c r="A861" s="156"/>
      <c r="B861" s="156"/>
      <c r="C861" s="156"/>
      <c r="D861" s="154"/>
      <c r="E861" s="156"/>
      <c r="F861" s="143"/>
      <c r="G861" s="143"/>
      <c r="H861" s="143"/>
      <c r="I861" s="143"/>
      <c r="J861" s="143"/>
      <c r="K861" s="143"/>
      <c r="L861" s="143"/>
      <c r="M861" s="143"/>
      <c r="N861" s="143"/>
      <c r="O861" s="143"/>
      <c r="P861" s="143"/>
      <c r="Q861" s="143"/>
      <c r="R861" s="143"/>
      <c r="S861" s="143"/>
      <c r="T861" s="143"/>
      <c r="U861" s="143"/>
      <c r="V861" s="143"/>
      <c r="W861" s="143"/>
      <c r="X861" s="143"/>
      <c r="Y861" s="143"/>
      <c r="Z861" s="143"/>
      <c r="AA861" s="156"/>
      <c r="AB861" s="156"/>
      <c r="AC861" s="156"/>
      <c r="AD861" s="156"/>
      <c r="AE861" s="156"/>
    </row>
    <row r="862">
      <c r="A862" s="156"/>
      <c r="B862" s="156"/>
      <c r="C862" s="156"/>
      <c r="D862" s="154"/>
      <c r="E862" s="156"/>
      <c r="F862" s="143"/>
      <c r="G862" s="143"/>
      <c r="H862" s="143"/>
      <c r="I862" s="143"/>
      <c r="J862" s="143"/>
      <c r="K862" s="143"/>
      <c r="L862" s="143"/>
      <c r="M862" s="143"/>
      <c r="N862" s="143"/>
      <c r="O862" s="143"/>
      <c r="P862" s="143"/>
      <c r="Q862" s="143"/>
      <c r="R862" s="143"/>
      <c r="S862" s="143"/>
      <c r="T862" s="143"/>
      <c r="U862" s="143"/>
      <c r="V862" s="143"/>
      <c r="W862" s="143"/>
      <c r="X862" s="143"/>
      <c r="Y862" s="143"/>
      <c r="Z862" s="143"/>
      <c r="AA862" s="156"/>
      <c r="AB862" s="156"/>
      <c r="AC862" s="156"/>
      <c r="AD862" s="156"/>
      <c r="AE862" s="156"/>
    </row>
    <row r="863">
      <c r="A863" s="156"/>
      <c r="B863" s="156"/>
      <c r="C863" s="156"/>
      <c r="D863" s="154"/>
      <c r="E863" s="156"/>
      <c r="F863" s="143"/>
      <c r="G863" s="143"/>
      <c r="H863" s="143"/>
      <c r="I863" s="143"/>
      <c r="J863" s="143"/>
      <c r="K863" s="143"/>
      <c r="L863" s="143"/>
      <c r="M863" s="143"/>
      <c r="N863" s="143"/>
      <c r="O863" s="143"/>
      <c r="P863" s="143"/>
      <c r="Q863" s="143"/>
      <c r="R863" s="143"/>
      <c r="S863" s="143"/>
      <c r="T863" s="143"/>
      <c r="U863" s="143"/>
      <c r="V863" s="143"/>
      <c r="W863" s="143"/>
      <c r="X863" s="143"/>
      <c r="Y863" s="143"/>
      <c r="Z863" s="143"/>
      <c r="AA863" s="156"/>
      <c r="AB863" s="156"/>
      <c r="AC863" s="156"/>
      <c r="AD863" s="156"/>
      <c r="AE863" s="156"/>
    </row>
    <row r="864">
      <c r="A864" s="156"/>
      <c r="B864" s="156"/>
      <c r="C864" s="156"/>
      <c r="D864" s="154"/>
      <c r="E864" s="156"/>
      <c r="F864" s="143"/>
      <c r="G864" s="143"/>
      <c r="H864" s="143"/>
      <c r="I864" s="143"/>
      <c r="J864" s="143"/>
      <c r="K864" s="143"/>
      <c r="L864" s="143"/>
      <c r="M864" s="143"/>
      <c r="N864" s="143"/>
      <c r="O864" s="143"/>
      <c r="P864" s="143"/>
      <c r="Q864" s="143"/>
      <c r="R864" s="143"/>
      <c r="S864" s="143"/>
      <c r="T864" s="143"/>
      <c r="U864" s="143"/>
      <c r="V864" s="143"/>
      <c r="W864" s="143"/>
      <c r="X864" s="143"/>
      <c r="Y864" s="143"/>
      <c r="Z864" s="143"/>
      <c r="AA864" s="156"/>
      <c r="AB864" s="156"/>
      <c r="AC864" s="156"/>
      <c r="AD864" s="156"/>
      <c r="AE864" s="156"/>
    </row>
    <row r="865">
      <c r="A865" s="156"/>
      <c r="B865" s="156"/>
      <c r="C865" s="156"/>
      <c r="D865" s="154"/>
      <c r="E865" s="156"/>
      <c r="F865" s="143"/>
      <c r="G865" s="143"/>
      <c r="H865" s="143"/>
      <c r="I865" s="143"/>
      <c r="J865" s="143"/>
      <c r="K865" s="143"/>
      <c r="L865" s="143"/>
      <c r="M865" s="143"/>
      <c r="N865" s="143"/>
      <c r="O865" s="143"/>
      <c r="P865" s="143"/>
      <c r="Q865" s="143"/>
      <c r="R865" s="143"/>
      <c r="S865" s="143"/>
      <c r="T865" s="143"/>
      <c r="U865" s="143"/>
      <c r="V865" s="143"/>
      <c r="W865" s="143"/>
      <c r="X865" s="143"/>
      <c r="Y865" s="143"/>
      <c r="Z865" s="143"/>
      <c r="AA865" s="156"/>
      <c r="AB865" s="156"/>
      <c r="AC865" s="156"/>
      <c r="AD865" s="156"/>
      <c r="AE865" s="156"/>
    </row>
    <row r="866">
      <c r="A866" s="156"/>
      <c r="B866" s="156"/>
      <c r="C866" s="156"/>
      <c r="D866" s="154"/>
      <c r="E866" s="156"/>
      <c r="F866" s="143"/>
      <c r="G866" s="143"/>
      <c r="H866" s="143"/>
      <c r="I866" s="143"/>
      <c r="J866" s="143"/>
      <c r="K866" s="143"/>
      <c r="L866" s="143"/>
      <c r="M866" s="143"/>
      <c r="N866" s="143"/>
      <c r="O866" s="143"/>
      <c r="P866" s="143"/>
      <c r="Q866" s="143"/>
      <c r="R866" s="143"/>
      <c r="S866" s="143"/>
      <c r="T866" s="143"/>
      <c r="U866" s="143"/>
      <c r="V866" s="143"/>
      <c r="W866" s="143"/>
      <c r="X866" s="143"/>
      <c r="Y866" s="143"/>
      <c r="Z866" s="143"/>
      <c r="AA866" s="156"/>
      <c r="AB866" s="156"/>
      <c r="AC866" s="156"/>
      <c r="AD866" s="156"/>
      <c r="AE866" s="156"/>
    </row>
    <row r="867">
      <c r="A867" s="156"/>
      <c r="B867" s="156"/>
      <c r="C867" s="156"/>
      <c r="D867" s="154"/>
      <c r="E867" s="156"/>
      <c r="F867" s="143"/>
      <c r="G867" s="143"/>
      <c r="H867" s="143"/>
      <c r="I867" s="143"/>
      <c r="J867" s="143"/>
      <c r="K867" s="143"/>
      <c r="L867" s="143"/>
      <c r="M867" s="143"/>
      <c r="N867" s="143"/>
      <c r="O867" s="143"/>
      <c r="P867" s="143"/>
      <c r="Q867" s="143"/>
      <c r="R867" s="143"/>
      <c r="S867" s="143"/>
      <c r="T867" s="143"/>
      <c r="U867" s="143"/>
      <c r="V867" s="143"/>
      <c r="W867" s="143"/>
      <c r="X867" s="143"/>
      <c r="Y867" s="143"/>
      <c r="Z867" s="143"/>
      <c r="AA867" s="156"/>
      <c r="AB867" s="156"/>
      <c r="AC867" s="156"/>
      <c r="AD867" s="156"/>
      <c r="AE867" s="156"/>
    </row>
    <row r="868">
      <c r="A868" s="156"/>
      <c r="B868" s="156"/>
      <c r="C868" s="156"/>
      <c r="D868" s="154"/>
      <c r="E868" s="156"/>
      <c r="F868" s="143"/>
      <c r="G868" s="143"/>
      <c r="H868" s="143"/>
      <c r="I868" s="143"/>
      <c r="J868" s="143"/>
      <c r="K868" s="143"/>
      <c r="L868" s="143"/>
      <c r="M868" s="143"/>
      <c r="N868" s="143"/>
      <c r="O868" s="143"/>
      <c r="P868" s="143"/>
      <c r="Q868" s="143"/>
      <c r="R868" s="143"/>
      <c r="S868" s="143"/>
      <c r="T868" s="143"/>
      <c r="U868" s="143"/>
      <c r="V868" s="143"/>
      <c r="W868" s="143"/>
      <c r="X868" s="143"/>
      <c r="Y868" s="143"/>
      <c r="Z868" s="143"/>
      <c r="AA868" s="156"/>
      <c r="AB868" s="156"/>
      <c r="AC868" s="156"/>
      <c r="AD868" s="156"/>
      <c r="AE868" s="156"/>
    </row>
    <row r="869">
      <c r="A869" s="156"/>
      <c r="B869" s="156"/>
      <c r="C869" s="156"/>
      <c r="D869" s="154"/>
      <c r="E869" s="156"/>
      <c r="F869" s="143"/>
      <c r="G869" s="143"/>
      <c r="H869" s="143"/>
      <c r="I869" s="143"/>
      <c r="J869" s="143"/>
      <c r="K869" s="143"/>
      <c r="L869" s="143"/>
      <c r="M869" s="143"/>
      <c r="N869" s="143"/>
      <c r="O869" s="143"/>
      <c r="P869" s="143"/>
      <c r="Q869" s="143"/>
      <c r="R869" s="143"/>
      <c r="S869" s="143"/>
      <c r="T869" s="143"/>
      <c r="U869" s="143"/>
      <c r="V869" s="143"/>
      <c r="W869" s="143"/>
      <c r="X869" s="143"/>
      <c r="Y869" s="143"/>
      <c r="Z869" s="143"/>
      <c r="AA869" s="156"/>
      <c r="AB869" s="156"/>
      <c r="AC869" s="156"/>
      <c r="AD869" s="156"/>
      <c r="AE869" s="156"/>
    </row>
    <row r="870">
      <c r="A870" s="156"/>
      <c r="B870" s="156"/>
      <c r="C870" s="156"/>
      <c r="D870" s="154"/>
      <c r="E870" s="156"/>
      <c r="F870" s="143"/>
      <c r="G870" s="143"/>
      <c r="H870" s="143"/>
      <c r="I870" s="143"/>
      <c r="J870" s="143"/>
      <c r="K870" s="143"/>
      <c r="L870" s="143"/>
      <c r="M870" s="143"/>
      <c r="N870" s="143"/>
      <c r="O870" s="143"/>
      <c r="P870" s="143"/>
      <c r="Q870" s="143"/>
      <c r="R870" s="143"/>
      <c r="S870" s="143"/>
      <c r="T870" s="143"/>
      <c r="U870" s="143"/>
      <c r="V870" s="143"/>
      <c r="W870" s="143"/>
      <c r="X870" s="143"/>
      <c r="Y870" s="143"/>
      <c r="Z870" s="143"/>
      <c r="AA870" s="156"/>
      <c r="AB870" s="156"/>
      <c r="AC870" s="156"/>
      <c r="AD870" s="156"/>
      <c r="AE870" s="156"/>
    </row>
    <row r="871">
      <c r="A871" s="156"/>
      <c r="B871" s="156"/>
      <c r="C871" s="156"/>
      <c r="D871" s="154"/>
      <c r="E871" s="156"/>
      <c r="F871" s="143"/>
      <c r="G871" s="143"/>
      <c r="H871" s="143"/>
      <c r="I871" s="143"/>
      <c r="J871" s="143"/>
      <c r="K871" s="143"/>
      <c r="L871" s="143"/>
      <c r="M871" s="143"/>
      <c r="N871" s="143"/>
      <c r="O871" s="143"/>
      <c r="P871" s="143"/>
      <c r="Q871" s="143"/>
      <c r="R871" s="143"/>
      <c r="S871" s="143"/>
      <c r="T871" s="143"/>
      <c r="U871" s="143"/>
      <c r="V871" s="143"/>
      <c r="W871" s="143"/>
      <c r="X871" s="143"/>
      <c r="Y871" s="143"/>
      <c r="Z871" s="143"/>
      <c r="AA871" s="156"/>
      <c r="AB871" s="156"/>
      <c r="AC871" s="156"/>
      <c r="AD871" s="156"/>
      <c r="AE871" s="156"/>
    </row>
    <row r="872">
      <c r="A872" s="156"/>
      <c r="B872" s="156"/>
      <c r="C872" s="156"/>
      <c r="D872" s="154"/>
      <c r="E872" s="156"/>
      <c r="F872" s="143"/>
      <c r="G872" s="143"/>
      <c r="H872" s="143"/>
      <c r="I872" s="143"/>
      <c r="J872" s="143"/>
      <c r="K872" s="143"/>
      <c r="L872" s="143"/>
      <c r="M872" s="143"/>
      <c r="N872" s="143"/>
      <c r="O872" s="143"/>
      <c r="P872" s="143"/>
      <c r="Q872" s="143"/>
      <c r="R872" s="143"/>
      <c r="S872" s="143"/>
      <c r="T872" s="143"/>
      <c r="U872" s="143"/>
      <c r="V872" s="143"/>
      <c r="W872" s="143"/>
      <c r="X872" s="143"/>
      <c r="Y872" s="143"/>
      <c r="Z872" s="143"/>
      <c r="AA872" s="156"/>
      <c r="AB872" s="156"/>
      <c r="AC872" s="156"/>
      <c r="AD872" s="156"/>
      <c r="AE872" s="156"/>
    </row>
    <row r="873">
      <c r="A873" s="156"/>
      <c r="B873" s="156"/>
      <c r="C873" s="156"/>
      <c r="D873" s="154"/>
      <c r="E873" s="156"/>
      <c r="F873" s="143"/>
      <c r="G873" s="143"/>
      <c r="H873" s="143"/>
      <c r="I873" s="143"/>
      <c r="J873" s="143"/>
      <c r="K873" s="143"/>
      <c r="L873" s="143"/>
      <c r="M873" s="143"/>
      <c r="N873" s="143"/>
      <c r="O873" s="143"/>
      <c r="P873" s="143"/>
      <c r="Q873" s="143"/>
      <c r="R873" s="143"/>
      <c r="S873" s="143"/>
      <c r="T873" s="143"/>
      <c r="U873" s="143"/>
      <c r="V873" s="143"/>
      <c r="W873" s="143"/>
      <c r="X873" s="143"/>
      <c r="Y873" s="143"/>
      <c r="Z873" s="143"/>
      <c r="AA873" s="156"/>
      <c r="AB873" s="156"/>
      <c r="AC873" s="156"/>
      <c r="AD873" s="156"/>
      <c r="AE873" s="156"/>
    </row>
    <row r="874">
      <c r="A874" s="156"/>
      <c r="B874" s="156"/>
      <c r="C874" s="156"/>
      <c r="D874" s="154"/>
      <c r="E874" s="156"/>
      <c r="F874" s="143"/>
      <c r="G874" s="143"/>
      <c r="H874" s="143"/>
      <c r="I874" s="143"/>
      <c r="J874" s="143"/>
      <c r="K874" s="143"/>
      <c r="L874" s="143"/>
      <c r="M874" s="143"/>
      <c r="N874" s="143"/>
      <c r="O874" s="143"/>
      <c r="P874" s="143"/>
      <c r="Q874" s="143"/>
      <c r="R874" s="143"/>
      <c r="S874" s="143"/>
      <c r="T874" s="143"/>
      <c r="U874" s="143"/>
      <c r="V874" s="143"/>
      <c r="W874" s="143"/>
      <c r="X874" s="143"/>
      <c r="Y874" s="143"/>
      <c r="Z874" s="143"/>
      <c r="AA874" s="156"/>
      <c r="AB874" s="156"/>
      <c r="AC874" s="156"/>
      <c r="AD874" s="156"/>
      <c r="AE874" s="156"/>
    </row>
    <row r="875">
      <c r="A875" s="156"/>
      <c r="B875" s="156"/>
      <c r="C875" s="156"/>
      <c r="D875" s="154"/>
      <c r="E875" s="156"/>
      <c r="F875" s="143"/>
      <c r="G875" s="143"/>
      <c r="H875" s="143"/>
      <c r="I875" s="143"/>
      <c r="J875" s="143"/>
      <c r="K875" s="143"/>
      <c r="L875" s="143"/>
      <c r="M875" s="143"/>
      <c r="N875" s="143"/>
      <c r="O875" s="143"/>
      <c r="P875" s="143"/>
      <c r="Q875" s="143"/>
      <c r="R875" s="143"/>
      <c r="S875" s="143"/>
      <c r="T875" s="143"/>
      <c r="U875" s="143"/>
      <c r="V875" s="143"/>
      <c r="W875" s="143"/>
      <c r="X875" s="143"/>
      <c r="Y875" s="143"/>
      <c r="Z875" s="143"/>
      <c r="AA875" s="156"/>
      <c r="AB875" s="156"/>
      <c r="AC875" s="156"/>
      <c r="AD875" s="156"/>
      <c r="AE875" s="156"/>
    </row>
    <row r="876">
      <c r="A876" s="156"/>
      <c r="B876" s="156"/>
      <c r="C876" s="156"/>
      <c r="D876" s="154"/>
      <c r="E876" s="156"/>
      <c r="F876" s="143"/>
      <c r="G876" s="143"/>
      <c r="H876" s="143"/>
      <c r="I876" s="143"/>
      <c r="J876" s="143"/>
      <c r="K876" s="143"/>
      <c r="L876" s="143"/>
      <c r="M876" s="143"/>
      <c r="N876" s="143"/>
      <c r="O876" s="143"/>
      <c r="P876" s="143"/>
      <c r="Q876" s="143"/>
      <c r="R876" s="143"/>
      <c r="S876" s="143"/>
      <c r="T876" s="143"/>
      <c r="U876" s="143"/>
      <c r="V876" s="143"/>
      <c r="W876" s="143"/>
      <c r="X876" s="143"/>
      <c r="Y876" s="143"/>
      <c r="Z876" s="143"/>
      <c r="AA876" s="156"/>
      <c r="AB876" s="156"/>
      <c r="AC876" s="156"/>
      <c r="AD876" s="156"/>
      <c r="AE876" s="156"/>
    </row>
    <row r="877">
      <c r="A877" s="156"/>
      <c r="B877" s="156"/>
      <c r="C877" s="156"/>
      <c r="D877" s="154"/>
      <c r="E877" s="156"/>
      <c r="F877" s="143"/>
      <c r="G877" s="143"/>
      <c r="H877" s="143"/>
      <c r="I877" s="143"/>
      <c r="J877" s="143"/>
      <c r="K877" s="143"/>
      <c r="L877" s="143"/>
      <c r="M877" s="143"/>
      <c r="N877" s="143"/>
      <c r="O877" s="143"/>
      <c r="P877" s="143"/>
      <c r="Q877" s="143"/>
      <c r="R877" s="143"/>
      <c r="S877" s="143"/>
      <c r="T877" s="143"/>
      <c r="U877" s="143"/>
      <c r="V877" s="143"/>
      <c r="W877" s="143"/>
      <c r="X877" s="143"/>
      <c r="Y877" s="143"/>
      <c r="Z877" s="143"/>
      <c r="AA877" s="156"/>
      <c r="AB877" s="156"/>
      <c r="AC877" s="156"/>
      <c r="AD877" s="156"/>
      <c r="AE877" s="156"/>
    </row>
    <row r="878">
      <c r="A878" s="156"/>
      <c r="B878" s="156"/>
      <c r="C878" s="156"/>
      <c r="D878" s="154"/>
      <c r="E878" s="156"/>
      <c r="F878" s="143"/>
      <c r="G878" s="143"/>
      <c r="H878" s="143"/>
      <c r="I878" s="143"/>
      <c r="J878" s="143"/>
      <c r="K878" s="143"/>
      <c r="L878" s="143"/>
      <c r="M878" s="143"/>
      <c r="N878" s="143"/>
      <c r="O878" s="143"/>
      <c r="P878" s="143"/>
      <c r="Q878" s="143"/>
      <c r="R878" s="143"/>
      <c r="S878" s="143"/>
      <c r="T878" s="143"/>
      <c r="U878" s="143"/>
      <c r="V878" s="143"/>
      <c r="W878" s="143"/>
      <c r="X878" s="143"/>
      <c r="Y878" s="143"/>
      <c r="Z878" s="143"/>
      <c r="AA878" s="156"/>
      <c r="AB878" s="156"/>
      <c r="AC878" s="156"/>
      <c r="AD878" s="156"/>
      <c r="AE878" s="156"/>
    </row>
    <row r="879">
      <c r="A879" s="156"/>
      <c r="B879" s="156"/>
      <c r="C879" s="156"/>
      <c r="D879" s="154"/>
      <c r="E879" s="156"/>
      <c r="F879" s="143"/>
      <c r="G879" s="143"/>
      <c r="H879" s="143"/>
      <c r="I879" s="143"/>
      <c r="J879" s="143"/>
      <c r="K879" s="143"/>
      <c r="L879" s="143"/>
      <c r="M879" s="143"/>
      <c r="N879" s="143"/>
      <c r="O879" s="143"/>
      <c r="P879" s="143"/>
      <c r="Q879" s="143"/>
      <c r="R879" s="143"/>
      <c r="S879" s="143"/>
      <c r="T879" s="143"/>
      <c r="U879" s="143"/>
      <c r="V879" s="143"/>
      <c r="W879" s="143"/>
      <c r="X879" s="143"/>
      <c r="Y879" s="143"/>
      <c r="Z879" s="143"/>
      <c r="AA879" s="156"/>
      <c r="AB879" s="156"/>
      <c r="AC879" s="156"/>
      <c r="AD879" s="156"/>
      <c r="AE879" s="156"/>
    </row>
    <row r="880">
      <c r="A880" s="156"/>
      <c r="B880" s="156"/>
      <c r="C880" s="156"/>
      <c r="D880" s="154"/>
      <c r="E880" s="156"/>
      <c r="F880" s="143"/>
      <c r="G880" s="143"/>
      <c r="H880" s="143"/>
      <c r="I880" s="143"/>
      <c r="J880" s="143"/>
      <c r="K880" s="143"/>
      <c r="L880" s="143"/>
      <c r="M880" s="143"/>
      <c r="N880" s="143"/>
      <c r="O880" s="143"/>
      <c r="P880" s="143"/>
      <c r="Q880" s="143"/>
      <c r="R880" s="143"/>
      <c r="S880" s="143"/>
      <c r="T880" s="143"/>
      <c r="U880" s="143"/>
      <c r="V880" s="143"/>
      <c r="W880" s="143"/>
      <c r="X880" s="143"/>
      <c r="Y880" s="143"/>
      <c r="Z880" s="143"/>
      <c r="AA880" s="156"/>
      <c r="AB880" s="156"/>
      <c r="AC880" s="156"/>
      <c r="AD880" s="156"/>
      <c r="AE880" s="156"/>
    </row>
    <row r="881">
      <c r="A881" s="156"/>
      <c r="B881" s="156"/>
      <c r="C881" s="156"/>
      <c r="D881" s="154"/>
      <c r="E881" s="156"/>
      <c r="F881" s="143"/>
      <c r="G881" s="143"/>
      <c r="H881" s="143"/>
      <c r="I881" s="143"/>
      <c r="J881" s="143"/>
      <c r="K881" s="143"/>
      <c r="L881" s="143"/>
      <c r="M881" s="143"/>
      <c r="N881" s="143"/>
      <c r="O881" s="143"/>
      <c r="P881" s="143"/>
      <c r="Q881" s="143"/>
      <c r="R881" s="143"/>
      <c r="S881" s="143"/>
      <c r="T881" s="143"/>
      <c r="U881" s="143"/>
      <c r="V881" s="143"/>
      <c r="W881" s="143"/>
      <c r="X881" s="143"/>
      <c r="Y881" s="143"/>
      <c r="Z881" s="143"/>
      <c r="AA881" s="156"/>
      <c r="AB881" s="156"/>
      <c r="AC881" s="156"/>
      <c r="AD881" s="156"/>
      <c r="AE881" s="156"/>
    </row>
    <row r="882">
      <c r="A882" s="156"/>
      <c r="B882" s="156"/>
      <c r="C882" s="156"/>
      <c r="D882" s="154"/>
      <c r="E882" s="156"/>
      <c r="F882" s="143"/>
      <c r="G882" s="143"/>
      <c r="H882" s="143"/>
      <c r="I882" s="143"/>
      <c r="J882" s="143"/>
      <c r="K882" s="143"/>
      <c r="L882" s="143"/>
      <c r="M882" s="143"/>
      <c r="N882" s="143"/>
      <c r="O882" s="143"/>
      <c r="P882" s="143"/>
      <c r="Q882" s="143"/>
      <c r="R882" s="143"/>
      <c r="S882" s="143"/>
      <c r="T882" s="143"/>
      <c r="U882" s="143"/>
      <c r="V882" s="143"/>
      <c r="W882" s="143"/>
      <c r="X882" s="143"/>
      <c r="Y882" s="143"/>
      <c r="Z882" s="143"/>
      <c r="AA882" s="156"/>
      <c r="AB882" s="156"/>
      <c r="AC882" s="156"/>
      <c r="AD882" s="156"/>
      <c r="AE882" s="156"/>
    </row>
    <row r="883">
      <c r="A883" s="156"/>
      <c r="B883" s="156"/>
      <c r="C883" s="156"/>
      <c r="D883" s="154"/>
      <c r="E883" s="156"/>
      <c r="F883" s="143"/>
      <c r="G883" s="143"/>
      <c r="H883" s="143"/>
      <c r="I883" s="143"/>
      <c r="J883" s="143"/>
      <c r="K883" s="143"/>
      <c r="L883" s="143"/>
      <c r="M883" s="143"/>
      <c r="N883" s="143"/>
      <c r="O883" s="143"/>
      <c r="P883" s="143"/>
      <c r="Q883" s="143"/>
      <c r="R883" s="143"/>
      <c r="S883" s="143"/>
      <c r="T883" s="143"/>
      <c r="U883" s="143"/>
      <c r="V883" s="143"/>
      <c r="W883" s="143"/>
      <c r="X883" s="143"/>
      <c r="Y883" s="143"/>
      <c r="Z883" s="143"/>
      <c r="AA883" s="156"/>
      <c r="AB883" s="156"/>
      <c r="AC883" s="156"/>
      <c r="AD883" s="156"/>
      <c r="AE883" s="156"/>
    </row>
    <row r="884">
      <c r="A884" s="156"/>
      <c r="B884" s="156"/>
      <c r="C884" s="156"/>
      <c r="D884" s="154"/>
      <c r="E884" s="156"/>
      <c r="F884" s="143"/>
      <c r="G884" s="143"/>
      <c r="H884" s="143"/>
      <c r="I884" s="143"/>
      <c r="J884" s="143"/>
      <c r="K884" s="143"/>
      <c r="L884" s="143"/>
      <c r="M884" s="143"/>
      <c r="N884" s="143"/>
      <c r="O884" s="143"/>
      <c r="P884" s="143"/>
      <c r="Q884" s="143"/>
      <c r="R884" s="143"/>
      <c r="S884" s="143"/>
      <c r="T884" s="143"/>
      <c r="U884" s="143"/>
      <c r="V884" s="143"/>
      <c r="W884" s="143"/>
      <c r="X884" s="143"/>
      <c r="Y884" s="143"/>
      <c r="Z884" s="143"/>
      <c r="AA884" s="156"/>
      <c r="AB884" s="156"/>
      <c r="AC884" s="156"/>
      <c r="AD884" s="156"/>
      <c r="AE884" s="156"/>
    </row>
    <row r="885">
      <c r="A885" s="156"/>
      <c r="B885" s="156"/>
      <c r="C885" s="156"/>
      <c r="D885" s="154"/>
      <c r="E885" s="156"/>
      <c r="F885" s="143"/>
      <c r="G885" s="143"/>
      <c r="H885" s="143"/>
      <c r="I885" s="143"/>
      <c r="J885" s="143"/>
      <c r="K885" s="143"/>
      <c r="L885" s="143"/>
      <c r="M885" s="143"/>
      <c r="N885" s="143"/>
      <c r="O885" s="143"/>
      <c r="P885" s="143"/>
      <c r="Q885" s="143"/>
      <c r="R885" s="143"/>
      <c r="S885" s="143"/>
      <c r="T885" s="143"/>
      <c r="U885" s="143"/>
      <c r="V885" s="143"/>
      <c r="W885" s="143"/>
      <c r="X885" s="143"/>
      <c r="Y885" s="143"/>
      <c r="Z885" s="143"/>
      <c r="AA885" s="156"/>
      <c r="AB885" s="156"/>
      <c r="AC885" s="156"/>
      <c r="AD885" s="156"/>
      <c r="AE885" s="156"/>
    </row>
    <row r="886">
      <c r="A886" s="156"/>
      <c r="B886" s="156"/>
      <c r="C886" s="156"/>
      <c r="D886" s="154"/>
      <c r="E886" s="156"/>
      <c r="F886" s="143"/>
      <c r="G886" s="143"/>
      <c r="H886" s="143"/>
      <c r="I886" s="143"/>
      <c r="J886" s="143"/>
      <c r="K886" s="143"/>
      <c r="L886" s="143"/>
      <c r="M886" s="143"/>
      <c r="N886" s="143"/>
      <c r="O886" s="143"/>
      <c r="P886" s="143"/>
      <c r="Q886" s="143"/>
      <c r="R886" s="143"/>
      <c r="S886" s="143"/>
      <c r="T886" s="143"/>
      <c r="U886" s="143"/>
      <c r="V886" s="143"/>
      <c r="W886" s="143"/>
      <c r="X886" s="143"/>
      <c r="Y886" s="143"/>
      <c r="Z886" s="143"/>
      <c r="AA886" s="156"/>
      <c r="AB886" s="156"/>
      <c r="AC886" s="156"/>
      <c r="AD886" s="156"/>
      <c r="AE886" s="156"/>
    </row>
    <row r="887">
      <c r="A887" s="156"/>
      <c r="B887" s="156"/>
      <c r="C887" s="156"/>
      <c r="D887" s="154"/>
      <c r="E887" s="156"/>
      <c r="F887" s="143"/>
      <c r="G887" s="143"/>
      <c r="H887" s="143"/>
      <c r="I887" s="143"/>
      <c r="J887" s="143"/>
      <c r="K887" s="143"/>
      <c r="L887" s="143"/>
      <c r="M887" s="143"/>
      <c r="N887" s="143"/>
      <c r="O887" s="143"/>
      <c r="P887" s="143"/>
      <c r="Q887" s="143"/>
      <c r="R887" s="143"/>
      <c r="S887" s="143"/>
      <c r="T887" s="143"/>
      <c r="U887" s="143"/>
      <c r="V887" s="143"/>
      <c r="W887" s="143"/>
      <c r="X887" s="143"/>
      <c r="Y887" s="143"/>
      <c r="Z887" s="143"/>
      <c r="AA887" s="156"/>
      <c r="AB887" s="156"/>
      <c r="AC887" s="156"/>
      <c r="AD887" s="156"/>
      <c r="AE887" s="156"/>
    </row>
    <row r="888">
      <c r="A888" s="156"/>
      <c r="B888" s="156"/>
      <c r="C888" s="156"/>
      <c r="D888" s="154"/>
      <c r="E888" s="156"/>
      <c r="F888" s="143"/>
      <c r="G888" s="143"/>
      <c r="H888" s="143"/>
      <c r="I888" s="143"/>
      <c r="J888" s="143"/>
      <c r="K888" s="143"/>
      <c r="L888" s="143"/>
      <c r="M888" s="143"/>
      <c r="N888" s="143"/>
      <c r="O888" s="143"/>
      <c r="P888" s="143"/>
      <c r="Q888" s="143"/>
      <c r="R888" s="143"/>
      <c r="S888" s="143"/>
      <c r="T888" s="143"/>
      <c r="U888" s="143"/>
      <c r="V888" s="143"/>
      <c r="W888" s="143"/>
      <c r="X888" s="143"/>
      <c r="Y888" s="143"/>
      <c r="Z888" s="143"/>
      <c r="AA888" s="156"/>
      <c r="AB888" s="156"/>
      <c r="AC888" s="156"/>
      <c r="AD888" s="156"/>
      <c r="AE888" s="156"/>
    </row>
    <row r="889">
      <c r="A889" s="156"/>
      <c r="B889" s="156"/>
      <c r="C889" s="156"/>
      <c r="D889" s="154"/>
      <c r="E889" s="156"/>
      <c r="F889" s="143"/>
      <c r="G889" s="143"/>
      <c r="H889" s="143"/>
      <c r="I889" s="143"/>
      <c r="J889" s="143"/>
      <c r="K889" s="143"/>
      <c r="L889" s="143"/>
      <c r="M889" s="143"/>
      <c r="N889" s="143"/>
      <c r="O889" s="143"/>
      <c r="P889" s="143"/>
      <c r="Q889" s="143"/>
      <c r="R889" s="143"/>
      <c r="S889" s="143"/>
      <c r="T889" s="143"/>
      <c r="U889" s="143"/>
      <c r="V889" s="143"/>
      <c r="W889" s="143"/>
      <c r="X889" s="143"/>
      <c r="Y889" s="143"/>
      <c r="Z889" s="143"/>
      <c r="AA889" s="156"/>
      <c r="AB889" s="156"/>
      <c r="AC889" s="156"/>
      <c r="AD889" s="156"/>
      <c r="AE889" s="156"/>
    </row>
    <row r="890">
      <c r="A890" s="156"/>
      <c r="B890" s="156"/>
      <c r="C890" s="156"/>
      <c r="D890" s="154"/>
      <c r="E890" s="156"/>
      <c r="F890" s="143"/>
      <c r="G890" s="143"/>
      <c r="H890" s="143"/>
      <c r="I890" s="143"/>
      <c r="J890" s="143"/>
      <c r="K890" s="143"/>
      <c r="L890" s="143"/>
      <c r="M890" s="143"/>
      <c r="N890" s="143"/>
      <c r="O890" s="143"/>
      <c r="P890" s="143"/>
      <c r="Q890" s="143"/>
      <c r="R890" s="143"/>
      <c r="S890" s="143"/>
      <c r="T890" s="143"/>
      <c r="U890" s="143"/>
      <c r="V890" s="143"/>
      <c r="W890" s="143"/>
      <c r="X890" s="143"/>
      <c r="Y890" s="143"/>
      <c r="Z890" s="143"/>
      <c r="AA890" s="156"/>
      <c r="AB890" s="156"/>
      <c r="AC890" s="156"/>
      <c r="AD890" s="156"/>
      <c r="AE890" s="156"/>
    </row>
    <row r="891">
      <c r="A891" s="156"/>
      <c r="B891" s="156"/>
      <c r="C891" s="156"/>
      <c r="D891" s="154"/>
      <c r="E891" s="156"/>
      <c r="F891" s="143"/>
      <c r="G891" s="143"/>
      <c r="H891" s="143"/>
      <c r="I891" s="143"/>
      <c r="J891" s="143"/>
      <c r="K891" s="143"/>
      <c r="L891" s="143"/>
      <c r="M891" s="143"/>
      <c r="N891" s="143"/>
      <c r="O891" s="143"/>
      <c r="P891" s="143"/>
      <c r="Q891" s="143"/>
      <c r="R891" s="143"/>
      <c r="S891" s="143"/>
      <c r="T891" s="143"/>
      <c r="U891" s="143"/>
      <c r="V891" s="143"/>
      <c r="W891" s="143"/>
      <c r="X891" s="143"/>
      <c r="Y891" s="143"/>
      <c r="Z891" s="143"/>
      <c r="AA891" s="156"/>
      <c r="AB891" s="156"/>
      <c r="AC891" s="156"/>
      <c r="AD891" s="156"/>
      <c r="AE891" s="156"/>
    </row>
    <row r="892">
      <c r="A892" s="156"/>
      <c r="B892" s="156"/>
      <c r="C892" s="156"/>
      <c r="D892" s="154"/>
      <c r="E892" s="156"/>
      <c r="F892" s="143"/>
      <c r="G892" s="143"/>
      <c r="H892" s="143"/>
      <c r="I892" s="143"/>
      <c r="J892" s="143"/>
      <c r="K892" s="143"/>
      <c r="L892" s="143"/>
      <c r="M892" s="143"/>
      <c r="N892" s="143"/>
      <c r="O892" s="143"/>
      <c r="P892" s="143"/>
      <c r="Q892" s="143"/>
      <c r="R892" s="143"/>
      <c r="S892" s="143"/>
      <c r="T892" s="143"/>
      <c r="U892" s="143"/>
      <c r="V892" s="143"/>
      <c r="W892" s="143"/>
      <c r="X892" s="143"/>
      <c r="Y892" s="143"/>
      <c r="Z892" s="143"/>
      <c r="AA892" s="156"/>
      <c r="AB892" s="156"/>
      <c r="AC892" s="156"/>
      <c r="AD892" s="156"/>
      <c r="AE892" s="156"/>
    </row>
    <row r="893">
      <c r="A893" s="156"/>
      <c r="B893" s="156"/>
      <c r="C893" s="156"/>
      <c r="D893" s="154"/>
      <c r="E893" s="156"/>
      <c r="F893" s="143"/>
      <c r="G893" s="143"/>
      <c r="H893" s="143"/>
      <c r="I893" s="143"/>
      <c r="J893" s="143"/>
      <c r="K893" s="143"/>
      <c r="L893" s="143"/>
      <c r="M893" s="143"/>
      <c r="N893" s="143"/>
      <c r="O893" s="143"/>
      <c r="P893" s="143"/>
      <c r="Q893" s="143"/>
      <c r="R893" s="143"/>
      <c r="S893" s="143"/>
      <c r="T893" s="143"/>
      <c r="U893" s="143"/>
      <c r="V893" s="143"/>
      <c r="W893" s="143"/>
      <c r="X893" s="143"/>
      <c r="Y893" s="143"/>
      <c r="Z893" s="143"/>
      <c r="AA893" s="156"/>
      <c r="AB893" s="156"/>
      <c r="AC893" s="156"/>
      <c r="AD893" s="156"/>
      <c r="AE893" s="156"/>
    </row>
    <row r="894">
      <c r="A894" s="156"/>
      <c r="B894" s="156"/>
      <c r="C894" s="156"/>
      <c r="D894" s="154"/>
      <c r="E894" s="156"/>
      <c r="F894" s="143"/>
      <c r="G894" s="143"/>
      <c r="H894" s="143"/>
      <c r="I894" s="143"/>
      <c r="J894" s="143"/>
      <c r="K894" s="143"/>
      <c r="L894" s="143"/>
      <c r="M894" s="143"/>
      <c r="N894" s="143"/>
      <c r="O894" s="143"/>
      <c r="P894" s="143"/>
      <c r="Q894" s="143"/>
      <c r="R894" s="143"/>
      <c r="S894" s="143"/>
      <c r="T894" s="143"/>
      <c r="U894" s="143"/>
      <c r="V894" s="143"/>
      <c r="W894" s="143"/>
      <c r="X894" s="143"/>
      <c r="Y894" s="143"/>
      <c r="Z894" s="143"/>
      <c r="AA894" s="156"/>
      <c r="AB894" s="156"/>
      <c r="AC894" s="156"/>
      <c r="AD894" s="156"/>
      <c r="AE894" s="156"/>
    </row>
    <row r="895">
      <c r="A895" s="156"/>
      <c r="B895" s="156"/>
      <c r="C895" s="156"/>
      <c r="D895" s="154"/>
      <c r="E895" s="156"/>
      <c r="F895" s="143"/>
      <c r="G895" s="143"/>
      <c r="H895" s="143"/>
      <c r="I895" s="143"/>
      <c r="J895" s="143"/>
      <c r="K895" s="143"/>
      <c r="L895" s="143"/>
      <c r="M895" s="143"/>
      <c r="N895" s="143"/>
      <c r="O895" s="143"/>
      <c r="P895" s="143"/>
      <c r="Q895" s="143"/>
      <c r="R895" s="143"/>
      <c r="S895" s="143"/>
      <c r="T895" s="143"/>
      <c r="U895" s="143"/>
      <c r="V895" s="143"/>
      <c r="W895" s="143"/>
      <c r="X895" s="143"/>
      <c r="Y895" s="143"/>
      <c r="Z895" s="143"/>
      <c r="AA895" s="156"/>
      <c r="AB895" s="156"/>
      <c r="AC895" s="156"/>
      <c r="AD895" s="156"/>
      <c r="AE895" s="156"/>
    </row>
    <row r="896">
      <c r="A896" s="156"/>
      <c r="B896" s="156"/>
      <c r="C896" s="156"/>
      <c r="D896" s="154"/>
      <c r="E896" s="156"/>
      <c r="F896" s="143"/>
      <c r="G896" s="143"/>
      <c r="H896" s="143"/>
      <c r="I896" s="143"/>
      <c r="J896" s="143"/>
      <c r="K896" s="143"/>
      <c r="L896" s="143"/>
      <c r="M896" s="143"/>
      <c r="N896" s="143"/>
      <c r="O896" s="143"/>
      <c r="P896" s="143"/>
      <c r="Q896" s="143"/>
      <c r="R896" s="143"/>
      <c r="S896" s="143"/>
      <c r="T896" s="143"/>
      <c r="U896" s="143"/>
      <c r="V896" s="143"/>
      <c r="W896" s="143"/>
      <c r="X896" s="143"/>
      <c r="Y896" s="143"/>
      <c r="Z896" s="143"/>
      <c r="AA896" s="156"/>
      <c r="AB896" s="156"/>
      <c r="AC896" s="156"/>
      <c r="AD896" s="156"/>
      <c r="AE896" s="156"/>
    </row>
    <row r="897">
      <c r="A897" s="156"/>
      <c r="B897" s="156"/>
      <c r="C897" s="156"/>
      <c r="D897" s="154"/>
      <c r="E897" s="156"/>
      <c r="F897" s="143"/>
      <c r="G897" s="143"/>
      <c r="H897" s="143"/>
      <c r="I897" s="143"/>
      <c r="J897" s="143"/>
      <c r="K897" s="143"/>
      <c r="L897" s="143"/>
      <c r="M897" s="143"/>
      <c r="N897" s="143"/>
      <c r="O897" s="143"/>
      <c r="P897" s="143"/>
      <c r="Q897" s="143"/>
      <c r="R897" s="143"/>
      <c r="S897" s="143"/>
      <c r="T897" s="143"/>
      <c r="U897" s="143"/>
      <c r="V897" s="143"/>
      <c r="W897" s="143"/>
      <c r="X897" s="143"/>
      <c r="Y897" s="143"/>
      <c r="Z897" s="143"/>
      <c r="AA897" s="156"/>
      <c r="AB897" s="156"/>
      <c r="AC897" s="156"/>
      <c r="AD897" s="156"/>
      <c r="AE897" s="156"/>
    </row>
    <row r="898">
      <c r="A898" s="156"/>
      <c r="B898" s="156"/>
      <c r="C898" s="156"/>
      <c r="D898" s="154"/>
      <c r="E898" s="156"/>
      <c r="F898" s="143"/>
      <c r="G898" s="143"/>
      <c r="H898" s="143"/>
      <c r="I898" s="143"/>
      <c r="J898" s="143"/>
      <c r="K898" s="143"/>
      <c r="L898" s="143"/>
      <c r="M898" s="143"/>
      <c r="N898" s="143"/>
      <c r="O898" s="143"/>
      <c r="P898" s="143"/>
      <c r="Q898" s="143"/>
      <c r="R898" s="143"/>
      <c r="S898" s="143"/>
      <c r="T898" s="143"/>
      <c r="U898" s="143"/>
      <c r="V898" s="143"/>
      <c r="W898" s="143"/>
      <c r="X898" s="143"/>
      <c r="Y898" s="143"/>
      <c r="Z898" s="143"/>
      <c r="AA898" s="156"/>
      <c r="AB898" s="156"/>
      <c r="AC898" s="156"/>
      <c r="AD898" s="156"/>
      <c r="AE898" s="156"/>
    </row>
    <row r="899">
      <c r="A899" s="156"/>
      <c r="B899" s="156"/>
      <c r="C899" s="156"/>
      <c r="D899" s="154"/>
      <c r="E899" s="156"/>
      <c r="F899" s="143"/>
      <c r="G899" s="143"/>
      <c r="H899" s="143"/>
      <c r="I899" s="143"/>
      <c r="J899" s="143"/>
      <c r="K899" s="143"/>
      <c r="L899" s="143"/>
      <c r="M899" s="143"/>
      <c r="N899" s="143"/>
      <c r="O899" s="143"/>
      <c r="P899" s="143"/>
      <c r="Q899" s="143"/>
      <c r="R899" s="143"/>
      <c r="S899" s="143"/>
      <c r="T899" s="143"/>
      <c r="U899" s="143"/>
      <c r="V899" s="143"/>
      <c r="W899" s="143"/>
      <c r="X899" s="143"/>
      <c r="Y899" s="143"/>
      <c r="Z899" s="143"/>
      <c r="AA899" s="156"/>
      <c r="AB899" s="156"/>
      <c r="AC899" s="156"/>
      <c r="AD899" s="156"/>
      <c r="AE899" s="156"/>
    </row>
    <row r="900">
      <c r="A900" s="156"/>
      <c r="B900" s="156"/>
      <c r="C900" s="156"/>
      <c r="D900" s="154"/>
      <c r="E900" s="156"/>
      <c r="F900" s="143"/>
      <c r="G900" s="143"/>
      <c r="H900" s="143"/>
      <c r="I900" s="143"/>
      <c r="J900" s="143"/>
      <c r="K900" s="143"/>
      <c r="L900" s="143"/>
      <c r="M900" s="143"/>
      <c r="N900" s="143"/>
      <c r="O900" s="143"/>
      <c r="P900" s="143"/>
      <c r="Q900" s="143"/>
      <c r="R900" s="143"/>
      <c r="S900" s="143"/>
      <c r="T900" s="143"/>
      <c r="U900" s="143"/>
      <c r="V900" s="143"/>
      <c r="W900" s="143"/>
      <c r="X900" s="143"/>
      <c r="Y900" s="143"/>
      <c r="Z900" s="143"/>
      <c r="AA900" s="156"/>
      <c r="AB900" s="156"/>
      <c r="AC900" s="156"/>
      <c r="AD900" s="156"/>
      <c r="AE900" s="156"/>
    </row>
    <row r="901">
      <c r="A901" s="156"/>
      <c r="B901" s="156"/>
      <c r="C901" s="156"/>
      <c r="D901" s="154"/>
      <c r="E901" s="156"/>
      <c r="F901" s="143"/>
      <c r="G901" s="143"/>
      <c r="H901" s="143"/>
      <c r="I901" s="143"/>
      <c r="J901" s="143"/>
      <c r="K901" s="143"/>
      <c r="L901" s="143"/>
      <c r="M901" s="143"/>
      <c r="N901" s="143"/>
      <c r="O901" s="143"/>
      <c r="P901" s="143"/>
      <c r="Q901" s="143"/>
      <c r="R901" s="143"/>
      <c r="S901" s="143"/>
      <c r="T901" s="143"/>
      <c r="U901" s="143"/>
      <c r="V901" s="143"/>
      <c r="W901" s="143"/>
      <c r="X901" s="143"/>
      <c r="Y901" s="143"/>
      <c r="Z901" s="143"/>
      <c r="AA901" s="156"/>
      <c r="AB901" s="156"/>
      <c r="AC901" s="156"/>
      <c r="AD901" s="156"/>
      <c r="AE901" s="156"/>
    </row>
    <row r="902">
      <c r="A902" s="156"/>
      <c r="B902" s="156"/>
      <c r="C902" s="156"/>
      <c r="D902" s="154"/>
      <c r="E902" s="156"/>
      <c r="F902" s="143"/>
      <c r="G902" s="143"/>
      <c r="H902" s="143"/>
      <c r="I902" s="143"/>
      <c r="J902" s="143"/>
      <c r="K902" s="143"/>
      <c r="L902" s="143"/>
      <c r="M902" s="143"/>
      <c r="N902" s="143"/>
      <c r="O902" s="143"/>
      <c r="P902" s="143"/>
      <c r="Q902" s="143"/>
      <c r="R902" s="143"/>
      <c r="S902" s="143"/>
      <c r="T902" s="143"/>
      <c r="U902" s="143"/>
      <c r="V902" s="143"/>
      <c r="W902" s="143"/>
      <c r="X902" s="143"/>
      <c r="Y902" s="143"/>
      <c r="Z902" s="143"/>
      <c r="AA902" s="156"/>
      <c r="AB902" s="156"/>
      <c r="AC902" s="156"/>
      <c r="AD902" s="156"/>
      <c r="AE902" s="156"/>
    </row>
    <row r="903">
      <c r="A903" s="156"/>
      <c r="B903" s="156"/>
      <c r="C903" s="156"/>
      <c r="D903" s="154"/>
      <c r="E903" s="156"/>
      <c r="F903" s="143"/>
      <c r="G903" s="143"/>
      <c r="H903" s="143"/>
      <c r="I903" s="143"/>
      <c r="J903" s="143"/>
      <c r="K903" s="143"/>
      <c r="L903" s="143"/>
      <c r="M903" s="143"/>
      <c r="N903" s="143"/>
      <c r="O903" s="143"/>
      <c r="P903" s="143"/>
      <c r="Q903" s="143"/>
      <c r="R903" s="143"/>
      <c r="S903" s="143"/>
      <c r="T903" s="143"/>
      <c r="U903" s="143"/>
      <c r="V903" s="143"/>
      <c r="W903" s="143"/>
      <c r="X903" s="143"/>
      <c r="Y903" s="143"/>
      <c r="Z903" s="143"/>
      <c r="AA903" s="156"/>
      <c r="AB903" s="156"/>
      <c r="AC903" s="156"/>
      <c r="AD903" s="156"/>
      <c r="AE903" s="156"/>
    </row>
    <row r="904">
      <c r="A904" s="156"/>
      <c r="B904" s="156"/>
      <c r="C904" s="156"/>
      <c r="D904" s="154"/>
      <c r="E904" s="156"/>
      <c r="F904" s="143"/>
      <c r="G904" s="143"/>
      <c r="H904" s="143"/>
      <c r="I904" s="143"/>
      <c r="J904" s="143"/>
      <c r="K904" s="143"/>
      <c r="L904" s="143"/>
      <c r="M904" s="143"/>
      <c r="N904" s="143"/>
      <c r="O904" s="143"/>
      <c r="P904" s="143"/>
      <c r="Q904" s="143"/>
      <c r="R904" s="143"/>
      <c r="S904" s="143"/>
      <c r="T904" s="143"/>
      <c r="U904" s="143"/>
      <c r="V904" s="143"/>
      <c r="W904" s="143"/>
      <c r="X904" s="143"/>
      <c r="Y904" s="143"/>
      <c r="Z904" s="143"/>
      <c r="AA904" s="156"/>
      <c r="AB904" s="156"/>
      <c r="AC904" s="156"/>
      <c r="AD904" s="156"/>
      <c r="AE904" s="156"/>
    </row>
    <row r="905">
      <c r="A905" s="156"/>
      <c r="B905" s="156"/>
      <c r="C905" s="156"/>
      <c r="D905" s="154"/>
      <c r="E905" s="156"/>
      <c r="F905" s="143"/>
      <c r="G905" s="143"/>
      <c r="H905" s="143"/>
      <c r="I905" s="143"/>
      <c r="J905" s="143"/>
      <c r="K905" s="143"/>
      <c r="L905" s="143"/>
      <c r="M905" s="143"/>
      <c r="N905" s="143"/>
      <c r="O905" s="143"/>
      <c r="P905" s="143"/>
      <c r="Q905" s="143"/>
      <c r="R905" s="143"/>
      <c r="S905" s="143"/>
      <c r="T905" s="143"/>
      <c r="U905" s="143"/>
      <c r="V905" s="143"/>
      <c r="W905" s="143"/>
      <c r="X905" s="143"/>
      <c r="Y905" s="143"/>
      <c r="Z905" s="143"/>
      <c r="AA905" s="156"/>
      <c r="AB905" s="156"/>
      <c r="AC905" s="156"/>
      <c r="AD905" s="156"/>
      <c r="AE905" s="156"/>
    </row>
    <row r="906">
      <c r="A906" s="156"/>
      <c r="B906" s="156"/>
      <c r="C906" s="156"/>
      <c r="D906" s="154"/>
      <c r="E906" s="156"/>
      <c r="F906" s="143"/>
      <c r="G906" s="143"/>
      <c r="H906" s="143"/>
      <c r="I906" s="143"/>
      <c r="J906" s="143"/>
      <c r="K906" s="143"/>
      <c r="L906" s="143"/>
      <c r="M906" s="143"/>
      <c r="N906" s="143"/>
      <c r="O906" s="143"/>
      <c r="P906" s="143"/>
      <c r="Q906" s="143"/>
      <c r="R906" s="143"/>
      <c r="S906" s="143"/>
      <c r="T906" s="143"/>
      <c r="U906" s="143"/>
      <c r="V906" s="143"/>
      <c r="W906" s="143"/>
      <c r="X906" s="143"/>
      <c r="Y906" s="143"/>
      <c r="Z906" s="143"/>
      <c r="AA906" s="156"/>
      <c r="AB906" s="156"/>
      <c r="AC906" s="156"/>
      <c r="AD906" s="156"/>
      <c r="AE906" s="156"/>
    </row>
    <row r="907">
      <c r="A907" s="156"/>
      <c r="B907" s="156"/>
      <c r="C907" s="156"/>
      <c r="D907" s="154"/>
      <c r="E907" s="156"/>
      <c r="F907" s="143"/>
      <c r="G907" s="143"/>
      <c r="H907" s="143"/>
      <c r="I907" s="143"/>
      <c r="J907" s="143"/>
      <c r="K907" s="143"/>
      <c r="L907" s="143"/>
      <c r="M907" s="143"/>
      <c r="N907" s="143"/>
      <c r="O907" s="143"/>
      <c r="P907" s="143"/>
      <c r="Q907" s="143"/>
      <c r="R907" s="143"/>
      <c r="S907" s="143"/>
      <c r="T907" s="143"/>
      <c r="U907" s="143"/>
      <c r="V907" s="143"/>
      <c r="W907" s="143"/>
      <c r="X907" s="143"/>
      <c r="Y907" s="143"/>
      <c r="Z907" s="143"/>
      <c r="AA907" s="156"/>
      <c r="AB907" s="156"/>
      <c r="AC907" s="156"/>
      <c r="AD907" s="156"/>
      <c r="AE907" s="156"/>
    </row>
    <row r="908">
      <c r="A908" s="156"/>
      <c r="B908" s="156"/>
      <c r="C908" s="156"/>
      <c r="D908" s="154"/>
      <c r="E908" s="156"/>
      <c r="F908" s="143"/>
      <c r="G908" s="143"/>
      <c r="H908" s="143"/>
      <c r="I908" s="143"/>
      <c r="J908" s="143"/>
      <c r="K908" s="143"/>
      <c r="L908" s="143"/>
      <c r="M908" s="143"/>
      <c r="N908" s="143"/>
      <c r="O908" s="143"/>
      <c r="P908" s="143"/>
      <c r="Q908" s="143"/>
      <c r="R908" s="143"/>
      <c r="S908" s="143"/>
      <c r="T908" s="143"/>
      <c r="U908" s="143"/>
      <c r="V908" s="143"/>
      <c r="W908" s="143"/>
      <c r="X908" s="143"/>
      <c r="Y908" s="143"/>
      <c r="Z908" s="143"/>
      <c r="AA908" s="156"/>
      <c r="AB908" s="156"/>
      <c r="AC908" s="156"/>
      <c r="AD908" s="156"/>
      <c r="AE908" s="156"/>
    </row>
    <row r="909">
      <c r="A909" s="156"/>
      <c r="B909" s="156"/>
      <c r="C909" s="156"/>
      <c r="D909" s="154"/>
      <c r="E909" s="156"/>
      <c r="F909" s="143"/>
      <c r="G909" s="143"/>
      <c r="H909" s="143"/>
      <c r="I909" s="143"/>
      <c r="J909" s="143"/>
      <c r="K909" s="143"/>
      <c r="L909" s="143"/>
      <c r="M909" s="143"/>
      <c r="N909" s="143"/>
      <c r="O909" s="143"/>
      <c r="P909" s="143"/>
      <c r="Q909" s="143"/>
      <c r="R909" s="143"/>
      <c r="S909" s="143"/>
      <c r="T909" s="143"/>
      <c r="U909" s="143"/>
      <c r="V909" s="143"/>
      <c r="W909" s="143"/>
      <c r="X909" s="143"/>
      <c r="Y909" s="143"/>
      <c r="Z909" s="143"/>
      <c r="AA909" s="156"/>
      <c r="AB909" s="156"/>
      <c r="AC909" s="156"/>
      <c r="AD909" s="156"/>
      <c r="AE909" s="156"/>
    </row>
    <row r="910">
      <c r="A910" s="156"/>
      <c r="B910" s="156"/>
      <c r="C910" s="156"/>
      <c r="D910" s="154"/>
      <c r="E910" s="156"/>
      <c r="F910" s="143"/>
      <c r="G910" s="143"/>
      <c r="H910" s="143"/>
      <c r="I910" s="143"/>
      <c r="J910" s="143"/>
      <c r="K910" s="143"/>
      <c r="L910" s="143"/>
      <c r="M910" s="143"/>
      <c r="N910" s="143"/>
      <c r="O910" s="143"/>
      <c r="P910" s="143"/>
      <c r="Q910" s="143"/>
      <c r="R910" s="143"/>
      <c r="S910" s="143"/>
      <c r="T910" s="143"/>
      <c r="U910" s="143"/>
      <c r="V910" s="143"/>
      <c r="W910" s="143"/>
      <c r="X910" s="143"/>
      <c r="Y910" s="143"/>
      <c r="Z910" s="143"/>
      <c r="AA910" s="156"/>
      <c r="AB910" s="156"/>
      <c r="AC910" s="156"/>
      <c r="AD910" s="156"/>
      <c r="AE910" s="156"/>
    </row>
    <row r="911">
      <c r="A911" s="156"/>
      <c r="B911" s="156"/>
      <c r="C911" s="156"/>
      <c r="D911" s="154"/>
      <c r="E911" s="156"/>
      <c r="F911" s="143"/>
      <c r="G911" s="143"/>
      <c r="H911" s="143"/>
      <c r="I911" s="143"/>
      <c r="J911" s="143"/>
      <c r="K911" s="143"/>
      <c r="L911" s="143"/>
      <c r="M911" s="143"/>
      <c r="N911" s="143"/>
      <c r="O911" s="143"/>
      <c r="P911" s="143"/>
      <c r="Q911" s="143"/>
      <c r="R911" s="143"/>
      <c r="S911" s="143"/>
      <c r="T911" s="143"/>
      <c r="U911" s="143"/>
      <c r="V911" s="143"/>
      <c r="W911" s="143"/>
      <c r="X911" s="143"/>
      <c r="Y911" s="143"/>
      <c r="Z911" s="143"/>
      <c r="AA911" s="156"/>
      <c r="AB911" s="156"/>
      <c r="AC911" s="156"/>
      <c r="AD911" s="156"/>
      <c r="AE911" s="156"/>
    </row>
    <row r="912">
      <c r="A912" s="156"/>
      <c r="B912" s="156"/>
      <c r="C912" s="156"/>
      <c r="D912" s="154"/>
      <c r="E912" s="156"/>
      <c r="F912" s="143"/>
      <c r="G912" s="143"/>
      <c r="H912" s="143"/>
      <c r="I912" s="143"/>
      <c r="J912" s="143"/>
      <c r="K912" s="143"/>
      <c r="L912" s="143"/>
      <c r="M912" s="143"/>
      <c r="N912" s="143"/>
      <c r="O912" s="143"/>
      <c r="P912" s="143"/>
      <c r="Q912" s="143"/>
      <c r="R912" s="143"/>
      <c r="S912" s="143"/>
      <c r="T912" s="143"/>
      <c r="U912" s="143"/>
      <c r="V912" s="143"/>
      <c r="W912" s="143"/>
      <c r="X912" s="143"/>
      <c r="Y912" s="143"/>
      <c r="Z912" s="143"/>
      <c r="AA912" s="156"/>
      <c r="AB912" s="156"/>
      <c r="AC912" s="156"/>
      <c r="AD912" s="156"/>
      <c r="AE912" s="156"/>
    </row>
    <row r="913">
      <c r="A913" s="156"/>
      <c r="B913" s="156"/>
      <c r="C913" s="156"/>
      <c r="D913" s="154"/>
      <c r="E913" s="156"/>
      <c r="F913" s="143"/>
      <c r="G913" s="143"/>
      <c r="H913" s="143"/>
      <c r="I913" s="143"/>
      <c r="J913" s="143"/>
      <c r="K913" s="143"/>
      <c r="L913" s="143"/>
      <c r="M913" s="143"/>
      <c r="N913" s="143"/>
      <c r="O913" s="143"/>
      <c r="P913" s="143"/>
      <c r="Q913" s="143"/>
      <c r="R913" s="143"/>
      <c r="S913" s="143"/>
      <c r="T913" s="143"/>
      <c r="U913" s="143"/>
      <c r="V913" s="143"/>
      <c r="W913" s="143"/>
      <c r="X913" s="143"/>
      <c r="Y913" s="143"/>
      <c r="Z913" s="143"/>
      <c r="AA913" s="156"/>
      <c r="AB913" s="156"/>
      <c r="AC913" s="156"/>
      <c r="AD913" s="156"/>
      <c r="AE913" s="156"/>
    </row>
    <row r="914">
      <c r="A914" s="156"/>
      <c r="B914" s="156"/>
      <c r="C914" s="156"/>
      <c r="D914" s="154"/>
      <c r="E914" s="156"/>
      <c r="F914" s="143"/>
      <c r="G914" s="143"/>
      <c r="H914" s="143"/>
      <c r="I914" s="143"/>
      <c r="J914" s="143"/>
      <c r="K914" s="143"/>
      <c r="L914" s="143"/>
      <c r="M914" s="143"/>
      <c r="N914" s="143"/>
      <c r="O914" s="143"/>
      <c r="P914" s="143"/>
      <c r="Q914" s="143"/>
      <c r="R914" s="143"/>
      <c r="S914" s="143"/>
      <c r="T914" s="143"/>
      <c r="U914" s="143"/>
      <c r="V914" s="143"/>
      <c r="W914" s="143"/>
      <c r="X914" s="143"/>
      <c r="Y914" s="143"/>
      <c r="Z914" s="143"/>
      <c r="AA914" s="156"/>
      <c r="AB914" s="156"/>
      <c r="AC914" s="156"/>
      <c r="AD914" s="156"/>
      <c r="AE914" s="156"/>
    </row>
    <row r="915">
      <c r="A915" s="156"/>
      <c r="B915" s="156"/>
      <c r="C915" s="156"/>
      <c r="D915" s="154"/>
      <c r="E915" s="156"/>
      <c r="F915" s="143"/>
      <c r="G915" s="143"/>
      <c r="H915" s="143"/>
      <c r="I915" s="143"/>
      <c r="J915" s="143"/>
      <c r="K915" s="143"/>
      <c r="L915" s="143"/>
      <c r="M915" s="143"/>
      <c r="N915" s="143"/>
      <c r="O915" s="143"/>
      <c r="P915" s="143"/>
      <c r="Q915" s="143"/>
      <c r="R915" s="143"/>
      <c r="S915" s="143"/>
      <c r="T915" s="143"/>
      <c r="U915" s="143"/>
      <c r="V915" s="143"/>
      <c r="W915" s="143"/>
      <c r="X915" s="143"/>
      <c r="Y915" s="143"/>
      <c r="Z915" s="143"/>
      <c r="AA915" s="156"/>
      <c r="AB915" s="156"/>
      <c r="AC915" s="156"/>
      <c r="AD915" s="156"/>
      <c r="AE915" s="156"/>
    </row>
    <row r="916">
      <c r="A916" s="156"/>
      <c r="B916" s="156"/>
      <c r="C916" s="156"/>
      <c r="D916" s="154"/>
      <c r="E916" s="156"/>
      <c r="F916" s="143"/>
      <c r="G916" s="143"/>
      <c r="H916" s="143"/>
      <c r="I916" s="143"/>
      <c r="J916" s="143"/>
      <c r="K916" s="143"/>
      <c r="L916" s="143"/>
      <c r="M916" s="143"/>
      <c r="N916" s="143"/>
      <c r="O916" s="143"/>
      <c r="P916" s="143"/>
      <c r="Q916" s="143"/>
      <c r="R916" s="143"/>
      <c r="S916" s="143"/>
      <c r="T916" s="143"/>
      <c r="U916" s="143"/>
      <c r="V916" s="143"/>
      <c r="W916" s="143"/>
      <c r="X916" s="143"/>
      <c r="Y916" s="143"/>
      <c r="Z916" s="143"/>
      <c r="AA916" s="156"/>
      <c r="AB916" s="156"/>
      <c r="AC916" s="156"/>
      <c r="AD916" s="156"/>
      <c r="AE916" s="156"/>
    </row>
    <row r="917">
      <c r="A917" s="156"/>
      <c r="B917" s="156"/>
      <c r="C917" s="156"/>
      <c r="D917" s="154"/>
      <c r="E917" s="156"/>
      <c r="F917" s="143"/>
      <c r="G917" s="143"/>
      <c r="H917" s="143"/>
      <c r="I917" s="143"/>
      <c r="J917" s="143"/>
      <c r="K917" s="143"/>
      <c r="L917" s="143"/>
      <c r="M917" s="143"/>
      <c r="N917" s="143"/>
      <c r="O917" s="143"/>
      <c r="P917" s="143"/>
      <c r="Q917" s="143"/>
      <c r="R917" s="143"/>
      <c r="S917" s="143"/>
      <c r="T917" s="143"/>
      <c r="U917" s="143"/>
      <c r="V917" s="143"/>
      <c r="W917" s="143"/>
      <c r="X917" s="143"/>
      <c r="Y917" s="143"/>
      <c r="Z917" s="143"/>
      <c r="AA917" s="156"/>
      <c r="AB917" s="156"/>
      <c r="AC917" s="156"/>
      <c r="AD917" s="156"/>
      <c r="AE917" s="156"/>
    </row>
    <row r="918">
      <c r="A918" s="156"/>
      <c r="B918" s="156"/>
      <c r="C918" s="156"/>
      <c r="D918" s="154"/>
      <c r="E918" s="156"/>
      <c r="F918" s="143"/>
      <c r="G918" s="143"/>
      <c r="H918" s="143"/>
      <c r="I918" s="143"/>
      <c r="J918" s="143"/>
      <c r="K918" s="143"/>
      <c r="L918" s="143"/>
      <c r="M918" s="143"/>
      <c r="N918" s="143"/>
      <c r="O918" s="143"/>
      <c r="P918" s="143"/>
      <c r="Q918" s="143"/>
      <c r="R918" s="143"/>
      <c r="S918" s="143"/>
      <c r="T918" s="143"/>
      <c r="U918" s="143"/>
      <c r="V918" s="143"/>
      <c r="W918" s="143"/>
      <c r="X918" s="143"/>
      <c r="Y918" s="143"/>
      <c r="Z918" s="143"/>
      <c r="AA918" s="156"/>
      <c r="AB918" s="156"/>
      <c r="AC918" s="156"/>
      <c r="AD918" s="156"/>
      <c r="AE918" s="156"/>
    </row>
    <row r="919">
      <c r="A919" s="156"/>
      <c r="B919" s="156"/>
      <c r="C919" s="156"/>
      <c r="D919" s="154"/>
      <c r="E919" s="156"/>
      <c r="F919" s="143"/>
      <c r="G919" s="143"/>
      <c r="H919" s="143"/>
      <c r="I919" s="143"/>
      <c r="J919" s="143"/>
      <c r="K919" s="143"/>
      <c r="L919" s="143"/>
      <c r="M919" s="143"/>
      <c r="N919" s="143"/>
      <c r="O919" s="143"/>
      <c r="P919" s="143"/>
      <c r="Q919" s="143"/>
      <c r="R919" s="143"/>
      <c r="S919" s="143"/>
      <c r="T919" s="143"/>
      <c r="U919" s="143"/>
      <c r="V919" s="143"/>
      <c r="W919" s="143"/>
      <c r="X919" s="143"/>
      <c r="Y919" s="143"/>
      <c r="Z919" s="143"/>
      <c r="AA919" s="156"/>
      <c r="AB919" s="156"/>
      <c r="AC919" s="156"/>
      <c r="AD919" s="156"/>
      <c r="AE919" s="156"/>
    </row>
    <row r="920">
      <c r="A920" s="156"/>
      <c r="B920" s="156"/>
      <c r="C920" s="156"/>
      <c r="D920" s="154"/>
      <c r="E920" s="156"/>
      <c r="F920" s="143"/>
      <c r="G920" s="143"/>
      <c r="H920" s="143"/>
      <c r="I920" s="143"/>
      <c r="J920" s="143"/>
      <c r="K920" s="143"/>
      <c r="L920" s="143"/>
      <c r="M920" s="143"/>
      <c r="N920" s="143"/>
      <c r="O920" s="143"/>
      <c r="P920" s="143"/>
      <c r="Q920" s="143"/>
      <c r="R920" s="143"/>
      <c r="S920" s="143"/>
      <c r="T920" s="143"/>
      <c r="U920" s="143"/>
      <c r="V920" s="143"/>
      <c r="W920" s="143"/>
      <c r="X920" s="143"/>
      <c r="Y920" s="143"/>
      <c r="Z920" s="143"/>
      <c r="AA920" s="156"/>
      <c r="AB920" s="156"/>
      <c r="AC920" s="156"/>
      <c r="AD920" s="156"/>
      <c r="AE920" s="156"/>
    </row>
    <row r="921">
      <c r="A921" s="156"/>
      <c r="B921" s="156"/>
      <c r="C921" s="156"/>
      <c r="D921" s="154"/>
      <c r="E921" s="156"/>
      <c r="F921" s="143"/>
      <c r="G921" s="143"/>
      <c r="H921" s="143"/>
      <c r="I921" s="143"/>
      <c r="J921" s="143"/>
      <c r="K921" s="143"/>
      <c r="L921" s="143"/>
      <c r="M921" s="143"/>
      <c r="N921" s="143"/>
      <c r="O921" s="143"/>
      <c r="P921" s="143"/>
      <c r="Q921" s="143"/>
      <c r="R921" s="143"/>
      <c r="S921" s="143"/>
      <c r="T921" s="143"/>
      <c r="U921" s="143"/>
      <c r="V921" s="143"/>
      <c r="W921" s="143"/>
      <c r="X921" s="143"/>
      <c r="Y921" s="143"/>
      <c r="Z921" s="143"/>
      <c r="AA921" s="156"/>
      <c r="AB921" s="156"/>
      <c r="AC921" s="156"/>
      <c r="AD921" s="156"/>
      <c r="AE921" s="156"/>
    </row>
    <row r="922">
      <c r="A922" s="156"/>
      <c r="B922" s="156"/>
      <c r="C922" s="156"/>
      <c r="D922" s="154"/>
      <c r="E922" s="156"/>
      <c r="F922" s="143"/>
      <c r="G922" s="143"/>
      <c r="H922" s="143"/>
      <c r="I922" s="143"/>
      <c r="J922" s="143"/>
      <c r="K922" s="143"/>
      <c r="L922" s="143"/>
      <c r="M922" s="143"/>
      <c r="N922" s="143"/>
      <c r="O922" s="143"/>
      <c r="P922" s="143"/>
      <c r="Q922" s="143"/>
      <c r="R922" s="143"/>
      <c r="S922" s="143"/>
      <c r="T922" s="143"/>
      <c r="U922" s="143"/>
      <c r="V922" s="143"/>
      <c r="W922" s="143"/>
      <c r="X922" s="143"/>
      <c r="Y922" s="143"/>
      <c r="Z922" s="143"/>
      <c r="AA922" s="156"/>
      <c r="AB922" s="156"/>
      <c r="AC922" s="156"/>
      <c r="AD922" s="156"/>
      <c r="AE922" s="156"/>
    </row>
    <row r="923">
      <c r="A923" s="156"/>
      <c r="B923" s="156"/>
      <c r="C923" s="156"/>
      <c r="D923" s="154"/>
      <c r="E923" s="156"/>
      <c r="F923" s="143"/>
      <c r="G923" s="143"/>
      <c r="H923" s="143"/>
      <c r="I923" s="143"/>
      <c r="J923" s="143"/>
      <c r="K923" s="143"/>
      <c r="L923" s="143"/>
      <c r="M923" s="143"/>
      <c r="N923" s="143"/>
      <c r="O923" s="143"/>
      <c r="P923" s="143"/>
      <c r="Q923" s="143"/>
      <c r="R923" s="143"/>
      <c r="S923" s="143"/>
      <c r="T923" s="143"/>
      <c r="U923" s="143"/>
      <c r="V923" s="143"/>
      <c r="W923" s="143"/>
      <c r="X923" s="143"/>
      <c r="Y923" s="143"/>
      <c r="Z923" s="143"/>
      <c r="AA923" s="156"/>
      <c r="AB923" s="156"/>
      <c r="AC923" s="156"/>
      <c r="AD923" s="156"/>
      <c r="AE923" s="156"/>
    </row>
    <row r="924">
      <c r="A924" s="156"/>
      <c r="B924" s="156"/>
      <c r="C924" s="156"/>
      <c r="D924" s="154"/>
      <c r="E924" s="156"/>
      <c r="F924" s="143"/>
      <c r="G924" s="143"/>
      <c r="H924" s="143"/>
      <c r="I924" s="143"/>
      <c r="J924" s="143"/>
      <c r="K924" s="143"/>
      <c r="L924" s="143"/>
      <c r="M924" s="143"/>
      <c r="N924" s="143"/>
      <c r="O924" s="143"/>
      <c r="P924" s="143"/>
      <c r="Q924" s="143"/>
      <c r="R924" s="143"/>
      <c r="S924" s="143"/>
      <c r="T924" s="143"/>
      <c r="U924" s="143"/>
      <c r="V924" s="143"/>
      <c r="W924" s="143"/>
      <c r="X924" s="143"/>
      <c r="Y924" s="143"/>
      <c r="Z924" s="143"/>
      <c r="AA924" s="156"/>
      <c r="AB924" s="156"/>
      <c r="AC924" s="156"/>
      <c r="AD924" s="156"/>
      <c r="AE924" s="156"/>
    </row>
    <row r="925">
      <c r="A925" s="156"/>
      <c r="B925" s="156"/>
      <c r="C925" s="156"/>
      <c r="D925" s="154"/>
      <c r="E925" s="156"/>
      <c r="F925" s="143"/>
      <c r="G925" s="143"/>
      <c r="H925" s="143"/>
      <c r="I925" s="143"/>
      <c r="J925" s="143"/>
      <c r="K925" s="143"/>
      <c r="L925" s="143"/>
      <c r="M925" s="143"/>
      <c r="N925" s="143"/>
      <c r="O925" s="143"/>
      <c r="P925" s="143"/>
      <c r="Q925" s="143"/>
      <c r="R925" s="143"/>
      <c r="S925" s="143"/>
      <c r="T925" s="143"/>
      <c r="U925" s="143"/>
      <c r="V925" s="143"/>
      <c r="W925" s="143"/>
      <c r="X925" s="143"/>
      <c r="Y925" s="143"/>
      <c r="Z925" s="143"/>
      <c r="AA925" s="156"/>
      <c r="AB925" s="156"/>
      <c r="AC925" s="156"/>
      <c r="AD925" s="156"/>
      <c r="AE925" s="156"/>
    </row>
    <row r="926">
      <c r="A926" s="156"/>
      <c r="B926" s="156"/>
      <c r="C926" s="156"/>
      <c r="D926" s="154"/>
      <c r="E926" s="156"/>
      <c r="F926" s="143"/>
      <c r="G926" s="143"/>
      <c r="H926" s="143"/>
      <c r="I926" s="143"/>
      <c r="J926" s="143"/>
      <c r="K926" s="143"/>
      <c r="L926" s="143"/>
      <c r="M926" s="143"/>
      <c r="N926" s="143"/>
      <c r="O926" s="143"/>
      <c r="P926" s="143"/>
      <c r="Q926" s="143"/>
      <c r="R926" s="143"/>
      <c r="S926" s="143"/>
      <c r="T926" s="143"/>
      <c r="U926" s="143"/>
      <c r="V926" s="143"/>
      <c r="W926" s="143"/>
      <c r="X926" s="143"/>
      <c r="Y926" s="143"/>
      <c r="Z926" s="143"/>
      <c r="AA926" s="156"/>
      <c r="AB926" s="156"/>
      <c r="AC926" s="156"/>
      <c r="AD926" s="156"/>
      <c r="AE926" s="156"/>
    </row>
    <row r="927">
      <c r="A927" s="156"/>
      <c r="B927" s="156"/>
      <c r="C927" s="156"/>
      <c r="D927" s="154"/>
      <c r="E927" s="156"/>
      <c r="F927" s="143"/>
      <c r="G927" s="143"/>
      <c r="H927" s="143"/>
      <c r="I927" s="143"/>
      <c r="J927" s="143"/>
      <c r="K927" s="143"/>
      <c r="L927" s="143"/>
      <c r="M927" s="143"/>
      <c r="N927" s="143"/>
      <c r="O927" s="143"/>
      <c r="P927" s="143"/>
      <c r="Q927" s="143"/>
      <c r="R927" s="143"/>
      <c r="S927" s="143"/>
      <c r="T927" s="143"/>
      <c r="U927" s="143"/>
      <c r="V927" s="143"/>
      <c r="W927" s="143"/>
      <c r="X927" s="143"/>
      <c r="Y927" s="143"/>
      <c r="Z927" s="143"/>
      <c r="AA927" s="156"/>
      <c r="AB927" s="156"/>
      <c r="AC927" s="156"/>
      <c r="AD927" s="156"/>
      <c r="AE927" s="156"/>
    </row>
    <row r="928">
      <c r="A928" s="156"/>
      <c r="B928" s="156"/>
      <c r="C928" s="156"/>
      <c r="D928" s="154"/>
      <c r="E928" s="156"/>
      <c r="F928" s="143"/>
      <c r="G928" s="143"/>
      <c r="H928" s="143"/>
      <c r="I928" s="143"/>
      <c r="J928" s="143"/>
      <c r="K928" s="143"/>
      <c r="L928" s="143"/>
      <c r="M928" s="143"/>
      <c r="N928" s="143"/>
      <c r="O928" s="143"/>
      <c r="P928" s="143"/>
      <c r="Q928" s="143"/>
      <c r="R928" s="143"/>
      <c r="S928" s="143"/>
      <c r="T928" s="143"/>
      <c r="U928" s="143"/>
      <c r="V928" s="143"/>
      <c r="W928" s="143"/>
      <c r="X928" s="143"/>
      <c r="Y928" s="143"/>
      <c r="Z928" s="143"/>
      <c r="AA928" s="156"/>
      <c r="AB928" s="156"/>
      <c r="AC928" s="156"/>
      <c r="AD928" s="156"/>
      <c r="AE928" s="156"/>
    </row>
    <row r="929">
      <c r="A929" s="156"/>
      <c r="B929" s="156"/>
      <c r="C929" s="156"/>
      <c r="D929" s="154"/>
      <c r="E929" s="156"/>
      <c r="F929" s="143"/>
      <c r="G929" s="143"/>
      <c r="H929" s="143"/>
      <c r="I929" s="143"/>
      <c r="J929" s="143"/>
      <c r="K929" s="143"/>
      <c r="L929" s="143"/>
      <c r="M929" s="143"/>
      <c r="N929" s="143"/>
      <c r="O929" s="143"/>
      <c r="P929" s="143"/>
      <c r="Q929" s="143"/>
      <c r="R929" s="143"/>
      <c r="S929" s="143"/>
      <c r="T929" s="143"/>
      <c r="U929" s="143"/>
      <c r="V929" s="143"/>
      <c r="W929" s="143"/>
      <c r="X929" s="143"/>
      <c r="Y929" s="143"/>
      <c r="Z929" s="143"/>
      <c r="AA929" s="156"/>
      <c r="AB929" s="156"/>
      <c r="AC929" s="156"/>
      <c r="AD929" s="156"/>
      <c r="AE929" s="156"/>
    </row>
    <row r="930">
      <c r="A930" s="156"/>
      <c r="B930" s="156"/>
      <c r="C930" s="156"/>
      <c r="D930" s="154"/>
      <c r="E930" s="156"/>
      <c r="F930" s="143"/>
      <c r="G930" s="143"/>
      <c r="H930" s="143"/>
      <c r="I930" s="143"/>
      <c r="J930" s="143"/>
      <c r="K930" s="143"/>
      <c r="L930" s="143"/>
      <c r="M930" s="143"/>
      <c r="N930" s="143"/>
      <c r="O930" s="143"/>
      <c r="P930" s="143"/>
      <c r="Q930" s="143"/>
      <c r="R930" s="143"/>
      <c r="S930" s="143"/>
      <c r="T930" s="143"/>
      <c r="U930" s="143"/>
      <c r="V930" s="143"/>
      <c r="W930" s="143"/>
      <c r="X930" s="143"/>
      <c r="Y930" s="143"/>
      <c r="Z930" s="143"/>
      <c r="AA930" s="156"/>
      <c r="AB930" s="156"/>
      <c r="AC930" s="156"/>
      <c r="AD930" s="156"/>
      <c r="AE930" s="156"/>
    </row>
    <row r="931">
      <c r="A931" s="156"/>
      <c r="B931" s="156"/>
      <c r="C931" s="156"/>
      <c r="D931" s="154"/>
      <c r="E931" s="156"/>
      <c r="F931" s="143"/>
      <c r="G931" s="143"/>
      <c r="H931" s="143"/>
      <c r="I931" s="143"/>
      <c r="J931" s="143"/>
      <c r="K931" s="143"/>
      <c r="L931" s="143"/>
      <c r="M931" s="143"/>
      <c r="N931" s="143"/>
      <c r="O931" s="143"/>
      <c r="P931" s="143"/>
      <c r="Q931" s="143"/>
      <c r="R931" s="143"/>
      <c r="S931" s="143"/>
      <c r="T931" s="143"/>
      <c r="U931" s="143"/>
      <c r="V931" s="143"/>
      <c r="W931" s="143"/>
      <c r="X931" s="143"/>
      <c r="Y931" s="143"/>
      <c r="Z931" s="143"/>
      <c r="AA931" s="156"/>
      <c r="AB931" s="156"/>
      <c r="AC931" s="156"/>
      <c r="AD931" s="156"/>
      <c r="AE931" s="156"/>
    </row>
    <row r="932">
      <c r="A932" s="156"/>
      <c r="B932" s="156"/>
      <c r="C932" s="156"/>
      <c r="D932" s="154"/>
      <c r="E932" s="156"/>
      <c r="F932" s="143"/>
      <c r="G932" s="143"/>
      <c r="H932" s="143"/>
      <c r="I932" s="143"/>
      <c r="J932" s="143"/>
      <c r="K932" s="143"/>
      <c r="L932" s="143"/>
      <c r="M932" s="143"/>
      <c r="N932" s="143"/>
      <c r="O932" s="143"/>
      <c r="P932" s="143"/>
      <c r="Q932" s="143"/>
      <c r="R932" s="143"/>
      <c r="S932" s="143"/>
      <c r="T932" s="143"/>
      <c r="U932" s="143"/>
      <c r="V932" s="143"/>
      <c r="W932" s="143"/>
      <c r="X932" s="143"/>
      <c r="Y932" s="143"/>
      <c r="Z932" s="143"/>
      <c r="AA932" s="156"/>
      <c r="AB932" s="156"/>
      <c r="AC932" s="156"/>
      <c r="AD932" s="156"/>
      <c r="AE932" s="156"/>
    </row>
    <row r="933">
      <c r="A933" s="156"/>
      <c r="B933" s="156"/>
      <c r="C933" s="156"/>
      <c r="D933" s="154"/>
      <c r="E933" s="156"/>
      <c r="F933" s="143"/>
      <c r="G933" s="143"/>
      <c r="H933" s="143"/>
      <c r="I933" s="143"/>
      <c r="J933" s="143"/>
      <c r="K933" s="143"/>
      <c r="L933" s="143"/>
      <c r="M933" s="143"/>
      <c r="N933" s="143"/>
      <c r="O933" s="143"/>
      <c r="P933" s="143"/>
      <c r="Q933" s="143"/>
      <c r="R933" s="143"/>
      <c r="S933" s="143"/>
      <c r="T933" s="143"/>
      <c r="U933" s="143"/>
      <c r="V933" s="143"/>
      <c r="W933" s="143"/>
      <c r="X933" s="143"/>
      <c r="Y933" s="143"/>
      <c r="Z933" s="143"/>
      <c r="AA933" s="156"/>
      <c r="AB933" s="156"/>
      <c r="AC933" s="156"/>
      <c r="AD933" s="156"/>
      <c r="AE933" s="156"/>
    </row>
    <row r="934">
      <c r="A934" s="156"/>
      <c r="B934" s="156"/>
      <c r="C934" s="156"/>
      <c r="D934" s="154"/>
      <c r="E934" s="156"/>
      <c r="F934" s="143"/>
      <c r="G934" s="143"/>
      <c r="H934" s="143"/>
      <c r="I934" s="143"/>
      <c r="J934" s="143"/>
      <c r="K934" s="143"/>
      <c r="L934" s="143"/>
      <c r="M934" s="143"/>
      <c r="N934" s="143"/>
      <c r="O934" s="143"/>
      <c r="P934" s="143"/>
      <c r="Q934" s="143"/>
      <c r="R934" s="143"/>
      <c r="S934" s="143"/>
      <c r="T934" s="143"/>
      <c r="U934" s="143"/>
      <c r="V934" s="143"/>
      <c r="W934" s="143"/>
      <c r="X934" s="143"/>
      <c r="Y934" s="143"/>
      <c r="Z934" s="143"/>
      <c r="AA934" s="156"/>
      <c r="AB934" s="156"/>
      <c r="AC934" s="156"/>
      <c r="AD934" s="156"/>
      <c r="AE934" s="156"/>
    </row>
    <row r="935">
      <c r="A935" s="156"/>
      <c r="B935" s="156"/>
      <c r="C935" s="156"/>
      <c r="D935" s="154"/>
      <c r="E935" s="156"/>
      <c r="F935" s="143"/>
      <c r="G935" s="143"/>
      <c r="H935" s="143"/>
      <c r="I935" s="143"/>
      <c r="J935" s="143"/>
      <c r="K935" s="143"/>
      <c r="L935" s="143"/>
      <c r="M935" s="143"/>
      <c r="N935" s="143"/>
      <c r="O935" s="143"/>
      <c r="P935" s="143"/>
      <c r="Q935" s="143"/>
      <c r="R935" s="143"/>
      <c r="S935" s="143"/>
      <c r="T935" s="143"/>
      <c r="U935" s="143"/>
      <c r="V935" s="143"/>
      <c r="W935" s="143"/>
      <c r="X935" s="143"/>
      <c r="Y935" s="143"/>
      <c r="Z935" s="143"/>
      <c r="AA935" s="156"/>
      <c r="AB935" s="156"/>
      <c r="AC935" s="156"/>
      <c r="AD935" s="156"/>
      <c r="AE935" s="156"/>
    </row>
    <row r="936">
      <c r="A936" s="156"/>
      <c r="B936" s="156"/>
      <c r="C936" s="156"/>
      <c r="D936" s="154"/>
      <c r="E936" s="156"/>
      <c r="F936" s="143"/>
      <c r="G936" s="143"/>
      <c r="H936" s="143"/>
      <c r="I936" s="143"/>
      <c r="J936" s="143"/>
      <c r="K936" s="143"/>
      <c r="L936" s="143"/>
      <c r="M936" s="143"/>
      <c r="N936" s="143"/>
      <c r="O936" s="143"/>
      <c r="P936" s="143"/>
      <c r="Q936" s="143"/>
      <c r="R936" s="143"/>
      <c r="S936" s="143"/>
      <c r="T936" s="143"/>
      <c r="U936" s="143"/>
      <c r="V936" s="143"/>
      <c r="W936" s="143"/>
      <c r="X936" s="143"/>
      <c r="Y936" s="143"/>
      <c r="Z936" s="143"/>
      <c r="AA936" s="156"/>
      <c r="AB936" s="156"/>
      <c r="AC936" s="156"/>
      <c r="AD936" s="156"/>
      <c r="AE936" s="156"/>
    </row>
    <row r="937">
      <c r="A937" s="156"/>
      <c r="B937" s="156"/>
      <c r="C937" s="156"/>
      <c r="D937" s="154"/>
      <c r="E937" s="156"/>
      <c r="F937" s="143"/>
      <c r="G937" s="143"/>
      <c r="H937" s="143"/>
      <c r="I937" s="143"/>
      <c r="J937" s="143"/>
      <c r="K937" s="143"/>
      <c r="L937" s="143"/>
      <c r="M937" s="143"/>
      <c r="N937" s="143"/>
      <c r="O937" s="143"/>
      <c r="P937" s="143"/>
      <c r="Q937" s="143"/>
      <c r="R937" s="143"/>
      <c r="S937" s="143"/>
      <c r="T937" s="143"/>
      <c r="U937" s="143"/>
      <c r="V937" s="143"/>
      <c r="W937" s="143"/>
      <c r="X937" s="143"/>
      <c r="Y937" s="143"/>
      <c r="Z937" s="143"/>
      <c r="AA937" s="156"/>
      <c r="AB937" s="156"/>
      <c r="AC937" s="156"/>
      <c r="AD937" s="156"/>
      <c r="AE937" s="156"/>
    </row>
    <row r="938">
      <c r="A938" s="156"/>
      <c r="B938" s="156"/>
      <c r="C938" s="156"/>
      <c r="D938" s="154"/>
      <c r="E938" s="156"/>
      <c r="F938" s="143"/>
      <c r="G938" s="143"/>
      <c r="H938" s="143"/>
      <c r="I938" s="143"/>
      <c r="J938" s="143"/>
      <c r="K938" s="143"/>
      <c r="L938" s="143"/>
      <c r="M938" s="143"/>
      <c r="N938" s="143"/>
      <c r="O938" s="143"/>
      <c r="P938" s="143"/>
      <c r="Q938" s="143"/>
      <c r="R938" s="143"/>
      <c r="S938" s="143"/>
      <c r="T938" s="143"/>
      <c r="U938" s="143"/>
      <c r="V938" s="143"/>
      <c r="W938" s="143"/>
      <c r="X938" s="143"/>
      <c r="Y938" s="143"/>
      <c r="Z938" s="143"/>
      <c r="AA938" s="156"/>
      <c r="AB938" s="156"/>
      <c r="AC938" s="156"/>
      <c r="AD938" s="156"/>
      <c r="AE938" s="156"/>
    </row>
    <row r="939">
      <c r="A939" s="156"/>
      <c r="B939" s="156"/>
      <c r="C939" s="156"/>
      <c r="D939" s="154"/>
      <c r="E939" s="156"/>
      <c r="F939" s="143"/>
      <c r="G939" s="143"/>
      <c r="H939" s="143"/>
      <c r="I939" s="143"/>
      <c r="J939" s="143"/>
      <c r="K939" s="143"/>
      <c r="L939" s="143"/>
      <c r="M939" s="143"/>
      <c r="N939" s="143"/>
      <c r="O939" s="143"/>
      <c r="P939" s="143"/>
      <c r="Q939" s="143"/>
      <c r="R939" s="143"/>
      <c r="S939" s="143"/>
      <c r="T939" s="143"/>
      <c r="U939" s="143"/>
      <c r="V939" s="143"/>
      <c r="W939" s="143"/>
      <c r="X939" s="143"/>
      <c r="Y939" s="143"/>
      <c r="Z939" s="143"/>
      <c r="AA939" s="156"/>
      <c r="AB939" s="156"/>
      <c r="AC939" s="156"/>
      <c r="AD939" s="156"/>
      <c r="AE939" s="156"/>
    </row>
    <row r="940">
      <c r="A940" s="156"/>
      <c r="B940" s="156"/>
      <c r="C940" s="156"/>
      <c r="D940" s="154"/>
      <c r="E940" s="156"/>
      <c r="F940" s="143"/>
      <c r="G940" s="143"/>
      <c r="H940" s="143"/>
      <c r="I940" s="143"/>
      <c r="J940" s="143"/>
      <c r="K940" s="143"/>
      <c r="L940" s="143"/>
      <c r="M940" s="143"/>
      <c r="N940" s="143"/>
      <c r="O940" s="143"/>
      <c r="P940" s="143"/>
      <c r="Q940" s="143"/>
      <c r="R940" s="143"/>
      <c r="S940" s="143"/>
      <c r="T940" s="143"/>
      <c r="U940" s="143"/>
      <c r="V940" s="143"/>
      <c r="W940" s="143"/>
      <c r="X940" s="143"/>
      <c r="Y940" s="143"/>
      <c r="Z940" s="143"/>
      <c r="AA940" s="156"/>
      <c r="AB940" s="156"/>
      <c r="AC940" s="156"/>
      <c r="AD940" s="156"/>
      <c r="AE940" s="156"/>
    </row>
    <row r="941">
      <c r="A941" s="156"/>
      <c r="B941" s="156"/>
      <c r="C941" s="156"/>
      <c r="D941" s="154"/>
      <c r="E941" s="156"/>
      <c r="F941" s="143"/>
      <c r="G941" s="143"/>
      <c r="H941" s="143"/>
      <c r="I941" s="143"/>
      <c r="J941" s="143"/>
      <c r="K941" s="143"/>
      <c r="L941" s="143"/>
      <c r="M941" s="143"/>
      <c r="N941" s="143"/>
      <c r="O941" s="143"/>
      <c r="P941" s="143"/>
      <c r="Q941" s="143"/>
      <c r="R941" s="143"/>
      <c r="S941" s="143"/>
      <c r="T941" s="143"/>
      <c r="U941" s="143"/>
      <c r="V941" s="143"/>
      <c r="W941" s="143"/>
      <c r="X941" s="143"/>
      <c r="Y941" s="143"/>
      <c r="Z941" s="143"/>
      <c r="AA941" s="156"/>
      <c r="AB941" s="156"/>
      <c r="AC941" s="156"/>
      <c r="AD941" s="156"/>
      <c r="AE941" s="156"/>
    </row>
    <row r="942">
      <c r="A942" s="156"/>
      <c r="B942" s="156"/>
      <c r="C942" s="156"/>
      <c r="D942" s="154"/>
      <c r="E942" s="156"/>
      <c r="F942" s="143"/>
      <c r="G942" s="143"/>
      <c r="H942" s="143"/>
      <c r="I942" s="143"/>
      <c r="J942" s="143"/>
      <c r="K942" s="143"/>
      <c r="L942" s="143"/>
      <c r="M942" s="143"/>
      <c r="N942" s="143"/>
      <c r="O942" s="143"/>
      <c r="P942" s="143"/>
      <c r="Q942" s="143"/>
      <c r="R942" s="143"/>
      <c r="S942" s="143"/>
      <c r="T942" s="143"/>
      <c r="U942" s="143"/>
      <c r="V942" s="143"/>
      <c r="W942" s="143"/>
      <c r="X942" s="143"/>
      <c r="Y942" s="143"/>
      <c r="Z942" s="143"/>
      <c r="AA942" s="156"/>
      <c r="AB942" s="156"/>
      <c r="AC942" s="156"/>
      <c r="AD942" s="156"/>
      <c r="AE942" s="156"/>
    </row>
    <row r="943">
      <c r="A943" s="156"/>
      <c r="B943" s="156"/>
      <c r="C943" s="156"/>
      <c r="D943" s="154"/>
      <c r="E943" s="156"/>
      <c r="F943" s="143"/>
      <c r="G943" s="143"/>
      <c r="H943" s="143"/>
      <c r="I943" s="143"/>
      <c r="J943" s="143"/>
      <c r="K943" s="143"/>
      <c r="L943" s="143"/>
      <c r="M943" s="143"/>
      <c r="N943" s="143"/>
      <c r="O943" s="143"/>
      <c r="P943" s="143"/>
      <c r="Q943" s="143"/>
      <c r="R943" s="143"/>
      <c r="S943" s="143"/>
      <c r="T943" s="143"/>
      <c r="U943" s="143"/>
      <c r="V943" s="143"/>
      <c r="W943" s="143"/>
      <c r="X943" s="143"/>
      <c r="Y943" s="143"/>
      <c r="Z943" s="143"/>
      <c r="AA943" s="156"/>
      <c r="AB943" s="156"/>
      <c r="AC943" s="156"/>
      <c r="AD943" s="156"/>
      <c r="AE943" s="156"/>
    </row>
    <row r="944">
      <c r="A944" s="156"/>
      <c r="B944" s="156"/>
      <c r="C944" s="156"/>
      <c r="D944" s="154"/>
      <c r="E944" s="156"/>
      <c r="F944" s="143"/>
      <c r="G944" s="143"/>
      <c r="H944" s="143"/>
      <c r="I944" s="143"/>
      <c r="J944" s="143"/>
      <c r="K944" s="143"/>
      <c r="L944" s="143"/>
      <c r="M944" s="143"/>
      <c r="N944" s="143"/>
      <c r="O944" s="143"/>
      <c r="P944" s="143"/>
      <c r="Q944" s="143"/>
      <c r="R944" s="143"/>
      <c r="S944" s="143"/>
      <c r="T944" s="143"/>
      <c r="U944" s="143"/>
      <c r="V944" s="143"/>
      <c r="W944" s="143"/>
      <c r="X944" s="143"/>
      <c r="Y944" s="143"/>
      <c r="Z944" s="143"/>
      <c r="AA944" s="156"/>
      <c r="AB944" s="156"/>
      <c r="AC944" s="156"/>
      <c r="AD944" s="156"/>
      <c r="AE944" s="156"/>
    </row>
    <row r="945">
      <c r="A945" s="156"/>
      <c r="B945" s="156"/>
      <c r="C945" s="156"/>
      <c r="D945" s="154"/>
      <c r="E945" s="156"/>
      <c r="F945" s="143"/>
      <c r="G945" s="143"/>
      <c r="H945" s="143"/>
      <c r="I945" s="143"/>
      <c r="J945" s="143"/>
      <c r="K945" s="143"/>
      <c r="L945" s="143"/>
      <c r="M945" s="143"/>
      <c r="N945" s="143"/>
      <c r="O945" s="143"/>
      <c r="P945" s="143"/>
      <c r="Q945" s="143"/>
      <c r="R945" s="143"/>
      <c r="S945" s="143"/>
      <c r="T945" s="143"/>
      <c r="U945" s="143"/>
      <c r="V945" s="143"/>
      <c r="W945" s="143"/>
      <c r="X945" s="143"/>
      <c r="Y945" s="143"/>
      <c r="Z945" s="143"/>
      <c r="AA945" s="156"/>
      <c r="AB945" s="156"/>
      <c r="AC945" s="156"/>
      <c r="AD945" s="156"/>
      <c r="AE945" s="156"/>
    </row>
    <row r="946">
      <c r="A946" s="156"/>
      <c r="B946" s="156"/>
      <c r="C946" s="156"/>
      <c r="D946" s="154"/>
      <c r="E946" s="156"/>
      <c r="F946" s="143"/>
      <c r="G946" s="143"/>
      <c r="H946" s="143"/>
      <c r="I946" s="143"/>
      <c r="J946" s="143"/>
      <c r="K946" s="143"/>
      <c r="L946" s="143"/>
      <c r="M946" s="143"/>
      <c r="N946" s="143"/>
      <c r="O946" s="143"/>
      <c r="P946" s="143"/>
      <c r="Q946" s="143"/>
      <c r="R946" s="143"/>
      <c r="S946" s="143"/>
      <c r="T946" s="143"/>
      <c r="U946" s="143"/>
      <c r="V946" s="143"/>
      <c r="W946" s="143"/>
      <c r="X946" s="143"/>
      <c r="Y946" s="143"/>
      <c r="Z946" s="143"/>
      <c r="AA946" s="156"/>
      <c r="AB946" s="156"/>
      <c r="AC946" s="156"/>
      <c r="AD946" s="156"/>
      <c r="AE946" s="156"/>
    </row>
    <row r="947">
      <c r="A947" s="156"/>
      <c r="B947" s="156"/>
      <c r="C947" s="156"/>
      <c r="D947" s="154"/>
      <c r="E947" s="156"/>
      <c r="F947" s="143"/>
      <c r="G947" s="143"/>
      <c r="H947" s="143"/>
      <c r="I947" s="143"/>
      <c r="J947" s="143"/>
      <c r="K947" s="143"/>
      <c r="L947" s="143"/>
      <c r="M947" s="143"/>
      <c r="N947" s="143"/>
      <c r="O947" s="143"/>
      <c r="P947" s="143"/>
      <c r="Q947" s="143"/>
      <c r="R947" s="143"/>
      <c r="S947" s="143"/>
      <c r="T947" s="143"/>
      <c r="U947" s="143"/>
      <c r="V947" s="143"/>
      <c r="W947" s="143"/>
      <c r="X947" s="143"/>
      <c r="Y947" s="143"/>
      <c r="Z947" s="143"/>
      <c r="AA947" s="156"/>
      <c r="AB947" s="156"/>
      <c r="AC947" s="156"/>
      <c r="AD947" s="156"/>
      <c r="AE947" s="156"/>
    </row>
    <row r="948">
      <c r="A948" s="156"/>
      <c r="B948" s="156"/>
      <c r="C948" s="156"/>
      <c r="D948" s="154"/>
      <c r="E948" s="156"/>
      <c r="F948" s="143"/>
      <c r="G948" s="143"/>
      <c r="H948" s="143"/>
      <c r="I948" s="143"/>
      <c r="J948" s="143"/>
      <c r="K948" s="143"/>
      <c r="L948" s="143"/>
      <c r="M948" s="143"/>
      <c r="N948" s="143"/>
      <c r="O948" s="143"/>
      <c r="P948" s="143"/>
      <c r="Q948" s="143"/>
      <c r="R948" s="143"/>
      <c r="S948" s="143"/>
      <c r="T948" s="143"/>
      <c r="U948" s="143"/>
      <c r="V948" s="143"/>
      <c r="W948" s="143"/>
      <c r="X948" s="143"/>
      <c r="Y948" s="143"/>
      <c r="Z948" s="143"/>
      <c r="AA948" s="156"/>
      <c r="AB948" s="156"/>
      <c r="AC948" s="156"/>
      <c r="AD948" s="156"/>
      <c r="AE948" s="156"/>
    </row>
    <row r="949">
      <c r="A949" s="156"/>
      <c r="B949" s="156"/>
      <c r="C949" s="156"/>
      <c r="D949" s="154"/>
      <c r="E949" s="156"/>
      <c r="F949" s="143"/>
      <c r="G949" s="143"/>
      <c r="H949" s="143"/>
      <c r="I949" s="143"/>
      <c r="J949" s="143"/>
      <c r="K949" s="143"/>
      <c r="L949" s="143"/>
      <c r="M949" s="143"/>
      <c r="N949" s="143"/>
      <c r="O949" s="143"/>
      <c r="P949" s="143"/>
      <c r="Q949" s="143"/>
      <c r="R949" s="143"/>
      <c r="S949" s="143"/>
      <c r="T949" s="143"/>
      <c r="U949" s="143"/>
      <c r="V949" s="143"/>
      <c r="W949" s="143"/>
      <c r="X949" s="143"/>
      <c r="Y949" s="143"/>
      <c r="Z949" s="143"/>
      <c r="AA949" s="156"/>
      <c r="AB949" s="156"/>
      <c r="AC949" s="156"/>
      <c r="AD949" s="156"/>
      <c r="AE949" s="156"/>
    </row>
    <row r="950">
      <c r="A950" s="156"/>
      <c r="B950" s="156"/>
      <c r="C950" s="156"/>
      <c r="D950" s="154"/>
      <c r="E950" s="156"/>
      <c r="F950" s="143"/>
      <c r="G950" s="143"/>
      <c r="H950" s="143"/>
      <c r="I950" s="143"/>
      <c r="J950" s="143"/>
      <c r="K950" s="143"/>
      <c r="L950" s="143"/>
      <c r="M950" s="143"/>
      <c r="N950" s="143"/>
      <c r="O950" s="143"/>
      <c r="P950" s="143"/>
      <c r="Q950" s="143"/>
      <c r="R950" s="143"/>
      <c r="S950" s="143"/>
      <c r="T950" s="143"/>
      <c r="U950" s="143"/>
      <c r="V950" s="143"/>
      <c r="W950" s="143"/>
      <c r="X950" s="143"/>
      <c r="Y950" s="143"/>
      <c r="Z950" s="143"/>
      <c r="AA950" s="156"/>
      <c r="AB950" s="156"/>
      <c r="AC950" s="156"/>
      <c r="AD950" s="156"/>
      <c r="AE950" s="156"/>
    </row>
    <row r="951">
      <c r="A951" s="156"/>
      <c r="B951" s="156"/>
      <c r="C951" s="156"/>
      <c r="D951" s="154"/>
      <c r="E951" s="156"/>
      <c r="F951" s="143"/>
      <c r="G951" s="143"/>
      <c r="H951" s="143"/>
      <c r="I951" s="143"/>
      <c r="J951" s="143"/>
      <c r="K951" s="143"/>
      <c r="L951" s="143"/>
      <c r="M951" s="143"/>
      <c r="N951" s="143"/>
      <c r="O951" s="143"/>
      <c r="P951" s="143"/>
      <c r="Q951" s="143"/>
      <c r="R951" s="143"/>
      <c r="S951" s="143"/>
      <c r="T951" s="143"/>
      <c r="U951" s="143"/>
      <c r="V951" s="143"/>
      <c r="W951" s="143"/>
      <c r="X951" s="143"/>
      <c r="Y951" s="143"/>
      <c r="Z951" s="143"/>
      <c r="AA951" s="156"/>
      <c r="AB951" s="156"/>
      <c r="AC951" s="156"/>
      <c r="AD951" s="156"/>
      <c r="AE951" s="156"/>
    </row>
    <row r="952">
      <c r="A952" s="156"/>
      <c r="B952" s="156"/>
      <c r="C952" s="156"/>
      <c r="D952" s="154"/>
      <c r="E952" s="156"/>
      <c r="F952" s="143"/>
      <c r="G952" s="143"/>
      <c r="H952" s="143"/>
      <c r="I952" s="143"/>
      <c r="J952" s="143"/>
      <c r="K952" s="143"/>
      <c r="L952" s="143"/>
      <c r="M952" s="143"/>
      <c r="N952" s="143"/>
      <c r="O952" s="143"/>
      <c r="P952" s="143"/>
      <c r="Q952" s="143"/>
      <c r="R952" s="143"/>
      <c r="S952" s="143"/>
      <c r="T952" s="143"/>
      <c r="U952" s="143"/>
      <c r="V952" s="143"/>
      <c r="W952" s="143"/>
      <c r="X952" s="143"/>
      <c r="Y952" s="143"/>
      <c r="Z952" s="143"/>
      <c r="AA952" s="156"/>
      <c r="AB952" s="156"/>
      <c r="AC952" s="156"/>
      <c r="AD952" s="156"/>
      <c r="AE952" s="156"/>
    </row>
    <row r="953">
      <c r="A953" s="156"/>
      <c r="B953" s="156"/>
      <c r="C953" s="156"/>
      <c r="D953" s="154"/>
      <c r="E953" s="156"/>
      <c r="F953" s="143"/>
      <c r="G953" s="143"/>
      <c r="H953" s="143"/>
      <c r="I953" s="143"/>
      <c r="J953" s="143"/>
      <c r="K953" s="143"/>
      <c r="L953" s="143"/>
      <c r="M953" s="143"/>
      <c r="N953" s="143"/>
      <c r="O953" s="143"/>
      <c r="P953" s="143"/>
      <c r="Q953" s="143"/>
      <c r="R953" s="143"/>
      <c r="S953" s="143"/>
      <c r="T953" s="143"/>
      <c r="U953" s="143"/>
      <c r="V953" s="143"/>
      <c r="W953" s="143"/>
      <c r="X953" s="143"/>
      <c r="Y953" s="143"/>
      <c r="Z953" s="143"/>
      <c r="AA953" s="156"/>
      <c r="AB953" s="156"/>
      <c r="AC953" s="156"/>
      <c r="AD953" s="156"/>
      <c r="AE953" s="156"/>
    </row>
    <row r="954">
      <c r="A954" s="156"/>
      <c r="B954" s="156"/>
      <c r="C954" s="156"/>
      <c r="D954" s="154"/>
      <c r="E954" s="156"/>
      <c r="F954" s="143"/>
      <c r="G954" s="143"/>
      <c r="H954" s="143"/>
      <c r="I954" s="143"/>
      <c r="J954" s="143"/>
      <c r="K954" s="143"/>
      <c r="L954" s="143"/>
      <c r="M954" s="143"/>
      <c r="N954" s="143"/>
      <c r="O954" s="143"/>
      <c r="P954" s="143"/>
      <c r="Q954" s="143"/>
      <c r="R954" s="143"/>
      <c r="S954" s="143"/>
      <c r="T954" s="143"/>
      <c r="U954" s="143"/>
      <c r="V954" s="143"/>
      <c r="W954" s="143"/>
      <c r="X954" s="143"/>
      <c r="Y954" s="143"/>
      <c r="Z954" s="143"/>
      <c r="AA954" s="156"/>
      <c r="AB954" s="156"/>
      <c r="AC954" s="156"/>
      <c r="AD954" s="156"/>
      <c r="AE954" s="156"/>
    </row>
    <row r="955">
      <c r="A955" s="156"/>
      <c r="B955" s="156"/>
      <c r="C955" s="156"/>
      <c r="D955" s="154"/>
      <c r="E955" s="156"/>
      <c r="F955" s="143"/>
      <c r="G955" s="143"/>
      <c r="H955" s="143"/>
      <c r="I955" s="143"/>
      <c r="J955" s="143"/>
      <c r="K955" s="143"/>
      <c r="L955" s="143"/>
      <c r="M955" s="143"/>
      <c r="N955" s="143"/>
      <c r="O955" s="143"/>
      <c r="P955" s="143"/>
      <c r="Q955" s="143"/>
      <c r="R955" s="143"/>
      <c r="S955" s="143"/>
      <c r="T955" s="143"/>
      <c r="U955" s="143"/>
      <c r="V955" s="143"/>
      <c r="W955" s="143"/>
      <c r="X955" s="143"/>
      <c r="Y955" s="143"/>
      <c r="Z955" s="143"/>
      <c r="AA955" s="156"/>
      <c r="AB955" s="156"/>
      <c r="AC955" s="156"/>
      <c r="AD955" s="156"/>
      <c r="AE955" s="156"/>
    </row>
    <row r="956">
      <c r="A956" s="156"/>
      <c r="B956" s="156"/>
      <c r="C956" s="156"/>
      <c r="D956" s="154"/>
      <c r="E956" s="156"/>
      <c r="F956" s="143"/>
      <c r="G956" s="143"/>
      <c r="H956" s="143"/>
      <c r="I956" s="143"/>
      <c r="J956" s="143"/>
      <c r="K956" s="143"/>
      <c r="L956" s="143"/>
      <c r="M956" s="143"/>
      <c r="N956" s="143"/>
      <c r="O956" s="143"/>
      <c r="P956" s="143"/>
      <c r="Q956" s="143"/>
      <c r="R956" s="143"/>
      <c r="S956" s="143"/>
      <c r="T956" s="143"/>
      <c r="U956" s="143"/>
      <c r="V956" s="143"/>
      <c r="W956" s="143"/>
      <c r="X956" s="143"/>
      <c r="Y956" s="143"/>
      <c r="Z956" s="143"/>
      <c r="AA956" s="156"/>
      <c r="AB956" s="156"/>
      <c r="AC956" s="156"/>
      <c r="AD956" s="156"/>
      <c r="AE956" s="156"/>
    </row>
    <row r="957">
      <c r="A957" s="156"/>
      <c r="B957" s="156"/>
      <c r="C957" s="156"/>
      <c r="D957" s="154"/>
      <c r="E957" s="156"/>
      <c r="F957" s="143"/>
      <c r="G957" s="143"/>
      <c r="H957" s="143"/>
      <c r="I957" s="143"/>
      <c r="J957" s="143"/>
      <c r="K957" s="143"/>
      <c r="L957" s="143"/>
      <c r="M957" s="143"/>
      <c r="N957" s="143"/>
      <c r="O957" s="143"/>
      <c r="P957" s="143"/>
      <c r="Q957" s="143"/>
      <c r="R957" s="143"/>
      <c r="S957" s="143"/>
      <c r="T957" s="143"/>
      <c r="U957" s="143"/>
      <c r="V957" s="143"/>
      <c r="W957" s="143"/>
      <c r="X957" s="143"/>
      <c r="Y957" s="143"/>
      <c r="Z957" s="143"/>
      <c r="AA957" s="156"/>
      <c r="AB957" s="156"/>
      <c r="AC957" s="156"/>
      <c r="AD957" s="156"/>
      <c r="AE957" s="156"/>
    </row>
    <row r="958">
      <c r="A958" s="156"/>
      <c r="B958" s="156"/>
      <c r="C958" s="156"/>
      <c r="D958" s="154"/>
      <c r="E958" s="156"/>
      <c r="F958" s="143"/>
      <c r="G958" s="143"/>
      <c r="H958" s="143"/>
      <c r="I958" s="143"/>
      <c r="J958" s="143"/>
      <c r="K958" s="143"/>
      <c r="L958" s="143"/>
      <c r="M958" s="143"/>
      <c r="N958" s="143"/>
      <c r="O958" s="143"/>
      <c r="P958" s="143"/>
      <c r="Q958" s="143"/>
      <c r="R958" s="143"/>
      <c r="S958" s="143"/>
      <c r="T958" s="143"/>
      <c r="U958" s="143"/>
      <c r="V958" s="143"/>
      <c r="W958" s="143"/>
      <c r="X958" s="143"/>
      <c r="Y958" s="143"/>
      <c r="Z958" s="143"/>
      <c r="AA958" s="156"/>
      <c r="AB958" s="156"/>
      <c r="AC958" s="156"/>
      <c r="AD958" s="156"/>
      <c r="AE958" s="156"/>
    </row>
    <row r="959">
      <c r="A959" s="156"/>
      <c r="B959" s="156"/>
      <c r="C959" s="156"/>
      <c r="D959" s="154"/>
      <c r="E959" s="156"/>
      <c r="F959" s="143"/>
      <c r="G959" s="143"/>
      <c r="H959" s="143"/>
      <c r="I959" s="143"/>
      <c r="J959" s="143"/>
      <c r="K959" s="143"/>
      <c r="L959" s="143"/>
      <c r="M959" s="143"/>
      <c r="N959" s="143"/>
      <c r="O959" s="143"/>
      <c r="P959" s="143"/>
      <c r="Q959" s="143"/>
      <c r="R959" s="143"/>
      <c r="S959" s="143"/>
      <c r="T959" s="143"/>
      <c r="U959" s="143"/>
      <c r="V959" s="143"/>
      <c r="W959" s="143"/>
      <c r="X959" s="143"/>
      <c r="Y959" s="143"/>
      <c r="Z959" s="143"/>
      <c r="AA959" s="156"/>
      <c r="AB959" s="156"/>
      <c r="AC959" s="156"/>
      <c r="AD959" s="156"/>
      <c r="AE959" s="156"/>
    </row>
    <row r="960">
      <c r="A960" s="156"/>
      <c r="B960" s="156"/>
      <c r="C960" s="156"/>
      <c r="D960" s="154"/>
      <c r="E960" s="156"/>
      <c r="F960" s="143"/>
      <c r="G960" s="143"/>
      <c r="H960" s="143"/>
      <c r="I960" s="143"/>
      <c r="J960" s="143"/>
      <c r="K960" s="143"/>
      <c r="L960" s="143"/>
      <c r="M960" s="143"/>
      <c r="N960" s="143"/>
      <c r="O960" s="143"/>
      <c r="P960" s="143"/>
      <c r="Q960" s="143"/>
      <c r="R960" s="143"/>
      <c r="S960" s="143"/>
      <c r="T960" s="143"/>
      <c r="U960" s="143"/>
      <c r="V960" s="143"/>
      <c r="W960" s="143"/>
      <c r="X960" s="143"/>
      <c r="Y960" s="143"/>
      <c r="Z960" s="143"/>
      <c r="AA960" s="156"/>
      <c r="AB960" s="156"/>
      <c r="AC960" s="156"/>
      <c r="AD960" s="156"/>
      <c r="AE960" s="156"/>
    </row>
    <row r="961">
      <c r="A961" s="156"/>
      <c r="B961" s="156"/>
      <c r="C961" s="156"/>
      <c r="D961" s="154"/>
      <c r="E961" s="156"/>
      <c r="F961" s="143"/>
      <c r="G961" s="143"/>
      <c r="H961" s="143"/>
      <c r="I961" s="143"/>
      <c r="J961" s="143"/>
      <c r="K961" s="143"/>
      <c r="L961" s="143"/>
      <c r="M961" s="143"/>
      <c r="N961" s="143"/>
      <c r="O961" s="143"/>
      <c r="P961" s="143"/>
      <c r="Q961" s="143"/>
      <c r="R961" s="143"/>
      <c r="S961" s="143"/>
      <c r="T961" s="143"/>
      <c r="U961" s="143"/>
      <c r="V961" s="143"/>
      <c r="W961" s="143"/>
      <c r="X961" s="143"/>
      <c r="Y961" s="143"/>
      <c r="Z961" s="143"/>
      <c r="AA961" s="156"/>
      <c r="AB961" s="156"/>
      <c r="AC961" s="156"/>
      <c r="AD961" s="156"/>
      <c r="AE961" s="156"/>
    </row>
    <row r="962">
      <c r="A962" s="156"/>
      <c r="B962" s="156"/>
      <c r="C962" s="156"/>
      <c r="D962" s="154"/>
      <c r="E962" s="156"/>
      <c r="F962" s="143"/>
      <c r="G962" s="143"/>
      <c r="H962" s="143"/>
      <c r="I962" s="143"/>
      <c r="J962" s="143"/>
      <c r="K962" s="143"/>
      <c r="L962" s="143"/>
      <c r="M962" s="143"/>
      <c r="N962" s="143"/>
      <c r="O962" s="143"/>
      <c r="P962" s="143"/>
      <c r="Q962" s="143"/>
      <c r="R962" s="143"/>
      <c r="S962" s="143"/>
      <c r="T962" s="143"/>
      <c r="U962" s="143"/>
      <c r="V962" s="143"/>
      <c r="W962" s="143"/>
      <c r="X962" s="143"/>
      <c r="Y962" s="143"/>
      <c r="Z962" s="143"/>
      <c r="AA962" s="156"/>
      <c r="AB962" s="156"/>
      <c r="AC962" s="156"/>
      <c r="AD962" s="156"/>
      <c r="AE962" s="156"/>
    </row>
    <row r="963">
      <c r="A963" s="156"/>
      <c r="B963" s="156"/>
      <c r="C963" s="156"/>
      <c r="D963" s="154"/>
      <c r="E963" s="156"/>
      <c r="F963" s="143"/>
      <c r="G963" s="143"/>
      <c r="H963" s="143"/>
      <c r="I963" s="143"/>
      <c r="J963" s="143"/>
      <c r="K963" s="143"/>
      <c r="L963" s="143"/>
      <c r="M963" s="143"/>
      <c r="N963" s="143"/>
      <c r="O963" s="143"/>
      <c r="P963" s="143"/>
      <c r="Q963" s="143"/>
      <c r="R963" s="143"/>
      <c r="S963" s="143"/>
      <c r="T963" s="143"/>
      <c r="U963" s="143"/>
      <c r="V963" s="143"/>
      <c r="W963" s="143"/>
      <c r="X963" s="143"/>
      <c r="Y963" s="143"/>
      <c r="Z963" s="143"/>
      <c r="AA963" s="156"/>
      <c r="AB963" s="156"/>
      <c r="AC963" s="156"/>
      <c r="AD963" s="156"/>
      <c r="AE963" s="156"/>
    </row>
    <row r="964">
      <c r="A964" s="156"/>
      <c r="B964" s="156"/>
      <c r="C964" s="156"/>
      <c r="D964" s="154"/>
      <c r="E964" s="156"/>
      <c r="F964" s="143"/>
      <c r="G964" s="143"/>
      <c r="H964" s="143"/>
      <c r="I964" s="143"/>
      <c r="J964" s="143"/>
      <c r="K964" s="143"/>
      <c r="L964" s="143"/>
      <c r="M964" s="143"/>
      <c r="N964" s="143"/>
      <c r="O964" s="143"/>
      <c r="P964" s="143"/>
      <c r="Q964" s="143"/>
      <c r="R964" s="143"/>
      <c r="S964" s="143"/>
      <c r="T964" s="143"/>
      <c r="U964" s="143"/>
      <c r="V964" s="143"/>
      <c r="W964" s="143"/>
      <c r="X964" s="143"/>
      <c r="Y964" s="143"/>
      <c r="Z964" s="143"/>
      <c r="AA964" s="156"/>
      <c r="AB964" s="156"/>
      <c r="AC964" s="156"/>
      <c r="AD964" s="156"/>
      <c r="AE964" s="156"/>
    </row>
    <row r="965">
      <c r="A965" s="156"/>
      <c r="B965" s="156"/>
      <c r="C965" s="156"/>
      <c r="D965" s="154"/>
      <c r="E965" s="156"/>
      <c r="F965" s="143"/>
      <c r="G965" s="143"/>
      <c r="H965" s="143"/>
      <c r="I965" s="143"/>
      <c r="J965" s="143"/>
      <c r="K965" s="143"/>
      <c r="L965" s="143"/>
      <c r="M965" s="143"/>
      <c r="N965" s="143"/>
      <c r="O965" s="143"/>
      <c r="P965" s="143"/>
      <c r="Q965" s="143"/>
      <c r="R965" s="143"/>
      <c r="S965" s="143"/>
      <c r="T965" s="143"/>
      <c r="U965" s="143"/>
      <c r="V965" s="143"/>
      <c r="W965" s="143"/>
      <c r="X965" s="143"/>
      <c r="Y965" s="143"/>
      <c r="Z965" s="143"/>
      <c r="AA965" s="156"/>
      <c r="AB965" s="156"/>
      <c r="AC965" s="156"/>
      <c r="AD965" s="156"/>
      <c r="AE965" s="156"/>
    </row>
    <row r="966">
      <c r="A966" s="156"/>
      <c r="B966" s="156"/>
      <c r="C966" s="156"/>
      <c r="D966" s="154"/>
      <c r="E966" s="156"/>
      <c r="F966" s="143"/>
      <c r="G966" s="143"/>
      <c r="H966" s="143"/>
      <c r="I966" s="143"/>
      <c r="J966" s="143"/>
      <c r="K966" s="143"/>
      <c r="L966" s="143"/>
      <c r="M966" s="143"/>
      <c r="N966" s="143"/>
      <c r="O966" s="143"/>
      <c r="P966" s="143"/>
      <c r="Q966" s="143"/>
      <c r="R966" s="143"/>
      <c r="S966" s="143"/>
      <c r="T966" s="143"/>
      <c r="U966" s="143"/>
      <c r="V966" s="143"/>
      <c r="W966" s="143"/>
      <c r="X966" s="143"/>
      <c r="Y966" s="143"/>
      <c r="Z966" s="143"/>
      <c r="AA966" s="156"/>
      <c r="AB966" s="156"/>
      <c r="AC966" s="156"/>
      <c r="AD966" s="156"/>
      <c r="AE966" s="156"/>
    </row>
    <row r="967">
      <c r="A967" s="156"/>
      <c r="B967" s="156"/>
      <c r="C967" s="156"/>
      <c r="D967" s="154"/>
      <c r="E967" s="156"/>
      <c r="F967" s="143"/>
      <c r="G967" s="143"/>
      <c r="H967" s="143"/>
      <c r="I967" s="143"/>
      <c r="J967" s="143"/>
      <c r="K967" s="143"/>
      <c r="L967" s="143"/>
      <c r="M967" s="143"/>
      <c r="N967" s="143"/>
      <c r="O967" s="143"/>
      <c r="P967" s="143"/>
      <c r="Q967" s="143"/>
      <c r="R967" s="143"/>
      <c r="S967" s="143"/>
      <c r="T967" s="143"/>
      <c r="U967" s="143"/>
      <c r="V967" s="143"/>
      <c r="W967" s="143"/>
      <c r="X967" s="143"/>
      <c r="Y967" s="143"/>
      <c r="Z967" s="143"/>
      <c r="AA967" s="156"/>
      <c r="AB967" s="156"/>
      <c r="AC967" s="156"/>
      <c r="AD967" s="156"/>
      <c r="AE967" s="156"/>
    </row>
    <row r="968">
      <c r="A968" s="156"/>
      <c r="B968" s="156"/>
      <c r="C968" s="156"/>
      <c r="D968" s="154"/>
      <c r="E968" s="156"/>
      <c r="F968" s="143"/>
      <c r="G968" s="143"/>
      <c r="H968" s="143"/>
      <c r="I968" s="143"/>
      <c r="J968" s="143"/>
      <c r="K968" s="143"/>
      <c r="L968" s="143"/>
      <c r="M968" s="143"/>
      <c r="N968" s="143"/>
      <c r="O968" s="143"/>
      <c r="P968" s="143"/>
      <c r="Q968" s="143"/>
      <c r="R968" s="143"/>
      <c r="S968" s="143"/>
      <c r="T968" s="143"/>
      <c r="U968" s="143"/>
      <c r="V968" s="143"/>
      <c r="W968" s="143"/>
      <c r="X968" s="143"/>
      <c r="Y968" s="143"/>
      <c r="Z968" s="143"/>
      <c r="AA968" s="156"/>
      <c r="AB968" s="156"/>
      <c r="AC968" s="156"/>
      <c r="AD968" s="156"/>
      <c r="AE968" s="156"/>
    </row>
    <row r="969">
      <c r="A969" s="156"/>
      <c r="B969" s="156"/>
      <c r="C969" s="156"/>
      <c r="D969" s="154"/>
      <c r="E969" s="156"/>
      <c r="F969" s="143"/>
      <c r="G969" s="143"/>
      <c r="H969" s="143"/>
      <c r="I969" s="143"/>
      <c r="J969" s="143"/>
      <c r="K969" s="143"/>
      <c r="L969" s="143"/>
      <c r="M969" s="143"/>
      <c r="N969" s="143"/>
      <c r="O969" s="143"/>
      <c r="P969" s="143"/>
      <c r="Q969" s="143"/>
      <c r="R969" s="143"/>
      <c r="S969" s="143"/>
      <c r="T969" s="143"/>
      <c r="U969" s="143"/>
      <c r="V969" s="143"/>
      <c r="W969" s="143"/>
      <c r="X969" s="143"/>
      <c r="Y969" s="143"/>
      <c r="Z969" s="143"/>
      <c r="AA969" s="156"/>
      <c r="AB969" s="156"/>
      <c r="AC969" s="156"/>
      <c r="AD969" s="156"/>
      <c r="AE969" s="156"/>
    </row>
    <row r="970">
      <c r="A970" s="156"/>
      <c r="B970" s="156"/>
      <c r="C970" s="156"/>
      <c r="D970" s="154"/>
      <c r="E970" s="156"/>
      <c r="F970" s="143"/>
      <c r="G970" s="143"/>
      <c r="H970" s="143"/>
      <c r="I970" s="143"/>
      <c r="J970" s="143"/>
      <c r="K970" s="143"/>
      <c r="L970" s="143"/>
      <c r="M970" s="143"/>
      <c r="N970" s="143"/>
      <c r="O970" s="143"/>
      <c r="P970" s="143"/>
      <c r="Q970" s="143"/>
      <c r="R970" s="143"/>
      <c r="S970" s="143"/>
      <c r="T970" s="143"/>
      <c r="U970" s="143"/>
      <c r="V970" s="143"/>
      <c r="W970" s="143"/>
      <c r="X970" s="143"/>
      <c r="Y970" s="143"/>
      <c r="Z970" s="143"/>
      <c r="AA970" s="156"/>
      <c r="AB970" s="156"/>
      <c r="AC970" s="156"/>
      <c r="AD970" s="156"/>
      <c r="AE970" s="156"/>
    </row>
    <row r="971">
      <c r="A971" s="156"/>
      <c r="B971" s="156"/>
      <c r="C971" s="156"/>
      <c r="D971" s="154"/>
      <c r="E971" s="156"/>
      <c r="F971" s="143"/>
      <c r="G971" s="143"/>
      <c r="H971" s="143"/>
      <c r="I971" s="143"/>
      <c r="J971" s="143"/>
      <c r="K971" s="143"/>
      <c r="L971" s="143"/>
      <c r="M971" s="143"/>
      <c r="N971" s="143"/>
      <c r="O971" s="143"/>
      <c r="P971" s="143"/>
      <c r="Q971" s="143"/>
      <c r="R971" s="143"/>
      <c r="S971" s="143"/>
      <c r="T971" s="143"/>
      <c r="U971" s="143"/>
      <c r="V971" s="143"/>
      <c r="W971" s="143"/>
      <c r="X971" s="143"/>
      <c r="Y971" s="143"/>
      <c r="Z971" s="143"/>
      <c r="AA971" s="156"/>
      <c r="AB971" s="156"/>
      <c r="AC971" s="156"/>
      <c r="AD971" s="156"/>
      <c r="AE971" s="156"/>
    </row>
    <row r="972">
      <c r="A972" s="156"/>
      <c r="B972" s="156"/>
      <c r="C972" s="156"/>
      <c r="D972" s="154"/>
      <c r="E972" s="156"/>
      <c r="F972" s="143"/>
      <c r="G972" s="143"/>
      <c r="H972" s="143"/>
      <c r="I972" s="143"/>
      <c r="J972" s="143"/>
      <c r="K972" s="143"/>
      <c r="L972" s="143"/>
      <c r="M972" s="143"/>
      <c r="N972" s="143"/>
      <c r="O972" s="143"/>
      <c r="P972" s="143"/>
      <c r="Q972" s="143"/>
      <c r="R972" s="143"/>
      <c r="S972" s="143"/>
      <c r="T972" s="143"/>
      <c r="U972" s="143"/>
      <c r="V972" s="143"/>
      <c r="W972" s="143"/>
      <c r="X972" s="143"/>
      <c r="Y972" s="143"/>
      <c r="Z972" s="143"/>
      <c r="AA972" s="156"/>
      <c r="AB972" s="156"/>
      <c r="AC972" s="156"/>
      <c r="AD972" s="156"/>
      <c r="AE972" s="156"/>
    </row>
    <row r="973">
      <c r="A973" s="156"/>
      <c r="B973" s="156"/>
      <c r="C973" s="156"/>
      <c r="D973" s="154"/>
      <c r="E973" s="156"/>
      <c r="F973" s="143"/>
      <c r="G973" s="143"/>
      <c r="H973" s="143"/>
      <c r="I973" s="143"/>
      <c r="J973" s="143"/>
      <c r="K973" s="143"/>
      <c r="L973" s="143"/>
      <c r="M973" s="143"/>
      <c r="N973" s="143"/>
      <c r="O973" s="143"/>
      <c r="P973" s="143"/>
      <c r="Q973" s="143"/>
      <c r="R973" s="143"/>
      <c r="S973" s="143"/>
      <c r="T973" s="143"/>
      <c r="U973" s="143"/>
      <c r="V973" s="143"/>
      <c r="W973" s="143"/>
      <c r="X973" s="143"/>
      <c r="Y973" s="143"/>
      <c r="Z973" s="143"/>
      <c r="AA973" s="156"/>
      <c r="AB973" s="156"/>
      <c r="AC973" s="156"/>
      <c r="AD973" s="156"/>
      <c r="AE973" s="156"/>
    </row>
    <row r="974">
      <c r="A974" s="156"/>
      <c r="B974" s="156"/>
      <c r="C974" s="156"/>
      <c r="D974" s="154"/>
      <c r="E974" s="156"/>
      <c r="F974" s="143"/>
      <c r="G974" s="143"/>
      <c r="H974" s="143"/>
      <c r="I974" s="143"/>
      <c r="J974" s="143"/>
      <c r="K974" s="143"/>
      <c r="L974" s="143"/>
      <c r="M974" s="143"/>
      <c r="N974" s="143"/>
      <c r="O974" s="143"/>
      <c r="P974" s="143"/>
      <c r="Q974" s="143"/>
      <c r="R974" s="143"/>
      <c r="S974" s="143"/>
      <c r="T974" s="143"/>
      <c r="U974" s="143"/>
      <c r="V974" s="143"/>
      <c r="W974" s="143"/>
      <c r="X974" s="143"/>
      <c r="Y974" s="143"/>
      <c r="Z974" s="143"/>
      <c r="AA974" s="156"/>
      <c r="AB974" s="156"/>
      <c r="AC974" s="156"/>
      <c r="AD974" s="156"/>
      <c r="AE974" s="156"/>
    </row>
    <row r="975">
      <c r="A975" s="156"/>
      <c r="B975" s="156"/>
      <c r="C975" s="156"/>
      <c r="D975" s="154"/>
      <c r="E975" s="156"/>
      <c r="F975" s="143"/>
      <c r="G975" s="143"/>
      <c r="H975" s="143"/>
      <c r="I975" s="143"/>
      <c r="J975" s="143"/>
      <c r="K975" s="143"/>
      <c r="L975" s="143"/>
      <c r="M975" s="143"/>
      <c r="N975" s="143"/>
      <c r="O975" s="143"/>
      <c r="P975" s="143"/>
      <c r="Q975" s="143"/>
      <c r="R975" s="143"/>
      <c r="S975" s="143"/>
      <c r="T975" s="143"/>
      <c r="U975" s="143"/>
      <c r="V975" s="143"/>
      <c r="W975" s="143"/>
      <c r="X975" s="143"/>
      <c r="Y975" s="143"/>
      <c r="Z975" s="143"/>
      <c r="AA975" s="156"/>
      <c r="AB975" s="156"/>
      <c r="AC975" s="156"/>
      <c r="AD975" s="156"/>
      <c r="AE975" s="156"/>
    </row>
    <row r="976">
      <c r="A976" s="156"/>
      <c r="B976" s="156"/>
      <c r="C976" s="156"/>
      <c r="D976" s="154"/>
      <c r="E976" s="156"/>
      <c r="F976" s="143"/>
      <c r="G976" s="143"/>
      <c r="H976" s="143"/>
      <c r="I976" s="143"/>
      <c r="J976" s="143"/>
      <c r="K976" s="143"/>
      <c r="L976" s="143"/>
      <c r="M976" s="143"/>
      <c r="N976" s="143"/>
      <c r="O976" s="143"/>
      <c r="P976" s="143"/>
      <c r="Q976" s="143"/>
      <c r="R976" s="143"/>
      <c r="S976" s="143"/>
      <c r="T976" s="143"/>
      <c r="U976" s="143"/>
      <c r="V976" s="143"/>
      <c r="W976" s="143"/>
      <c r="X976" s="143"/>
      <c r="Y976" s="143"/>
      <c r="Z976" s="143"/>
      <c r="AA976" s="156"/>
      <c r="AB976" s="156"/>
      <c r="AC976" s="156"/>
      <c r="AD976" s="156"/>
      <c r="AE976" s="156"/>
    </row>
    <row r="977">
      <c r="A977" s="156"/>
      <c r="B977" s="156"/>
      <c r="C977" s="156"/>
      <c r="D977" s="154"/>
      <c r="E977" s="156"/>
      <c r="F977" s="143"/>
      <c r="G977" s="143"/>
      <c r="H977" s="143"/>
      <c r="I977" s="143"/>
      <c r="J977" s="143"/>
      <c r="K977" s="143"/>
      <c r="L977" s="143"/>
      <c r="M977" s="143"/>
      <c r="N977" s="143"/>
      <c r="O977" s="143"/>
      <c r="P977" s="143"/>
      <c r="Q977" s="143"/>
      <c r="R977" s="143"/>
      <c r="S977" s="143"/>
      <c r="T977" s="143"/>
      <c r="U977" s="143"/>
      <c r="V977" s="143"/>
      <c r="W977" s="143"/>
      <c r="X977" s="143"/>
      <c r="Y977" s="143"/>
      <c r="Z977" s="143"/>
      <c r="AA977" s="156"/>
      <c r="AB977" s="156"/>
      <c r="AC977" s="156"/>
      <c r="AD977" s="156"/>
      <c r="AE977" s="156"/>
    </row>
    <row r="978">
      <c r="A978" s="156"/>
      <c r="B978" s="156"/>
      <c r="C978" s="156"/>
      <c r="D978" s="154"/>
      <c r="E978" s="156"/>
      <c r="F978" s="143"/>
      <c r="G978" s="143"/>
      <c r="H978" s="143"/>
      <c r="I978" s="143"/>
      <c r="J978" s="143"/>
      <c r="K978" s="143"/>
      <c r="L978" s="143"/>
      <c r="M978" s="143"/>
      <c r="N978" s="143"/>
      <c r="O978" s="143"/>
      <c r="P978" s="143"/>
      <c r="Q978" s="143"/>
      <c r="R978" s="143"/>
      <c r="S978" s="143"/>
      <c r="T978" s="143"/>
      <c r="U978" s="143"/>
      <c r="V978" s="143"/>
      <c r="W978" s="143"/>
      <c r="X978" s="143"/>
      <c r="Y978" s="143"/>
      <c r="Z978" s="143"/>
      <c r="AA978" s="156"/>
      <c r="AB978" s="156"/>
      <c r="AC978" s="156"/>
      <c r="AD978" s="156"/>
      <c r="AE978" s="156"/>
    </row>
    <row r="979">
      <c r="A979" s="156"/>
      <c r="B979" s="156"/>
      <c r="C979" s="156"/>
      <c r="D979" s="154"/>
      <c r="E979" s="156"/>
      <c r="F979" s="143"/>
      <c r="G979" s="143"/>
      <c r="H979" s="143"/>
      <c r="I979" s="143"/>
      <c r="J979" s="143"/>
      <c r="K979" s="143"/>
      <c r="L979" s="143"/>
      <c r="M979" s="143"/>
      <c r="N979" s="143"/>
      <c r="O979" s="143"/>
      <c r="P979" s="143"/>
      <c r="Q979" s="143"/>
      <c r="R979" s="143"/>
      <c r="S979" s="143"/>
      <c r="T979" s="143"/>
      <c r="U979" s="143"/>
      <c r="V979" s="143"/>
      <c r="W979" s="143"/>
      <c r="X979" s="143"/>
      <c r="Y979" s="143"/>
      <c r="Z979" s="143"/>
      <c r="AA979" s="156"/>
      <c r="AB979" s="156"/>
      <c r="AC979" s="156"/>
      <c r="AD979" s="156"/>
      <c r="AE979" s="156"/>
    </row>
    <row r="980">
      <c r="A980" s="156"/>
      <c r="B980" s="156"/>
      <c r="C980" s="156"/>
      <c r="D980" s="154"/>
      <c r="E980" s="156"/>
      <c r="F980" s="143"/>
      <c r="G980" s="143"/>
      <c r="H980" s="143"/>
      <c r="I980" s="143"/>
      <c r="J980" s="143"/>
      <c r="K980" s="143"/>
      <c r="L980" s="143"/>
      <c r="M980" s="143"/>
      <c r="N980" s="143"/>
      <c r="O980" s="143"/>
      <c r="P980" s="143"/>
      <c r="Q980" s="143"/>
      <c r="R980" s="143"/>
      <c r="S980" s="143"/>
      <c r="T980" s="143"/>
      <c r="U980" s="143"/>
      <c r="V980" s="143"/>
      <c r="W980" s="143"/>
      <c r="X980" s="143"/>
      <c r="Y980" s="143"/>
      <c r="Z980" s="143"/>
      <c r="AA980" s="156"/>
      <c r="AB980" s="156"/>
      <c r="AC980" s="156"/>
      <c r="AD980" s="156"/>
      <c r="AE980" s="156"/>
    </row>
    <row r="981">
      <c r="A981" s="156"/>
      <c r="B981" s="156"/>
      <c r="C981" s="156"/>
      <c r="D981" s="154"/>
      <c r="E981" s="156"/>
      <c r="F981" s="143"/>
      <c r="G981" s="143"/>
      <c r="H981" s="143"/>
      <c r="I981" s="143"/>
      <c r="J981" s="143"/>
      <c r="K981" s="143"/>
      <c r="L981" s="143"/>
      <c r="M981" s="143"/>
      <c r="N981" s="143"/>
      <c r="O981" s="143"/>
      <c r="P981" s="143"/>
      <c r="Q981" s="143"/>
      <c r="R981" s="143"/>
      <c r="S981" s="143"/>
      <c r="T981" s="143"/>
      <c r="U981" s="143"/>
      <c r="V981" s="143"/>
      <c r="W981" s="143"/>
      <c r="X981" s="143"/>
      <c r="Y981" s="143"/>
      <c r="Z981" s="143"/>
      <c r="AA981" s="156"/>
      <c r="AB981" s="156"/>
      <c r="AC981" s="156"/>
      <c r="AD981" s="156"/>
      <c r="AE981" s="156"/>
    </row>
    <row r="982">
      <c r="A982" s="156"/>
      <c r="B982" s="156"/>
      <c r="C982" s="156"/>
      <c r="D982" s="154"/>
      <c r="E982" s="156"/>
      <c r="F982" s="143"/>
      <c r="G982" s="143"/>
      <c r="H982" s="143"/>
      <c r="I982" s="143"/>
      <c r="J982" s="143"/>
      <c r="K982" s="143"/>
      <c r="L982" s="143"/>
      <c r="M982" s="143"/>
      <c r="N982" s="143"/>
      <c r="O982" s="143"/>
      <c r="P982" s="143"/>
      <c r="Q982" s="143"/>
      <c r="R982" s="143"/>
      <c r="S982" s="143"/>
      <c r="T982" s="143"/>
      <c r="U982" s="143"/>
      <c r="V982" s="143"/>
      <c r="W982" s="143"/>
      <c r="X982" s="143"/>
      <c r="Y982" s="143"/>
      <c r="Z982" s="143"/>
      <c r="AA982" s="156"/>
      <c r="AB982" s="156"/>
      <c r="AC982" s="156"/>
      <c r="AD982" s="156"/>
      <c r="AE982" s="156"/>
    </row>
    <row r="983">
      <c r="A983" s="156"/>
      <c r="B983" s="156"/>
      <c r="C983" s="156"/>
      <c r="D983" s="154"/>
      <c r="E983" s="156"/>
      <c r="F983" s="143"/>
      <c r="G983" s="143"/>
      <c r="H983" s="143"/>
      <c r="I983" s="143"/>
      <c r="J983" s="143"/>
      <c r="K983" s="143"/>
      <c r="L983" s="143"/>
      <c r="M983" s="143"/>
      <c r="N983" s="143"/>
      <c r="O983" s="143"/>
      <c r="P983" s="143"/>
      <c r="Q983" s="143"/>
      <c r="R983" s="143"/>
      <c r="S983" s="143"/>
      <c r="T983" s="143"/>
      <c r="U983" s="143"/>
      <c r="V983" s="143"/>
      <c r="W983" s="143"/>
      <c r="X983" s="143"/>
      <c r="Y983" s="143"/>
      <c r="Z983" s="143"/>
      <c r="AA983" s="156"/>
      <c r="AB983" s="156"/>
      <c r="AC983" s="156"/>
      <c r="AD983" s="156"/>
      <c r="AE983" s="156"/>
    </row>
    <row r="984">
      <c r="A984" s="156"/>
      <c r="B984" s="156"/>
      <c r="C984" s="156"/>
      <c r="D984" s="154"/>
      <c r="E984" s="156"/>
      <c r="F984" s="143"/>
      <c r="G984" s="143"/>
      <c r="H984" s="143"/>
      <c r="I984" s="143"/>
      <c r="J984" s="143"/>
      <c r="K984" s="143"/>
      <c r="L984" s="143"/>
      <c r="M984" s="143"/>
      <c r="N984" s="143"/>
      <c r="O984" s="143"/>
      <c r="P984" s="143"/>
      <c r="Q984" s="143"/>
      <c r="R984" s="143"/>
      <c r="S984" s="143"/>
      <c r="T984" s="143"/>
      <c r="U984" s="143"/>
      <c r="V984" s="143"/>
      <c r="W984" s="143"/>
      <c r="X984" s="143"/>
      <c r="Y984" s="143"/>
      <c r="Z984" s="143"/>
      <c r="AA984" s="156"/>
      <c r="AB984" s="156"/>
      <c r="AC984" s="156"/>
      <c r="AD984" s="156"/>
      <c r="AE984" s="156"/>
    </row>
    <row r="985">
      <c r="A985" s="156"/>
      <c r="B985" s="156"/>
      <c r="C985" s="156"/>
      <c r="D985" s="154"/>
      <c r="E985" s="156"/>
      <c r="F985" s="143"/>
      <c r="G985" s="143"/>
      <c r="H985" s="143"/>
      <c r="I985" s="143"/>
      <c r="J985" s="143"/>
      <c r="K985" s="143"/>
      <c r="L985" s="143"/>
      <c r="M985" s="143"/>
      <c r="N985" s="143"/>
      <c r="O985" s="143"/>
      <c r="P985" s="143"/>
      <c r="Q985" s="143"/>
      <c r="R985" s="143"/>
      <c r="S985" s="143"/>
      <c r="T985" s="143"/>
      <c r="U985" s="143"/>
      <c r="V985" s="143"/>
      <c r="W985" s="143"/>
      <c r="X985" s="143"/>
      <c r="Y985" s="143"/>
      <c r="Z985" s="143"/>
      <c r="AA985" s="156"/>
      <c r="AB985" s="156"/>
      <c r="AC985" s="156"/>
      <c r="AD985" s="156"/>
      <c r="AE985" s="156"/>
    </row>
    <row r="986">
      <c r="A986" s="156"/>
      <c r="B986" s="156"/>
      <c r="C986" s="156"/>
      <c r="D986" s="154"/>
      <c r="E986" s="156"/>
      <c r="F986" s="143"/>
      <c r="G986" s="143"/>
      <c r="H986" s="143"/>
      <c r="I986" s="143"/>
      <c r="J986" s="143"/>
      <c r="K986" s="143"/>
      <c r="L986" s="143"/>
      <c r="M986" s="143"/>
      <c r="N986" s="143"/>
      <c r="O986" s="143"/>
      <c r="P986" s="143"/>
      <c r="Q986" s="143"/>
      <c r="R986" s="143"/>
      <c r="S986" s="143"/>
      <c r="T986" s="143"/>
      <c r="U986" s="143"/>
      <c r="V986" s="143"/>
      <c r="W986" s="143"/>
      <c r="X986" s="143"/>
      <c r="Y986" s="143"/>
      <c r="Z986" s="143"/>
      <c r="AA986" s="156"/>
      <c r="AB986" s="156"/>
      <c r="AC986" s="156"/>
      <c r="AD986" s="156"/>
      <c r="AE986" s="156"/>
    </row>
    <row r="987">
      <c r="A987" s="156"/>
      <c r="B987" s="156"/>
      <c r="C987" s="156"/>
      <c r="D987" s="154"/>
      <c r="E987" s="156"/>
      <c r="F987" s="143"/>
      <c r="G987" s="143"/>
      <c r="H987" s="143"/>
      <c r="I987" s="143"/>
      <c r="J987" s="143"/>
      <c r="K987" s="143"/>
      <c r="L987" s="143"/>
      <c r="M987" s="143"/>
      <c r="N987" s="143"/>
      <c r="O987" s="143"/>
      <c r="P987" s="143"/>
      <c r="Q987" s="143"/>
      <c r="R987" s="143"/>
      <c r="S987" s="143"/>
      <c r="T987" s="143"/>
      <c r="U987" s="143"/>
      <c r="V987" s="143"/>
      <c r="W987" s="143"/>
      <c r="X987" s="143"/>
      <c r="Y987" s="143"/>
      <c r="Z987" s="143"/>
      <c r="AA987" s="156"/>
      <c r="AB987" s="156"/>
      <c r="AC987" s="156"/>
      <c r="AD987" s="156"/>
      <c r="AE987" s="156"/>
    </row>
    <row r="988">
      <c r="A988" s="156"/>
      <c r="B988" s="156"/>
      <c r="C988" s="156"/>
      <c r="D988" s="154"/>
      <c r="E988" s="156"/>
      <c r="F988" s="143"/>
      <c r="G988" s="143"/>
      <c r="H988" s="143"/>
      <c r="I988" s="143"/>
      <c r="J988" s="143"/>
      <c r="K988" s="143"/>
      <c r="L988" s="143"/>
      <c r="M988" s="143"/>
      <c r="N988" s="143"/>
      <c r="O988" s="143"/>
      <c r="P988" s="143"/>
      <c r="Q988" s="143"/>
      <c r="R988" s="143"/>
      <c r="S988" s="143"/>
      <c r="T988" s="143"/>
      <c r="U988" s="143"/>
      <c r="V988" s="143"/>
      <c r="W988" s="143"/>
      <c r="X988" s="143"/>
      <c r="Y988" s="143"/>
      <c r="Z988" s="143"/>
      <c r="AA988" s="156"/>
      <c r="AB988" s="156"/>
      <c r="AC988" s="156"/>
      <c r="AD988" s="156"/>
      <c r="AE988" s="156"/>
    </row>
    <row r="989">
      <c r="A989" s="156"/>
      <c r="B989" s="156"/>
      <c r="C989" s="156"/>
      <c r="D989" s="154"/>
      <c r="E989" s="156"/>
      <c r="F989" s="143"/>
      <c r="G989" s="143"/>
      <c r="H989" s="143"/>
      <c r="I989" s="143"/>
      <c r="J989" s="143"/>
      <c r="K989" s="143"/>
      <c r="L989" s="143"/>
      <c r="M989" s="143"/>
      <c r="N989" s="143"/>
      <c r="O989" s="143"/>
      <c r="P989" s="143"/>
      <c r="Q989" s="143"/>
      <c r="R989" s="143"/>
      <c r="S989" s="143"/>
      <c r="T989" s="143"/>
      <c r="U989" s="143"/>
      <c r="V989" s="143"/>
      <c r="W989" s="143"/>
      <c r="X989" s="143"/>
      <c r="Y989" s="143"/>
      <c r="Z989" s="143"/>
      <c r="AA989" s="156"/>
      <c r="AB989" s="156"/>
      <c r="AC989" s="156"/>
      <c r="AD989" s="156"/>
      <c r="AE989" s="156"/>
    </row>
    <row r="990">
      <c r="A990" s="156"/>
      <c r="B990" s="156"/>
      <c r="C990" s="156"/>
      <c r="D990" s="154"/>
      <c r="E990" s="156"/>
      <c r="F990" s="143"/>
      <c r="G990" s="143"/>
      <c r="H990" s="143"/>
      <c r="I990" s="143"/>
      <c r="J990" s="143"/>
      <c r="K990" s="143"/>
      <c r="L990" s="143"/>
      <c r="M990" s="143"/>
      <c r="N990" s="143"/>
      <c r="O990" s="143"/>
      <c r="P990" s="143"/>
      <c r="Q990" s="143"/>
      <c r="R990" s="143"/>
      <c r="S990" s="143"/>
      <c r="T990" s="143"/>
      <c r="U990" s="143"/>
      <c r="V990" s="143"/>
      <c r="W990" s="143"/>
      <c r="X990" s="143"/>
      <c r="Y990" s="143"/>
      <c r="Z990" s="143"/>
      <c r="AA990" s="156"/>
      <c r="AB990" s="156"/>
      <c r="AC990" s="156"/>
      <c r="AD990" s="156"/>
      <c r="AE990" s="156"/>
    </row>
    <row r="991">
      <c r="A991" s="156"/>
      <c r="B991" s="156"/>
      <c r="C991" s="156"/>
      <c r="D991" s="154"/>
      <c r="E991" s="156"/>
      <c r="F991" s="143"/>
      <c r="G991" s="143"/>
      <c r="H991" s="143"/>
      <c r="I991" s="143"/>
      <c r="J991" s="143"/>
      <c r="K991" s="143"/>
      <c r="L991" s="143"/>
      <c r="M991" s="143"/>
      <c r="N991" s="143"/>
      <c r="O991" s="143"/>
      <c r="P991" s="143"/>
      <c r="Q991" s="143"/>
      <c r="R991" s="143"/>
      <c r="S991" s="143"/>
      <c r="T991" s="143"/>
      <c r="U991" s="143"/>
      <c r="V991" s="143"/>
      <c r="W991" s="143"/>
      <c r="X991" s="143"/>
      <c r="Y991" s="143"/>
      <c r="Z991" s="143"/>
      <c r="AA991" s="156"/>
      <c r="AB991" s="156"/>
      <c r="AC991" s="156"/>
      <c r="AD991" s="156"/>
      <c r="AE991" s="156"/>
    </row>
    <row r="992">
      <c r="A992" s="156"/>
      <c r="B992" s="156"/>
      <c r="C992" s="156"/>
      <c r="D992" s="154"/>
      <c r="E992" s="156"/>
      <c r="F992" s="143"/>
      <c r="G992" s="143"/>
      <c r="H992" s="143"/>
      <c r="I992" s="143"/>
      <c r="J992" s="143"/>
      <c r="K992" s="143"/>
      <c r="L992" s="143"/>
      <c r="M992" s="143"/>
      <c r="N992" s="143"/>
      <c r="O992" s="143"/>
      <c r="P992" s="143"/>
      <c r="Q992" s="143"/>
      <c r="R992" s="143"/>
      <c r="S992" s="143"/>
      <c r="T992" s="143"/>
      <c r="U992" s="143"/>
      <c r="V992" s="143"/>
      <c r="W992" s="143"/>
      <c r="X992" s="143"/>
      <c r="Y992" s="143"/>
      <c r="Z992" s="143"/>
      <c r="AA992" s="156"/>
      <c r="AB992" s="156"/>
      <c r="AC992" s="156"/>
      <c r="AD992" s="156"/>
      <c r="AE992" s="156"/>
    </row>
    <row r="993">
      <c r="A993" s="143"/>
      <c r="B993" s="156"/>
      <c r="C993" s="143"/>
      <c r="D993" s="182"/>
      <c r="E993" s="156"/>
      <c r="F993" s="143"/>
      <c r="G993" s="143"/>
      <c r="H993" s="143"/>
      <c r="I993" s="143"/>
      <c r="J993" s="143"/>
      <c r="K993" s="143"/>
      <c r="L993" s="143"/>
      <c r="M993" s="143"/>
      <c r="N993" s="143"/>
      <c r="O993" s="143"/>
      <c r="P993" s="143"/>
      <c r="Q993" s="143"/>
      <c r="R993" s="143"/>
      <c r="S993" s="143"/>
      <c r="T993" s="143"/>
      <c r="U993" s="143"/>
      <c r="V993" s="143"/>
      <c r="W993" s="143"/>
      <c r="X993" s="143"/>
      <c r="Y993" s="143"/>
      <c r="Z993" s="143"/>
      <c r="AA993" s="156"/>
      <c r="AB993" s="156"/>
      <c r="AC993" s="156"/>
      <c r="AD993" s="156"/>
      <c r="AE993" s="156"/>
    </row>
    <row r="994">
      <c r="A994" s="143"/>
      <c r="B994" s="156"/>
      <c r="C994" s="143"/>
      <c r="D994" s="182"/>
      <c r="E994" s="156"/>
      <c r="F994" s="143"/>
      <c r="G994" s="143"/>
      <c r="H994" s="143"/>
      <c r="I994" s="143"/>
      <c r="J994" s="143"/>
      <c r="K994" s="143"/>
      <c r="L994" s="143"/>
      <c r="M994" s="143"/>
      <c r="N994" s="143"/>
      <c r="O994" s="143"/>
      <c r="P994" s="143"/>
      <c r="Q994" s="143"/>
      <c r="R994" s="143"/>
      <c r="S994" s="143"/>
      <c r="T994" s="143"/>
      <c r="U994" s="143"/>
      <c r="V994" s="143"/>
      <c r="W994" s="143"/>
      <c r="X994" s="143"/>
      <c r="Y994" s="143"/>
      <c r="Z994" s="143"/>
      <c r="AA994" s="156"/>
      <c r="AB994" s="156"/>
      <c r="AC994" s="156"/>
      <c r="AD994" s="156"/>
      <c r="AE994" s="156"/>
    </row>
    <row r="995">
      <c r="A995" s="143"/>
      <c r="B995" s="156"/>
      <c r="C995" s="143"/>
      <c r="D995" s="182"/>
      <c r="E995" s="156"/>
      <c r="F995" s="143"/>
      <c r="G995" s="143"/>
      <c r="H995" s="143"/>
      <c r="I995" s="143"/>
      <c r="J995" s="143"/>
      <c r="K995" s="143"/>
      <c r="L995" s="143"/>
      <c r="M995" s="143"/>
      <c r="N995" s="143"/>
      <c r="O995" s="143"/>
      <c r="P995" s="143"/>
      <c r="Q995" s="143"/>
      <c r="R995" s="143"/>
      <c r="S995" s="143"/>
      <c r="T995" s="143"/>
      <c r="U995" s="143"/>
      <c r="V995" s="143"/>
      <c r="W995" s="143"/>
      <c r="X995" s="143"/>
      <c r="Y995" s="143"/>
      <c r="Z995" s="143"/>
      <c r="AA995" s="156"/>
      <c r="AB995" s="156"/>
      <c r="AC995" s="156"/>
      <c r="AD995" s="156"/>
      <c r="AE995" s="156"/>
    </row>
    <row r="996">
      <c r="A996" s="143"/>
      <c r="B996" s="156"/>
      <c r="C996" s="143"/>
      <c r="D996" s="182"/>
      <c r="E996" s="156"/>
      <c r="F996" s="143"/>
      <c r="G996" s="143"/>
      <c r="H996" s="143"/>
      <c r="I996" s="143"/>
      <c r="J996" s="143"/>
      <c r="K996" s="143"/>
      <c r="L996" s="143"/>
      <c r="M996" s="143"/>
      <c r="N996" s="143"/>
      <c r="O996" s="143"/>
      <c r="P996" s="143"/>
      <c r="Q996" s="143"/>
      <c r="R996" s="143"/>
      <c r="S996" s="143"/>
      <c r="T996" s="143"/>
      <c r="U996" s="143"/>
      <c r="V996" s="143"/>
      <c r="W996" s="143"/>
      <c r="X996" s="143"/>
      <c r="Y996" s="143"/>
      <c r="Z996" s="143"/>
      <c r="AA996" s="156"/>
      <c r="AB996" s="156"/>
      <c r="AC996" s="156"/>
      <c r="AD996" s="156"/>
      <c r="AE996" s="156"/>
    </row>
    <row r="997">
      <c r="A997" s="143"/>
      <c r="B997" s="156"/>
      <c r="C997" s="143"/>
      <c r="D997" s="182"/>
      <c r="E997" s="156"/>
      <c r="F997" s="143"/>
      <c r="G997" s="143"/>
      <c r="H997" s="143"/>
      <c r="I997" s="143"/>
      <c r="J997" s="143"/>
      <c r="K997" s="143"/>
      <c r="L997" s="143"/>
      <c r="M997" s="143"/>
      <c r="N997" s="143"/>
      <c r="O997" s="143"/>
      <c r="P997" s="143"/>
      <c r="Q997" s="143"/>
      <c r="R997" s="143"/>
      <c r="S997" s="143"/>
      <c r="T997" s="143"/>
      <c r="U997" s="143"/>
      <c r="V997" s="143"/>
      <c r="W997" s="143"/>
      <c r="X997" s="143"/>
      <c r="Y997" s="143"/>
      <c r="Z997" s="143"/>
      <c r="AA997" s="156"/>
      <c r="AB997" s="156"/>
      <c r="AC997" s="156"/>
      <c r="AD997" s="156"/>
      <c r="AE997" s="156"/>
    </row>
    <row r="998">
      <c r="A998" s="143"/>
      <c r="B998" s="156"/>
      <c r="C998" s="143"/>
      <c r="D998" s="182"/>
      <c r="E998" s="156"/>
      <c r="F998" s="143"/>
      <c r="G998" s="143"/>
      <c r="H998" s="143"/>
      <c r="I998" s="143"/>
      <c r="J998" s="143"/>
      <c r="K998" s="143"/>
      <c r="L998" s="143"/>
      <c r="M998" s="143"/>
      <c r="N998" s="143"/>
      <c r="O998" s="143"/>
      <c r="P998" s="143"/>
      <c r="Q998" s="143"/>
      <c r="R998" s="143"/>
      <c r="S998" s="143"/>
      <c r="T998" s="143"/>
      <c r="U998" s="143"/>
      <c r="V998" s="143"/>
      <c r="W998" s="143"/>
      <c r="X998" s="143"/>
      <c r="Y998" s="143"/>
      <c r="Z998" s="143"/>
      <c r="AA998" s="156"/>
      <c r="AB998" s="156"/>
      <c r="AC998" s="156"/>
      <c r="AD998" s="156"/>
      <c r="AE998" s="156"/>
    </row>
    <row r="999">
      <c r="A999" s="143"/>
      <c r="B999" s="156"/>
      <c r="C999" s="143"/>
      <c r="D999" s="182"/>
      <c r="E999" s="156"/>
      <c r="F999" s="143"/>
      <c r="G999" s="143"/>
      <c r="H999" s="143"/>
      <c r="I999" s="143"/>
      <c r="J999" s="143"/>
      <c r="K999" s="143"/>
      <c r="L999" s="143"/>
      <c r="M999" s="143"/>
      <c r="N999" s="143"/>
      <c r="O999" s="143"/>
      <c r="P999" s="143"/>
      <c r="Q999" s="143"/>
      <c r="R999" s="143"/>
      <c r="S999" s="143"/>
      <c r="T999" s="143"/>
      <c r="U999" s="143"/>
      <c r="V999" s="143"/>
      <c r="W999" s="143"/>
      <c r="X999" s="143"/>
      <c r="Y999" s="143"/>
      <c r="Z999" s="143"/>
      <c r="AA999" s="156"/>
      <c r="AB999" s="156"/>
      <c r="AC999" s="156"/>
      <c r="AD999" s="156"/>
      <c r="AE999" s="156"/>
    </row>
  </sheetData>
  <autoFilter ref="$E$1:$E$999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45.86"/>
    <col customWidth="1" min="3" max="3" width="40.71"/>
    <col customWidth="1" min="4" max="4" width="56.29"/>
    <col customWidth="1" min="5" max="6" width="45.86"/>
    <col customWidth="1" min="7" max="7" width="51.57"/>
    <col customWidth="1" min="8" max="8" width="25.57"/>
    <col customWidth="1" min="9" max="9" width="66.57"/>
    <col customWidth="1" min="10" max="10" width="22.43"/>
  </cols>
  <sheetData>
    <row r="1">
      <c r="A1" s="159" t="s">
        <v>0</v>
      </c>
      <c r="B1" s="159" t="s">
        <v>1</v>
      </c>
      <c r="C1" s="159" t="s">
        <v>2</v>
      </c>
      <c r="D1" s="160" t="s">
        <v>3</v>
      </c>
      <c r="E1" s="159" t="s">
        <v>4</v>
      </c>
      <c r="F1" s="161"/>
      <c r="G1" s="161"/>
      <c r="H1" s="161"/>
      <c r="I1" s="161"/>
      <c r="J1" s="161"/>
      <c r="K1" s="161"/>
      <c r="L1" s="161"/>
      <c r="M1" s="161"/>
      <c r="N1" s="161"/>
      <c r="O1" s="161"/>
      <c r="P1" s="161"/>
      <c r="Q1" s="161"/>
      <c r="R1" s="161"/>
      <c r="S1" s="161"/>
      <c r="T1" s="161"/>
      <c r="U1" s="161"/>
      <c r="V1" s="161"/>
      <c r="W1" s="161"/>
      <c r="X1" s="161"/>
      <c r="Y1" s="161"/>
      <c r="Z1" s="161"/>
      <c r="AA1" s="161"/>
      <c r="AB1" s="161"/>
      <c r="AC1" s="161"/>
      <c r="AD1" s="161"/>
      <c r="AE1" s="161"/>
      <c r="AF1" s="161"/>
      <c r="AG1" s="161"/>
      <c r="AH1" s="161"/>
    </row>
    <row r="2">
      <c r="A2" s="48" t="s">
        <v>8085</v>
      </c>
      <c r="B2" s="48" t="s">
        <v>8085</v>
      </c>
      <c r="C2" s="27" t="s">
        <v>8086</v>
      </c>
      <c r="D2" s="55" t="s">
        <v>8087</v>
      </c>
      <c r="E2" s="162"/>
      <c r="F2" s="163"/>
      <c r="G2" s="163"/>
      <c r="H2" s="163"/>
      <c r="I2" s="163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</row>
    <row r="3">
      <c r="A3" s="27" t="s">
        <v>8088</v>
      </c>
      <c r="B3" s="27" t="s">
        <v>8088</v>
      </c>
      <c r="C3" s="27" t="s">
        <v>8089</v>
      </c>
      <c r="D3" s="55" t="s">
        <v>8090</v>
      </c>
      <c r="E3" s="162"/>
      <c r="F3" s="163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  <c r="AF3" s="15"/>
      <c r="AG3" s="15"/>
      <c r="AH3" s="15"/>
    </row>
    <row r="4">
      <c r="A4" s="48" t="s">
        <v>8091</v>
      </c>
      <c r="B4" s="48" t="s">
        <v>8092</v>
      </c>
      <c r="C4" s="27" t="s">
        <v>8094</v>
      </c>
      <c r="D4" s="55" t="s">
        <v>8095</v>
      </c>
      <c r="E4" s="162"/>
      <c r="F4" s="163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</row>
    <row r="5">
      <c r="A5" s="48" t="s">
        <v>8099</v>
      </c>
      <c r="B5" s="48" t="s">
        <v>8100</v>
      </c>
      <c r="C5" s="27" t="s">
        <v>8101</v>
      </c>
      <c r="D5" s="55" t="s">
        <v>8102</v>
      </c>
      <c r="E5" s="162"/>
      <c r="F5" s="163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  <c r="AF5" s="15"/>
      <c r="AG5" s="15"/>
      <c r="AH5" s="15"/>
    </row>
    <row r="6">
      <c r="A6" s="48" t="s">
        <v>8103</v>
      </c>
      <c r="B6" s="48" t="s">
        <v>8103</v>
      </c>
      <c r="C6" s="27" t="s">
        <v>8105</v>
      </c>
      <c r="D6" s="55" t="s">
        <v>8106</v>
      </c>
      <c r="E6" s="162"/>
      <c r="F6" s="163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  <c r="AF6" s="15"/>
      <c r="AG6" s="15"/>
      <c r="AH6" s="15"/>
    </row>
    <row r="7">
      <c r="A7" s="48" t="s">
        <v>8110</v>
      </c>
      <c r="B7" s="48" t="s">
        <v>8111</v>
      </c>
      <c r="C7" s="27" t="s">
        <v>8112</v>
      </c>
      <c r="D7" s="55" t="s">
        <v>8113</v>
      </c>
      <c r="E7" s="162"/>
      <c r="F7" s="163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</row>
    <row r="8">
      <c r="A8" s="48" t="s">
        <v>8085</v>
      </c>
      <c r="B8" s="48" t="s">
        <v>8085</v>
      </c>
      <c r="C8" s="27" t="s">
        <v>8086</v>
      </c>
      <c r="D8" s="55" t="s">
        <v>8118</v>
      </c>
      <c r="E8" s="162"/>
      <c r="F8" s="163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</row>
    <row r="9">
      <c r="A9" s="48" t="s">
        <v>8119</v>
      </c>
      <c r="B9" s="48" t="s">
        <v>8120</v>
      </c>
      <c r="C9" s="27" t="s">
        <v>8121</v>
      </c>
      <c r="D9" s="55" t="s">
        <v>8122</v>
      </c>
      <c r="E9" s="162"/>
      <c r="F9" s="163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</row>
    <row r="10">
      <c r="A10" s="48" t="s">
        <v>8124</v>
      </c>
      <c r="B10" s="48" t="s">
        <v>8125</v>
      </c>
      <c r="C10" s="27" t="s">
        <v>8126</v>
      </c>
      <c r="D10" s="55" t="s">
        <v>8127</v>
      </c>
      <c r="E10" s="162"/>
      <c r="F10" s="163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  <c r="AF10" s="15"/>
      <c r="AG10" s="15"/>
      <c r="AH10" s="15"/>
    </row>
    <row r="11">
      <c r="A11" s="48" t="s">
        <v>8132</v>
      </c>
      <c r="B11" s="48" t="s">
        <v>8133</v>
      </c>
      <c r="C11" s="27" t="s">
        <v>8134</v>
      </c>
      <c r="D11" s="55" t="s">
        <v>8136</v>
      </c>
      <c r="E11" s="162"/>
      <c r="F11" s="163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</row>
    <row r="12">
      <c r="A12" s="48" t="s">
        <v>8140</v>
      </c>
      <c r="B12" s="48" t="s">
        <v>8140</v>
      </c>
      <c r="C12" s="27" t="s">
        <v>8141</v>
      </c>
      <c r="D12" s="55" t="s">
        <v>8142</v>
      </c>
      <c r="E12" s="162"/>
      <c r="F12" s="163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  <c r="AA12" s="15"/>
      <c r="AB12" s="15"/>
      <c r="AC12" s="15"/>
      <c r="AD12" s="15"/>
      <c r="AE12" s="15"/>
      <c r="AF12" s="15"/>
      <c r="AG12" s="15"/>
      <c r="AH12" s="15"/>
    </row>
    <row r="13">
      <c r="A13" s="48" t="s">
        <v>8147</v>
      </c>
      <c r="B13" s="48" t="s">
        <v>8147</v>
      </c>
      <c r="C13" s="27" t="s">
        <v>8148</v>
      </c>
      <c r="D13" s="55" t="s">
        <v>8149</v>
      </c>
      <c r="E13" s="162"/>
      <c r="F13" s="163"/>
      <c r="G13" s="15"/>
      <c r="H13" s="163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</row>
    <row r="14">
      <c r="A14" s="48" t="s">
        <v>8153</v>
      </c>
      <c r="B14" s="48" t="s">
        <v>8154</v>
      </c>
      <c r="C14" s="27" t="s">
        <v>8155</v>
      </c>
      <c r="D14" s="55" t="s">
        <v>8156</v>
      </c>
      <c r="E14" s="162"/>
      <c r="F14" s="163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</row>
    <row r="15">
      <c r="A15" s="48" t="s">
        <v>8161</v>
      </c>
      <c r="B15" s="48" t="s">
        <v>8162</v>
      </c>
      <c r="C15" s="48" t="s">
        <v>8164</v>
      </c>
      <c r="D15" s="55" t="s">
        <v>8166</v>
      </c>
      <c r="E15" s="162"/>
      <c r="F15" s="163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</row>
    <row r="16">
      <c r="A16" s="48" t="s">
        <v>8168</v>
      </c>
      <c r="B16" s="48" t="s">
        <v>8169</v>
      </c>
      <c r="C16" s="27" t="s">
        <v>8170</v>
      </c>
      <c r="D16" s="55" t="s">
        <v>8171</v>
      </c>
      <c r="E16" s="162"/>
      <c r="F16" s="163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</row>
    <row r="17">
      <c r="A17" s="48" t="s">
        <v>8176</v>
      </c>
      <c r="B17" s="48" t="s">
        <v>8177</v>
      </c>
      <c r="C17" s="27" t="s">
        <v>8178</v>
      </c>
      <c r="D17" s="55" t="s">
        <v>8179</v>
      </c>
      <c r="E17" s="162"/>
      <c r="F17" s="163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</row>
    <row r="18">
      <c r="A18" s="48" t="s">
        <v>8184</v>
      </c>
      <c r="B18" s="48" t="s">
        <v>8185</v>
      </c>
      <c r="C18" s="48" t="s">
        <v>8186</v>
      </c>
      <c r="D18" s="55" t="s">
        <v>8187</v>
      </c>
      <c r="E18" s="162"/>
      <c r="F18" s="163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</row>
    <row r="19">
      <c r="A19" s="48" t="s">
        <v>8189</v>
      </c>
      <c r="B19" s="48" t="s">
        <v>8189</v>
      </c>
      <c r="C19" s="27" t="s">
        <v>8192</v>
      </c>
      <c r="D19" s="55" t="s">
        <v>8194</v>
      </c>
      <c r="E19" s="162"/>
      <c r="F19" s="163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</row>
    <row r="20">
      <c r="A20" s="34" t="s">
        <v>8198</v>
      </c>
      <c r="B20" s="34" t="s">
        <v>8200</v>
      </c>
      <c r="C20" s="34" t="s">
        <v>8201</v>
      </c>
      <c r="D20" s="80" t="s">
        <v>8202</v>
      </c>
      <c r="E20" s="34" t="s">
        <v>1100</v>
      </c>
      <c r="F20" s="132"/>
      <c r="G20" s="37"/>
      <c r="H20" s="37"/>
      <c r="I20" s="37"/>
      <c r="J20" s="37"/>
      <c r="K20" s="37"/>
      <c r="L20" s="37"/>
      <c r="M20" s="37"/>
      <c r="N20" s="37"/>
      <c r="O20" s="37"/>
      <c r="P20" s="37"/>
      <c r="Q20" s="37"/>
      <c r="R20" s="37"/>
      <c r="S20" s="37"/>
      <c r="T20" s="37"/>
      <c r="U20" s="37"/>
      <c r="V20" s="37"/>
      <c r="W20" s="37"/>
      <c r="X20" s="37"/>
      <c r="Y20" s="37"/>
      <c r="Z20" s="37"/>
      <c r="AA20" s="37"/>
      <c r="AB20" s="37"/>
      <c r="AC20" s="37"/>
      <c r="AD20" s="37"/>
      <c r="AE20" s="37"/>
      <c r="AF20" s="37"/>
      <c r="AG20" s="37"/>
      <c r="AH20" s="37"/>
    </row>
    <row r="21">
      <c r="A21" s="60" t="s">
        <v>8208</v>
      </c>
      <c r="B21" s="60" t="s">
        <v>8209</v>
      </c>
      <c r="C21" s="34" t="s">
        <v>8210</v>
      </c>
      <c r="D21" s="131" t="s">
        <v>8211</v>
      </c>
      <c r="E21" s="174"/>
      <c r="F21" s="132"/>
      <c r="G21" s="37"/>
      <c r="H21" s="37"/>
      <c r="I21" s="37"/>
      <c r="J21" s="37"/>
      <c r="K21" s="37"/>
      <c r="L21" s="37"/>
      <c r="M21" s="37"/>
      <c r="N21" s="37"/>
      <c r="O21" s="37"/>
      <c r="P21" s="37"/>
      <c r="Q21" s="37"/>
      <c r="R21" s="37"/>
      <c r="S21" s="37"/>
      <c r="T21" s="37"/>
      <c r="U21" s="37"/>
      <c r="V21" s="37"/>
      <c r="W21" s="37"/>
      <c r="X21" s="37"/>
      <c r="Y21" s="37"/>
      <c r="Z21" s="37"/>
      <c r="AA21" s="37"/>
      <c r="AB21" s="37"/>
      <c r="AC21" s="37"/>
      <c r="AD21" s="37"/>
      <c r="AE21" s="37"/>
      <c r="AF21" s="37"/>
      <c r="AG21" s="37"/>
      <c r="AH21" s="37"/>
    </row>
    <row r="22">
      <c r="A22" s="60" t="s">
        <v>8217</v>
      </c>
      <c r="B22" s="60" t="s">
        <v>8218</v>
      </c>
      <c r="C22" s="34" t="s">
        <v>8219</v>
      </c>
      <c r="D22" s="131" t="s">
        <v>8220</v>
      </c>
      <c r="E22" s="174"/>
      <c r="F22" s="132"/>
      <c r="G22" s="37"/>
      <c r="H22" s="37"/>
      <c r="I22" s="37"/>
      <c r="J22" s="37"/>
      <c r="K22" s="37"/>
      <c r="L22" s="37"/>
      <c r="M22" s="37"/>
      <c r="N22" s="37"/>
      <c r="O22" s="37"/>
      <c r="P22" s="37"/>
      <c r="Q22" s="37"/>
      <c r="R22" s="37"/>
      <c r="S22" s="37"/>
      <c r="T22" s="37"/>
      <c r="U22" s="37"/>
      <c r="V22" s="37"/>
      <c r="W22" s="37"/>
      <c r="X22" s="37"/>
      <c r="Y22" s="37"/>
      <c r="Z22" s="37"/>
      <c r="AA22" s="37"/>
      <c r="AB22" s="37"/>
      <c r="AC22" s="37"/>
      <c r="AD22" s="37"/>
      <c r="AE22" s="37"/>
      <c r="AF22" s="37"/>
      <c r="AG22" s="37"/>
      <c r="AH22" s="37"/>
    </row>
    <row r="23">
      <c r="A23" s="60" t="s">
        <v>8225</v>
      </c>
      <c r="B23" s="60" t="s">
        <v>8225</v>
      </c>
      <c r="C23" s="34" t="s">
        <v>8226</v>
      </c>
      <c r="D23" s="131" t="s">
        <v>8227</v>
      </c>
      <c r="E23" s="174"/>
      <c r="F23" s="132"/>
      <c r="G23" s="37"/>
      <c r="H23" s="37"/>
      <c r="I23" s="37"/>
      <c r="J23" s="37"/>
      <c r="K23" s="37"/>
      <c r="L23" s="37"/>
      <c r="M23" s="37"/>
      <c r="N23" s="37"/>
      <c r="O23" s="37"/>
      <c r="P23" s="37"/>
      <c r="Q23" s="37"/>
      <c r="R23" s="37"/>
      <c r="S23" s="37"/>
      <c r="T23" s="37"/>
      <c r="U23" s="37"/>
      <c r="V23" s="37"/>
      <c r="W23" s="37"/>
      <c r="X23" s="37"/>
      <c r="Y23" s="37"/>
      <c r="Z23" s="37"/>
      <c r="AA23" s="37"/>
      <c r="AB23" s="37"/>
      <c r="AC23" s="37"/>
      <c r="AD23" s="37"/>
      <c r="AE23" s="37"/>
      <c r="AF23" s="37"/>
      <c r="AG23" s="37"/>
      <c r="AH23" s="37"/>
    </row>
    <row r="24">
      <c r="A24" s="34" t="s">
        <v>8232</v>
      </c>
      <c r="B24" s="34" t="s">
        <v>8233</v>
      </c>
      <c r="C24" s="34" t="s">
        <v>8234</v>
      </c>
      <c r="D24" s="80" t="s">
        <v>8235</v>
      </c>
      <c r="E24" s="34" t="s">
        <v>8238</v>
      </c>
      <c r="F24" s="132"/>
      <c r="G24" s="37"/>
      <c r="H24" s="37"/>
      <c r="I24" s="37"/>
      <c r="J24" s="37"/>
      <c r="K24" s="37"/>
      <c r="L24" s="37"/>
      <c r="M24" s="37"/>
      <c r="N24" s="37"/>
      <c r="O24" s="37"/>
      <c r="P24" s="37"/>
      <c r="Q24" s="37"/>
      <c r="R24" s="37"/>
      <c r="S24" s="37"/>
      <c r="T24" s="37"/>
      <c r="U24" s="37"/>
      <c r="V24" s="37"/>
      <c r="W24" s="37"/>
      <c r="X24" s="37"/>
      <c r="Y24" s="37"/>
      <c r="Z24" s="37"/>
      <c r="AA24" s="37"/>
      <c r="AB24" s="37"/>
      <c r="AC24" s="37"/>
      <c r="AD24" s="37"/>
      <c r="AE24" s="37"/>
      <c r="AF24" s="37"/>
      <c r="AG24" s="37"/>
      <c r="AH24" s="37"/>
    </row>
    <row r="25">
      <c r="A25" s="48" t="s">
        <v>8241</v>
      </c>
      <c r="B25" s="48" t="s">
        <v>8242</v>
      </c>
      <c r="C25" s="27" t="s">
        <v>8243</v>
      </c>
      <c r="D25" s="55" t="s">
        <v>8244</v>
      </c>
      <c r="E25" s="162"/>
      <c r="F25" s="163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</row>
    <row r="26">
      <c r="A26" s="27" t="s">
        <v>8245</v>
      </c>
      <c r="B26" s="27" t="s">
        <v>8246</v>
      </c>
      <c r="C26" s="27" t="s">
        <v>8247</v>
      </c>
      <c r="D26" s="31" t="s">
        <v>8250</v>
      </c>
      <c r="E26" s="27" t="s">
        <v>1335</v>
      </c>
      <c r="F26" s="163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  <c r="AA26" s="15"/>
      <c r="AB26" s="15"/>
      <c r="AC26" s="15"/>
      <c r="AD26" s="15"/>
      <c r="AE26" s="15"/>
      <c r="AF26" s="15"/>
      <c r="AG26" s="15"/>
      <c r="AH26" s="15"/>
    </row>
    <row r="27">
      <c r="A27" s="27" t="s">
        <v>8253</v>
      </c>
      <c r="B27" s="27" t="s">
        <v>8254</v>
      </c>
      <c r="C27" s="27" t="s">
        <v>8255</v>
      </c>
      <c r="D27" s="31" t="s">
        <v>8256</v>
      </c>
      <c r="E27" s="27" t="s">
        <v>1335</v>
      </c>
      <c r="F27" s="163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</row>
    <row r="28">
      <c r="A28" s="48" t="s">
        <v>8261</v>
      </c>
      <c r="B28" s="48" t="s">
        <v>8262</v>
      </c>
      <c r="C28" s="27" t="s">
        <v>8263</v>
      </c>
      <c r="D28" s="55" t="s">
        <v>8264</v>
      </c>
      <c r="E28" s="162"/>
      <c r="F28" s="163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</row>
    <row r="29">
      <c r="A29" s="27" t="s">
        <v>8269</v>
      </c>
      <c r="B29" s="27" t="s">
        <v>8270</v>
      </c>
      <c r="C29" s="27" t="s">
        <v>8271</v>
      </c>
      <c r="D29" s="31" t="s">
        <v>8272</v>
      </c>
      <c r="E29" s="27" t="s">
        <v>8273</v>
      </c>
      <c r="F29" s="163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</row>
    <row r="30">
      <c r="A30" s="27" t="s">
        <v>8278</v>
      </c>
      <c r="B30" s="27" t="s">
        <v>8279</v>
      </c>
      <c r="C30" s="27" t="s">
        <v>8280</v>
      </c>
      <c r="D30" s="31" t="s">
        <v>8281</v>
      </c>
      <c r="E30" s="27" t="s">
        <v>68</v>
      </c>
      <c r="F30" s="163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  <c r="AA30" s="15"/>
      <c r="AB30" s="15"/>
      <c r="AC30" s="15"/>
      <c r="AD30" s="15"/>
      <c r="AE30" s="15"/>
      <c r="AF30" s="15"/>
      <c r="AG30" s="15"/>
      <c r="AH30" s="15"/>
    </row>
    <row r="31">
      <c r="A31" s="56" t="s">
        <v>8285</v>
      </c>
      <c r="B31" s="56" t="s">
        <v>8286</v>
      </c>
      <c r="C31" s="29" t="s">
        <v>8287</v>
      </c>
      <c r="D31" s="65" t="s">
        <v>8288</v>
      </c>
      <c r="E31" s="56" t="s">
        <v>238</v>
      </c>
      <c r="F31" s="130"/>
      <c r="G31" s="17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</row>
    <row r="32">
      <c r="A32" s="56" t="s">
        <v>8297</v>
      </c>
      <c r="B32" s="56" t="s">
        <v>8298</v>
      </c>
      <c r="C32" s="29" t="s">
        <v>8299</v>
      </c>
      <c r="D32" s="65" t="s">
        <v>8300</v>
      </c>
      <c r="E32" s="56" t="s">
        <v>800</v>
      </c>
      <c r="F32" s="130"/>
      <c r="G32" s="17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</row>
    <row r="33">
      <c r="A33" s="56" t="s">
        <v>8305</v>
      </c>
      <c r="B33" s="56" t="s">
        <v>8306</v>
      </c>
      <c r="C33" s="29" t="s">
        <v>8307</v>
      </c>
      <c r="D33" s="65" t="s">
        <v>8308</v>
      </c>
      <c r="E33" s="56" t="s">
        <v>419</v>
      </c>
      <c r="F33" s="130"/>
      <c r="G33" s="17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</row>
    <row r="34">
      <c r="A34" s="56" t="s">
        <v>8313</v>
      </c>
      <c r="B34" s="56" t="s">
        <v>8314</v>
      </c>
      <c r="C34" s="56" t="s">
        <v>8315</v>
      </c>
      <c r="D34" s="65" t="s">
        <v>8316</v>
      </c>
      <c r="E34" s="133"/>
      <c r="F34" s="130"/>
      <c r="G34" s="17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</row>
    <row r="35">
      <c r="A35" s="56" t="s">
        <v>8325</v>
      </c>
      <c r="B35" s="56" t="s">
        <v>8327</v>
      </c>
      <c r="C35" s="29" t="s">
        <v>8329</v>
      </c>
      <c r="D35" s="65" t="s">
        <v>8330</v>
      </c>
      <c r="E35" s="133"/>
      <c r="F35" s="130"/>
      <c r="G35" s="17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</row>
    <row r="36">
      <c r="A36" s="56" t="s">
        <v>8336</v>
      </c>
      <c r="B36" s="56" t="s">
        <v>8337</v>
      </c>
      <c r="C36" s="29" t="s">
        <v>8338</v>
      </c>
      <c r="D36" s="65" t="s">
        <v>8339</v>
      </c>
      <c r="E36" s="133"/>
      <c r="F36" s="130"/>
      <c r="G36" s="17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</row>
    <row r="37">
      <c r="A37" s="56" t="s">
        <v>8345</v>
      </c>
      <c r="B37" s="56" t="s">
        <v>8346</v>
      </c>
      <c r="C37" s="29" t="s">
        <v>8347</v>
      </c>
      <c r="D37" s="65" t="s">
        <v>8348</v>
      </c>
      <c r="E37" s="133"/>
      <c r="F37" s="130"/>
      <c r="G37" s="17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</row>
    <row r="38">
      <c r="A38" s="56" t="s">
        <v>8354</v>
      </c>
      <c r="B38" s="56" t="s">
        <v>8355</v>
      </c>
      <c r="C38" s="29" t="s">
        <v>8356</v>
      </c>
      <c r="D38" s="65" t="s">
        <v>8357</v>
      </c>
      <c r="E38" s="133"/>
      <c r="F38" s="130"/>
      <c r="G38" s="17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</row>
    <row r="39">
      <c r="A39" s="56" t="s">
        <v>8363</v>
      </c>
      <c r="B39" s="56" t="s">
        <v>8364</v>
      </c>
      <c r="C39" s="29" t="s">
        <v>8365</v>
      </c>
      <c r="D39" s="65" t="s">
        <v>8366</v>
      </c>
      <c r="E39" s="133"/>
      <c r="F39" s="130"/>
      <c r="G39" s="17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</row>
    <row r="40">
      <c r="A40" s="56" t="s">
        <v>8372</v>
      </c>
      <c r="B40" s="56" t="s">
        <v>8373</v>
      </c>
      <c r="C40" s="29" t="s">
        <v>8374</v>
      </c>
      <c r="D40" s="65" t="s">
        <v>8375</v>
      </c>
      <c r="E40" s="133"/>
      <c r="F40" s="130"/>
      <c r="G40" s="17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</row>
    <row r="41">
      <c r="A41" s="56" t="s">
        <v>8381</v>
      </c>
      <c r="B41" s="56" t="s">
        <v>8382</v>
      </c>
      <c r="C41" s="29" t="s">
        <v>8383</v>
      </c>
      <c r="D41" s="65" t="s">
        <v>8384</v>
      </c>
      <c r="E41" s="133"/>
      <c r="F41" s="130"/>
      <c r="G41" s="17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</row>
    <row r="42">
      <c r="A42" s="56" t="s">
        <v>8389</v>
      </c>
      <c r="B42" s="56" t="s">
        <v>8390</v>
      </c>
      <c r="C42" s="29" t="s">
        <v>8391</v>
      </c>
      <c r="D42" s="65" t="s">
        <v>8392</v>
      </c>
      <c r="E42" s="133"/>
      <c r="F42" s="130"/>
      <c r="G42" s="17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</row>
    <row r="43">
      <c r="A43" s="56" t="s">
        <v>8398</v>
      </c>
      <c r="B43" s="56" t="s">
        <v>8399</v>
      </c>
      <c r="C43" s="29" t="s">
        <v>8400</v>
      </c>
      <c r="D43" s="65" t="s">
        <v>8401</v>
      </c>
      <c r="E43" s="133"/>
      <c r="F43" s="130"/>
      <c r="G43" s="17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</row>
    <row r="44">
      <c r="A44" s="56" t="s">
        <v>8407</v>
      </c>
      <c r="B44" s="56" t="s">
        <v>8408</v>
      </c>
      <c r="C44" s="29" t="s">
        <v>8409</v>
      </c>
      <c r="D44" s="65" t="s">
        <v>8410</v>
      </c>
      <c r="E44" s="133"/>
      <c r="F44" s="130"/>
      <c r="G44" s="17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</row>
    <row r="45">
      <c r="A45" s="56" t="s">
        <v>8416</v>
      </c>
      <c r="B45" s="56" t="s">
        <v>8417</v>
      </c>
      <c r="C45" s="29" t="s">
        <v>8418</v>
      </c>
      <c r="D45" s="65" t="s">
        <v>8419</v>
      </c>
      <c r="E45" s="133"/>
      <c r="F45" s="130"/>
      <c r="G45" s="17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</row>
    <row r="46">
      <c r="A46" s="56" t="s">
        <v>8425</v>
      </c>
      <c r="B46" s="56" t="s">
        <v>8426</v>
      </c>
      <c r="C46" s="29" t="s">
        <v>8427</v>
      </c>
      <c r="D46" s="65" t="s">
        <v>8429</v>
      </c>
      <c r="E46" s="133"/>
      <c r="F46" s="130"/>
      <c r="G46" s="17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</row>
    <row r="47">
      <c r="A47" s="56" t="s">
        <v>8434</v>
      </c>
      <c r="B47" s="56" t="s">
        <v>8435</v>
      </c>
      <c r="C47" s="29" t="s">
        <v>8436</v>
      </c>
      <c r="D47" s="65" t="s">
        <v>8437</v>
      </c>
      <c r="E47" s="133"/>
      <c r="F47" s="130"/>
      <c r="G47" s="17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</row>
    <row r="48">
      <c r="A48" s="56" t="s">
        <v>8442</v>
      </c>
      <c r="B48" s="56" t="s">
        <v>8443</v>
      </c>
      <c r="C48" s="29" t="s">
        <v>8444</v>
      </c>
      <c r="D48" s="65" t="s">
        <v>8445</v>
      </c>
      <c r="E48" s="133"/>
      <c r="F48" s="130"/>
      <c r="G48" s="17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</row>
    <row r="49">
      <c r="A49" s="29" t="s">
        <v>8451</v>
      </c>
      <c r="B49" s="29" t="s">
        <v>8453</v>
      </c>
      <c r="C49" s="29" t="s">
        <v>8455</v>
      </c>
      <c r="D49" s="65" t="s">
        <v>8457</v>
      </c>
      <c r="E49" s="133"/>
      <c r="F49" s="130"/>
      <c r="G49" s="17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</row>
    <row r="50">
      <c r="A50" s="56" t="s">
        <v>8463</v>
      </c>
      <c r="B50" s="56" t="s">
        <v>8463</v>
      </c>
      <c r="C50" s="29" t="s">
        <v>8464</v>
      </c>
      <c r="D50" s="65" t="s">
        <v>8465</v>
      </c>
      <c r="E50" s="133"/>
      <c r="F50" s="130"/>
      <c r="G50" s="17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</row>
    <row r="51">
      <c r="A51" s="56" t="s">
        <v>8471</v>
      </c>
      <c r="B51" s="56" t="s">
        <v>8471</v>
      </c>
      <c r="C51" s="29" t="s">
        <v>8474</v>
      </c>
      <c r="D51" s="65" t="s">
        <v>8477</v>
      </c>
      <c r="E51" s="133"/>
      <c r="F51" s="130"/>
      <c r="G51" s="17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</row>
    <row r="52">
      <c r="A52" s="56" t="s">
        <v>8482</v>
      </c>
      <c r="B52" s="56" t="s">
        <v>8483</v>
      </c>
      <c r="C52" s="29" t="s">
        <v>8486</v>
      </c>
      <c r="D52" s="65" t="s">
        <v>8487</v>
      </c>
      <c r="E52" s="133"/>
      <c r="F52" s="130"/>
      <c r="G52" s="17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  <c r="AB52" s="5"/>
      <c r="AC52" s="5"/>
      <c r="AD52" s="5"/>
      <c r="AE52" s="5"/>
      <c r="AF52" s="5"/>
      <c r="AG52" s="5"/>
      <c r="AH52" s="5"/>
    </row>
    <row r="53">
      <c r="A53" s="56" t="s">
        <v>8493</v>
      </c>
      <c r="B53" s="56" t="s">
        <v>8494</v>
      </c>
      <c r="C53" s="29" t="s">
        <v>8495</v>
      </c>
      <c r="D53" s="65" t="s">
        <v>8496</v>
      </c>
      <c r="E53" s="133"/>
      <c r="F53" s="130"/>
      <c r="G53" s="17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</row>
    <row r="54">
      <c r="A54" s="56" t="s">
        <v>8502</v>
      </c>
      <c r="B54" s="56" t="s">
        <v>8503</v>
      </c>
      <c r="C54" s="29" t="s">
        <v>8504</v>
      </c>
      <c r="D54" s="65" t="s">
        <v>8505</v>
      </c>
      <c r="E54" s="133"/>
      <c r="F54" s="130"/>
      <c r="G54" s="17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  <c r="AB54" s="5"/>
      <c r="AC54" s="5"/>
      <c r="AD54" s="5"/>
      <c r="AE54" s="5"/>
      <c r="AF54" s="5"/>
      <c r="AG54" s="5"/>
      <c r="AH54" s="5"/>
    </row>
    <row r="55">
      <c r="A55" s="56" t="s">
        <v>8511</v>
      </c>
      <c r="B55" s="56" t="s">
        <v>8512</v>
      </c>
      <c r="C55" s="29" t="s">
        <v>8513</v>
      </c>
      <c r="D55" s="65" t="s">
        <v>8514</v>
      </c>
      <c r="E55" s="133"/>
      <c r="F55" s="130"/>
      <c r="G55" s="17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</row>
    <row r="56">
      <c r="A56" s="56" t="s">
        <v>8520</v>
      </c>
      <c r="B56" s="56" t="s">
        <v>8521</v>
      </c>
      <c r="C56" s="29" t="s">
        <v>8522</v>
      </c>
      <c r="D56" s="65" t="s">
        <v>8523</v>
      </c>
      <c r="E56" s="133"/>
      <c r="F56" s="130"/>
      <c r="G56" s="17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</row>
    <row r="57">
      <c r="A57" s="56" t="s">
        <v>8529</v>
      </c>
      <c r="B57" s="56" t="s">
        <v>8530</v>
      </c>
      <c r="C57" s="29" t="s">
        <v>8531</v>
      </c>
      <c r="D57" s="65" t="s">
        <v>8532</v>
      </c>
      <c r="E57" s="133"/>
      <c r="F57" s="130"/>
      <c r="G57" s="17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</row>
    <row r="58">
      <c r="A58" s="56" t="s">
        <v>8538</v>
      </c>
      <c r="B58" s="56" t="s">
        <v>8539</v>
      </c>
      <c r="C58" s="29" t="s">
        <v>8540</v>
      </c>
      <c r="D58" s="65" t="s">
        <v>8541</v>
      </c>
      <c r="E58" s="133"/>
      <c r="F58" s="130"/>
      <c r="G58" s="17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</row>
    <row r="59">
      <c r="A59" s="56" t="s">
        <v>8542</v>
      </c>
      <c r="B59" s="56" t="s">
        <v>8543</v>
      </c>
      <c r="C59" s="29" t="s">
        <v>8544</v>
      </c>
      <c r="D59" s="65" t="s">
        <v>8546</v>
      </c>
      <c r="E59" s="133"/>
      <c r="F59" s="130"/>
      <c r="G59" s="17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</row>
    <row r="60">
      <c r="A60" s="56" t="s">
        <v>8551</v>
      </c>
      <c r="B60" s="56" t="s">
        <v>8552</v>
      </c>
      <c r="C60" s="29" t="s">
        <v>8554</v>
      </c>
      <c r="D60" s="65" t="s">
        <v>8556</v>
      </c>
      <c r="E60" s="133"/>
      <c r="F60" s="130"/>
      <c r="G60" s="17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5"/>
      <c r="AD60" s="5"/>
      <c r="AE60" s="5"/>
      <c r="AF60" s="5"/>
      <c r="AG60" s="5"/>
      <c r="AH60" s="5"/>
    </row>
    <row r="61">
      <c r="A61" s="56" t="s">
        <v>8564</v>
      </c>
      <c r="B61" s="56" t="s">
        <v>8566</v>
      </c>
      <c r="C61" s="29" t="s">
        <v>8567</v>
      </c>
      <c r="D61" s="65" t="s">
        <v>8568</v>
      </c>
      <c r="E61" s="133"/>
      <c r="F61" s="130"/>
      <c r="G61" s="17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</row>
    <row r="62">
      <c r="A62" s="56" t="s">
        <v>8574</v>
      </c>
      <c r="B62" s="56" t="s">
        <v>8575</v>
      </c>
      <c r="C62" s="29" t="s">
        <v>8576</v>
      </c>
      <c r="D62" s="65" t="s">
        <v>8577</v>
      </c>
      <c r="E62" s="133"/>
      <c r="F62" s="130"/>
      <c r="G62" s="17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  <c r="AB62" s="5"/>
      <c r="AC62" s="5"/>
      <c r="AD62" s="5"/>
      <c r="AE62" s="5"/>
      <c r="AF62" s="5"/>
      <c r="AG62" s="5"/>
      <c r="AH62" s="5"/>
    </row>
    <row r="63">
      <c r="A63" s="56" t="s">
        <v>8583</v>
      </c>
      <c r="B63" s="56" t="s">
        <v>8584</v>
      </c>
      <c r="C63" s="29" t="s">
        <v>8585</v>
      </c>
      <c r="D63" s="65" t="s">
        <v>8586</v>
      </c>
      <c r="E63" s="133"/>
      <c r="F63" s="130"/>
      <c r="G63" s="17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  <c r="AB63" s="5"/>
      <c r="AC63" s="5"/>
      <c r="AD63" s="5"/>
      <c r="AE63" s="5"/>
      <c r="AF63" s="5"/>
      <c r="AG63" s="5"/>
      <c r="AH63" s="5"/>
    </row>
    <row r="64">
      <c r="A64" s="56" t="s">
        <v>8590</v>
      </c>
      <c r="B64" s="56" t="s">
        <v>8591</v>
      </c>
      <c r="C64" s="29" t="s">
        <v>8592</v>
      </c>
      <c r="D64" s="65" t="s">
        <v>8593</v>
      </c>
      <c r="E64" s="133"/>
      <c r="F64" s="130"/>
      <c r="G64" s="17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  <c r="AB64" s="5"/>
      <c r="AC64" s="5"/>
      <c r="AD64" s="5"/>
      <c r="AE64" s="5"/>
      <c r="AF64" s="5"/>
      <c r="AG64" s="5"/>
      <c r="AH64" s="5"/>
    </row>
    <row r="65">
      <c r="A65" s="56" t="s">
        <v>8598</v>
      </c>
      <c r="B65" s="56" t="s">
        <v>8599</v>
      </c>
      <c r="C65" s="29" t="s">
        <v>8600</v>
      </c>
      <c r="D65" s="65" t="s">
        <v>8601</v>
      </c>
      <c r="E65" s="133"/>
      <c r="F65" s="130"/>
      <c r="G65" s="17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</row>
    <row r="66">
      <c r="A66" s="56" t="s">
        <v>8606</v>
      </c>
      <c r="B66" s="56" t="s">
        <v>8607</v>
      </c>
      <c r="C66" s="29" t="s">
        <v>8608</v>
      </c>
      <c r="D66" s="65" t="s">
        <v>8601</v>
      </c>
      <c r="E66" s="133"/>
      <c r="F66" s="130"/>
      <c r="G66" s="17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</row>
    <row r="67">
      <c r="A67" s="56" t="s">
        <v>8613</v>
      </c>
      <c r="B67" s="56" t="s">
        <v>8614</v>
      </c>
      <c r="C67" s="29" t="s">
        <v>8615</v>
      </c>
      <c r="D67" s="65" t="s">
        <v>8616</v>
      </c>
      <c r="E67" s="133"/>
      <c r="F67" s="130"/>
      <c r="G67" s="17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</row>
    <row r="68">
      <c r="A68" s="56" t="s">
        <v>8621</v>
      </c>
      <c r="B68" s="56" t="s">
        <v>8621</v>
      </c>
      <c r="C68" s="29" t="s">
        <v>8622</v>
      </c>
      <c r="D68" s="65" t="s">
        <v>8623</v>
      </c>
      <c r="E68" s="133"/>
      <c r="F68" s="130"/>
      <c r="G68" s="17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</row>
    <row r="69">
      <c r="A69" s="56" t="s">
        <v>8628</v>
      </c>
      <c r="B69" s="56" t="s">
        <v>8628</v>
      </c>
      <c r="C69" s="29" t="s">
        <v>8629</v>
      </c>
      <c r="D69" s="65" t="s">
        <v>8630</v>
      </c>
      <c r="E69" s="133"/>
      <c r="F69" s="130"/>
      <c r="G69" s="17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/>
      <c r="AE69" s="5"/>
      <c r="AF69" s="5"/>
      <c r="AG69" s="5"/>
      <c r="AH69" s="5"/>
    </row>
    <row r="70">
      <c r="A70" s="56" t="s">
        <v>8635</v>
      </c>
      <c r="B70" s="56" t="s">
        <v>8636</v>
      </c>
      <c r="C70" s="29" t="s">
        <v>8637</v>
      </c>
      <c r="D70" s="65" t="s">
        <v>8638</v>
      </c>
      <c r="E70" s="133"/>
      <c r="F70" s="130"/>
      <c r="G70" s="17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</row>
    <row r="71">
      <c r="A71" s="56" t="s">
        <v>8647</v>
      </c>
      <c r="B71" s="56" t="s">
        <v>8648</v>
      </c>
      <c r="C71" s="29" t="s">
        <v>8649</v>
      </c>
      <c r="D71" s="65" t="s">
        <v>8650</v>
      </c>
      <c r="E71" s="133"/>
      <c r="F71" s="130"/>
      <c r="G71" s="17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</row>
    <row r="72">
      <c r="A72" s="56" t="s">
        <v>8654</v>
      </c>
      <c r="B72" s="56" t="s">
        <v>8655</v>
      </c>
      <c r="C72" s="29" t="s">
        <v>8656</v>
      </c>
      <c r="D72" s="65" t="s">
        <v>8657</v>
      </c>
      <c r="E72" s="133"/>
      <c r="F72" s="130"/>
      <c r="G72" s="17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  <c r="AB72" s="5"/>
      <c r="AC72" s="5"/>
      <c r="AD72" s="5"/>
      <c r="AE72" s="5"/>
      <c r="AF72" s="5"/>
      <c r="AG72" s="5"/>
      <c r="AH72" s="5"/>
    </row>
    <row r="73">
      <c r="A73" s="56" t="s">
        <v>8662</v>
      </c>
      <c r="B73" s="56" t="s">
        <v>8663</v>
      </c>
      <c r="C73" s="29" t="s">
        <v>8665</v>
      </c>
      <c r="D73" s="65" t="s">
        <v>8667</v>
      </c>
      <c r="E73" s="133"/>
      <c r="F73" s="130"/>
      <c r="G73" s="17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  <c r="AB73" s="5"/>
      <c r="AC73" s="5"/>
      <c r="AD73" s="5"/>
      <c r="AE73" s="5"/>
      <c r="AF73" s="5"/>
      <c r="AG73" s="5"/>
      <c r="AH73" s="5"/>
    </row>
    <row r="74">
      <c r="A74" s="56" t="s">
        <v>8669</v>
      </c>
      <c r="B74" s="56" t="s">
        <v>8671</v>
      </c>
      <c r="C74" s="29" t="s">
        <v>8675</v>
      </c>
      <c r="D74" s="65" t="s">
        <v>8676</v>
      </c>
      <c r="E74" s="133"/>
      <c r="F74" s="130"/>
      <c r="G74" s="17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  <c r="AB74" s="5"/>
      <c r="AC74" s="5"/>
      <c r="AD74" s="117"/>
      <c r="AE74" s="117"/>
      <c r="AF74" s="117"/>
      <c r="AG74" s="117"/>
      <c r="AH74" s="117"/>
    </row>
    <row r="75">
      <c r="A75" s="56" t="s">
        <v>8681</v>
      </c>
      <c r="B75" s="56" t="s">
        <v>8682</v>
      </c>
      <c r="C75" s="29" t="s">
        <v>8683</v>
      </c>
      <c r="D75" s="65" t="s">
        <v>8684</v>
      </c>
      <c r="E75" s="133"/>
      <c r="F75" s="130"/>
      <c r="G75" s="17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  <c r="AB75" s="5"/>
      <c r="AC75" s="5"/>
      <c r="AD75" s="5"/>
      <c r="AE75" s="5"/>
      <c r="AF75" s="5"/>
      <c r="AG75" s="5"/>
      <c r="AH75" s="5"/>
    </row>
    <row r="76">
      <c r="A76" s="56" t="s">
        <v>8689</v>
      </c>
      <c r="B76" s="56" t="s">
        <v>8690</v>
      </c>
      <c r="C76" s="29" t="s">
        <v>8691</v>
      </c>
      <c r="D76" s="65" t="s">
        <v>8692</v>
      </c>
      <c r="E76" s="133"/>
      <c r="F76" s="130"/>
      <c r="G76" s="17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</row>
    <row r="77">
      <c r="A77" s="56" t="s">
        <v>8697</v>
      </c>
      <c r="B77" s="56" t="s">
        <v>8698</v>
      </c>
      <c r="C77" s="29" t="s">
        <v>8699</v>
      </c>
      <c r="D77" s="65" t="s">
        <v>8700</v>
      </c>
      <c r="E77" s="133"/>
      <c r="F77" s="130"/>
      <c r="G77" s="17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  <c r="AB77" s="5"/>
      <c r="AC77" s="5"/>
      <c r="AD77" s="5"/>
      <c r="AE77" s="5"/>
      <c r="AF77" s="5"/>
      <c r="AG77" s="5"/>
      <c r="AH77" s="5"/>
    </row>
    <row r="78">
      <c r="A78" s="56" t="s">
        <v>8705</v>
      </c>
      <c r="B78" s="56" t="s">
        <v>8706</v>
      </c>
      <c r="C78" s="29" t="s">
        <v>8707</v>
      </c>
      <c r="D78" s="65" t="s">
        <v>8708</v>
      </c>
      <c r="E78" s="133"/>
      <c r="F78" s="130"/>
      <c r="G78" s="17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  <c r="AB78" s="5"/>
      <c r="AC78" s="5"/>
      <c r="AD78" s="5"/>
      <c r="AE78" s="5"/>
      <c r="AF78" s="5"/>
      <c r="AG78" s="5"/>
      <c r="AH78" s="5"/>
    </row>
    <row r="79">
      <c r="A79" s="56" t="s">
        <v>8712</v>
      </c>
      <c r="B79" s="56" t="s">
        <v>8712</v>
      </c>
      <c r="C79" s="29" t="s">
        <v>8713</v>
      </c>
      <c r="D79" s="65" t="s">
        <v>8714</v>
      </c>
      <c r="E79" s="133"/>
      <c r="F79" s="130"/>
      <c r="G79" s="17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/>
      <c r="AD79" s="5"/>
      <c r="AE79" s="5"/>
      <c r="AF79" s="5"/>
      <c r="AG79" s="5"/>
      <c r="AH79" s="5"/>
    </row>
    <row r="80">
      <c r="A80" s="56" t="s">
        <v>8719</v>
      </c>
      <c r="B80" s="56" t="s">
        <v>8719</v>
      </c>
      <c r="C80" s="29" t="s">
        <v>8720</v>
      </c>
      <c r="D80" s="65" t="s">
        <v>8721</v>
      </c>
      <c r="E80" s="133"/>
      <c r="F80" s="130"/>
      <c r="G80" s="176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</row>
    <row r="81">
      <c r="A81" s="56" t="s">
        <v>8730</v>
      </c>
      <c r="B81" s="56" t="s">
        <v>8731</v>
      </c>
      <c r="C81" s="29" t="s">
        <v>8732</v>
      </c>
      <c r="D81" s="65" t="s">
        <v>8733</v>
      </c>
      <c r="E81" s="133"/>
      <c r="F81" s="130"/>
      <c r="G81" s="17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  <c r="AB81" s="5"/>
      <c r="AC81" s="5"/>
      <c r="AD81" s="5"/>
      <c r="AE81" s="5"/>
      <c r="AF81" s="5"/>
      <c r="AG81" s="5"/>
      <c r="AH81" s="5"/>
    </row>
    <row r="82">
      <c r="A82" s="29" t="s">
        <v>8741</v>
      </c>
      <c r="B82" s="29" t="s">
        <v>8743</v>
      </c>
      <c r="C82" s="29" t="s">
        <v>8744</v>
      </c>
      <c r="D82" s="16" t="s">
        <v>8745</v>
      </c>
      <c r="E82" s="29" t="s">
        <v>8746</v>
      </c>
      <c r="F82" s="130"/>
      <c r="G82" s="17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  <c r="AG82" s="5"/>
      <c r="AH82" s="5"/>
    </row>
    <row r="83">
      <c r="A83" s="29" t="s">
        <v>8751</v>
      </c>
      <c r="B83" s="29" t="s">
        <v>8752</v>
      </c>
      <c r="C83" s="29" t="s">
        <v>8753</v>
      </c>
      <c r="D83" s="16" t="s">
        <v>8754</v>
      </c>
      <c r="E83" s="29" t="s">
        <v>8755</v>
      </c>
      <c r="F83" s="130"/>
      <c r="G83" s="17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</row>
    <row r="84">
      <c r="A84" s="29" t="s">
        <v>8760</v>
      </c>
      <c r="B84" s="29" t="s">
        <v>8761</v>
      </c>
      <c r="C84" s="29" t="s">
        <v>8762</v>
      </c>
      <c r="D84" s="16" t="s">
        <v>8763</v>
      </c>
      <c r="E84" s="29" t="s">
        <v>8746</v>
      </c>
      <c r="F84" s="130"/>
      <c r="G84" s="17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  <c r="AE84" s="5"/>
      <c r="AF84" s="5"/>
      <c r="AG84" s="5"/>
      <c r="AH84" s="5"/>
    </row>
    <row r="85">
      <c r="A85" s="29" t="s">
        <v>8767</v>
      </c>
      <c r="B85" s="29" t="s">
        <v>8768</v>
      </c>
      <c r="C85" s="29" t="s">
        <v>8769</v>
      </c>
      <c r="D85" s="16" t="s">
        <v>8770</v>
      </c>
      <c r="E85" s="29" t="s">
        <v>8771</v>
      </c>
      <c r="F85" s="144"/>
      <c r="G85" s="58"/>
      <c r="H85" s="58"/>
      <c r="I85" s="58"/>
      <c r="J85" s="58"/>
      <c r="K85" s="58"/>
      <c r="L85" s="58"/>
      <c r="M85" s="58"/>
      <c r="N85" s="58"/>
      <c r="O85" s="58"/>
      <c r="P85" s="58"/>
      <c r="Q85" s="58"/>
      <c r="R85" s="58"/>
      <c r="S85" s="58"/>
      <c r="T85" s="58"/>
      <c r="U85" s="58"/>
      <c r="V85" s="58"/>
      <c r="W85" s="58"/>
      <c r="X85" s="58"/>
      <c r="Y85" s="58"/>
      <c r="Z85" s="58"/>
      <c r="AA85" s="58"/>
      <c r="AB85" s="58"/>
      <c r="AC85" s="58"/>
      <c r="AD85" s="58"/>
      <c r="AE85" s="58"/>
      <c r="AF85" s="58"/>
      <c r="AG85" s="58"/>
      <c r="AH85" s="58"/>
    </row>
    <row r="86">
      <c r="A86" s="56" t="s">
        <v>8776</v>
      </c>
      <c r="B86" s="56" t="s">
        <v>8777</v>
      </c>
      <c r="C86" s="29" t="s">
        <v>8778</v>
      </c>
      <c r="D86" s="65" t="s">
        <v>8779</v>
      </c>
      <c r="E86" s="56" t="s">
        <v>800</v>
      </c>
      <c r="F86" s="130"/>
      <c r="G86" s="17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  <c r="AB86" s="5"/>
      <c r="AC86" s="5"/>
      <c r="AD86" s="58"/>
      <c r="AE86" s="58"/>
      <c r="AF86" s="58"/>
      <c r="AG86" s="58"/>
      <c r="AH86" s="58"/>
    </row>
    <row r="87">
      <c r="A87" s="60" t="s">
        <v>8784</v>
      </c>
      <c r="B87" s="60" t="s">
        <v>8785</v>
      </c>
      <c r="C87" s="34" t="s">
        <v>8786</v>
      </c>
      <c r="D87" s="131" t="s">
        <v>8787</v>
      </c>
      <c r="E87" s="60" t="s">
        <v>238</v>
      </c>
      <c r="F87" s="132"/>
      <c r="G87" s="37"/>
      <c r="H87" s="37"/>
      <c r="I87" s="37"/>
      <c r="J87" s="37"/>
      <c r="K87" s="37"/>
      <c r="L87" s="37"/>
      <c r="M87" s="37"/>
      <c r="N87" s="37"/>
      <c r="O87" s="37"/>
      <c r="P87" s="37"/>
      <c r="Q87" s="37"/>
      <c r="R87" s="37"/>
      <c r="S87" s="37"/>
      <c r="T87" s="37"/>
      <c r="U87" s="37"/>
      <c r="V87" s="37"/>
      <c r="W87" s="37"/>
      <c r="X87" s="37"/>
      <c r="Y87" s="37"/>
      <c r="Z87" s="37"/>
      <c r="AA87" s="37"/>
      <c r="AB87" s="37"/>
      <c r="AC87" s="37"/>
      <c r="AD87" s="37"/>
      <c r="AE87" s="37"/>
      <c r="AF87" s="37"/>
      <c r="AG87" s="37"/>
      <c r="AH87" s="37"/>
    </row>
    <row r="88">
      <c r="A88" s="56" t="s">
        <v>8792</v>
      </c>
      <c r="B88" s="56" t="s">
        <v>8792</v>
      </c>
      <c r="C88" s="29" t="s">
        <v>8793</v>
      </c>
      <c r="D88" s="65" t="s">
        <v>8794</v>
      </c>
      <c r="E88" s="133"/>
      <c r="F88" s="130"/>
      <c r="G88" s="17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  <c r="AB88" s="5"/>
      <c r="AC88" s="5"/>
      <c r="AD88" s="58"/>
      <c r="AE88" s="58"/>
      <c r="AF88" s="58"/>
      <c r="AG88" s="58"/>
      <c r="AH88" s="58"/>
    </row>
    <row r="89">
      <c r="A89" s="29" t="s">
        <v>8799</v>
      </c>
      <c r="B89" s="29" t="s">
        <v>8800</v>
      </c>
      <c r="C89" s="29" t="s">
        <v>8801</v>
      </c>
      <c r="D89" s="16" t="s">
        <v>8802</v>
      </c>
      <c r="E89" s="29" t="s">
        <v>68</v>
      </c>
      <c r="F89" s="130"/>
      <c r="G89" s="17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  <c r="AB89" s="5"/>
      <c r="AC89" s="5"/>
      <c r="AD89" s="58"/>
      <c r="AE89" s="58"/>
      <c r="AF89" s="58"/>
      <c r="AG89" s="58"/>
      <c r="AH89" s="58"/>
    </row>
    <row r="90">
      <c r="A90" s="56" t="s">
        <v>8807</v>
      </c>
      <c r="B90" s="56" t="s">
        <v>8808</v>
      </c>
      <c r="C90" s="29" t="s">
        <v>8809</v>
      </c>
      <c r="D90" s="65" t="s">
        <v>8810</v>
      </c>
      <c r="E90" s="56" t="s">
        <v>238</v>
      </c>
      <c r="F90" s="130"/>
      <c r="G90" s="17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  <c r="AB90" s="5"/>
      <c r="AC90" s="5"/>
      <c r="AD90" s="58"/>
      <c r="AE90" s="58"/>
      <c r="AF90" s="58"/>
      <c r="AG90" s="58"/>
      <c r="AH90" s="58"/>
    </row>
    <row r="91">
      <c r="A91" s="56" t="s">
        <v>8812</v>
      </c>
      <c r="B91" s="56" t="s">
        <v>8815</v>
      </c>
      <c r="C91" s="29" t="s">
        <v>8817</v>
      </c>
      <c r="D91" s="65" t="s">
        <v>8818</v>
      </c>
      <c r="E91" s="56" t="s">
        <v>800</v>
      </c>
      <c r="F91" s="130"/>
      <c r="G91" s="17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  <c r="AB91" s="5"/>
      <c r="AC91" s="5"/>
      <c r="AD91" s="58"/>
      <c r="AE91" s="58"/>
      <c r="AF91" s="58"/>
      <c r="AG91" s="58"/>
      <c r="AH91" s="58"/>
    </row>
    <row r="92">
      <c r="A92" s="56" t="s">
        <v>798</v>
      </c>
      <c r="B92" s="56" t="s">
        <v>8823</v>
      </c>
      <c r="C92" s="29" t="s">
        <v>8824</v>
      </c>
      <c r="D92" s="65" t="s">
        <v>8825</v>
      </c>
      <c r="E92" s="56" t="s">
        <v>20</v>
      </c>
      <c r="F92" s="130"/>
      <c r="G92" s="17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  <c r="AB92" s="5"/>
      <c r="AC92" s="5"/>
      <c r="AD92" s="5"/>
      <c r="AE92" s="5"/>
      <c r="AF92" s="5"/>
      <c r="AG92" s="5"/>
      <c r="AH92" s="5"/>
    </row>
    <row r="93">
      <c r="A93" s="29" t="s">
        <v>8826</v>
      </c>
      <c r="B93" s="29" t="s">
        <v>8828</v>
      </c>
      <c r="C93" s="29" t="s">
        <v>8830</v>
      </c>
      <c r="D93" s="16" t="s">
        <v>8832</v>
      </c>
      <c r="E93" s="29" t="s">
        <v>8834</v>
      </c>
      <c r="F93" s="130"/>
      <c r="G93" s="17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8"/>
      <c r="AE93" s="58"/>
      <c r="AF93" s="58"/>
      <c r="AG93" s="58"/>
      <c r="AH93" s="58"/>
    </row>
    <row r="94">
      <c r="A94" s="56" t="s">
        <v>8835</v>
      </c>
      <c r="B94" s="56" t="s">
        <v>8838</v>
      </c>
      <c r="C94" s="29" t="s">
        <v>8840</v>
      </c>
      <c r="D94" s="65" t="s">
        <v>8842</v>
      </c>
      <c r="E94" s="56" t="s">
        <v>8843</v>
      </c>
      <c r="F94" s="130"/>
      <c r="G94" s="17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</row>
    <row r="95">
      <c r="A95" s="29" t="s">
        <v>8844</v>
      </c>
      <c r="B95" s="29" t="s">
        <v>8845</v>
      </c>
      <c r="C95" s="29" t="s">
        <v>8846</v>
      </c>
      <c r="D95" s="16" t="s">
        <v>8847</v>
      </c>
      <c r="E95" s="29" t="s">
        <v>8848</v>
      </c>
      <c r="F95" s="130"/>
      <c r="G95" s="17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</row>
    <row r="96">
      <c r="A96" s="29" t="s">
        <v>8853</v>
      </c>
      <c r="B96" s="29" t="s">
        <v>8854</v>
      </c>
      <c r="C96" s="29" t="s">
        <v>8855</v>
      </c>
      <c r="D96" s="16" t="s">
        <v>8856</v>
      </c>
      <c r="E96" s="29" t="s">
        <v>68</v>
      </c>
      <c r="F96" s="130"/>
      <c r="G96" s="175"/>
      <c r="H96" s="130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</row>
    <row r="97">
      <c r="A97" s="56" t="s">
        <v>8861</v>
      </c>
      <c r="B97" s="56" t="s">
        <v>8862</v>
      </c>
      <c r="C97" s="29" t="s">
        <v>8863</v>
      </c>
      <c r="D97" s="65" t="s">
        <v>8864</v>
      </c>
      <c r="E97" s="56" t="s">
        <v>20</v>
      </c>
      <c r="F97" s="130"/>
      <c r="G97" s="175"/>
      <c r="H97" s="130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</row>
    <row r="98">
      <c r="A98" s="56" t="s">
        <v>8867</v>
      </c>
      <c r="B98" s="56" t="s">
        <v>8869</v>
      </c>
      <c r="C98" s="29" t="s">
        <v>8870</v>
      </c>
      <c r="D98" s="65" t="s">
        <v>8872</v>
      </c>
      <c r="E98" s="56" t="s">
        <v>238</v>
      </c>
      <c r="F98" s="130"/>
      <c r="G98" s="175"/>
      <c r="H98" s="130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</row>
    <row r="99">
      <c r="A99" s="56" t="s">
        <v>8873</v>
      </c>
      <c r="B99" s="56" t="s">
        <v>8874</v>
      </c>
      <c r="C99" s="29" t="s">
        <v>8875</v>
      </c>
      <c r="D99" s="65" t="s">
        <v>8876</v>
      </c>
      <c r="E99" s="56" t="s">
        <v>800</v>
      </c>
      <c r="F99" s="130"/>
      <c r="G99" s="175"/>
      <c r="H99" s="130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  <c r="AB99" s="5"/>
      <c r="AC99" s="5"/>
      <c r="AD99" s="5"/>
      <c r="AE99" s="5"/>
      <c r="AF99" s="5"/>
      <c r="AG99" s="5"/>
      <c r="AH99" s="5"/>
    </row>
    <row r="100">
      <c r="A100" s="56" t="s">
        <v>8881</v>
      </c>
      <c r="B100" s="56" t="s">
        <v>8882</v>
      </c>
      <c r="C100" s="29" t="s">
        <v>8883</v>
      </c>
      <c r="D100" s="65" t="s">
        <v>8884</v>
      </c>
      <c r="E100" s="56" t="s">
        <v>419</v>
      </c>
      <c r="F100" s="130"/>
      <c r="G100" s="175"/>
      <c r="H100" s="130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</row>
    <row r="101">
      <c r="A101" s="56" t="s">
        <v>8889</v>
      </c>
      <c r="B101" s="56" t="s">
        <v>8890</v>
      </c>
      <c r="C101" s="29" t="s">
        <v>8891</v>
      </c>
      <c r="D101" s="65" t="s">
        <v>8893</v>
      </c>
      <c r="E101" s="56" t="s">
        <v>8895</v>
      </c>
      <c r="F101" s="130"/>
      <c r="G101" s="175"/>
      <c r="H101" s="130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</row>
    <row r="102">
      <c r="A102" s="56" t="s">
        <v>8897</v>
      </c>
      <c r="B102" s="56" t="s">
        <v>8898</v>
      </c>
      <c r="C102" s="29" t="s">
        <v>8899</v>
      </c>
      <c r="D102" s="65" t="s">
        <v>8900</v>
      </c>
      <c r="E102" s="29" t="s">
        <v>8901</v>
      </c>
      <c r="F102" s="130"/>
      <c r="G102" s="175"/>
      <c r="H102" s="130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  <c r="AB102" s="5"/>
      <c r="AC102" s="5"/>
      <c r="AD102" s="5"/>
      <c r="AE102" s="5"/>
      <c r="AF102" s="5"/>
      <c r="AG102" s="5"/>
      <c r="AH102" s="5"/>
    </row>
    <row r="103">
      <c r="A103" s="29" t="s">
        <v>8902</v>
      </c>
      <c r="B103" s="29" t="s">
        <v>8904</v>
      </c>
      <c r="C103" s="29" t="s">
        <v>8906</v>
      </c>
      <c r="D103" s="16" t="s">
        <v>8909</v>
      </c>
      <c r="E103" s="29" t="s">
        <v>1100</v>
      </c>
      <c r="F103" s="130"/>
      <c r="G103" s="175"/>
      <c r="H103" s="130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</row>
    <row r="104">
      <c r="A104" s="29" t="s">
        <v>8913</v>
      </c>
      <c r="B104" s="29" t="s">
        <v>8915</v>
      </c>
      <c r="C104" s="29" t="s">
        <v>8917</v>
      </c>
      <c r="D104" s="16" t="s">
        <v>8918</v>
      </c>
      <c r="E104" s="29" t="s">
        <v>8746</v>
      </c>
      <c r="F104" s="130"/>
      <c r="G104" s="175"/>
      <c r="H104" s="130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  <c r="AB104" s="5"/>
      <c r="AC104" s="5"/>
      <c r="AD104" s="5"/>
      <c r="AE104" s="5"/>
      <c r="AF104" s="5"/>
      <c r="AG104" s="5"/>
      <c r="AH104" s="5"/>
    </row>
    <row r="105">
      <c r="A105" s="56" t="s">
        <v>8919</v>
      </c>
      <c r="B105" s="56" t="s">
        <v>8920</v>
      </c>
      <c r="C105" s="29" t="s">
        <v>8922</v>
      </c>
      <c r="D105" s="65" t="s">
        <v>8925</v>
      </c>
      <c r="E105" s="56" t="s">
        <v>419</v>
      </c>
      <c r="F105" s="130"/>
      <c r="G105" s="175"/>
      <c r="H105" s="130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</row>
    <row r="106">
      <c r="A106" s="29" t="s">
        <v>8927</v>
      </c>
      <c r="B106" s="29" t="s">
        <v>8928</v>
      </c>
      <c r="C106" s="29" t="s">
        <v>8929</v>
      </c>
      <c r="D106" s="16" t="s">
        <v>8930</v>
      </c>
      <c r="E106" s="29" t="s">
        <v>1090</v>
      </c>
      <c r="F106" s="130"/>
      <c r="G106" s="175"/>
      <c r="H106" s="130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</row>
    <row r="107">
      <c r="A107" s="29" t="s">
        <v>8936</v>
      </c>
      <c r="B107" s="29" t="s">
        <v>8937</v>
      </c>
      <c r="C107" s="29" t="s">
        <v>8938</v>
      </c>
      <c r="D107" s="16" t="s">
        <v>8939</v>
      </c>
      <c r="E107" s="29" t="s">
        <v>8940</v>
      </c>
      <c r="F107" s="130"/>
      <c r="G107" s="175"/>
      <c r="H107" s="130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</row>
    <row r="108">
      <c r="A108" s="60" t="s">
        <v>8946</v>
      </c>
      <c r="B108" s="60" t="s">
        <v>8947</v>
      </c>
      <c r="C108" s="34" t="s">
        <v>8948</v>
      </c>
      <c r="D108" s="131" t="s">
        <v>8949</v>
      </c>
      <c r="E108" s="60" t="s">
        <v>419</v>
      </c>
      <c r="F108" s="132"/>
      <c r="G108" s="37"/>
      <c r="H108" s="132"/>
      <c r="I108" s="37"/>
      <c r="J108" s="37"/>
      <c r="K108" s="37"/>
      <c r="L108" s="37"/>
      <c r="M108" s="37"/>
      <c r="N108" s="37"/>
      <c r="O108" s="37"/>
      <c r="P108" s="37"/>
      <c r="Q108" s="37"/>
      <c r="R108" s="37"/>
      <c r="S108" s="37"/>
      <c r="T108" s="37"/>
      <c r="U108" s="37"/>
      <c r="V108" s="37"/>
      <c r="W108" s="37"/>
      <c r="X108" s="37"/>
      <c r="Y108" s="37"/>
      <c r="Z108" s="37"/>
      <c r="AA108" s="37"/>
      <c r="AB108" s="37"/>
      <c r="AC108" s="37"/>
      <c r="AD108" s="37"/>
      <c r="AE108" s="37"/>
      <c r="AF108" s="37"/>
      <c r="AG108" s="37"/>
      <c r="AH108" s="37"/>
    </row>
    <row r="109">
      <c r="A109" s="29" t="s">
        <v>8956</v>
      </c>
      <c r="B109" s="29" t="s">
        <v>8958</v>
      </c>
      <c r="C109" s="29" t="s">
        <v>8960</v>
      </c>
      <c r="D109" s="16" t="s">
        <v>8961</v>
      </c>
      <c r="E109" s="29" t="s">
        <v>8962</v>
      </c>
      <c r="F109" s="130"/>
      <c r="G109" s="175"/>
      <c r="H109" s="130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</row>
    <row r="110">
      <c r="A110" s="29" t="s">
        <v>8963</v>
      </c>
      <c r="B110" s="29" t="s">
        <v>8964</v>
      </c>
      <c r="C110" s="29" t="s">
        <v>8965</v>
      </c>
      <c r="D110" s="16" t="s">
        <v>8968</v>
      </c>
      <c r="E110" s="29" t="s">
        <v>8970</v>
      </c>
      <c r="F110" s="130"/>
      <c r="G110" s="175"/>
      <c r="H110" s="130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  <c r="AB110" s="5"/>
      <c r="AC110" s="5"/>
      <c r="AD110" s="5"/>
      <c r="AE110" s="5"/>
      <c r="AF110" s="5"/>
      <c r="AG110" s="5"/>
      <c r="AH110" s="5"/>
    </row>
    <row r="111">
      <c r="A111" s="29" t="s">
        <v>8972</v>
      </c>
      <c r="B111" s="29" t="s">
        <v>8973</v>
      </c>
      <c r="C111" s="29" t="s">
        <v>8974</v>
      </c>
      <c r="D111" s="16" t="s">
        <v>8975</v>
      </c>
      <c r="E111" s="29" t="s">
        <v>8976</v>
      </c>
      <c r="F111" s="130"/>
      <c r="G111" s="175"/>
      <c r="H111" s="130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  <c r="AB111" s="5"/>
      <c r="AC111" s="5"/>
      <c r="AD111" s="5"/>
      <c r="AE111" s="5"/>
      <c r="AF111" s="5"/>
      <c r="AG111" s="5"/>
      <c r="AH111" s="5"/>
    </row>
    <row r="112">
      <c r="A112" s="34" t="s">
        <v>8981</v>
      </c>
      <c r="B112" s="34" t="s">
        <v>8982</v>
      </c>
      <c r="C112" s="34" t="s">
        <v>8983</v>
      </c>
      <c r="D112" s="80" t="s">
        <v>8984</v>
      </c>
      <c r="E112" s="34" t="s">
        <v>8985</v>
      </c>
      <c r="F112" s="132"/>
      <c r="G112" s="37"/>
      <c r="H112" s="132"/>
      <c r="I112" s="37"/>
      <c r="J112" s="37"/>
      <c r="K112" s="37"/>
      <c r="L112" s="37"/>
      <c r="M112" s="37"/>
      <c r="N112" s="37"/>
      <c r="O112" s="37"/>
      <c r="P112" s="37"/>
      <c r="Q112" s="37"/>
      <c r="R112" s="37"/>
      <c r="S112" s="37"/>
      <c r="T112" s="37"/>
      <c r="U112" s="37"/>
      <c r="V112" s="37"/>
      <c r="W112" s="37"/>
      <c r="X112" s="37"/>
      <c r="Y112" s="37"/>
      <c r="Z112" s="37"/>
      <c r="AA112" s="37"/>
      <c r="AB112" s="37"/>
      <c r="AC112" s="37"/>
      <c r="AD112" s="37"/>
      <c r="AE112" s="37"/>
      <c r="AF112" s="37"/>
      <c r="AG112" s="37"/>
      <c r="AH112" s="37"/>
    </row>
    <row r="113">
      <c r="A113" s="29" t="s">
        <v>8990</v>
      </c>
      <c r="B113" s="29" t="s">
        <v>8991</v>
      </c>
      <c r="C113" s="29" t="s">
        <v>8992</v>
      </c>
      <c r="D113" s="16" t="s">
        <v>8993</v>
      </c>
      <c r="E113" s="29" t="s">
        <v>8994</v>
      </c>
      <c r="F113" s="130"/>
      <c r="G113" s="175"/>
      <c r="H113" s="130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</row>
    <row r="114">
      <c r="A114" s="56" t="s">
        <v>8999</v>
      </c>
      <c r="B114" s="56" t="s">
        <v>9000</v>
      </c>
      <c r="C114" s="29" t="s">
        <v>9001</v>
      </c>
      <c r="D114" s="65" t="s">
        <v>9002</v>
      </c>
      <c r="E114" s="56" t="s">
        <v>9003</v>
      </c>
      <c r="F114" s="130"/>
      <c r="G114" s="175"/>
      <c r="H114" s="130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</row>
    <row r="115">
      <c r="A115" s="29" t="s">
        <v>9008</v>
      </c>
      <c r="B115" s="29" t="s">
        <v>9009</v>
      </c>
      <c r="C115" s="29" t="s">
        <v>9010</v>
      </c>
      <c r="D115" s="16" t="s">
        <v>9011</v>
      </c>
      <c r="E115" s="29" t="s">
        <v>8273</v>
      </c>
      <c r="F115" s="130"/>
      <c r="G115" s="175"/>
      <c r="H115" s="130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</row>
    <row r="116">
      <c r="A116" s="29" t="s">
        <v>9016</v>
      </c>
      <c r="B116" s="29" t="s">
        <v>9017</v>
      </c>
      <c r="C116" s="29" t="s">
        <v>9018</v>
      </c>
      <c r="D116" s="16" t="s">
        <v>9019</v>
      </c>
      <c r="E116" s="29" t="s">
        <v>1100</v>
      </c>
      <c r="F116" s="130"/>
      <c r="G116" s="175"/>
      <c r="H116" s="130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  <c r="AB116" s="5"/>
      <c r="AC116" s="5"/>
      <c r="AD116" s="5"/>
      <c r="AE116" s="5"/>
      <c r="AF116" s="5"/>
      <c r="AG116" s="5"/>
      <c r="AH116" s="5"/>
    </row>
    <row r="117">
      <c r="A117" s="29" t="s">
        <v>9030</v>
      </c>
      <c r="B117" s="29" t="s">
        <v>9032</v>
      </c>
      <c r="C117" s="29" t="s">
        <v>9034</v>
      </c>
      <c r="D117" s="16" t="s">
        <v>9035</v>
      </c>
      <c r="E117" s="29" t="s">
        <v>9036</v>
      </c>
      <c r="F117" s="130"/>
      <c r="G117" s="175"/>
      <c r="H117" s="130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</row>
    <row r="118">
      <c r="A118" s="29" t="s">
        <v>9039</v>
      </c>
      <c r="B118" s="29" t="s">
        <v>9040</v>
      </c>
      <c r="C118" s="29" t="s">
        <v>9042</v>
      </c>
      <c r="D118" s="16" t="s">
        <v>9043</v>
      </c>
      <c r="E118" s="29" t="s">
        <v>9036</v>
      </c>
      <c r="F118" s="130"/>
      <c r="G118" s="175"/>
      <c r="H118" s="130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  <c r="AB118" s="5"/>
      <c r="AC118" s="5"/>
      <c r="AD118" s="5"/>
      <c r="AE118" s="5"/>
      <c r="AF118" s="5"/>
      <c r="AG118" s="5"/>
      <c r="AH118" s="5"/>
    </row>
    <row r="119">
      <c r="A119" s="29" t="s">
        <v>9047</v>
      </c>
      <c r="B119" s="29" t="s">
        <v>9049</v>
      </c>
      <c r="C119" s="29" t="s">
        <v>9050</v>
      </c>
      <c r="D119" s="16" t="s">
        <v>9051</v>
      </c>
      <c r="E119" s="29" t="s">
        <v>9036</v>
      </c>
      <c r="F119" s="130"/>
      <c r="G119" s="175"/>
      <c r="H119" s="130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  <c r="AB119" s="5"/>
      <c r="AC119" s="5"/>
      <c r="AD119" s="5"/>
      <c r="AE119" s="5"/>
      <c r="AF119" s="5"/>
      <c r="AG119" s="5"/>
      <c r="AH119" s="5"/>
    </row>
    <row r="120">
      <c r="A120" s="29" t="s">
        <v>9054</v>
      </c>
      <c r="B120" s="29" t="s">
        <v>9056</v>
      </c>
      <c r="C120" s="29" t="s">
        <v>9057</v>
      </c>
      <c r="D120" s="16" t="s">
        <v>9059</v>
      </c>
      <c r="E120" s="29" t="s">
        <v>9060</v>
      </c>
      <c r="F120" s="130"/>
      <c r="G120" s="175"/>
      <c r="H120" s="130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  <c r="AB120" s="5"/>
      <c r="AC120" s="5"/>
      <c r="AD120" s="5"/>
      <c r="AE120" s="5"/>
      <c r="AF120" s="5"/>
      <c r="AG120" s="5"/>
      <c r="AH120" s="5"/>
    </row>
    <row r="121">
      <c r="A121" s="29" t="s">
        <v>9061</v>
      </c>
      <c r="B121" s="29" t="s">
        <v>9062</v>
      </c>
      <c r="C121" s="29" t="s">
        <v>9064</v>
      </c>
      <c r="D121" s="16" t="s">
        <v>9066</v>
      </c>
      <c r="E121" s="29" t="s">
        <v>9068</v>
      </c>
      <c r="F121" s="130"/>
      <c r="G121" s="175"/>
      <c r="H121" s="130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</row>
    <row r="122">
      <c r="A122" s="29" t="s">
        <v>9070</v>
      </c>
      <c r="B122" s="29" t="s">
        <v>9071</v>
      </c>
      <c r="C122" s="29" t="s">
        <v>9072</v>
      </c>
      <c r="D122" s="16" t="s">
        <v>9073</v>
      </c>
      <c r="E122" s="29" t="s">
        <v>68</v>
      </c>
      <c r="F122" s="130"/>
      <c r="G122" s="175"/>
      <c r="H122" s="130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</row>
    <row r="123">
      <c r="A123" s="56" t="s">
        <v>9078</v>
      </c>
      <c r="B123" s="56" t="s">
        <v>9079</v>
      </c>
      <c r="C123" s="29" t="s">
        <v>9080</v>
      </c>
      <c r="D123" s="16" t="s">
        <v>9081</v>
      </c>
      <c r="E123" s="29" t="s">
        <v>1563</v>
      </c>
      <c r="F123" s="130"/>
      <c r="G123" s="175"/>
      <c r="H123" s="130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</row>
    <row r="124">
      <c r="A124" s="29" t="s">
        <v>9087</v>
      </c>
      <c r="B124" s="29" t="s">
        <v>9088</v>
      </c>
      <c r="C124" s="29" t="s">
        <v>9089</v>
      </c>
      <c r="D124" s="16" t="s">
        <v>9090</v>
      </c>
      <c r="E124" s="29" t="s">
        <v>3087</v>
      </c>
      <c r="F124" s="130"/>
      <c r="G124" s="175"/>
      <c r="H124" s="130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</row>
    <row r="125">
      <c r="A125" s="56" t="s">
        <v>9096</v>
      </c>
      <c r="B125" s="56" t="s">
        <v>9097</v>
      </c>
      <c r="C125" s="29" t="s">
        <v>9098</v>
      </c>
      <c r="D125" s="65" t="s">
        <v>9099</v>
      </c>
      <c r="E125" s="56" t="s">
        <v>9100</v>
      </c>
      <c r="F125" s="130"/>
      <c r="G125" s="175"/>
      <c r="H125" s="130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</row>
    <row r="126">
      <c r="A126" s="29" t="s">
        <v>9106</v>
      </c>
      <c r="B126" s="29" t="s">
        <v>9107</v>
      </c>
      <c r="C126" s="29" t="s">
        <v>9108</v>
      </c>
      <c r="D126" s="16" t="s">
        <v>9109</v>
      </c>
      <c r="E126" s="29" t="s">
        <v>9110</v>
      </c>
      <c r="F126" s="130"/>
      <c r="G126" s="175"/>
      <c r="H126" s="130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</row>
    <row r="127">
      <c r="A127" s="29" t="s">
        <v>9112</v>
      </c>
      <c r="B127" s="29" t="s">
        <v>9113</v>
      </c>
      <c r="C127" s="29" t="s">
        <v>9114</v>
      </c>
      <c r="D127" s="16" t="s">
        <v>9115</v>
      </c>
      <c r="E127" s="29" t="s">
        <v>1730</v>
      </c>
      <c r="F127" s="130"/>
      <c r="G127" s="175"/>
      <c r="H127" s="130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</row>
    <row r="128">
      <c r="A128" s="56" t="s">
        <v>9119</v>
      </c>
      <c r="B128" s="56" t="s">
        <v>9120</v>
      </c>
      <c r="C128" s="29" t="s">
        <v>9121</v>
      </c>
      <c r="D128" s="65" t="s">
        <v>9122</v>
      </c>
      <c r="E128" s="56" t="s">
        <v>9123</v>
      </c>
      <c r="F128" s="130"/>
      <c r="G128" s="175"/>
      <c r="H128" s="130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</row>
    <row r="129">
      <c r="A129" s="56" t="s">
        <v>9128</v>
      </c>
      <c r="B129" s="56" t="s">
        <v>9129</v>
      </c>
      <c r="C129" s="29" t="s">
        <v>9130</v>
      </c>
      <c r="D129" s="65" t="s">
        <v>9132</v>
      </c>
      <c r="E129" s="56" t="s">
        <v>800</v>
      </c>
      <c r="F129" s="130"/>
      <c r="G129" s="175"/>
      <c r="H129" s="130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/>
      <c r="AC129" s="5"/>
      <c r="AD129" s="5"/>
      <c r="AE129" s="5"/>
      <c r="AF129" s="5"/>
      <c r="AG129" s="5"/>
      <c r="AH129" s="5"/>
    </row>
    <row r="130">
      <c r="A130" s="56" t="s">
        <v>9137</v>
      </c>
      <c r="B130" s="56" t="s">
        <v>9138</v>
      </c>
      <c r="C130" s="29" t="s">
        <v>9139</v>
      </c>
      <c r="D130" s="65" t="s">
        <v>9142</v>
      </c>
      <c r="E130" s="56" t="s">
        <v>6096</v>
      </c>
      <c r="F130" s="130"/>
      <c r="G130" s="175"/>
      <c r="H130" s="130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/>
      <c r="AC130" s="5"/>
      <c r="AD130" s="5"/>
      <c r="AE130" s="5"/>
      <c r="AF130" s="5"/>
      <c r="AG130" s="5"/>
      <c r="AH130" s="5"/>
    </row>
    <row r="131">
      <c r="A131" s="56" t="s">
        <v>9146</v>
      </c>
      <c r="B131" s="56" t="s">
        <v>9147</v>
      </c>
      <c r="C131" s="29" t="s">
        <v>9148</v>
      </c>
      <c r="D131" s="65" t="s">
        <v>9149</v>
      </c>
      <c r="E131" s="56" t="s">
        <v>9150</v>
      </c>
      <c r="F131" s="130"/>
      <c r="G131" s="175"/>
      <c r="H131" s="130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</row>
    <row r="132">
      <c r="A132" s="56" t="s">
        <v>9154</v>
      </c>
      <c r="B132" s="56" t="s">
        <v>9155</v>
      </c>
      <c r="C132" s="29" t="s">
        <v>9156</v>
      </c>
      <c r="D132" s="65" t="s">
        <v>9157</v>
      </c>
      <c r="E132" s="56" t="s">
        <v>419</v>
      </c>
      <c r="F132" s="130"/>
      <c r="G132" s="175"/>
      <c r="H132" s="130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</row>
    <row r="133">
      <c r="A133" s="29" t="s">
        <v>9161</v>
      </c>
      <c r="B133" s="29" t="s">
        <v>9162</v>
      </c>
      <c r="C133" s="29" t="s">
        <v>9163</v>
      </c>
      <c r="D133" s="16" t="s">
        <v>9164</v>
      </c>
      <c r="E133" s="29" t="s">
        <v>8406</v>
      </c>
      <c r="F133" s="130"/>
      <c r="G133" s="175"/>
      <c r="H133" s="130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</row>
    <row r="134">
      <c r="A134" s="29" t="s">
        <v>9168</v>
      </c>
      <c r="B134" s="29" t="s">
        <v>9169</v>
      </c>
      <c r="C134" s="29" t="s">
        <v>9170</v>
      </c>
      <c r="D134" s="16" t="s">
        <v>9171</v>
      </c>
      <c r="E134" s="29" t="s">
        <v>9172</v>
      </c>
      <c r="F134" s="130"/>
      <c r="G134" s="175"/>
      <c r="H134" s="130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</row>
    <row r="135">
      <c r="A135" s="29" t="s">
        <v>9173</v>
      </c>
      <c r="B135" s="29" t="s">
        <v>9174</v>
      </c>
      <c r="C135" s="29" t="s">
        <v>9175</v>
      </c>
      <c r="D135" s="16" t="s">
        <v>9176</v>
      </c>
      <c r="E135" s="29" t="s">
        <v>276</v>
      </c>
      <c r="F135" s="130"/>
      <c r="G135" s="175"/>
      <c r="H135" s="130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</row>
    <row r="136">
      <c r="A136" s="56" t="s">
        <v>9177</v>
      </c>
      <c r="B136" s="56" t="s">
        <v>9178</v>
      </c>
      <c r="C136" s="29" t="s">
        <v>9179</v>
      </c>
      <c r="D136" s="65" t="s">
        <v>9180</v>
      </c>
      <c r="E136" s="56" t="s">
        <v>9181</v>
      </c>
      <c r="F136" s="130"/>
      <c r="G136" s="175"/>
      <c r="H136" s="130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/>
      <c r="AC136" s="5"/>
      <c r="AD136" s="5"/>
      <c r="AE136" s="5"/>
      <c r="AF136" s="5"/>
      <c r="AG136" s="5"/>
      <c r="AH136" s="5"/>
    </row>
    <row r="137">
      <c r="A137" s="56" t="s">
        <v>9182</v>
      </c>
      <c r="B137" s="56" t="s">
        <v>9183</v>
      </c>
      <c r="C137" s="29" t="s">
        <v>9184</v>
      </c>
      <c r="D137" s="65" t="s">
        <v>9185</v>
      </c>
      <c r="E137" s="56" t="s">
        <v>238</v>
      </c>
      <c r="F137" s="130"/>
      <c r="G137" s="175"/>
      <c r="H137" s="130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/>
      <c r="AC137" s="5"/>
      <c r="AD137" s="5"/>
      <c r="AE137" s="5"/>
      <c r="AF137" s="5"/>
      <c r="AG137" s="5"/>
      <c r="AH137" s="5"/>
    </row>
    <row r="138">
      <c r="A138" s="29" t="s">
        <v>9186</v>
      </c>
      <c r="B138" s="29" t="s">
        <v>9187</v>
      </c>
      <c r="C138" s="29" t="s">
        <v>9188</v>
      </c>
      <c r="D138" s="16" t="s">
        <v>9189</v>
      </c>
      <c r="E138" s="29" t="s">
        <v>9190</v>
      </c>
      <c r="F138" s="130"/>
      <c r="G138" s="175"/>
      <c r="H138" s="130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/>
      <c r="AC138" s="5"/>
      <c r="AD138" s="5"/>
      <c r="AE138" s="5"/>
      <c r="AF138" s="5"/>
      <c r="AG138" s="5"/>
      <c r="AH138" s="5"/>
    </row>
    <row r="139">
      <c r="A139" s="56" t="s">
        <v>9191</v>
      </c>
      <c r="B139" s="56" t="s">
        <v>9192</v>
      </c>
      <c r="C139" s="29" t="s">
        <v>9193</v>
      </c>
      <c r="D139" s="65" t="s">
        <v>9194</v>
      </c>
      <c r="E139" s="56" t="s">
        <v>9195</v>
      </c>
      <c r="F139" s="130"/>
      <c r="G139" s="175"/>
      <c r="H139" s="130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/>
      <c r="AC139" s="5"/>
      <c r="AD139" s="5"/>
      <c r="AE139" s="5"/>
      <c r="AF139" s="5"/>
      <c r="AG139" s="5"/>
      <c r="AH139" s="5"/>
    </row>
    <row r="140">
      <c r="A140" s="56" t="s">
        <v>9196</v>
      </c>
      <c r="B140" s="56" t="s">
        <v>9197</v>
      </c>
      <c r="C140" s="29" t="s">
        <v>9198</v>
      </c>
      <c r="D140" s="65" t="s">
        <v>9199</v>
      </c>
      <c r="E140" s="56" t="s">
        <v>9200</v>
      </c>
      <c r="F140" s="130"/>
      <c r="G140" s="175"/>
      <c r="H140" s="130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/>
      <c r="AC140" s="5"/>
      <c r="AD140" s="5"/>
      <c r="AE140" s="5"/>
      <c r="AF140" s="5"/>
      <c r="AG140" s="5"/>
      <c r="AH140" s="5"/>
    </row>
    <row r="141">
      <c r="A141" s="29" t="s">
        <v>9201</v>
      </c>
      <c r="B141" s="29" t="s">
        <v>9202</v>
      </c>
      <c r="C141" s="29" t="s">
        <v>9203</v>
      </c>
      <c r="D141" s="16" t="s">
        <v>9204</v>
      </c>
      <c r="E141" s="29" t="s">
        <v>7933</v>
      </c>
      <c r="F141" s="130"/>
      <c r="G141" s="175"/>
      <c r="H141" s="130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/>
      <c r="AC141" s="5"/>
      <c r="AD141" s="5"/>
      <c r="AE141" s="5"/>
      <c r="AF141" s="5"/>
      <c r="AG141" s="5"/>
      <c r="AH141" s="5"/>
    </row>
    <row r="142">
      <c r="A142" s="56" t="s">
        <v>9205</v>
      </c>
      <c r="B142" s="56" t="s">
        <v>9206</v>
      </c>
      <c r="C142" s="29" t="s">
        <v>9207</v>
      </c>
      <c r="D142" s="65" t="s">
        <v>9208</v>
      </c>
      <c r="E142" s="56" t="s">
        <v>9209</v>
      </c>
      <c r="F142" s="130"/>
      <c r="G142" s="175"/>
      <c r="H142" s="130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/>
      <c r="AC142" s="5"/>
      <c r="AD142" s="5"/>
      <c r="AE142" s="5"/>
      <c r="AF142" s="5"/>
      <c r="AG142" s="5"/>
      <c r="AH142" s="5"/>
    </row>
    <row r="143">
      <c r="A143" s="29" t="s">
        <v>9210</v>
      </c>
      <c r="B143" s="29" t="s">
        <v>9211</v>
      </c>
      <c r="C143" s="29" t="s">
        <v>9212</v>
      </c>
      <c r="D143" s="16" t="s">
        <v>9213</v>
      </c>
      <c r="E143" s="29" t="s">
        <v>320</v>
      </c>
      <c r="F143" s="130"/>
      <c r="G143" s="175"/>
      <c r="H143" s="130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/>
      <c r="AC143" s="5"/>
      <c r="AD143" s="5"/>
      <c r="AE143" s="5"/>
      <c r="AF143" s="5"/>
      <c r="AG143" s="5"/>
      <c r="AH143" s="5"/>
    </row>
    <row r="144">
      <c r="A144" s="29" t="s">
        <v>9214</v>
      </c>
      <c r="B144" s="29" t="s">
        <v>9215</v>
      </c>
      <c r="C144" s="29" t="s">
        <v>9216</v>
      </c>
      <c r="D144" s="16" t="s">
        <v>9081</v>
      </c>
      <c r="E144" s="29" t="s">
        <v>1563</v>
      </c>
      <c r="F144" s="130"/>
      <c r="G144" s="175"/>
      <c r="H144" s="130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</row>
    <row r="145">
      <c r="A145" s="29" t="s">
        <v>9217</v>
      </c>
      <c r="B145" s="29" t="s">
        <v>9218</v>
      </c>
      <c r="C145" s="29" t="s">
        <v>9219</v>
      </c>
      <c r="D145" s="16" t="s">
        <v>9220</v>
      </c>
      <c r="E145" s="29" t="s">
        <v>9036</v>
      </c>
      <c r="F145" s="130"/>
      <c r="G145" s="175"/>
      <c r="H145" s="130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/>
      <c r="AC145" s="5"/>
      <c r="AD145" s="5"/>
      <c r="AE145" s="5"/>
      <c r="AF145" s="5"/>
      <c r="AG145" s="5"/>
      <c r="AH145" s="5"/>
    </row>
    <row r="146">
      <c r="A146" s="29" t="s">
        <v>9221</v>
      </c>
      <c r="B146" s="29" t="s">
        <v>9222</v>
      </c>
      <c r="C146" s="29" t="s">
        <v>9223</v>
      </c>
      <c r="D146" s="16" t="s">
        <v>9224</v>
      </c>
      <c r="E146" s="29" t="s">
        <v>1335</v>
      </c>
      <c r="F146" s="130"/>
      <c r="G146" s="175"/>
      <c r="H146" s="130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/>
      <c r="AH146" s="5"/>
    </row>
    <row r="147">
      <c r="A147" s="29" t="s">
        <v>9225</v>
      </c>
      <c r="B147" s="29" t="s">
        <v>9226</v>
      </c>
      <c r="C147" s="29" t="s">
        <v>9227</v>
      </c>
      <c r="D147" s="16" t="s">
        <v>9228</v>
      </c>
      <c r="E147" s="29" t="s">
        <v>1335</v>
      </c>
      <c r="F147" s="130"/>
      <c r="G147" s="175"/>
      <c r="H147" s="130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</row>
    <row r="148">
      <c r="A148" s="29" t="s">
        <v>9229</v>
      </c>
      <c r="B148" s="29" t="s">
        <v>9230</v>
      </c>
      <c r="C148" s="29" t="s">
        <v>9231</v>
      </c>
      <c r="D148" s="16" t="s">
        <v>9232</v>
      </c>
      <c r="E148" s="29" t="s">
        <v>1335</v>
      </c>
      <c r="F148" s="130"/>
      <c r="G148" s="175"/>
      <c r="H148" s="130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/>
    </row>
    <row r="149">
      <c r="A149" s="29" t="s">
        <v>9233</v>
      </c>
      <c r="B149" s="29" t="s">
        <v>9234</v>
      </c>
      <c r="C149" s="29" t="s">
        <v>9235</v>
      </c>
      <c r="D149" s="16" t="s">
        <v>9236</v>
      </c>
      <c r="E149" s="29" t="s">
        <v>1335</v>
      </c>
      <c r="F149" s="130"/>
      <c r="G149" s="175"/>
      <c r="H149" s="130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</row>
    <row r="150">
      <c r="A150" s="29" t="s">
        <v>9237</v>
      </c>
      <c r="B150" s="29" t="s">
        <v>9238</v>
      </c>
      <c r="C150" s="29" t="s">
        <v>9239</v>
      </c>
      <c r="D150" s="16" t="s">
        <v>9240</v>
      </c>
      <c r="E150" s="29" t="s">
        <v>9241</v>
      </c>
      <c r="F150" s="130"/>
      <c r="G150" s="175"/>
      <c r="H150" s="130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</row>
    <row r="151">
      <c r="A151" s="29" t="s">
        <v>9242</v>
      </c>
      <c r="B151" s="29" t="s">
        <v>9243</v>
      </c>
      <c r="C151" s="29" t="s">
        <v>9244</v>
      </c>
      <c r="D151" s="16" t="s">
        <v>9245</v>
      </c>
      <c r="E151" s="29" t="s">
        <v>8834</v>
      </c>
      <c r="F151" s="130"/>
      <c r="G151" s="175"/>
      <c r="H151" s="130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/>
      <c r="AC151" s="5"/>
      <c r="AD151" s="5"/>
      <c r="AE151" s="5"/>
      <c r="AF151" s="5"/>
      <c r="AG151" s="5"/>
      <c r="AH151" s="5"/>
    </row>
    <row r="152">
      <c r="A152" s="56" t="s">
        <v>9246</v>
      </c>
      <c r="B152" s="56" t="s">
        <v>9247</v>
      </c>
      <c r="C152" s="29" t="s">
        <v>9248</v>
      </c>
      <c r="D152" s="65" t="s">
        <v>9249</v>
      </c>
      <c r="E152" s="56" t="s">
        <v>7693</v>
      </c>
      <c r="F152" s="130"/>
      <c r="G152" s="175"/>
      <c r="H152" s="130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</row>
    <row r="153">
      <c r="A153" s="56" t="s">
        <v>8705</v>
      </c>
      <c r="B153" s="56" t="s">
        <v>8706</v>
      </c>
      <c r="C153" s="29" t="s">
        <v>8707</v>
      </c>
      <c r="D153" s="65" t="s">
        <v>9250</v>
      </c>
      <c r="E153" s="133"/>
      <c r="F153" s="130"/>
      <c r="G153" s="175"/>
      <c r="H153" s="130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/>
      <c r="AC153" s="5"/>
      <c r="AD153" s="5"/>
      <c r="AE153" s="5"/>
      <c r="AF153" s="5"/>
      <c r="AG153" s="5"/>
      <c r="AH153" s="5"/>
    </row>
    <row r="154">
      <c r="A154" s="56" t="s">
        <v>9251</v>
      </c>
      <c r="B154" s="56" t="s">
        <v>9252</v>
      </c>
      <c r="C154" s="29" t="s">
        <v>9253</v>
      </c>
      <c r="D154" s="65" t="s">
        <v>9254</v>
      </c>
      <c r="E154" s="56" t="s">
        <v>9255</v>
      </c>
      <c r="F154" s="130"/>
      <c r="G154" s="175"/>
      <c r="H154" s="130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/>
      <c r="AC154" s="5"/>
      <c r="AD154" s="5"/>
      <c r="AE154" s="5"/>
      <c r="AF154" s="5"/>
      <c r="AG154" s="5"/>
      <c r="AH154" s="5"/>
    </row>
    <row r="155">
      <c r="A155" s="56" t="s">
        <v>9256</v>
      </c>
      <c r="B155" s="56" t="s">
        <v>9257</v>
      </c>
      <c r="C155" s="29" t="s">
        <v>9258</v>
      </c>
      <c r="D155" s="65" t="s">
        <v>9259</v>
      </c>
      <c r="E155" s="133"/>
      <c r="F155" s="130"/>
      <c r="G155" s="175"/>
      <c r="H155" s="130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/>
      <c r="AC155" s="5"/>
      <c r="AD155" s="5"/>
      <c r="AE155" s="5"/>
      <c r="AF155" s="5"/>
      <c r="AG155" s="5"/>
      <c r="AH155" s="5"/>
    </row>
    <row r="156">
      <c r="A156" s="29" t="s">
        <v>9260</v>
      </c>
      <c r="B156" s="29" t="s">
        <v>9261</v>
      </c>
      <c r="C156" s="29" t="s">
        <v>9262</v>
      </c>
      <c r="D156" s="16" t="s">
        <v>9263</v>
      </c>
      <c r="E156" s="29" t="s">
        <v>68</v>
      </c>
      <c r="F156" s="130"/>
      <c r="G156" s="175"/>
      <c r="H156" s="130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</row>
    <row r="157">
      <c r="A157" s="29" t="s">
        <v>9264</v>
      </c>
      <c r="B157" s="29" t="s">
        <v>9265</v>
      </c>
      <c r="C157" s="29" t="s">
        <v>9266</v>
      </c>
      <c r="D157" s="16" t="s">
        <v>9267</v>
      </c>
      <c r="E157" s="29" t="s">
        <v>9268</v>
      </c>
      <c r="F157" s="130"/>
      <c r="G157" s="175"/>
      <c r="H157" s="130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/>
      <c r="AE157" s="5"/>
      <c r="AF157" s="5"/>
      <c r="AG157" s="5"/>
      <c r="AH157" s="5"/>
    </row>
    <row r="158">
      <c r="A158" s="56" t="s">
        <v>9269</v>
      </c>
      <c r="B158" s="56" t="s">
        <v>9270</v>
      </c>
      <c r="C158" s="29" t="s">
        <v>9271</v>
      </c>
      <c r="D158" s="65" t="s">
        <v>9272</v>
      </c>
      <c r="E158" s="56" t="s">
        <v>419</v>
      </c>
      <c r="F158" s="130"/>
      <c r="G158" s="175"/>
      <c r="H158" s="130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</row>
    <row r="159">
      <c r="A159" s="29" t="s">
        <v>9273</v>
      </c>
      <c r="B159" s="29" t="s">
        <v>9274</v>
      </c>
      <c r="C159" s="29" t="s">
        <v>9275</v>
      </c>
      <c r="D159" s="16" t="s">
        <v>9276</v>
      </c>
      <c r="E159" s="29" t="s">
        <v>8940</v>
      </c>
      <c r="F159" s="130"/>
      <c r="G159" s="175"/>
      <c r="H159" s="130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</row>
    <row r="160">
      <c r="A160" s="29" t="s">
        <v>9277</v>
      </c>
      <c r="B160" s="29" t="s">
        <v>9278</v>
      </c>
      <c r="C160" s="29" t="s">
        <v>9279</v>
      </c>
      <c r="D160" s="16" t="s">
        <v>9280</v>
      </c>
      <c r="E160" s="29" t="s">
        <v>8940</v>
      </c>
      <c r="F160" s="130"/>
      <c r="G160" s="175"/>
      <c r="H160" s="130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</row>
    <row r="161">
      <c r="A161" s="29" t="s">
        <v>9281</v>
      </c>
      <c r="B161" s="29" t="s">
        <v>9282</v>
      </c>
      <c r="C161" s="29" t="s">
        <v>9283</v>
      </c>
      <c r="D161" s="16" t="s">
        <v>9284</v>
      </c>
      <c r="E161" s="29" t="s">
        <v>9285</v>
      </c>
      <c r="F161" s="130"/>
      <c r="G161" s="175"/>
      <c r="H161" s="130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/>
      <c r="AC161" s="5"/>
      <c r="AD161" s="5"/>
      <c r="AE161" s="5"/>
      <c r="AF161" s="5"/>
      <c r="AG161" s="5"/>
      <c r="AH161" s="5"/>
    </row>
    <row r="162">
      <c r="A162" s="56" t="s">
        <v>9286</v>
      </c>
      <c r="B162" s="56" t="s">
        <v>9287</v>
      </c>
      <c r="C162" s="29" t="s">
        <v>9288</v>
      </c>
      <c r="D162" s="65" t="s">
        <v>9289</v>
      </c>
      <c r="E162" s="56" t="s">
        <v>800</v>
      </c>
      <c r="F162" s="130"/>
      <c r="G162" s="175"/>
      <c r="H162" s="130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</row>
    <row r="163">
      <c r="A163" s="56" t="s">
        <v>9290</v>
      </c>
      <c r="B163" s="56" t="s">
        <v>9291</v>
      </c>
      <c r="C163" s="29" t="s">
        <v>9292</v>
      </c>
      <c r="D163" s="65" t="s">
        <v>9293</v>
      </c>
      <c r="E163" s="56" t="s">
        <v>238</v>
      </c>
      <c r="F163" s="130"/>
      <c r="G163" s="175"/>
      <c r="H163" s="130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</row>
    <row r="164">
      <c r="A164" s="29" t="s">
        <v>9294</v>
      </c>
      <c r="B164" s="29" t="s">
        <v>9295</v>
      </c>
      <c r="C164" s="29" t="s">
        <v>9296</v>
      </c>
      <c r="D164" s="16" t="s">
        <v>9297</v>
      </c>
      <c r="E164" s="29" t="s">
        <v>8994</v>
      </c>
      <c r="F164" s="130"/>
      <c r="G164" s="175"/>
      <c r="H164" s="130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</row>
    <row r="165">
      <c r="A165" s="29" t="s">
        <v>9298</v>
      </c>
      <c r="B165" s="29" t="s">
        <v>9299</v>
      </c>
      <c r="C165" s="29" t="s">
        <v>9300</v>
      </c>
      <c r="D165" s="16" t="s">
        <v>9301</v>
      </c>
      <c r="E165" s="29" t="s">
        <v>1090</v>
      </c>
      <c r="F165" s="130"/>
      <c r="G165" s="175"/>
      <c r="H165" s="130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/>
    </row>
    <row r="166">
      <c r="A166" s="29" t="s">
        <v>9302</v>
      </c>
      <c r="B166" s="29" t="s">
        <v>9303</v>
      </c>
      <c r="C166" s="29" t="s">
        <v>9304</v>
      </c>
      <c r="D166" s="16" t="s">
        <v>9305</v>
      </c>
      <c r="E166" s="29" t="s">
        <v>68</v>
      </c>
      <c r="F166" s="130"/>
      <c r="G166" s="175"/>
      <c r="H166" s="130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/>
      <c r="AE166" s="5"/>
      <c r="AF166" s="5"/>
      <c r="AG166" s="5"/>
      <c r="AH166" s="5"/>
    </row>
    <row r="167">
      <c r="A167" s="56" t="s">
        <v>9306</v>
      </c>
      <c r="B167" s="56" t="s">
        <v>9307</v>
      </c>
      <c r="C167" s="29" t="s">
        <v>9308</v>
      </c>
      <c r="D167" s="65" t="s">
        <v>9309</v>
      </c>
      <c r="E167" s="56" t="s">
        <v>238</v>
      </c>
      <c r="F167" s="130"/>
      <c r="G167" s="175"/>
      <c r="H167" s="130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</row>
    <row r="168">
      <c r="A168" s="56" t="s">
        <v>9310</v>
      </c>
      <c r="B168" s="56" t="s">
        <v>9311</v>
      </c>
      <c r="C168" s="29" t="s">
        <v>9312</v>
      </c>
      <c r="D168" s="65" t="s">
        <v>9313</v>
      </c>
      <c r="E168" s="56" t="s">
        <v>800</v>
      </c>
      <c r="F168" s="130"/>
      <c r="G168" s="175"/>
      <c r="H168" s="130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/>
      <c r="AC168" s="5"/>
      <c r="AD168" s="5"/>
      <c r="AE168" s="5"/>
      <c r="AF168" s="5"/>
      <c r="AG168" s="5"/>
      <c r="AH168" s="5"/>
    </row>
    <row r="169">
      <c r="A169" s="29" t="s">
        <v>9314</v>
      </c>
      <c r="B169" s="29" t="s">
        <v>9315</v>
      </c>
      <c r="C169" s="29" t="s">
        <v>9316</v>
      </c>
      <c r="D169" s="16" t="s">
        <v>9317</v>
      </c>
      <c r="E169" s="29" t="s">
        <v>68</v>
      </c>
      <c r="F169" s="130"/>
      <c r="G169" s="175"/>
      <c r="H169" s="130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</row>
    <row r="170">
      <c r="A170" s="56" t="s">
        <v>9318</v>
      </c>
      <c r="B170" s="56" t="s">
        <v>9319</v>
      </c>
      <c r="C170" s="29" t="s">
        <v>9320</v>
      </c>
      <c r="D170" s="65" t="s">
        <v>9321</v>
      </c>
      <c r="E170" s="56" t="s">
        <v>238</v>
      </c>
      <c r="F170" s="130"/>
      <c r="G170" s="175"/>
      <c r="H170" s="130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/>
      <c r="AC170" s="5"/>
      <c r="AD170" s="5"/>
      <c r="AE170" s="5"/>
      <c r="AF170" s="5"/>
      <c r="AG170" s="5"/>
      <c r="AH170" s="5"/>
    </row>
    <row r="171">
      <c r="A171" s="56" t="s">
        <v>9322</v>
      </c>
      <c r="B171" s="56" t="s">
        <v>9323</v>
      </c>
      <c r="C171" s="29" t="s">
        <v>9324</v>
      </c>
      <c r="D171" s="65" t="s">
        <v>9325</v>
      </c>
      <c r="E171" s="56" t="s">
        <v>800</v>
      </c>
      <c r="F171" s="130"/>
      <c r="G171" s="175"/>
      <c r="H171" s="130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/>
      <c r="AC171" s="5"/>
      <c r="AD171" s="5"/>
      <c r="AE171" s="5"/>
      <c r="AF171" s="5"/>
      <c r="AG171" s="5"/>
      <c r="AH171" s="5"/>
    </row>
    <row r="172">
      <c r="A172" s="56" t="s">
        <v>9326</v>
      </c>
      <c r="B172" s="56" t="s">
        <v>9327</v>
      </c>
      <c r="C172" s="29" t="s">
        <v>9328</v>
      </c>
      <c r="D172" s="65" t="s">
        <v>9329</v>
      </c>
      <c r="E172" s="56" t="s">
        <v>419</v>
      </c>
      <c r="F172" s="130"/>
      <c r="G172" s="175"/>
      <c r="H172" s="130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/>
      <c r="AC172" s="5"/>
      <c r="AD172" s="5"/>
      <c r="AE172" s="5"/>
      <c r="AF172" s="5"/>
      <c r="AG172" s="5"/>
      <c r="AH172" s="5"/>
    </row>
    <row r="173">
      <c r="A173" s="56" t="s">
        <v>9330</v>
      </c>
      <c r="B173" s="56" t="s">
        <v>9331</v>
      </c>
      <c r="C173" s="29" t="s">
        <v>9332</v>
      </c>
      <c r="D173" s="65" t="s">
        <v>9333</v>
      </c>
      <c r="E173" s="56" t="s">
        <v>20</v>
      </c>
      <c r="F173" s="130"/>
      <c r="G173" s="175"/>
      <c r="H173" s="130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/>
      <c r="AC173" s="5"/>
      <c r="AD173" s="5"/>
      <c r="AE173" s="5"/>
      <c r="AF173" s="5"/>
      <c r="AG173" s="5"/>
      <c r="AH173" s="5"/>
    </row>
    <row r="174">
      <c r="A174" s="56" t="s">
        <v>9334</v>
      </c>
      <c r="B174" s="56" t="s">
        <v>9335</v>
      </c>
      <c r="C174" s="29" t="s">
        <v>9336</v>
      </c>
      <c r="D174" s="65" t="s">
        <v>9337</v>
      </c>
      <c r="E174" s="56" t="s">
        <v>20</v>
      </c>
      <c r="F174" s="130"/>
      <c r="G174" s="175"/>
      <c r="H174" s="130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</row>
    <row r="175">
      <c r="A175" s="56" t="s">
        <v>9338</v>
      </c>
      <c r="B175" s="56" t="s">
        <v>9339</v>
      </c>
      <c r="C175" s="29" t="s">
        <v>9340</v>
      </c>
      <c r="D175" s="65" t="s">
        <v>9341</v>
      </c>
      <c r="E175" s="133"/>
      <c r="F175" s="130"/>
      <c r="G175" s="175"/>
      <c r="H175" s="130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/>
      <c r="AH175" s="5"/>
    </row>
    <row r="176">
      <c r="A176" s="29" t="s">
        <v>9342</v>
      </c>
      <c r="B176" s="29" t="s">
        <v>9343</v>
      </c>
      <c r="C176" s="29" t="s">
        <v>9344</v>
      </c>
      <c r="D176" s="16" t="s">
        <v>9345</v>
      </c>
      <c r="E176" s="29" t="s">
        <v>1100</v>
      </c>
      <c r="F176" s="144"/>
      <c r="G176" s="58"/>
      <c r="H176" s="144"/>
      <c r="I176" s="58"/>
      <c r="J176" s="58"/>
      <c r="K176" s="58"/>
      <c r="L176" s="58"/>
      <c r="M176" s="58"/>
      <c r="N176" s="58"/>
      <c r="O176" s="58"/>
      <c r="P176" s="58"/>
      <c r="Q176" s="58"/>
      <c r="R176" s="58"/>
      <c r="S176" s="58"/>
      <c r="T176" s="58"/>
      <c r="U176" s="58"/>
      <c r="V176" s="58"/>
      <c r="W176" s="58"/>
      <c r="X176" s="58"/>
      <c r="Y176" s="58"/>
      <c r="Z176" s="58"/>
      <c r="AA176" s="58"/>
      <c r="AB176" s="58"/>
      <c r="AC176" s="58"/>
      <c r="AD176" s="58"/>
      <c r="AE176" s="58"/>
      <c r="AF176" s="58"/>
      <c r="AG176" s="58"/>
      <c r="AH176" s="58"/>
    </row>
    <row r="177">
      <c r="A177" s="29" t="s">
        <v>9346</v>
      </c>
      <c r="B177" s="29" t="s">
        <v>9347</v>
      </c>
      <c r="C177" s="29" t="s">
        <v>9348</v>
      </c>
      <c r="D177" s="16" t="s">
        <v>9349</v>
      </c>
      <c r="E177" s="29" t="s">
        <v>254</v>
      </c>
      <c r="F177" s="130"/>
      <c r="G177" s="175"/>
      <c r="H177" s="130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</row>
    <row r="178">
      <c r="A178" s="29" t="s">
        <v>9350</v>
      </c>
      <c r="B178" s="29" t="s">
        <v>9351</v>
      </c>
      <c r="C178" s="29" t="s">
        <v>9352</v>
      </c>
      <c r="D178" s="16" t="s">
        <v>9353</v>
      </c>
      <c r="E178" s="29" t="s">
        <v>1100</v>
      </c>
      <c r="F178" s="130"/>
      <c r="G178" s="175"/>
      <c r="H178" s="130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/>
      <c r="AC178" s="5"/>
      <c r="AD178" s="5"/>
      <c r="AE178" s="5"/>
      <c r="AF178" s="5"/>
      <c r="AG178" s="5"/>
      <c r="AH178" s="5"/>
    </row>
    <row r="179">
      <c r="A179" s="29" t="s">
        <v>9354</v>
      </c>
      <c r="B179" s="29" t="s">
        <v>9355</v>
      </c>
      <c r="C179" s="29" t="s">
        <v>9356</v>
      </c>
      <c r="D179" s="16" t="s">
        <v>9357</v>
      </c>
      <c r="E179" s="29" t="s">
        <v>9358</v>
      </c>
      <c r="F179" s="144"/>
      <c r="G179" s="58"/>
      <c r="H179" s="144"/>
      <c r="I179" s="58"/>
      <c r="J179" s="58"/>
      <c r="K179" s="58"/>
      <c r="L179" s="58"/>
      <c r="M179" s="58"/>
      <c r="N179" s="58"/>
      <c r="O179" s="58"/>
      <c r="P179" s="58"/>
      <c r="Q179" s="58"/>
      <c r="R179" s="58"/>
      <c r="S179" s="58"/>
      <c r="T179" s="58"/>
      <c r="U179" s="58"/>
      <c r="V179" s="58"/>
      <c r="W179" s="58"/>
      <c r="X179" s="58"/>
      <c r="Y179" s="58"/>
      <c r="Z179" s="58"/>
      <c r="AA179" s="58"/>
      <c r="AB179" s="58"/>
      <c r="AC179" s="58"/>
      <c r="AD179" s="58"/>
      <c r="AE179" s="58"/>
      <c r="AF179" s="58"/>
      <c r="AG179" s="58"/>
      <c r="AH179" s="58"/>
    </row>
    <row r="180">
      <c r="A180" s="56" t="s">
        <v>9359</v>
      </c>
      <c r="B180" s="56" t="s">
        <v>9360</v>
      </c>
      <c r="C180" s="56" t="s">
        <v>9361</v>
      </c>
      <c r="D180" s="65" t="s">
        <v>9362</v>
      </c>
      <c r="E180" s="29" t="s">
        <v>9363</v>
      </c>
      <c r="F180" s="144"/>
      <c r="G180" s="58"/>
      <c r="H180" s="144"/>
      <c r="I180" s="58"/>
      <c r="J180" s="58"/>
      <c r="K180" s="58"/>
      <c r="L180" s="58"/>
      <c r="M180" s="58"/>
      <c r="N180" s="58"/>
      <c r="O180" s="58"/>
      <c r="P180" s="58"/>
      <c r="Q180" s="58"/>
      <c r="R180" s="58"/>
      <c r="S180" s="58"/>
      <c r="T180" s="58"/>
      <c r="U180" s="58"/>
      <c r="V180" s="58"/>
      <c r="W180" s="58"/>
      <c r="X180" s="58"/>
      <c r="Y180" s="58"/>
      <c r="Z180" s="58"/>
      <c r="AA180" s="58"/>
      <c r="AB180" s="58"/>
      <c r="AC180" s="58"/>
      <c r="AD180" s="58"/>
      <c r="AE180" s="58"/>
      <c r="AF180" s="58"/>
      <c r="AG180" s="58"/>
      <c r="AH180" s="58"/>
    </row>
    <row r="181">
      <c r="A181" s="29" t="s">
        <v>9364</v>
      </c>
      <c r="B181" s="29" t="s">
        <v>9365</v>
      </c>
      <c r="C181" s="29" t="s">
        <v>9366</v>
      </c>
      <c r="D181" s="16" t="s">
        <v>9367</v>
      </c>
      <c r="E181" s="29" t="s">
        <v>7933</v>
      </c>
      <c r="F181" s="144"/>
      <c r="G181" s="58"/>
      <c r="H181" s="144"/>
      <c r="I181" s="58"/>
      <c r="J181" s="58"/>
      <c r="K181" s="58"/>
      <c r="L181" s="58"/>
      <c r="M181" s="58"/>
      <c r="N181" s="58"/>
      <c r="O181" s="58"/>
      <c r="P181" s="58"/>
      <c r="Q181" s="58"/>
      <c r="R181" s="58"/>
      <c r="S181" s="58"/>
      <c r="T181" s="58"/>
      <c r="U181" s="58"/>
      <c r="V181" s="58"/>
      <c r="W181" s="58"/>
      <c r="X181" s="58"/>
      <c r="Y181" s="58"/>
      <c r="Z181" s="58"/>
      <c r="AA181" s="58"/>
      <c r="AB181" s="58"/>
      <c r="AC181" s="58"/>
      <c r="AD181" s="58"/>
      <c r="AE181" s="58"/>
      <c r="AF181" s="58"/>
      <c r="AG181" s="58"/>
      <c r="AH181" s="58"/>
    </row>
    <row r="182">
      <c r="A182" s="29" t="s">
        <v>9368</v>
      </c>
      <c r="B182" s="29" t="s">
        <v>9369</v>
      </c>
      <c r="C182" s="29" t="s">
        <v>9370</v>
      </c>
      <c r="D182" s="16" t="s">
        <v>9371</v>
      </c>
      <c r="E182" s="29" t="s">
        <v>9372</v>
      </c>
      <c r="F182" s="130"/>
      <c r="G182" s="175"/>
      <c r="H182" s="130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</row>
    <row r="183">
      <c r="A183" s="56" t="s">
        <v>9373</v>
      </c>
      <c r="B183" s="56" t="s">
        <v>9374</v>
      </c>
      <c r="C183" s="56" t="s">
        <v>9375</v>
      </c>
      <c r="D183" s="65" t="s">
        <v>8900</v>
      </c>
      <c r="E183" s="29" t="s">
        <v>8901</v>
      </c>
      <c r="F183" s="144"/>
      <c r="G183" s="58"/>
      <c r="H183" s="144"/>
      <c r="I183" s="58"/>
      <c r="J183" s="58"/>
      <c r="K183" s="58"/>
      <c r="L183" s="58"/>
      <c r="M183" s="58"/>
      <c r="N183" s="58"/>
      <c r="O183" s="58"/>
      <c r="P183" s="58"/>
      <c r="Q183" s="58"/>
      <c r="R183" s="58"/>
      <c r="S183" s="58"/>
      <c r="T183" s="58"/>
      <c r="U183" s="58"/>
      <c r="V183" s="58"/>
      <c r="W183" s="58"/>
      <c r="X183" s="58"/>
      <c r="Y183" s="58"/>
      <c r="Z183" s="58"/>
      <c r="AA183" s="58"/>
      <c r="AB183" s="58"/>
      <c r="AC183" s="58"/>
      <c r="AD183" s="58"/>
      <c r="AE183" s="58"/>
      <c r="AF183" s="58"/>
      <c r="AG183" s="58"/>
      <c r="AH183" s="58"/>
    </row>
    <row r="184">
      <c r="A184" s="29" t="s">
        <v>9376</v>
      </c>
      <c r="B184" s="29" t="s">
        <v>9377</v>
      </c>
      <c r="C184" s="29" t="s">
        <v>9378</v>
      </c>
      <c r="D184" s="16" t="s">
        <v>9379</v>
      </c>
      <c r="E184" s="29" t="s">
        <v>9380</v>
      </c>
      <c r="F184" s="144"/>
      <c r="G184" s="58"/>
      <c r="H184" s="144"/>
      <c r="I184" s="58"/>
      <c r="J184" s="58"/>
      <c r="K184" s="58"/>
      <c r="L184" s="58"/>
      <c r="M184" s="58"/>
      <c r="N184" s="58"/>
      <c r="O184" s="58"/>
      <c r="P184" s="58"/>
      <c r="Q184" s="58"/>
      <c r="R184" s="58"/>
      <c r="S184" s="58"/>
      <c r="T184" s="58"/>
      <c r="U184" s="58"/>
      <c r="V184" s="58"/>
      <c r="W184" s="58"/>
      <c r="X184" s="58"/>
      <c r="Y184" s="58"/>
      <c r="Z184" s="58"/>
      <c r="AA184" s="58"/>
      <c r="AB184" s="58"/>
      <c r="AC184" s="58"/>
      <c r="AD184" s="58"/>
      <c r="AE184" s="58"/>
      <c r="AF184" s="58"/>
      <c r="AG184" s="58"/>
      <c r="AH184" s="58"/>
    </row>
    <row r="185">
      <c r="A185" s="29" t="s">
        <v>9381</v>
      </c>
      <c r="B185" s="29" t="s">
        <v>9382</v>
      </c>
      <c r="C185" s="29" t="s">
        <v>9383</v>
      </c>
      <c r="D185" s="16" t="s">
        <v>9384</v>
      </c>
      <c r="E185" s="29" t="s">
        <v>9372</v>
      </c>
      <c r="F185" s="130"/>
      <c r="G185" s="175"/>
      <c r="H185" s="130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</row>
    <row r="186">
      <c r="A186" s="29" t="s">
        <v>9385</v>
      </c>
      <c r="B186" s="29" t="s">
        <v>9386</v>
      </c>
      <c r="C186" s="29" t="s">
        <v>9387</v>
      </c>
      <c r="D186" s="16" t="s">
        <v>9388</v>
      </c>
      <c r="E186" s="29" t="s">
        <v>9389</v>
      </c>
      <c r="F186" s="130"/>
      <c r="G186" s="175"/>
      <c r="H186" s="130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/>
      <c r="AC186" s="5"/>
      <c r="AD186" s="5"/>
      <c r="AE186" s="5"/>
      <c r="AF186" s="5"/>
      <c r="AG186" s="5"/>
      <c r="AH186" s="5"/>
    </row>
    <row r="187">
      <c r="A187" s="29" t="s">
        <v>9390</v>
      </c>
      <c r="B187" s="29" t="s">
        <v>9391</v>
      </c>
      <c r="C187" s="29" t="s">
        <v>9392</v>
      </c>
      <c r="D187" s="16" t="s">
        <v>9393</v>
      </c>
      <c r="E187" s="29" t="s">
        <v>9394</v>
      </c>
      <c r="F187" s="144"/>
      <c r="G187" s="58"/>
      <c r="H187" s="144"/>
      <c r="I187" s="58"/>
      <c r="J187" s="58"/>
      <c r="K187" s="58"/>
      <c r="L187" s="58"/>
      <c r="M187" s="58"/>
      <c r="N187" s="58"/>
      <c r="O187" s="58"/>
      <c r="P187" s="58"/>
      <c r="Q187" s="58"/>
      <c r="R187" s="58"/>
      <c r="S187" s="58"/>
      <c r="T187" s="58"/>
      <c r="U187" s="58"/>
      <c r="V187" s="58"/>
      <c r="W187" s="58"/>
      <c r="X187" s="58"/>
      <c r="Y187" s="58"/>
      <c r="Z187" s="58"/>
      <c r="AA187" s="58"/>
      <c r="AB187" s="58"/>
      <c r="AC187" s="58"/>
      <c r="AD187" s="58"/>
      <c r="AE187" s="58"/>
      <c r="AF187" s="58"/>
      <c r="AG187" s="58"/>
      <c r="AH187" s="58"/>
    </row>
    <row r="188">
      <c r="A188" s="29" t="s">
        <v>9395</v>
      </c>
      <c r="B188" s="29" t="s">
        <v>9396</v>
      </c>
      <c r="C188" s="29" t="s">
        <v>9397</v>
      </c>
      <c r="D188" s="16" t="s">
        <v>9398</v>
      </c>
      <c r="E188" s="29" t="s">
        <v>9372</v>
      </c>
      <c r="F188" s="130"/>
      <c r="G188" s="175"/>
      <c r="H188" s="130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</row>
    <row r="189">
      <c r="A189" s="29" t="s">
        <v>9399</v>
      </c>
      <c r="B189" s="29" t="s">
        <v>9400</v>
      </c>
      <c r="C189" s="29" t="s">
        <v>9401</v>
      </c>
      <c r="D189" s="16" t="s">
        <v>9402</v>
      </c>
      <c r="E189" s="29" t="s">
        <v>9403</v>
      </c>
      <c r="F189" s="130"/>
      <c r="G189" s="175"/>
      <c r="H189" s="130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</row>
    <row r="190">
      <c r="A190" s="29" t="s">
        <v>9404</v>
      </c>
      <c r="B190" s="29" t="s">
        <v>9405</v>
      </c>
      <c r="C190" s="29" t="s">
        <v>9406</v>
      </c>
      <c r="D190" s="16" t="s">
        <v>9407</v>
      </c>
      <c r="E190" s="29" t="s">
        <v>254</v>
      </c>
      <c r="F190" s="130"/>
      <c r="G190" s="175"/>
      <c r="H190" s="130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</row>
    <row r="191">
      <c r="A191" s="56" t="s">
        <v>9408</v>
      </c>
      <c r="B191" s="56" t="s">
        <v>9409</v>
      </c>
      <c r="C191" s="56" t="s">
        <v>9410</v>
      </c>
      <c r="D191" s="65" t="s">
        <v>9122</v>
      </c>
      <c r="E191" s="29" t="s">
        <v>9123</v>
      </c>
      <c r="F191" s="130"/>
      <c r="G191" s="175"/>
      <c r="H191" s="130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</row>
    <row r="192">
      <c r="A192" s="29" t="s">
        <v>9411</v>
      </c>
      <c r="B192" s="29" t="s">
        <v>9412</v>
      </c>
      <c r="C192" s="29" t="s">
        <v>9413</v>
      </c>
      <c r="D192" s="16" t="s">
        <v>9414</v>
      </c>
      <c r="E192" s="29" t="s">
        <v>254</v>
      </c>
      <c r="F192" s="130"/>
      <c r="G192" s="175"/>
      <c r="H192" s="130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</row>
    <row r="193">
      <c r="A193" s="29" t="s">
        <v>9415</v>
      </c>
      <c r="B193" s="29" t="s">
        <v>9416</v>
      </c>
      <c r="C193" s="29" t="s">
        <v>9417</v>
      </c>
      <c r="D193" s="16" t="s">
        <v>9418</v>
      </c>
      <c r="E193" s="29" t="s">
        <v>9419</v>
      </c>
      <c r="F193" s="130"/>
      <c r="G193" s="175"/>
      <c r="H193" s="130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</row>
    <row r="194">
      <c r="A194" s="29" t="s">
        <v>9420</v>
      </c>
      <c r="B194" s="29" t="s">
        <v>9421</v>
      </c>
      <c r="C194" s="29" t="s">
        <v>9422</v>
      </c>
      <c r="D194" s="16" t="s">
        <v>9236</v>
      </c>
      <c r="E194" s="29" t="s">
        <v>1335</v>
      </c>
      <c r="F194" s="130"/>
      <c r="G194" s="175"/>
      <c r="H194" s="130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</row>
    <row r="195">
      <c r="A195" s="29" t="s">
        <v>9423</v>
      </c>
      <c r="B195" s="29" t="s">
        <v>9424</v>
      </c>
      <c r="C195" s="29" t="s">
        <v>9425</v>
      </c>
      <c r="D195" s="16" t="s">
        <v>9426</v>
      </c>
      <c r="E195" s="29" t="s">
        <v>9190</v>
      </c>
      <c r="F195" s="5"/>
      <c r="G195" s="17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  <c r="AB195" s="5"/>
      <c r="AC195" s="5"/>
      <c r="AD195" s="5"/>
      <c r="AE195" s="5"/>
      <c r="AF195" s="5"/>
      <c r="AG195" s="5"/>
      <c r="AH195" s="5"/>
    </row>
    <row r="196">
      <c r="A196" s="29" t="s">
        <v>9427</v>
      </c>
      <c r="B196" s="29" t="s">
        <v>9428</v>
      </c>
      <c r="C196" s="29" t="s">
        <v>9429</v>
      </c>
      <c r="D196" s="16" t="s">
        <v>9430</v>
      </c>
      <c r="E196" s="29" t="s">
        <v>9431</v>
      </c>
      <c r="F196" s="5"/>
      <c r="G196" s="17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</row>
    <row r="197">
      <c r="A197" s="29" t="s">
        <v>9432</v>
      </c>
      <c r="B197" s="29" t="s">
        <v>9433</v>
      </c>
      <c r="C197" s="29" t="s">
        <v>9434</v>
      </c>
      <c r="D197" s="16" t="s">
        <v>9435</v>
      </c>
      <c r="E197" s="29" t="s">
        <v>9436</v>
      </c>
      <c r="F197" s="5"/>
      <c r="G197" s="17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</row>
    <row r="198">
      <c r="A198" s="29" t="s">
        <v>9437</v>
      </c>
      <c r="B198" s="29" t="s">
        <v>9438</v>
      </c>
      <c r="C198" s="29" t="s">
        <v>9439</v>
      </c>
      <c r="D198" s="16" t="s">
        <v>9440</v>
      </c>
      <c r="E198" s="29" t="s">
        <v>9372</v>
      </c>
      <c r="F198" s="5"/>
      <c r="G198" s="17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  <c r="AB198" s="5"/>
      <c r="AC198" s="5"/>
      <c r="AD198" s="5"/>
      <c r="AE198" s="5"/>
      <c r="AF198" s="5"/>
      <c r="AG198" s="5"/>
      <c r="AH198" s="5"/>
    </row>
    <row r="199">
      <c r="A199" s="29" t="s">
        <v>9441</v>
      </c>
      <c r="B199" s="29" t="s">
        <v>9442</v>
      </c>
      <c r="C199" s="29" t="s">
        <v>9443</v>
      </c>
      <c r="D199" s="16" t="s">
        <v>9444</v>
      </c>
      <c r="E199" s="29" t="s">
        <v>9389</v>
      </c>
      <c r="F199" s="5"/>
      <c r="G199" s="17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</row>
    <row r="200">
      <c r="A200" s="29" t="s">
        <v>9445</v>
      </c>
      <c r="B200" s="29" t="s">
        <v>9446</v>
      </c>
      <c r="C200" s="29" t="s">
        <v>9447</v>
      </c>
      <c r="D200" s="16" t="s">
        <v>9448</v>
      </c>
      <c r="E200" s="29" t="s">
        <v>9389</v>
      </c>
      <c r="F200" s="5"/>
      <c r="G200" s="17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</row>
    <row r="201">
      <c r="A201" s="29" t="s">
        <v>9449</v>
      </c>
      <c r="B201" s="29" t="s">
        <v>9450</v>
      </c>
      <c r="C201" s="29" t="s">
        <v>9451</v>
      </c>
      <c r="D201" s="16" t="s">
        <v>9452</v>
      </c>
      <c r="E201" s="29" t="s">
        <v>9403</v>
      </c>
      <c r="F201" s="5"/>
      <c r="G201" s="17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  <c r="AB201" s="5"/>
      <c r="AC201" s="5"/>
      <c r="AD201" s="5"/>
      <c r="AE201" s="5"/>
      <c r="AF201" s="5"/>
      <c r="AG201" s="5"/>
      <c r="AH201" s="5"/>
    </row>
    <row r="202">
      <c r="A202" s="29" t="s">
        <v>9453</v>
      </c>
      <c r="B202" s="29" t="s">
        <v>9454</v>
      </c>
      <c r="C202" s="29" t="s">
        <v>9455</v>
      </c>
      <c r="D202" s="16" t="s">
        <v>9456</v>
      </c>
      <c r="E202" s="29" t="s">
        <v>1090</v>
      </c>
      <c r="F202" s="5"/>
      <c r="G202" s="17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</row>
    <row r="203">
      <c r="A203" s="29" t="s">
        <v>9457</v>
      </c>
      <c r="B203" s="29" t="s">
        <v>9458</v>
      </c>
      <c r="C203" s="29" t="s">
        <v>9459</v>
      </c>
      <c r="D203" s="16" t="s">
        <v>9460</v>
      </c>
      <c r="E203" s="29" t="s">
        <v>254</v>
      </c>
      <c r="F203" s="5"/>
      <c r="G203" s="17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  <c r="AB203" s="5"/>
      <c r="AC203" s="5"/>
      <c r="AD203" s="5"/>
      <c r="AE203" s="5"/>
      <c r="AF203" s="5"/>
      <c r="AG203" s="5"/>
      <c r="AH203" s="5"/>
    </row>
    <row r="204">
      <c r="A204" s="29" t="s">
        <v>9461</v>
      </c>
      <c r="B204" s="29" t="s">
        <v>9462</v>
      </c>
      <c r="C204" s="29" t="s">
        <v>9463</v>
      </c>
      <c r="D204" s="16" t="s">
        <v>9464</v>
      </c>
      <c r="E204" s="29" t="s">
        <v>9268</v>
      </c>
      <c r="F204" s="5"/>
      <c r="G204" s="17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  <c r="AB204" s="5"/>
      <c r="AC204" s="5"/>
      <c r="AD204" s="5"/>
      <c r="AE204" s="5"/>
      <c r="AF204" s="5"/>
      <c r="AG204" s="5"/>
      <c r="AH204" s="5"/>
    </row>
    <row r="205">
      <c r="A205" s="29" t="s">
        <v>9465</v>
      </c>
      <c r="B205" s="29" t="s">
        <v>9466</v>
      </c>
      <c r="C205" s="29" t="s">
        <v>9467</v>
      </c>
      <c r="D205" s="16" t="s">
        <v>9468</v>
      </c>
      <c r="E205" s="29" t="s">
        <v>9389</v>
      </c>
      <c r="F205" s="5"/>
      <c r="G205" s="17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  <c r="AB205" s="5"/>
      <c r="AC205" s="5"/>
      <c r="AD205" s="5"/>
      <c r="AE205" s="5"/>
      <c r="AF205" s="5"/>
      <c r="AG205" s="5"/>
      <c r="AH205" s="5"/>
    </row>
    <row r="206">
      <c r="A206" s="12" t="s">
        <v>9469</v>
      </c>
      <c r="B206" s="12" t="s">
        <v>9470</v>
      </c>
      <c r="C206" s="12" t="s">
        <v>9471</v>
      </c>
      <c r="D206" s="65" t="s">
        <v>9341</v>
      </c>
      <c r="E206" s="86"/>
      <c r="F206" s="5"/>
      <c r="G206" s="17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</row>
    <row r="207">
      <c r="A207" s="29" t="s">
        <v>9472</v>
      </c>
      <c r="B207" s="29" t="s">
        <v>9473</v>
      </c>
      <c r="C207" s="29" t="s">
        <v>9474</v>
      </c>
      <c r="D207" s="38" t="s">
        <v>9475</v>
      </c>
      <c r="E207" s="181" t="s">
        <v>9476</v>
      </c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114"/>
      <c r="AB207" s="114"/>
      <c r="AC207" s="114"/>
    </row>
    <row r="208">
      <c r="A208" s="29" t="s">
        <v>9477</v>
      </c>
      <c r="B208" s="29" t="s">
        <v>9478</v>
      </c>
      <c r="C208" s="29" t="s">
        <v>9479</v>
      </c>
      <c r="D208" s="16" t="s">
        <v>9480</v>
      </c>
      <c r="E208" s="181" t="s">
        <v>1350</v>
      </c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114"/>
      <c r="AB208" s="114"/>
      <c r="AC208" s="114"/>
    </row>
    <row r="209">
      <c r="A209" s="29" t="s">
        <v>9481</v>
      </c>
      <c r="B209" s="29" t="s">
        <v>9482</v>
      </c>
      <c r="C209" s="29" t="s">
        <v>9479</v>
      </c>
      <c r="D209" s="16" t="s">
        <v>9480</v>
      </c>
      <c r="E209" s="181" t="s">
        <v>1350</v>
      </c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114"/>
      <c r="AB209" s="114"/>
      <c r="AC209" s="114"/>
    </row>
    <row r="210">
      <c r="A210" s="29" t="s">
        <v>9483</v>
      </c>
      <c r="B210" s="29" t="s">
        <v>9484</v>
      </c>
      <c r="C210" s="29" t="s">
        <v>9485</v>
      </c>
      <c r="D210" s="16" t="s">
        <v>9486</v>
      </c>
      <c r="E210" s="181" t="s">
        <v>9487</v>
      </c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114"/>
      <c r="AB210" s="114"/>
      <c r="AC210" s="114"/>
    </row>
    <row r="211">
      <c r="A211" s="29" t="s">
        <v>9488</v>
      </c>
      <c r="B211" s="29" t="s">
        <v>9489</v>
      </c>
      <c r="C211" s="29" t="s">
        <v>9490</v>
      </c>
      <c r="D211" s="38" t="s">
        <v>9491</v>
      </c>
      <c r="E211" s="181" t="s">
        <v>9487</v>
      </c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114"/>
      <c r="AB211" s="114"/>
      <c r="AC211" s="114"/>
    </row>
    <row r="212">
      <c r="A212" s="5"/>
      <c r="B212" s="5"/>
      <c r="C212" s="5"/>
      <c r="D212" s="52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114"/>
      <c r="AB212" s="114"/>
      <c r="AC212" s="114"/>
    </row>
    <row r="213">
      <c r="A213" s="5"/>
      <c r="B213" s="5"/>
      <c r="C213" s="5"/>
      <c r="D213" s="52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114"/>
      <c r="AB213" s="114"/>
      <c r="AC213" s="114"/>
    </row>
    <row r="214">
      <c r="A214" s="5"/>
      <c r="B214" s="5"/>
      <c r="C214" s="5"/>
      <c r="D214" s="52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114"/>
      <c r="AB214" s="114"/>
      <c r="AC214" s="114"/>
    </row>
    <row r="215">
      <c r="A215" s="5"/>
      <c r="B215" s="5"/>
      <c r="C215" s="5"/>
      <c r="D215" s="52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114"/>
      <c r="AB215" s="114"/>
      <c r="AC215" s="114"/>
    </row>
    <row r="216">
      <c r="A216" s="5"/>
      <c r="B216" s="5"/>
      <c r="C216" s="5"/>
      <c r="D216" s="52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114"/>
      <c r="AB216" s="114"/>
      <c r="AC216" s="114"/>
    </row>
    <row r="217">
      <c r="A217" s="5"/>
      <c r="B217" s="5"/>
      <c r="C217" s="5"/>
      <c r="D217" s="52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114"/>
      <c r="AB217" s="114"/>
      <c r="AC217" s="114"/>
    </row>
    <row r="218">
      <c r="A218" s="5"/>
      <c r="B218" s="5"/>
      <c r="C218" s="5"/>
      <c r="D218" s="52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114"/>
      <c r="AB218" s="114"/>
      <c r="AC218" s="114"/>
    </row>
    <row r="219">
      <c r="A219" s="5"/>
      <c r="B219" s="5"/>
      <c r="C219" s="5"/>
      <c r="D219" s="52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114"/>
      <c r="AB219" s="114"/>
      <c r="AC219" s="114"/>
    </row>
    <row r="220">
      <c r="A220" s="5"/>
      <c r="B220" s="5"/>
      <c r="C220" s="5"/>
      <c r="D220" s="52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114"/>
      <c r="AB220" s="114"/>
      <c r="AC220" s="114"/>
    </row>
    <row r="221">
      <c r="A221" s="5"/>
      <c r="B221" s="5"/>
      <c r="C221" s="5"/>
      <c r="D221" s="52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114"/>
      <c r="AB221" s="114"/>
      <c r="AC221" s="114"/>
    </row>
    <row r="222">
      <c r="A222" s="5"/>
      <c r="B222" s="5"/>
      <c r="C222" s="5"/>
      <c r="D222" s="52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114"/>
      <c r="AB222" s="114"/>
      <c r="AC222" s="114"/>
    </row>
    <row r="223">
      <c r="A223" s="5"/>
      <c r="B223" s="5"/>
      <c r="C223" s="5"/>
      <c r="D223" s="52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114"/>
      <c r="AB223" s="114"/>
      <c r="AC223" s="114"/>
    </row>
    <row r="224">
      <c r="A224" s="5"/>
      <c r="B224" s="5"/>
      <c r="C224" s="5"/>
      <c r="D224" s="52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114"/>
      <c r="AB224" s="114"/>
      <c r="AC224" s="114"/>
    </row>
    <row r="225">
      <c r="A225" s="5"/>
      <c r="B225" s="5"/>
      <c r="C225" s="5"/>
      <c r="D225" s="52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114"/>
      <c r="AB225" s="114"/>
      <c r="AC225" s="114"/>
    </row>
    <row r="226">
      <c r="A226" s="5"/>
      <c r="B226" s="5"/>
      <c r="C226" s="5"/>
      <c r="D226" s="52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114"/>
      <c r="AB226" s="114"/>
      <c r="AC226" s="114"/>
    </row>
    <row r="227">
      <c r="A227" s="5"/>
      <c r="B227" s="5"/>
      <c r="C227" s="5"/>
      <c r="D227" s="52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114"/>
      <c r="AB227" s="114"/>
      <c r="AC227" s="114"/>
    </row>
    <row r="228">
      <c r="A228" s="5"/>
      <c r="B228" s="5"/>
      <c r="C228" s="5"/>
      <c r="D228" s="52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114"/>
      <c r="AB228" s="114"/>
      <c r="AC228" s="114"/>
    </row>
    <row r="229">
      <c r="A229" s="5"/>
      <c r="B229" s="5"/>
      <c r="C229" s="5"/>
      <c r="D229" s="52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114"/>
      <c r="AB229" s="114"/>
      <c r="AC229" s="114"/>
    </row>
    <row r="230">
      <c r="A230" s="5"/>
      <c r="B230" s="5"/>
      <c r="C230" s="5"/>
      <c r="D230" s="52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114"/>
      <c r="AB230" s="114"/>
      <c r="AC230" s="114"/>
    </row>
    <row r="231">
      <c r="A231" s="5"/>
      <c r="B231" s="5"/>
      <c r="C231" s="5"/>
      <c r="D231" s="52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114"/>
      <c r="AB231" s="114"/>
      <c r="AC231" s="114"/>
    </row>
    <row r="232">
      <c r="A232" s="5"/>
      <c r="B232" s="5"/>
      <c r="C232" s="5"/>
      <c r="D232" s="52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114"/>
      <c r="AB232" s="114"/>
      <c r="AC232" s="114"/>
    </row>
    <row r="233">
      <c r="A233" s="5"/>
      <c r="B233" s="5"/>
      <c r="C233" s="5"/>
      <c r="D233" s="52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114"/>
      <c r="AB233" s="114"/>
      <c r="AC233" s="114"/>
    </row>
    <row r="234">
      <c r="A234" s="5"/>
      <c r="B234" s="5"/>
      <c r="C234" s="5"/>
      <c r="D234" s="52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114"/>
      <c r="AB234" s="114"/>
      <c r="AC234" s="114"/>
    </row>
    <row r="235">
      <c r="A235" s="5"/>
      <c r="B235" s="5"/>
      <c r="C235" s="5"/>
      <c r="D235" s="52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114"/>
      <c r="AB235" s="114"/>
      <c r="AC235" s="114"/>
    </row>
    <row r="236">
      <c r="A236" s="5"/>
      <c r="B236" s="5"/>
      <c r="C236" s="5"/>
      <c r="D236" s="52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114"/>
      <c r="AB236" s="114"/>
      <c r="AC236" s="114"/>
    </row>
    <row r="237">
      <c r="A237" s="5"/>
      <c r="B237" s="5"/>
      <c r="C237" s="5"/>
      <c r="D237" s="52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114"/>
      <c r="AB237" s="114"/>
      <c r="AC237" s="114"/>
    </row>
    <row r="238">
      <c r="A238" s="5"/>
      <c r="B238" s="5"/>
      <c r="C238" s="5"/>
      <c r="D238" s="52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114"/>
      <c r="AB238" s="114"/>
      <c r="AC238" s="114"/>
    </row>
    <row r="239">
      <c r="A239" s="5"/>
      <c r="B239" s="5"/>
      <c r="C239" s="5"/>
      <c r="D239" s="52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114"/>
      <c r="AB239" s="114"/>
      <c r="AC239" s="114"/>
    </row>
    <row r="240">
      <c r="A240" s="5"/>
      <c r="B240" s="5"/>
      <c r="C240" s="5"/>
      <c r="D240" s="52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114"/>
      <c r="AB240" s="114"/>
      <c r="AC240" s="114"/>
    </row>
    <row r="241">
      <c r="A241" s="5"/>
      <c r="B241" s="5"/>
      <c r="C241" s="5"/>
      <c r="D241" s="52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114"/>
      <c r="AB241" s="114"/>
      <c r="AC241" s="114"/>
    </row>
    <row r="242">
      <c r="A242" s="5"/>
      <c r="B242" s="5"/>
      <c r="C242" s="5"/>
      <c r="D242" s="52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114"/>
      <c r="AB242" s="114"/>
      <c r="AC242" s="114"/>
    </row>
    <row r="243">
      <c r="A243" s="5"/>
      <c r="B243" s="5"/>
      <c r="C243" s="5"/>
      <c r="D243" s="52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114"/>
      <c r="AB243" s="114"/>
      <c r="AC243" s="114"/>
    </row>
    <row r="244">
      <c r="A244" s="5"/>
      <c r="B244" s="5"/>
      <c r="C244" s="5"/>
      <c r="D244" s="52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114"/>
      <c r="AB244" s="114"/>
      <c r="AC244" s="114"/>
    </row>
    <row r="245">
      <c r="A245" s="5"/>
      <c r="B245" s="5"/>
      <c r="C245" s="5"/>
      <c r="D245" s="52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114"/>
      <c r="AB245" s="114"/>
      <c r="AC245" s="114"/>
    </row>
    <row r="246">
      <c r="A246" s="5"/>
      <c r="B246" s="5"/>
      <c r="C246" s="5"/>
      <c r="D246" s="52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114"/>
      <c r="AB246" s="114"/>
      <c r="AC246" s="114"/>
    </row>
    <row r="247">
      <c r="A247" s="5"/>
      <c r="B247" s="5"/>
      <c r="C247" s="5"/>
      <c r="D247" s="52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114"/>
      <c r="AB247" s="114"/>
      <c r="AC247" s="114"/>
    </row>
    <row r="248">
      <c r="A248" s="5"/>
      <c r="B248" s="5"/>
      <c r="C248" s="5"/>
      <c r="D248" s="52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114"/>
      <c r="AB248" s="114"/>
      <c r="AC248" s="114"/>
    </row>
    <row r="249">
      <c r="A249" s="5"/>
      <c r="B249" s="5"/>
      <c r="C249" s="5"/>
      <c r="D249" s="52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114"/>
      <c r="AB249" s="114"/>
      <c r="AC249" s="114"/>
    </row>
    <row r="250">
      <c r="A250" s="5"/>
      <c r="B250" s="5"/>
      <c r="C250" s="5"/>
      <c r="D250" s="52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114"/>
      <c r="AB250" s="114"/>
      <c r="AC250" s="114"/>
    </row>
    <row r="251">
      <c r="A251" s="5"/>
      <c r="B251" s="5"/>
      <c r="C251" s="5"/>
      <c r="D251" s="52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114"/>
      <c r="AB251" s="114"/>
      <c r="AC251" s="114"/>
    </row>
    <row r="252">
      <c r="A252" s="5"/>
      <c r="B252" s="5"/>
      <c r="C252" s="5"/>
      <c r="D252" s="52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114"/>
      <c r="AB252" s="114"/>
      <c r="AC252" s="114"/>
    </row>
    <row r="253">
      <c r="A253" s="5"/>
      <c r="B253" s="5"/>
      <c r="C253" s="5"/>
      <c r="D253" s="52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114"/>
      <c r="AB253" s="114"/>
      <c r="AC253" s="114"/>
    </row>
    <row r="254">
      <c r="A254" s="5"/>
      <c r="B254" s="5"/>
      <c r="C254" s="5"/>
      <c r="D254" s="52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114"/>
      <c r="AB254" s="114"/>
      <c r="AC254" s="114"/>
    </row>
    <row r="255">
      <c r="A255" s="5"/>
      <c r="B255" s="5"/>
      <c r="C255" s="5"/>
      <c r="D255" s="52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114"/>
      <c r="AB255" s="114"/>
      <c r="AC255" s="114"/>
    </row>
    <row r="256">
      <c r="A256" s="5"/>
      <c r="B256" s="5"/>
      <c r="C256" s="5"/>
      <c r="D256" s="52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114"/>
      <c r="AB256" s="114"/>
      <c r="AC256" s="114"/>
    </row>
    <row r="257">
      <c r="A257" s="5"/>
      <c r="B257" s="5"/>
      <c r="C257" s="5"/>
      <c r="D257" s="52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114"/>
      <c r="AB257" s="114"/>
      <c r="AC257" s="114"/>
    </row>
    <row r="258">
      <c r="A258" s="5"/>
      <c r="B258" s="5"/>
      <c r="C258" s="5"/>
      <c r="D258" s="52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114"/>
      <c r="AB258" s="114"/>
      <c r="AC258" s="114"/>
    </row>
    <row r="259">
      <c r="A259" s="5"/>
      <c r="B259" s="5"/>
      <c r="C259" s="5"/>
      <c r="D259" s="52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114"/>
      <c r="AB259" s="114"/>
      <c r="AC259" s="114"/>
    </row>
    <row r="260">
      <c r="A260" s="5"/>
      <c r="B260" s="5"/>
      <c r="C260" s="5"/>
      <c r="D260" s="52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114"/>
      <c r="AB260" s="114"/>
      <c r="AC260" s="114"/>
    </row>
    <row r="261">
      <c r="A261" s="5"/>
      <c r="B261" s="5"/>
      <c r="C261" s="5"/>
      <c r="D261" s="52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114"/>
      <c r="AB261" s="114"/>
      <c r="AC261" s="114"/>
    </row>
    <row r="262">
      <c r="A262" s="5"/>
      <c r="B262" s="5"/>
      <c r="C262" s="5"/>
      <c r="D262" s="52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114"/>
      <c r="AB262" s="114"/>
      <c r="AC262" s="114"/>
    </row>
    <row r="263">
      <c r="A263" s="5"/>
      <c r="B263" s="5"/>
      <c r="C263" s="5"/>
      <c r="D263" s="52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114"/>
      <c r="AB263" s="114"/>
      <c r="AC263" s="114"/>
    </row>
    <row r="264">
      <c r="A264" s="5"/>
      <c r="B264" s="5"/>
      <c r="C264" s="5"/>
      <c r="D264" s="52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114"/>
      <c r="AB264" s="114"/>
      <c r="AC264" s="114"/>
    </row>
    <row r="265">
      <c r="A265" s="5"/>
      <c r="B265" s="5"/>
      <c r="C265" s="5"/>
      <c r="D265" s="52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114"/>
      <c r="AB265" s="114"/>
      <c r="AC265" s="114"/>
    </row>
    <row r="266">
      <c r="A266" s="5"/>
      <c r="B266" s="5"/>
      <c r="C266" s="5"/>
      <c r="D266" s="52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114"/>
      <c r="AB266" s="114"/>
      <c r="AC266" s="114"/>
    </row>
    <row r="267">
      <c r="A267" s="5"/>
      <c r="B267" s="5"/>
      <c r="C267" s="5"/>
      <c r="D267" s="52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114"/>
      <c r="AB267" s="114"/>
      <c r="AC267" s="114"/>
    </row>
    <row r="268">
      <c r="A268" s="5"/>
      <c r="B268" s="5"/>
      <c r="C268" s="5"/>
      <c r="D268" s="52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114"/>
      <c r="AB268" s="114"/>
      <c r="AC268" s="114"/>
    </row>
    <row r="269">
      <c r="A269" s="5"/>
      <c r="B269" s="5"/>
      <c r="C269" s="5"/>
      <c r="D269" s="52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114"/>
      <c r="AB269" s="114"/>
      <c r="AC269" s="114"/>
    </row>
    <row r="270">
      <c r="A270" s="5"/>
      <c r="B270" s="5"/>
      <c r="C270" s="5"/>
      <c r="D270" s="52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114"/>
      <c r="AB270" s="114"/>
      <c r="AC270" s="114"/>
    </row>
    <row r="271">
      <c r="A271" s="5"/>
      <c r="B271" s="5"/>
      <c r="C271" s="5"/>
      <c r="D271" s="52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114"/>
      <c r="AB271" s="114"/>
      <c r="AC271" s="114"/>
    </row>
    <row r="272">
      <c r="A272" s="5"/>
      <c r="B272" s="5"/>
      <c r="C272" s="5"/>
      <c r="D272" s="52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114"/>
      <c r="AB272" s="114"/>
      <c r="AC272" s="114"/>
    </row>
    <row r="273">
      <c r="A273" s="5"/>
      <c r="B273" s="5"/>
      <c r="C273" s="5"/>
      <c r="D273" s="52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114"/>
      <c r="AB273" s="114"/>
      <c r="AC273" s="114"/>
    </row>
    <row r="274">
      <c r="A274" s="5"/>
      <c r="B274" s="5"/>
      <c r="C274" s="5"/>
      <c r="D274" s="52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114"/>
      <c r="AB274" s="114"/>
      <c r="AC274" s="114"/>
    </row>
    <row r="275">
      <c r="A275" s="5"/>
      <c r="B275" s="5"/>
      <c r="C275" s="5"/>
      <c r="D275" s="52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114"/>
      <c r="AB275" s="114"/>
      <c r="AC275" s="114"/>
    </row>
    <row r="276">
      <c r="A276" s="5"/>
      <c r="B276" s="5"/>
      <c r="C276" s="5"/>
      <c r="D276" s="52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114"/>
      <c r="AB276" s="114"/>
      <c r="AC276" s="114"/>
    </row>
    <row r="277">
      <c r="A277" s="5"/>
      <c r="B277" s="5"/>
      <c r="C277" s="5"/>
      <c r="D277" s="52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114"/>
      <c r="AB277" s="114"/>
      <c r="AC277" s="114"/>
    </row>
    <row r="278">
      <c r="A278" s="5"/>
      <c r="B278" s="5"/>
      <c r="C278" s="5"/>
      <c r="D278" s="52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114"/>
      <c r="AB278" s="114"/>
      <c r="AC278" s="114"/>
    </row>
    <row r="279">
      <c r="A279" s="5"/>
      <c r="B279" s="5"/>
      <c r="C279" s="5"/>
      <c r="D279" s="52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114"/>
      <c r="AB279" s="114"/>
      <c r="AC279" s="114"/>
    </row>
    <row r="280">
      <c r="A280" s="5"/>
      <c r="B280" s="5"/>
      <c r="C280" s="5"/>
      <c r="D280" s="52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114"/>
      <c r="AB280" s="114"/>
      <c r="AC280" s="114"/>
    </row>
    <row r="281">
      <c r="A281" s="5"/>
      <c r="B281" s="5"/>
      <c r="C281" s="5"/>
      <c r="D281" s="52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114"/>
      <c r="AB281" s="114"/>
      <c r="AC281" s="114"/>
    </row>
    <row r="282">
      <c r="A282" s="5"/>
      <c r="B282" s="5"/>
      <c r="C282" s="5"/>
      <c r="D282" s="52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  <c r="AA282" s="114"/>
      <c r="AB282" s="114"/>
      <c r="AC282" s="114"/>
    </row>
    <row r="283">
      <c r="A283" s="5"/>
      <c r="B283" s="5"/>
      <c r="C283" s="5"/>
      <c r="D283" s="52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  <c r="AA283" s="114"/>
      <c r="AB283" s="114"/>
      <c r="AC283" s="114"/>
    </row>
    <row r="284">
      <c r="A284" s="5"/>
      <c r="B284" s="5"/>
      <c r="C284" s="5"/>
      <c r="D284" s="52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  <c r="AA284" s="114"/>
      <c r="AB284" s="114"/>
      <c r="AC284" s="114"/>
    </row>
    <row r="285">
      <c r="A285" s="5"/>
      <c r="B285" s="5"/>
      <c r="C285" s="5"/>
      <c r="D285" s="52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  <c r="AA285" s="114"/>
      <c r="AB285" s="114"/>
      <c r="AC285" s="114"/>
    </row>
    <row r="286">
      <c r="A286" s="5"/>
      <c r="B286" s="5"/>
      <c r="C286" s="5"/>
      <c r="D286" s="52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  <c r="AA286" s="114"/>
      <c r="AB286" s="114"/>
      <c r="AC286" s="114"/>
    </row>
    <row r="287">
      <c r="A287" s="5"/>
      <c r="B287" s="5"/>
      <c r="C287" s="5"/>
      <c r="D287" s="52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  <c r="AA287" s="114"/>
      <c r="AB287" s="114"/>
      <c r="AC287" s="114"/>
    </row>
    <row r="288">
      <c r="A288" s="5"/>
      <c r="B288" s="5"/>
      <c r="C288" s="5"/>
      <c r="D288" s="52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  <c r="AA288" s="114"/>
      <c r="AB288" s="114"/>
      <c r="AC288" s="114"/>
    </row>
    <row r="289">
      <c r="A289" s="5"/>
      <c r="B289" s="5"/>
      <c r="C289" s="5"/>
      <c r="D289" s="52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  <c r="AA289" s="114"/>
      <c r="AB289" s="114"/>
      <c r="AC289" s="114"/>
    </row>
    <row r="290">
      <c r="A290" s="5"/>
      <c r="B290" s="5"/>
      <c r="C290" s="5"/>
      <c r="D290" s="52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  <c r="AA290" s="114"/>
      <c r="AB290" s="114"/>
      <c r="AC290" s="114"/>
    </row>
    <row r="291">
      <c r="A291" s="5"/>
      <c r="B291" s="5"/>
      <c r="C291" s="5"/>
      <c r="D291" s="52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  <c r="AA291" s="114"/>
      <c r="AB291" s="114"/>
      <c r="AC291" s="114"/>
    </row>
    <row r="292">
      <c r="A292" s="5"/>
      <c r="B292" s="5"/>
      <c r="C292" s="5"/>
      <c r="D292" s="52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  <c r="AA292" s="114"/>
      <c r="AB292" s="114"/>
      <c r="AC292" s="114"/>
    </row>
    <row r="293">
      <c r="A293" s="5"/>
      <c r="B293" s="5"/>
      <c r="C293" s="5"/>
      <c r="D293" s="52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  <c r="AA293" s="114"/>
      <c r="AB293" s="114"/>
      <c r="AC293" s="114"/>
    </row>
    <row r="294">
      <c r="A294" s="5"/>
      <c r="B294" s="5"/>
      <c r="C294" s="5"/>
      <c r="D294" s="52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  <c r="AA294" s="114"/>
      <c r="AB294" s="114"/>
      <c r="AC294" s="114"/>
    </row>
    <row r="295">
      <c r="A295" s="5"/>
      <c r="B295" s="5"/>
      <c r="C295" s="5"/>
      <c r="D295" s="52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  <c r="AA295" s="114"/>
      <c r="AB295" s="114"/>
      <c r="AC295" s="114"/>
    </row>
    <row r="296">
      <c r="A296" s="5"/>
      <c r="B296" s="5"/>
      <c r="C296" s="5"/>
      <c r="D296" s="52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  <c r="AA296" s="114"/>
      <c r="AB296" s="114"/>
      <c r="AC296" s="114"/>
    </row>
    <row r="297">
      <c r="A297" s="5"/>
      <c r="B297" s="5"/>
      <c r="C297" s="5"/>
      <c r="D297" s="52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  <c r="AA297" s="114"/>
      <c r="AB297" s="114"/>
      <c r="AC297" s="114"/>
    </row>
    <row r="298">
      <c r="A298" s="5"/>
      <c r="B298" s="5"/>
      <c r="C298" s="5"/>
      <c r="D298" s="52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  <c r="AA298" s="114"/>
      <c r="AB298" s="114"/>
      <c r="AC298" s="114"/>
    </row>
    <row r="299">
      <c r="A299" s="5"/>
      <c r="B299" s="5"/>
      <c r="C299" s="5"/>
      <c r="D299" s="52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  <c r="AA299" s="114"/>
      <c r="AB299" s="114"/>
      <c r="AC299" s="114"/>
    </row>
    <row r="300">
      <c r="A300" s="5"/>
      <c r="B300" s="5"/>
      <c r="C300" s="5"/>
      <c r="D300" s="52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  <c r="AA300" s="114"/>
      <c r="AB300" s="114"/>
      <c r="AC300" s="114"/>
    </row>
    <row r="301">
      <c r="A301" s="5"/>
      <c r="B301" s="5"/>
      <c r="C301" s="5"/>
      <c r="D301" s="52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  <c r="AA301" s="114"/>
      <c r="AB301" s="114"/>
      <c r="AC301" s="114"/>
    </row>
    <row r="302">
      <c r="A302" s="5"/>
      <c r="B302" s="5"/>
      <c r="C302" s="5"/>
      <c r="D302" s="52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  <c r="AA302" s="114"/>
      <c r="AB302" s="114"/>
      <c r="AC302" s="114"/>
    </row>
    <row r="303">
      <c r="A303" s="5"/>
      <c r="B303" s="5"/>
      <c r="C303" s="5"/>
      <c r="D303" s="52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  <c r="AA303" s="114"/>
      <c r="AB303" s="114"/>
      <c r="AC303" s="114"/>
    </row>
    <row r="304">
      <c r="A304" s="5"/>
      <c r="B304" s="5"/>
      <c r="C304" s="5"/>
      <c r="D304" s="52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  <c r="AA304" s="114"/>
      <c r="AB304" s="114"/>
      <c r="AC304" s="114"/>
    </row>
    <row r="305">
      <c r="A305" s="5"/>
      <c r="B305" s="5"/>
      <c r="C305" s="5"/>
      <c r="D305" s="52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  <c r="AA305" s="114"/>
      <c r="AB305" s="114"/>
      <c r="AC305" s="114"/>
    </row>
    <row r="306">
      <c r="A306" s="5"/>
      <c r="B306" s="5"/>
      <c r="C306" s="5"/>
      <c r="D306" s="52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  <c r="AA306" s="114"/>
      <c r="AB306" s="114"/>
      <c r="AC306" s="114"/>
    </row>
    <row r="307">
      <c r="A307" s="5"/>
      <c r="B307" s="5"/>
      <c r="C307" s="5"/>
      <c r="D307" s="52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  <c r="AA307" s="114"/>
      <c r="AB307" s="114"/>
      <c r="AC307" s="114"/>
    </row>
    <row r="308">
      <c r="A308" s="5"/>
      <c r="B308" s="5"/>
      <c r="C308" s="5"/>
      <c r="D308" s="52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  <c r="AA308" s="114"/>
      <c r="AB308" s="114"/>
      <c r="AC308" s="114"/>
    </row>
    <row r="309">
      <c r="A309" s="5"/>
      <c r="B309" s="5"/>
      <c r="C309" s="5"/>
      <c r="D309" s="52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114"/>
      <c r="AB309" s="114"/>
      <c r="AC309" s="114"/>
    </row>
    <row r="310">
      <c r="A310" s="5"/>
      <c r="B310" s="5"/>
      <c r="C310" s="5"/>
      <c r="D310" s="52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  <c r="AA310" s="114"/>
      <c r="AB310" s="114"/>
      <c r="AC310" s="114"/>
    </row>
    <row r="311">
      <c r="A311" s="5"/>
      <c r="B311" s="5"/>
      <c r="C311" s="5"/>
      <c r="D311" s="52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114"/>
      <c r="AB311" s="114"/>
      <c r="AC311" s="114"/>
    </row>
    <row r="312">
      <c r="A312" s="5"/>
      <c r="B312" s="5"/>
      <c r="C312" s="5"/>
      <c r="D312" s="52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  <c r="AA312" s="114"/>
      <c r="AB312" s="114"/>
      <c r="AC312" s="114"/>
    </row>
    <row r="313">
      <c r="A313" s="5"/>
      <c r="B313" s="5"/>
      <c r="C313" s="5"/>
      <c r="D313" s="52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  <c r="AA313" s="114"/>
      <c r="AB313" s="114"/>
      <c r="AC313" s="114"/>
    </row>
    <row r="314">
      <c r="A314" s="5"/>
      <c r="B314" s="5"/>
      <c r="C314" s="5"/>
      <c r="D314" s="52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114"/>
      <c r="AB314" s="114"/>
      <c r="AC314" s="114"/>
    </row>
    <row r="315">
      <c r="A315" s="5"/>
      <c r="B315" s="5"/>
      <c r="C315" s="5"/>
      <c r="D315" s="52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114"/>
      <c r="AB315" s="114"/>
      <c r="AC315" s="114"/>
    </row>
    <row r="316">
      <c r="A316" s="5"/>
      <c r="B316" s="5"/>
      <c r="C316" s="5"/>
      <c r="D316" s="52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  <c r="AA316" s="114"/>
      <c r="AB316" s="114"/>
      <c r="AC316" s="114"/>
    </row>
    <row r="317">
      <c r="A317" s="5"/>
      <c r="B317" s="5"/>
      <c r="C317" s="5"/>
      <c r="D317" s="52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114"/>
      <c r="AB317" s="114"/>
      <c r="AC317" s="114"/>
    </row>
    <row r="318">
      <c r="A318" s="5"/>
      <c r="B318" s="5"/>
      <c r="C318" s="5"/>
      <c r="D318" s="52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  <c r="AA318" s="114"/>
      <c r="AB318" s="114"/>
      <c r="AC318" s="114"/>
    </row>
    <row r="319">
      <c r="A319" s="5"/>
      <c r="B319" s="5"/>
      <c r="C319" s="5"/>
      <c r="D319" s="52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  <c r="AA319" s="114"/>
      <c r="AB319" s="114"/>
      <c r="AC319" s="114"/>
    </row>
    <row r="320">
      <c r="A320" s="5"/>
      <c r="B320" s="5"/>
      <c r="C320" s="5"/>
      <c r="D320" s="52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  <c r="AA320" s="114"/>
      <c r="AB320" s="114"/>
      <c r="AC320" s="114"/>
    </row>
    <row r="321">
      <c r="A321" s="5"/>
      <c r="B321" s="5"/>
      <c r="C321" s="5"/>
      <c r="D321" s="52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  <c r="AA321" s="114"/>
      <c r="AB321" s="114"/>
      <c r="AC321" s="114"/>
    </row>
    <row r="322">
      <c r="A322" s="5"/>
      <c r="B322" s="5"/>
      <c r="C322" s="5"/>
      <c r="D322" s="52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  <c r="AA322" s="114"/>
      <c r="AB322" s="114"/>
      <c r="AC322" s="114"/>
    </row>
    <row r="323">
      <c r="A323" s="5"/>
      <c r="B323" s="5"/>
      <c r="C323" s="5"/>
      <c r="D323" s="52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114"/>
      <c r="AB323" s="114"/>
      <c r="AC323" s="114"/>
    </row>
    <row r="324">
      <c r="A324" s="5"/>
      <c r="B324" s="5"/>
      <c r="C324" s="5"/>
      <c r="D324" s="52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114"/>
      <c r="AB324" s="114"/>
      <c r="AC324" s="114"/>
    </row>
    <row r="325">
      <c r="A325" s="5"/>
      <c r="B325" s="5"/>
      <c r="C325" s="5"/>
      <c r="D325" s="52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  <c r="AA325" s="114"/>
      <c r="AB325" s="114"/>
      <c r="AC325" s="114"/>
    </row>
    <row r="326">
      <c r="A326" s="5"/>
      <c r="B326" s="5"/>
      <c r="C326" s="5"/>
      <c r="D326" s="52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  <c r="AA326" s="114"/>
      <c r="AB326" s="114"/>
      <c r="AC326" s="114"/>
    </row>
    <row r="327">
      <c r="A327" s="5"/>
      <c r="B327" s="5"/>
      <c r="C327" s="5"/>
      <c r="D327" s="52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  <c r="AA327" s="114"/>
      <c r="AB327" s="114"/>
      <c r="AC327" s="114"/>
    </row>
    <row r="328">
      <c r="A328" s="5"/>
      <c r="B328" s="5"/>
      <c r="C328" s="5"/>
      <c r="D328" s="52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  <c r="AA328" s="114"/>
      <c r="AB328" s="114"/>
      <c r="AC328" s="114"/>
    </row>
    <row r="329">
      <c r="A329" s="5"/>
      <c r="B329" s="5"/>
      <c r="C329" s="5"/>
      <c r="D329" s="52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114"/>
      <c r="AB329" s="114"/>
      <c r="AC329" s="114"/>
    </row>
    <row r="330">
      <c r="A330" s="5"/>
      <c r="B330" s="5"/>
      <c r="C330" s="5"/>
      <c r="D330" s="52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  <c r="AA330" s="114"/>
      <c r="AB330" s="114"/>
      <c r="AC330" s="114"/>
    </row>
    <row r="331">
      <c r="A331" s="5"/>
      <c r="B331" s="5"/>
      <c r="C331" s="5"/>
      <c r="D331" s="52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  <c r="AA331" s="114"/>
      <c r="AB331" s="114"/>
      <c r="AC331" s="114"/>
    </row>
    <row r="332">
      <c r="A332" s="5"/>
      <c r="B332" s="5"/>
      <c r="C332" s="5"/>
      <c r="D332" s="52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114"/>
      <c r="AB332" s="114"/>
      <c r="AC332" s="114"/>
    </row>
    <row r="333">
      <c r="A333" s="5"/>
      <c r="B333" s="5"/>
      <c r="C333" s="5"/>
      <c r="D333" s="52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  <c r="AA333" s="114"/>
      <c r="AB333" s="114"/>
      <c r="AC333" s="114"/>
    </row>
    <row r="334">
      <c r="A334" s="5"/>
      <c r="B334" s="5"/>
      <c r="C334" s="5"/>
      <c r="D334" s="52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114"/>
      <c r="AB334" s="114"/>
      <c r="AC334" s="114"/>
    </row>
    <row r="335">
      <c r="A335" s="5"/>
      <c r="B335" s="5"/>
      <c r="C335" s="5"/>
      <c r="D335" s="52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  <c r="AA335" s="114"/>
      <c r="AB335" s="114"/>
      <c r="AC335" s="114"/>
    </row>
    <row r="336">
      <c r="A336" s="5"/>
      <c r="B336" s="5"/>
      <c r="C336" s="5"/>
      <c r="D336" s="52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  <c r="AA336" s="114"/>
      <c r="AB336" s="114"/>
      <c r="AC336" s="114"/>
    </row>
    <row r="337">
      <c r="A337" s="5"/>
      <c r="B337" s="5"/>
      <c r="C337" s="5"/>
      <c r="D337" s="52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  <c r="AA337" s="114"/>
      <c r="AB337" s="114"/>
      <c r="AC337" s="114"/>
    </row>
    <row r="338">
      <c r="A338" s="5"/>
      <c r="B338" s="5"/>
      <c r="C338" s="5"/>
      <c r="D338" s="52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  <c r="AA338" s="114"/>
      <c r="AB338" s="114"/>
      <c r="AC338" s="114"/>
    </row>
    <row r="339">
      <c r="A339" s="5"/>
      <c r="B339" s="5"/>
      <c r="C339" s="5"/>
      <c r="D339" s="52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  <c r="AA339" s="114"/>
      <c r="AB339" s="114"/>
      <c r="AC339" s="114"/>
    </row>
    <row r="340">
      <c r="A340" s="5"/>
      <c r="B340" s="5"/>
      <c r="C340" s="5"/>
      <c r="D340" s="52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  <c r="AA340" s="114"/>
      <c r="AB340" s="114"/>
      <c r="AC340" s="114"/>
    </row>
    <row r="341">
      <c r="A341" s="5"/>
      <c r="B341" s="5"/>
      <c r="C341" s="5"/>
      <c r="D341" s="52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  <c r="AA341" s="114"/>
      <c r="AB341" s="114"/>
      <c r="AC341" s="114"/>
    </row>
    <row r="342">
      <c r="A342" s="5"/>
      <c r="B342" s="5"/>
      <c r="C342" s="5"/>
      <c r="D342" s="52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114"/>
      <c r="AB342" s="114"/>
      <c r="AC342" s="114"/>
    </row>
    <row r="343">
      <c r="A343" s="5"/>
      <c r="B343" s="5"/>
      <c r="C343" s="5"/>
      <c r="D343" s="52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114"/>
      <c r="AB343" s="114"/>
      <c r="AC343" s="114"/>
    </row>
    <row r="344">
      <c r="A344" s="5"/>
      <c r="B344" s="5"/>
      <c r="C344" s="5"/>
      <c r="D344" s="52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114"/>
      <c r="AB344" s="114"/>
      <c r="AC344" s="114"/>
    </row>
    <row r="345">
      <c r="A345" s="5"/>
      <c r="B345" s="5"/>
      <c r="C345" s="5"/>
      <c r="D345" s="52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114"/>
      <c r="AB345" s="114"/>
      <c r="AC345" s="114"/>
    </row>
    <row r="346">
      <c r="A346" s="5"/>
      <c r="B346" s="5"/>
      <c r="C346" s="5"/>
      <c r="D346" s="52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  <c r="AA346" s="114"/>
      <c r="AB346" s="114"/>
      <c r="AC346" s="114"/>
    </row>
    <row r="347">
      <c r="A347" s="5"/>
      <c r="B347" s="5"/>
      <c r="C347" s="5"/>
      <c r="D347" s="52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  <c r="AA347" s="114"/>
      <c r="AB347" s="114"/>
      <c r="AC347" s="114"/>
    </row>
    <row r="348">
      <c r="A348" s="5"/>
      <c r="B348" s="5"/>
      <c r="C348" s="5"/>
      <c r="D348" s="52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  <c r="AA348" s="114"/>
      <c r="AB348" s="114"/>
      <c r="AC348" s="114"/>
    </row>
    <row r="349">
      <c r="A349" s="5"/>
      <c r="B349" s="5"/>
      <c r="C349" s="5"/>
      <c r="D349" s="52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  <c r="AA349" s="114"/>
      <c r="AB349" s="114"/>
      <c r="AC349" s="114"/>
    </row>
    <row r="350">
      <c r="A350" s="5"/>
      <c r="B350" s="5"/>
      <c r="C350" s="5"/>
      <c r="D350" s="52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  <c r="AA350" s="114"/>
      <c r="AB350" s="114"/>
      <c r="AC350" s="114"/>
    </row>
    <row r="351">
      <c r="A351" s="5"/>
      <c r="B351" s="5"/>
      <c r="C351" s="5"/>
      <c r="D351" s="52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  <c r="AA351" s="114"/>
      <c r="AB351" s="114"/>
      <c r="AC351" s="114"/>
    </row>
    <row r="352">
      <c r="A352" s="5"/>
      <c r="B352" s="5"/>
      <c r="C352" s="5"/>
      <c r="D352" s="52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  <c r="AA352" s="114"/>
      <c r="AB352" s="114"/>
      <c r="AC352" s="114"/>
    </row>
    <row r="353">
      <c r="A353" s="5"/>
      <c r="B353" s="5"/>
      <c r="C353" s="5"/>
      <c r="D353" s="52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114"/>
      <c r="AB353" s="114"/>
      <c r="AC353" s="114"/>
    </row>
    <row r="354">
      <c r="A354" s="5"/>
      <c r="B354" s="5"/>
      <c r="C354" s="5"/>
      <c r="D354" s="52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114"/>
      <c r="AB354" s="114"/>
      <c r="AC354" s="114"/>
    </row>
    <row r="355">
      <c r="A355" s="5"/>
      <c r="B355" s="5"/>
      <c r="C355" s="5"/>
      <c r="D355" s="52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  <c r="AA355" s="114"/>
      <c r="AB355" s="114"/>
      <c r="AC355" s="114"/>
    </row>
    <row r="356">
      <c r="A356" s="5"/>
      <c r="B356" s="5"/>
      <c r="C356" s="5"/>
      <c r="D356" s="52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114"/>
      <c r="AB356" s="114"/>
      <c r="AC356" s="114"/>
    </row>
    <row r="357">
      <c r="A357" s="5"/>
      <c r="B357" s="5"/>
      <c r="C357" s="5"/>
      <c r="D357" s="52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  <c r="AA357" s="114"/>
      <c r="AB357" s="114"/>
      <c r="AC357" s="114"/>
    </row>
    <row r="358">
      <c r="A358" s="5"/>
      <c r="B358" s="5"/>
      <c r="C358" s="5"/>
      <c r="D358" s="52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  <c r="AA358" s="114"/>
      <c r="AB358" s="114"/>
      <c r="AC358" s="114"/>
    </row>
    <row r="359">
      <c r="A359" s="5"/>
      <c r="B359" s="5"/>
      <c r="C359" s="5"/>
      <c r="D359" s="52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114"/>
      <c r="AB359" s="114"/>
      <c r="AC359" s="114"/>
    </row>
    <row r="360">
      <c r="A360" s="5"/>
      <c r="B360" s="5"/>
      <c r="C360" s="5"/>
      <c r="D360" s="52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  <c r="AA360" s="114"/>
      <c r="AB360" s="114"/>
      <c r="AC360" s="114"/>
    </row>
    <row r="361">
      <c r="A361" s="5"/>
      <c r="B361" s="5"/>
      <c r="C361" s="5"/>
      <c r="D361" s="52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  <c r="AA361" s="114"/>
      <c r="AB361" s="114"/>
      <c r="AC361" s="114"/>
    </row>
    <row r="362">
      <c r="A362" s="5"/>
      <c r="B362" s="5"/>
      <c r="C362" s="5"/>
      <c r="D362" s="52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114"/>
      <c r="AB362" s="114"/>
      <c r="AC362" s="114"/>
    </row>
    <row r="363">
      <c r="A363" s="5"/>
      <c r="B363" s="5"/>
      <c r="C363" s="5"/>
      <c r="D363" s="52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114"/>
      <c r="AB363" s="114"/>
      <c r="AC363" s="114"/>
    </row>
    <row r="364">
      <c r="A364" s="5"/>
      <c r="B364" s="5"/>
      <c r="C364" s="5"/>
      <c r="D364" s="52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  <c r="AA364" s="114"/>
      <c r="AB364" s="114"/>
      <c r="AC364" s="114"/>
    </row>
    <row r="365">
      <c r="A365" s="5"/>
      <c r="B365" s="5"/>
      <c r="C365" s="5"/>
      <c r="D365" s="52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  <c r="AA365" s="114"/>
      <c r="AB365" s="114"/>
      <c r="AC365" s="114"/>
    </row>
    <row r="366">
      <c r="A366" s="5"/>
      <c r="B366" s="5"/>
      <c r="C366" s="5"/>
      <c r="D366" s="52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  <c r="AA366" s="114"/>
      <c r="AB366" s="114"/>
      <c r="AC366" s="114"/>
    </row>
    <row r="367">
      <c r="A367" s="5"/>
      <c r="B367" s="5"/>
      <c r="C367" s="5"/>
      <c r="D367" s="52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  <c r="AA367" s="114"/>
      <c r="AB367" s="114"/>
      <c r="AC367" s="114"/>
    </row>
    <row r="368">
      <c r="A368" s="5"/>
      <c r="B368" s="5"/>
      <c r="C368" s="5"/>
      <c r="D368" s="52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  <c r="AA368" s="114"/>
      <c r="AB368" s="114"/>
      <c r="AC368" s="114"/>
    </row>
    <row r="369">
      <c r="A369" s="5"/>
      <c r="B369" s="5"/>
      <c r="C369" s="5"/>
      <c r="D369" s="52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  <c r="AA369" s="114"/>
      <c r="AB369" s="114"/>
      <c r="AC369" s="114"/>
    </row>
    <row r="370">
      <c r="A370" s="5"/>
      <c r="B370" s="5"/>
      <c r="C370" s="5"/>
      <c r="D370" s="52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114"/>
      <c r="AB370" s="114"/>
      <c r="AC370" s="114"/>
    </row>
    <row r="371">
      <c r="A371" s="5"/>
      <c r="B371" s="5"/>
      <c r="C371" s="5"/>
      <c r="D371" s="52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114"/>
      <c r="AB371" s="114"/>
      <c r="AC371" s="114"/>
    </row>
    <row r="372">
      <c r="A372" s="5"/>
      <c r="B372" s="5"/>
      <c r="C372" s="5"/>
      <c r="D372" s="52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  <c r="AA372" s="114"/>
      <c r="AB372" s="114"/>
      <c r="AC372" s="114"/>
    </row>
    <row r="373">
      <c r="A373" s="5"/>
      <c r="B373" s="5"/>
      <c r="C373" s="5"/>
      <c r="D373" s="52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  <c r="AA373" s="114"/>
      <c r="AB373" s="114"/>
      <c r="AC373" s="114"/>
    </row>
    <row r="374">
      <c r="A374" s="5"/>
      <c r="B374" s="5"/>
      <c r="C374" s="5"/>
      <c r="D374" s="52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  <c r="AA374" s="114"/>
      <c r="AB374" s="114"/>
      <c r="AC374" s="114"/>
    </row>
    <row r="375">
      <c r="A375" s="5"/>
      <c r="B375" s="5"/>
      <c r="C375" s="5"/>
      <c r="D375" s="52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  <c r="AA375" s="114"/>
      <c r="AB375" s="114"/>
      <c r="AC375" s="114"/>
    </row>
    <row r="376">
      <c r="A376" s="5"/>
      <c r="B376" s="5"/>
      <c r="C376" s="5"/>
      <c r="D376" s="52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  <c r="AA376" s="114"/>
      <c r="AB376" s="114"/>
      <c r="AC376" s="114"/>
    </row>
    <row r="377">
      <c r="A377" s="5"/>
      <c r="B377" s="5"/>
      <c r="C377" s="5"/>
      <c r="D377" s="52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114"/>
      <c r="AB377" s="114"/>
      <c r="AC377" s="114"/>
    </row>
    <row r="378">
      <c r="A378" s="5"/>
      <c r="B378" s="5"/>
      <c r="C378" s="5"/>
      <c r="D378" s="52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  <c r="AA378" s="114"/>
      <c r="AB378" s="114"/>
      <c r="AC378" s="114"/>
    </row>
    <row r="379">
      <c r="A379" s="5"/>
      <c r="B379" s="5"/>
      <c r="C379" s="5"/>
      <c r="D379" s="52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  <c r="AA379" s="114"/>
      <c r="AB379" s="114"/>
      <c r="AC379" s="114"/>
    </row>
    <row r="380">
      <c r="A380" s="5"/>
      <c r="B380" s="5"/>
      <c r="C380" s="5"/>
      <c r="D380" s="52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  <c r="AA380" s="114"/>
      <c r="AB380" s="114"/>
      <c r="AC380" s="114"/>
    </row>
    <row r="381">
      <c r="A381" s="5"/>
      <c r="B381" s="5"/>
      <c r="C381" s="5"/>
      <c r="D381" s="52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  <c r="AA381" s="114"/>
      <c r="AB381" s="114"/>
      <c r="AC381" s="114"/>
    </row>
    <row r="382">
      <c r="A382" s="5"/>
      <c r="B382" s="5"/>
      <c r="C382" s="5"/>
      <c r="D382" s="52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  <c r="AA382" s="114"/>
      <c r="AB382" s="114"/>
      <c r="AC382" s="114"/>
    </row>
    <row r="383">
      <c r="A383" s="5"/>
      <c r="B383" s="5"/>
      <c r="C383" s="5"/>
      <c r="D383" s="52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  <c r="AA383" s="114"/>
      <c r="AB383" s="114"/>
      <c r="AC383" s="114"/>
    </row>
    <row r="384">
      <c r="A384" s="5"/>
      <c r="B384" s="5"/>
      <c r="C384" s="5"/>
      <c r="D384" s="52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  <c r="AA384" s="114"/>
      <c r="AB384" s="114"/>
      <c r="AC384" s="114"/>
    </row>
    <row r="385">
      <c r="A385" s="5"/>
      <c r="B385" s="5"/>
      <c r="C385" s="5"/>
      <c r="D385" s="52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  <c r="AA385" s="114"/>
      <c r="AB385" s="114"/>
      <c r="AC385" s="114"/>
    </row>
    <row r="386">
      <c r="A386" s="5"/>
      <c r="B386" s="5"/>
      <c r="C386" s="5"/>
      <c r="D386" s="52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114"/>
      <c r="AB386" s="114"/>
      <c r="AC386" s="114"/>
    </row>
    <row r="387">
      <c r="A387" s="5"/>
      <c r="B387" s="5"/>
      <c r="C387" s="5"/>
      <c r="D387" s="52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114"/>
      <c r="AB387" s="114"/>
      <c r="AC387" s="114"/>
    </row>
    <row r="388">
      <c r="A388" s="5"/>
      <c r="B388" s="5"/>
      <c r="C388" s="5"/>
      <c r="D388" s="52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114"/>
      <c r="AB388" s="114"/>
      <c r="AC388" s="114"/>
    </row>
    <row r="389">
      <c r="A389" s="5"/>
      <c r="B389" s="5"/>
      <c r="C389" s="5"/>
      <c r="D389" s="52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  <c r="AA389" s="114"/>
      <c r="AB389" s="114"/>
      <c r="AC389" s="114"/>
    </row>
    <row r="390">
      <c r="A390" s="5"/>
      <c r="B390" s="5"/>
      <c r="C390" s="5"/>
      <c r="D390" s="52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  <c r="AA390" s="114"/>
      <c r="AB390" s="114"/>
      <c r="AC390" s="114"/>
    </row>
    <row r="391">
      <c r="A391" s="5"/>
      <c r="B391" s="5"/>
      <c r="C391" s="5"/>
      <c r="D391" s="52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  <c r="AA391" s="114"/>
      <c r="AB391" s="114"/>
      <c r="AC391" s="114"/>
    </row>
    <row r="392">
      <c r="A392" s="5"/>
      <c r="B392" s="5"/>
      <c r="C392" s="5"/>
      <c r="D392" s="52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114"/>
      <c r="AB392" s="114"/>
      <c r="AC392" s="114"/>
    </row>
    <row r="393">
      <c r="A393" s="5"/>
      <c r="B393" s="5"/>
      <c r="C393" s="5"/>
      <c r="D393" s="52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  <c r="AA393" s="114"/>
      <c r="AB393" s="114"/>
      <c r="AC393" s="114"/>
    </row>
    <row r="394">
      <c r="A394" s="5"/>
      <c r="B394" s="5"/>
      <c r="C394" s="5"/>
      <c r="D394" s="52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  <c r="AA394" s="114"/>
      <c r="AB394" s="114"/>
      <c r="AC394" s="114"/>
    </row>
    <row r="395">
      <c r="A395" s="5"/>
      <c r="B395" s="5"/>
      <c r="C395" s="5"/>
      <c r="D395" s="52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  <c r="AA395" s="114"/>
      <c r="AB395" s="114"/>
      <c r="AC395" s="114"/>
    </row>
    <row r="396">
      <c r="A396" s="5"/>
      <c r="B396" s="5"/>
      <c r="C396" s="5"/>
      <c r="D396" s="52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114"/>
      <c r="AB396" s="114"/>
      <c r="AC396" s="114"/>
    </row>
    <row r="397">
      <c r="A397" s="5"/>
      <c r="B397" s="5"/>
      <c r="C397" s="5"/>
      <c r="D397" s="52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  <c r="AA397" s="114"/>
      <c r="AB397" s="114"/>
      <c r="AC397" s="114"/>
    </row>
    <row r="398">
      <c r="A398" s="5"/>
      <c r="B398" s="5"/>
      <c r="C398" s="5"/>
      <c r="D398" s="52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  <c r="AA398" s="114"/>
      <c r="AB398" s="114"/>
      <c r="AC398" s="114"/>
    </row>
    <row r="399">
      <c r="A399" s="5"/>
      <c r="B399" s="5"/>
      <c r="C399" s="5"/>
      <c r="D399" s="52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  <c r="AA399" s="114"/>
      <c r="AB399" s="114"/>
      <c r="AC399" s="114"/>
    </row>
    <row r="400">
      <c r="A400" s="5"/>
      <c r="B400" s="5"/>
      <c r="C400" s="5"/>
      <c r="D400" s="52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114"/>
      <c r="AB400" s="114"/>
      <c r="AC400" s="114"/>
    </row>
    <row r="401">
      <c r="A401" s="5"/>
      <c r="B401" s="5"/>
      <c r="C401" s="5"/>
      <c r="D401" s="52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  <c r="AA401" s="114"/>
      <c r="AB401" s="114"/>
      <c r="AC401" s="114"/>
    </row>
    <row r="402">
      <c r="A402" s="5"/>
      <c r="B402" s="5"/>
      <c r="C402" s="5"/>
      <c r="D402" s="52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  <c r="AA402" s="114"/>
      <c r="AB402" s="114"/>
      <c r="AC402" s="114"/>
    </row>
    <row r="403">
      <c r="A403" s="5"/>
      <c r="B403" s="5"/>
      <c r="C403" s="5"/>
      <c r="D403" s="52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114"/>
      <c r="AB403" s="114"/>
      <c r="AC403" s="114"/>
    </row>
    <row r="404">
      <c r="A404" s="5"/>
      <c r="B404" s="5"/>
      <c r="C404" s="5"/>
      <c r="D404" s="52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  <c r="AA404" s="114"/>
      <c r="AB404" s="114"/>
      <c r="AC404" s="114"/>
    </row>
    <row r="405">
      <c r="A405" s="5"/>
      <c r="B405" s="5"/>
      <c r="C405" s="5"/>
      <c r="D405" s="52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  <c r="AA405" s="114"/>
      <c r="AB405" s="114"/>
      <c r="AC405" s="114"/>
    </row>
    <row r="406">
      <c r="A406" s="5"/>
      <c r="B406" s="5"/>
      <c r="C406" s="5"/>
      <c r="D406" s="52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  <c r="AA406" s="114"/>
      <c r="AB406" s="114"/>
      <c r="AC406" s="114"/>
    </row>
    <row r="407">
      <c r="A407" s="5"/>
      <c r="B407" s="5"/>
      <c r="C407" s="5"/>
      <c r="D407" s="52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  <c r="AA407" s="114"/>
      <c r="AB407" s="114"/>
      <c r="AC407" s="114"/>
    </row>
    <row r="408">
      <c r="A408" s="5"/>
      <c r="B408" s="5"/>
      <c r="C408" s="5"/>
      <c r="D408" s="52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  <c r="AA408" s="114"/>
      <c r="AB408" s="114"/>
      <c r="AC408" s="114"/>
    </row>
    <row r="409">
      <c r="A409" s="5"/>
      <c r="B409" s="5"/>
      <c r="C409" s="5"/>
      <c r="D409" s="52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  <c r="AA409" s="114"/>
      <c r="AB409" s="114"/>
      <c r="AC409" s="114"/>
    </row>
    <row r="410">
      <c r="A410" s="5"/>
      <c r="B410" s="5"/>
      <c r="C410" s="5"/>
      <c r="D410" s="52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  <c r="AA410" s="114"/>
      <c r="AB410" s="114"/>
      <c r="AC410" s="114"/>
    </row>
    <row r="411">
      <c r="A411" s="5"/>
      <c r="B411" s="5"/>
      <c r="C411" s="5"/>
      <c r="D411" s="52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  <c r="AA411" s="114"/>
      <c r="AB411" s="114"/>
      <c r="AC411" s="114"/>
    </row>
    <row r="412">
      <c r="A412" s="5"/>
      <c r="B412" s="5"/>
      <c r="C412" s="5"/>
      <c r="D412" s="52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  <c r="AA412" s="114"/>
      <c r="AB412" s="114"/>
      <c r="AC412" s="114"/>
    </row>
    <row r="413">
      <c r="A413" s="5"/>
      <c r="B413" s="5"/>
      <c r="C413" s="5"/>
      <c r="D413" s="52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  <c r="AA413" s="114"/>
      <c r="AB413" s="114"/>
      <c r="AC413" s="114"/>
    </row>
    <row r="414">
      <c r="A414" s="5"/>
      <c r="B414" s="5"/>
      <c r="C414" s="5"/>
      <c r="D414" s="52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  <c r="AA414" s="114"/>
      <c r="AB414" s="114"/>
      <c r="AC414" s="114"/>
    </row>
    <row r="415">
      <c r="A415" s="5"/>
      <c r="B415" s="5"/>
      <c r="C415" s="5"/>
      <c r="D415" s="52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  <c r="AA415" s="114"/>
      <c r="AB415" s="114"/>
      <c r="AC415" s="114"/>
    </row>
    <row r="416">
      <c r="A416" s="5"/>
      <c r="B416" s="5"/>
      <c r="C416" s="5"/>
      <c r="D416" s="52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  <c r="AA416" s="114"/>
      <c r="AB416" s="114"/>
      <c r="AC416" s="114"/>
    </row>
    <row r="417">
      <c r="A417" s="5"/>
      <c r="B417" s="5"/>
      <c r="C417" s="5"/>
      <c r="D417" s="52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  <c r="AA417" s="114"/>
      <c r="AB417" s="114"/>
      <c r="AC417" s="114"/>
    </row>
    <row r="418">
      <c r="A418" s="5"/>
      <c r="B418" s="5"/>
      <c r="C418" s="5"/>
      <c r="D418" s="52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  <c r="AA418" s="114"/>
      <c r="AB418" s="114"/>
      <c r="AC418" s="114"/>
    </row>
    <row r="419">
      <c r="A419" s="5"/>
      <c r="B419" s="5"/>
      <c r="C419" s="5"/>
      <c r="D419" s="52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114"/>
      <c r="AB419" s="114"/>
      <c r="AC419" s="114"/>
    </row>
    <row r="420">
      <c r="A420" s="5"/>
      <c r="B420" s="5"/>
      <c r="C420" s="5"/>
      <c r="D420" s="52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  <c r="AA420" s="114"/>
      <c r="AB420" s="114"/>
      <c r="AC420" s="114"/>
    </row>
    <row r="421">
      <c r="A421" s="5"/>
      <c r="B421" s="5"/>
      <c r="C421" s="5"/>
      <c r="D421" s="52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  <c r="AA421" s="114"/>
      <c r="AB421" s="114"/>
      <c r="AC421" s="114"/>
    </row>
    <row r="422">
      <c r="A422" s="5"/>
      <c r="B422" s="5"/>
      <c r="C422" s="5"/>
      <c r="D422" s="52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  <c r="AA422" s="114"/>
      <c r="AB422" s="114"/>
      <c r="AC422" s="114"/>
    </row>
    <row r="423">
      <c r="A423" s="5"/>
      <c r="B423" s="5"/>
      <c r="C423" s="5"/>
      <c r="D423" s="52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  <c r="AA423" s="114"/>
      <c r="AB423" s="114"/>
      <c r="AC423" s="114"/>
    </row>
    <row r="424">
      <c r="A424" s="5"/>
      <c r="B424" s="5"/>
      <c r="C424" s="5"/>
      <c r="D424" s="52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  <c r="AA424" s="114"/>
      <c r="AB424" s="114"/>
      <c r="AC424" s="114"/>
    </row>
    <row r="425">
      <c r="A425" s="5"/>
      <c r="B425" s="5"/>
      <c r="C425" s="5"/>
      <c r="D425" s="52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  <c r="AA425" s="114"/>
      <c r="AB425" s="114"/>
      <c r="AC425" s="114"/>
    </row>
    <row r="426">
      <c r="A426" s="5"/>
      <c r="B426" s="5"/>
      <c r="C426" s="5"/>
      <c r="D426" s="52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  <c r="AA426" s="114"/>
      <c r="AB426" s="114"/>
      <c r="AC426" s="114"/>
    </row>
    <row r="427">
      <c r="A427" s="5"/>
      <c r="B427" s="5"/>
      <c r="C427" s="5"/>
      <c r="D427" s="52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114"/>
      <c r="AB427" s="114"/>
      <c r="AC427" s="114"/>
    </row>
    <row r="428">
      <c r="A428" s="5"/>
      <c r="B428" s="5"/>
      <c r="C428" s="5"/>
      <c r="D428" s="52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  <c r="AA428" s="114"/>
      <c r="AB428" s="114"/>
      <c r="AC428" s="114"/>
    </row>
    <row r="429">
      <c r="A429" s="5"/>
      <c r="B429" s="5"/>
      <c r="C429" s="5"/>
      <c r="D429" s="52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114"/>
      <c r="AB429" s="114"/>
      <c r="AC429" s="114"/>
    </row>
    <row r="430">
      <c r="A430" s="5"/>
      <c r="B430" s="5"/>
      <c r="C430" s="5"/>
      <c r="D430" s="52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  <c r="AA430" s="114"/>
      <c r="AB430" s="114"/>
      <c r="AC430" s="114"/>
    </row>
    <row r="431">
      <c r="A431" s="5"/>
      <c r="B431" s="5"/>
      <c r="C431" s="5"/>
      <c r="D431" s="52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  <c r="AA431" s="114"/>
      <c r="AB431" s="114"/>
      <c r="AC431" s="114"/>
    </row>
    <row r="432">
      <c r="A432" s="5"/>
      <c r="B432" s="5"/>
      <c r="C432" s="5"/>
      <c r="D432" s="52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  <c r="AA432" s="114"/>
      <c r="AB432" s="114"/>
      <c r="AC432" s="114"/>
    </row>
    <row r="433">
      <c r="A433" s="5"/>
      <c r="B433" s="5"/>
      <c r="C433" s="5"/>
      <c r="D433" s="52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  <c r="AA433" s="114"/>
      <c r="AB433" s="114"/>
      <c r="AC433" s="114"/>
    </row>
    <row r="434">
      <c r="A434" s="5"/>
      <c r="B434" s="5"/>
      <c r="C434" s="5"/>
      <c r="D434" s="52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114"/>
      <c r="AB434" s="114"/>
      <c r="AC434" s="114"/>
    </row>
    <row r="435">
      <c r="A435" s="5"/>
      <c r="B435" s="5"/>
      <c r="C435" s="5"/>
      <c r="D435" s="52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  <c r="AA435" s="114"/>
      <c r="AB435" s="114"/>
      <c r="AC435" s="114"/>
    </row>
    <row r="436">
      <c r="A436" s="5"/>
      <c r="B436" s="5"/>
      <c r="C436" s="5"/>
      <c r="D436" s="52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  <c r="AA436" s="114"/>
      <c r="AB436" s="114"/>
      <c r="AC436" s="114"/>
    </row>
    <row r="437">
      <c r="A437" s="5"/>
      <c r="B437" s="5"/>
      <c r="C437" s="5"/>
      <c r="D437" s="52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  <c r="AA437" s="114"/>
      <c r="AB437" s="114"/>
      <c r="AC437" s="114"/>
    </row>
    <row r="438">
      <c r="A438" s="5"/>
      <c r="B438" s="5"/>
      <c r="C438" s="5"/>
      <c r="D438" s="52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  <c r="AA438" s="114"/>
      <c r="AB438" s="114"/>
      <c r="AC438" s="114"/>
    </row>
    <row r="439">
      <c r="A439" s="5"/>
      <c r="B439" s="5"/>
      <c r="C439" s="5"/>
      <c r="D439" s="52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  <c r="AA439" s="114"/>
      <c r="AB439" s="114"/>
      <c r="AC439" s="114"/>
    </row>
    <row r="440">
      <c r="A440" s="5"/>
      <c r="B440" s="5"/>
      <c r="C440" s="5"/>
      <c r="D440" s="52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114"/>
      <c r="AB440" s="114"/>
      <c r="AC440" s="114"/>
    </row>
    <row r="441">
      <c r="A441" s="5"/>
      <c r="B441" s="5"/>
      <c r="C441" s="5"/>
      <c r="D441" s="52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  <c r="AA441" s="114"/>
      <c r="AB441" s="114"/>
      <c r="AC441" s="114"/>
    </row>
    <row r="442">
      <c r="A442" s="5"/>
      <c r="B442" s="5"/>
      <c r="C442" s="5"/>
      <c r="D442" s="52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  <c r="AA442" s="114"/>
      <c r="AB442" s="114"/>
      <c r="AC442" s="114"/>
    </row>
    <row r="443">
      <c r="A443" s="5"/>
      <c r="B443" s="5"/>
      <c r="C443" s="5"/>
      <c r="D443" s="52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  <c r="AA443" s="114"/>
      <c r="AB443" s="114"/>
      <c r="AC443" s="114"/>
    </row>
    <row r="444">
      <c r="A444" s="5"/>
      <c r="B444" s="5"/>
      <c r="C444" s="5"/>
      <c r="D444" s="52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  <c r="AA444" s="114"/>
      <c r="AB444" s="114"/>
      <c r="AC444" s="114"/>
    </row>
    <row r="445">
      <c r="A445" s="5"/>
      <c r="B445" s="5"/>
      <c r="C445" s="5"/>
      <c r="D445" s="52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  <c r="AA445" s="114"/>
      <c r="AB445" s="114"/>
      <c r="AC445" s="114"/>
    </row>
    <row r="446">
      <c r="A446" s="5"/>
      <c r="B446" s="5"/>
      <c r="C446" s="5"/>
      <c r="D446" s="52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  <c r="AA446" s="114"/>
      <c r="AB446" s="114"/>
      <c r="AC446" s="114"/>
    </row>
    <row r="447">
      <c r="A447" s="5"/>
      <c r="B447" s="5"/>
      <c r="C447" s="5"/>
      <c r="D447" s="52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  <c r="AA447" s="114"/>
      <c r="AB447" s="114"/>
      <c r="AC447" s="114"/>
    </row>
    <row r="448">
      <c r="A448" s="5"/>
      <c r="B448" s="5"/>
      <c r="C448" s="5"/>
      <c r="D448" s="52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114"/>
      <c r="AB448" s="114"/>
      <c r="AC448" s="114"/>
    </row>
    <row r="449">
      <c r="A449" s="5"/>
      <c r="B449" s="5"/>
      <c r="C449" s="5"/>
      <c r="D449" s="52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114"/>
      <c r="AB449" s="114"/>
      <c r="AC449" s="114"/>
    </row>
    <row r="450">
      <c r="A450" s="5"/>
      <c r="B450" s="5"/>
      <c r="C450" s="5"/>
      <c r="D450" s="52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  <c r="AA450" s="114"/>
      <c r="AB450" s="114"/>
      <c r="AC450" s="114"/>
    </row>
    <row r="451">
      <c r="A451" s="5"/>
      <c r="B451" s="5"/>
      <c r="C451" s="5"/>
      <c r="D451" s="52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  <c r="AA451" s="114"/>
      <c r="AB451" s="114"/>
      <c r="AC451" s="114"/>
    </row>
    <row r="452">
      <c r="A452" s="5"/>
      <c r="B452" s="5"/>
      <c r="C452" s="5"/>
      <c r="D452" s="52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  <c r="AA452" s="114"/>
      <c r="AB452" s="114"/>
      <c r="AC452" s="114"/>
    </row>
    <row r="453">
      <c r="A453" s="5"/>
      <c r="B453" s="5"/>
      <c r="C453" s="5"/>
      <c r="D453" s="52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114"/>
      <c r="AB453" s="114"/>
      <c r="AC453" s="114"/>
    </row>
    <row r="454">
      <c r="A454" s="5"/>
      <c r="B454" s="5"/>
      <c r="C454" s="5"/>
      <c r="D454" s="52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  <c r="AA454" s="114"/>
      <c r="AB454" s="114"/>
      <c r="AC454" s="114"/>
    </row>
    <row r="455">
      <c r="A455" s="5"/>
      <c r="B455" s="5"/>
      <c r="C455" s="5"/>
      <c r="D455" s="52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  <c r="AA455" s="114"/>
      <c r="AB455" s="114"/>
      <c r="AC455" s="114"/>
    </row>
    <row r="456">
      <c r="A456" s="5"/>
      <c r="B456" s="5"/>
      <c r="C456" s="5"/>
      <c r="D456" s="52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  <c r="AA456" s="114"/>
      <c r="AB456" s="114"/>
      <c r="AC456" s="114"/>
    </row>
    <row r="457">
      <c r="A457" s="5"/>
      <c r="B457" s="5"/>
      <c r="C457" s="5"/>
      <c r="D457" s="52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  <c r="AA457" s="114"/>
      <c r="AB457" s="114"/>
      <c r="AC457" s="114"/>
    </row>
    <row r="458">
      <c r="A458" s="5"/>
      <c r="B458" s="5"/>
      <c r="C458" s="5"/>
      <c r="D458" s="52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114"/>
      <c r="AB458" s="114"/>
      <c r="AC458" s="114"/>
    </row>
    <row r="459">
      <c r="A459" s="5"/>
      <c r="B459" s="5"/>
      <c r="C459" s="5"/>
      <c r="D459" s="52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  <c r="AA459" s="114"/>
      <c r="AB459" s="114"/>
      <c r="AC459" s="114"/>
    </row>
    <row r="460">
      <c r="A460" s="5"/>
      <c r="B460" s="5"/>
      <c r="C460" s="5"/>
      <c r="D460" s="52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  <c r="AA460" s="114"/>
      <c r="AB460" s="114"/>
      <c r="AC460" s="114"/>
    </row>
    <row r="461">
      <c r="A461" s="5"/>
      <c r="B461" s="5"/>
      <c r="C461" s="5"/>
      <c r="D461" s="52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114"/>
      <c r="AB461" s="114"/>
      <c r="AC461" s="114"/>
    </row>
    <row r="462">
      <c r="A462" s="5"/>
      <c r="B462" s="5"/>
      <c r="C462" s="5"/>
      <c r="D462" s="52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  <c r="AA462" s="114"/>
      <c r="AB462" s="114"/>
      <c r="AC462" s="114"/>
    </row>
    <row r="463">
      <c r="A463" s="5"/>
      <c r="B463" s="5"/>
      <c r="C463" s="5"/>
      <c r="D463" s="52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  <c r="AA463" s="114"/>
      <c r="AB463" s="114"/>
      <c r="AC463" s="114"/>
    </row>
    <row r="464">
      <c r="A464" s="5"/>
      <c r="B464" s="5"/>
      <c r="C464" s="5"/>
      <c r="D464" s="52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  <c r="AA464" s="114"/>
      <c r="AB464" s="114"/>
      <c r="AC464" s="114"/>
    </row>
    <row r="465">
      <c r="A465" s="5"/>
      <c r="B465" s="5"/>
      <c r="C465" s="5"/>
      <c r="D465" s="52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114"/>
      <c r="AB465" s="114"/>
      <c r="AC465" s="114"/>
    </row>
    <row r="466">
      <c r="A466" s="5"/>
      <c r="B466" s="5"/>
      <c r="C466" s="5"/>
      <c r="D466" s="52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  <c r="AA466" s="114"/>
      <c r="AB466" s="114"/>
      <c r="AC466" s="114"/>
    </row>
    <row r="467">
      <c r="A467" s="5"/>
      <c r="B467" s="5"/>
      <c r="C467" s="5"/>
      <c r="D467" s="52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114"/>
      <c r="AB467" s="114"/>
      <c r="AC467" s="114"/>
    </row>
    <row r="468">
      <c r="A468" s="5"/>
      <c r="B468" s="5"/>
      <c r="C468" s="5"/>
      <c r="D468" s="52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  <c r="AA468" s="114"/>
      <c r="AB468" s="114"/>
      <c r="AC468" s="114"/>
    </row>
    <row r="469">
      <c r="A469" s="5"/>
      <c r="B469" s="5"/>
      <c r="C469" s="5"/>
      <c r="D469" s="52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  <c r="AA469" s="114"/>
      <c r="AB469" s="114"/>
      <c r="AC469" s="114"/>
    </row>
    <row r="470">
      <c r="A470" s="5"/>
      <c r="B470" s="5"/>
      <c r="C470" s="5"/>
      <c r="D470" s="52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114"/>
      <c r="AB470" s="114"/>
      <c r="AC470" s="114"/>
    </row>
    <row r="471">
      <c r="A471" s="5"/>
      <c r="B471" s="5"/>
      <c r="C471" s="5"/>
      <c r="D471" s="52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  <c r="AA471" s="114"/>
      <c r="AB471" s="114"/>
      <c r="AC471" s="114"/>
    </row>
    <row r="472">
      <c r="A472" s="5"/>
      <c r="B472" s="5"/>
      <c r="C472" s="5"/>
      <c r="D472" s="52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114"/>
      <c r="AB472" s="114"/>
      <c r="AC472" s="114"/>
    </row>
    <row r="473">
      <c r="A473" s="5"/>
      <c r="B473" s="5"/>
      <c r="C473" s="5"/>
      <c r="D473" s="52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  <c r="AA473" s="114"/>
      <c r="AB473" s="114"/>
      <c r="AC473" s="114"/>
    </row>
    <row r="474">
      <c r="A474" s="5"/>
      <c r="B474" s="5"/>
      <c r="C474" s="5"/>
      <c r="D474" s="52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  <c r="AA474" s="114"/>
      <c r="AB474" s="114"/>
      <c r="AC474" s="114"/>
    </row>
    <row r="475">
      <c r="A475" s="5"/>
      <c r="B475" s="5"/>
      <c r="C475" s="5"/>
      <c r="D475" s="52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114"/>
      <c r="AB475" s="114"/>
      <c r="AC475" s="114"/>
    </row>
    <row r="476">
      <c r="A476" s="5"/>
      <c r="B476" s="5"/>
      <c r="C476" s="5"/>
      <c r="D476" s="52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  <c r="AA476" s="114"/>
      <c r="AB476" s="114"/>
      <c r="AC476" s="114"/>
    </row>
    <row r="477">
      <c r="A477" s="5"/>
      <c r="B477" s="5"/>
      <c r="C477" s="5"/>
      <c r="D477" s="52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  <c r="AA477" s="114"/>
      <c r="AB477" s="114"/>
      <c r="AC477" s="114"/>
    </row>
    <row r="478">
      <c r="A478" s="5"/>
      <c r="B478" s="5"/>
      <c r="C478" s="5"/>
      <c r="D478" s="52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114"/>
      <c r="AB478" s="114"/>
      <c r="AC478" s="114"/>
    </row>
    <row r="479">
      <c r="A479" s="5"/>
      <c r="B479" s="5"/>
      <c r="C479" s="5"/>
      <c r="D479" s="52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  <c r="AA479" s="114"/>
      <c r="AB479" s="114"/>
      <c r="AC479" s="114"/>
    </row>
    <row r="480">
      <c r="A480" s="5"/>
      <c r="B480" s="5"/>
      <c r="C480" s="5"/>
      <c r="D480" s="52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  <c r="AA480" s="114"/>
      <c r="AB480" s="114"/>
      <c r="AC480" s="114"/>
    </row>
    <row r="481">
      <c r="A481" s="5"/>
      <c r="B481" s="5"/>
      <c r="C481" s="5"/>
      <c r="D481" s="52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114"/>
      <c r="AB481" s="114"/>
      <c r="AC481" s="114"/>
    </row>
    <row r="482">
      <c r="A482" s="5"/>
      <c r="B482" s="5"/>
      <c r="C482" s="5"/>
      <c r="D482" s="52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  <c r="AA482" s="114"/>
      <c r="AB482" s="114"/>
      <c r="AC482" s="114"/>
    </row>
    <row r="483">
      <c r="A483" s="5"/>
      <c r="B483" s="5"/>
      <c r="C483" s="5"/>
      <c r="D483" s="52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  <c r="AA483" s="114"/>
      <c r="AB483" s="114"/>
      <c r="AC483" s="114"/>
    </row>
    <row r="484">
      <c r="A484" s="5"/>
      <c r="B484" s="5"/>
      <c r="C484" s="5"/>
      <c r="D484" s="52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  <c r="AA484" s="114"/>
      <c r="AB484" s="114"/>
      <c r="AC484" s="114"/>
    </row>
    <row r="485">
      <c r="A485" s="5"/>
      <c r="B485" s="5"/>
      <c r="C485" s="5"/>
      <c r="D485" s="52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  <c r="AA485" s="114"/>
      <c r="AB485" s="114"/>
      <c r="AC485" s="114"/>
    </row>
    <row r="486">
      <c r="A486" s="5"/>
      <c r="B486" s="5"/>
      <c r="C486" s="5"/>
      <c r="D486" s="52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  <c r="AA486" s="114"/>
      <c r="AB486" s="114"/>
      <c r="AC486" s="114"/>
    </row>
    <row r="487">
      <c r="A487" s="5"/>
      <c r="B487" s="5"/>
      <c r="C487" s="5"/>
      <c r="D487" s="52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  <c r="AA487" s="114"/>
      <c r="AB487" s="114"/>
      <c r="AC487" s="114"/>
    </row>
    <row r="488">
      <c r="A488" s="5"/>
      <c r="B488" s="5"/>
      <c r="C488" s="5"/>
      <c r="D488" s="52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  <c r="AA488" s="114"/>
      <c r="AB488" s="114"/>
      <c r="AC488" s="114"/>
    </row>
    <row r="489">
      <c r="A489" s="5"/>
      <c r="B489" s="5"/>
      <c r="C489" s="5"/>
      <c r="D489" s="52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  <c r="AA489" s="114"/>
      <c r="AB489" s="114"/>
      <c r="AC489" s="114"/>
    </row>
    <row r="490">
      <c r="A490" s="5"/>
      <c r="B490" s="5"/>
      <c r="C490" s="5"/>
      <c r="D490" s="52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114"/>
      <c r="AB490" s="114"/>
      <c r="AC490" s="114"/>
    </row>
    <row r="491">
      <c r="A491" s="5"/>
      <c r="B491" s="5"/>
      <c r="C491" s="5"/>
      <c r="D491" s="52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  <c r="AA491" s="114"/>
      <c r="AB491" s="114"/>
      <c r="AC491" s="114"/>
    </row>
    <row r="492">
      <c r="A492" s="5"/>
      <c r="B492" s="5"/>
      <c r="C492" s="5"/>
      <c r="D492" s="52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114"/>
      <c r="AB492" s="114"/>
      <c r="AC492" s="114"/>
    </row>
    <row r="493">
      <c r="A493" s="5"/>
      <c r="B493" s="5"/>
      <c r="C493" s="5"/>
      <c r="D493" s="52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  <c r="AA493" s="114"/>
      <c r="AB493" s="114"/>
      <c r="AC493" s="114"/>
    </row>
    <row r="494">
      <c r="A494" s="5"/>
      <c r="B494" s="5"/>
      <c r="C494" s="5"/>
      <c r="D494" s="52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  <c r="AA494" s="114"/>
      <c r="AB494" s="114"/>
      <c r="AC494" s="114"/>
    </row>
    <row r="495">
      <c r="A495" s="5"/>
      <c r="B495" s="5"/>
      <c r="C495" s="5"/>
      <c r="D495" s="52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  <c r="AA495" s="114"/>
      <c r="AB495" s="114"/>
      <c r="AC495" s="114"/>
    </row>
    <row r="496">
      <c r="A496" s="5"/>
      <c r="B496" s="5"/>
      <c r="C496" s="5"/>
      <c r="D496" s="52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  <c r="AA496" s="114"/>
      <c r="AB496" s="114"/>
      <c r="AC496" s="114"/>
    </row>
    <row r="497">
      <c r="A497" s="5"/>
      <c r="B497" s="5"/>
      <c r="C497" s="5"/>
      <c r="D497" s="52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  <c r="AA497" s="114"/>
      <c r="AB497" s="114"/>
      <c r="AC497" s="114"/>
    </row>
    <row r="498">
      <c r="A498" s="5"/>
      <c r="B498" s="5"/>
      <c r="C498" s="5"/>
      <c r="D498" s="52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  <c r="AA498" s="114"/>
      <c r="AB498" s="114"/>
      <c r="AC498" s="114"/>
    </row>
    <row r="499">
      <c r="A499" s="5"/>
      <c r="B499" s="5"/>
      <c r="C499" s="5"/>
      <c r="D499" s="52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  <c r="AA499" s="114"/>
      <c r="AB499" s="114"/>
      <c r="AC499" s="114"/>
    </row>
    <row r="500">
      <c r="A500" s="5"/>
      <c r="B500" s="5"/>
      <c r="C500" s="5"/>
      <c r="D500" s="52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  <c r="AA500" s="114"/>
      <c r="AB500" s="114"/>
      <c r="AC500" s="114"/>
    </row>
    <row r="501">
      <c r="A501" s="5"/>
      <c r="B501" s="5"/>
      <c r="C501" s="5"/>
      <c r="D501" s="52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  <c r="AA501" s="114"/>
      <c r="AB501" s="114"/>
      <c r="AC501" s="114"/>
    </row>
    <row r="502">
      <c r="A502" s="5"/>
      <c r="B502" s="5"/>
      <c r="C502" s="5"/>
      <c r="D502" s="52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  <c r="AA502" s="114"/>
      <c r="AB502" s="114"/>
      <c r="AC502" s="114"/>
    </row>
    <row r="503">
      <c r="A503" s="5"/>
      <c r="B503" s="5"/>
      <c r="C503" s="5"/>
      <c r="D503" s="52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  <c r="AA503" s="114"/>
      <c r="AB503" s="114"/>
      <c r="AC503" s="114"/>
    </row>
    <row r="504">
      <c r="A504" s="5"/>
      <c r="B504" s="5"/>
      <c r="C504" s="5"/>
      <c r="D504" s="52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  <c r="AA504" s="114"/>
      <c r="AB504" s="114"/>
      <c r="AC504" s="114"/>
    </row>
    <row r="505">
      <c r="A505" s="5"/>
      <c r="B505" s="5"/>
      <c r="C505" s="5"/>
      <c r="D505" s="52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  <c r="AA505" s="114"/>
      <c r="AB505" s="114"/>
      <c r="AC505" s="114"/>
    </row>
    <row r="506">
      <c r="A506" s="5"/>
      <c r="B506" s="5"/>
      <c r="C506" s="5"/>
      <c r="D506" s="52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114"/>
      <c r="AB506" s="114"/>
      <c r="AC506" s="114"/>
    </row>
    <row r="507">
      <c r="A507" s="5"/>
      <c r="B507" s="5"/>
      <c r="C507" s="5"/>
      <c r="D507" s="52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  <c r="AA507" s="114"/>
      <c r="AB507" s="114"/>
      <c r="AC507" s="114"/>
    </row>
    <row r="508">
      <c r="A508" s="5"/>
      <c r="B508" s="5"/>
      <c r="C508" s="5"/>
      <c r="D508" s="52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  <c r="AA508" s="114"/>
      <c r="AB508" s="114"/>
      <c r="AC508" s="114"/>
    </row>
    <row r="509">
      <c r="A509" s="5"/>
      <c r="B509" s="5"/>
      <c r="C509" s="5"/>
      <c r="D509" s="52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  <c r="AA509" s="114"/>
      <c r="AB509" s="114"/>
      <c r="AC509" s="114"/>
    </row>
    <row r="510">
      <c r="A510" s="5"/>
      <c r="B510" s="5"/>
      <c r="C510" s="5"/>
      <c r="D510" s="52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  <c r="AA510" s="114"/>
      <c r="AB510" s="114"/>
      <c r="AC510" s="114"/>
    </row>
    <row r="511">
      <c r="A511" s="5"/>
      <c r="B511" s="5"/>
      <c r="C511" s="5"/>
      <c r="D511" s="52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  <c r="AA511" s="114"/>
      <c r="AB511" s="114"/>
      <c r="AC511" s="114"/>
    </row>
    <row r="512">
      <c r="A512" s="5"/>
      <c r="B512" s="5"/>
      <c r="C512" s="5"/>
      <c r="D512" s="52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  <c r="AA512" s="114"/>
      <c r="AB512" s="114"/>
      <c r="AC512" s="114"/>
    </row>
    <row r="513">
      <c r="A513" s="5"/>
      <c r="B513" s="5"/>
      <c r="C513" s="5"/>
      <c r="D513" s="52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  <c r="AA513" s="114"/>
      <c r="AB513" s="114"/>
      <c r="AC513" s="114"/>
    </row>
    <row r="514">
      <c r="A514" s="5"/>
      <c r="B514" s="5"/>
      <c r="C514" s="5"/>
      <c r="D514" s="52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  <c r="AA514" s="114"/>
      <c r="AB514" s="114"/>
      <c r="AC514" s="114"/>
    </row>
    <row r="515">
      <c r="A515" s="5"/>
      <c r="B515" s="5"/>
      <c r="C515" s="5"/>
      <c r="D515" s="52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  <c r="AA515" s="114"/>
      <c r="AB515" s="114"/>
      <c r="AC515" s="114"/>
    </row>
    <row r="516">
      <c r="A516" s="5"/>
      <c r="B516" s="5"/>
      <c r="C516" s="5"/>
      <c r="D516" s="52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  <c r="AA516" s="114"/>
      <c r="AB516" s="114"/>
      <c r="AC516" s="114"/>
    </row>
    <row r="517">
      <c r="A517" s="5"/>
      <c r="B517" s="5"/>
      <c r="C517" s="5"/>
      <c r="D517" s="52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114"/>
      <c r="AB517" s="114"/>
      <c r="AC517" s="114"/>
    </row>
    <row r="518">
      <c r="A518" s="5"/>
      <c r="B518" s="5"/>
      <c r="C518" s="5"/>
      <c r="D518" s="52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  <c r="AA518" s="114"/>
      <c r="AB518" s="114"/>
      <c r="AC518" s="114"/>
    </row>
    <row r="519">
      <c r="A519" s="5"/>
      <c r="B519" s="5"/>
      <c r="C519" s="5"/>
      <c r="D519" s="52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  <c r="AA519" s="114"/>
      <c r="AB519" s="114"/>
      <c r="AC519" s="114"/>
    </row>
    <row r="520">
      <c r="A520" s="5"/>
      <c r="B520" s="5"/>
      <c r="C520" s="5"/>
      <c r="D520" s="52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  <c r="AA520" s="114"/>
      <c r="AB520" s="114"/>
      <c r="AC520" s="114"/>
    </row>
    <row r="521">
      <c r="A521" s="5"/>
      <c r="B521" s="5"/>
      <c r="C521" s="5"/>
      <c r="D521" s="52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  <c r="AA521" s="114"/>
      <c r="AB521" s="114"/>
      <c r="AC521" s="114"/>
    </row>
    <row r="522">
      <c r="A522" s="5"/>
      <c r="B522" s="5"/>
      <c r="C522" s="5"/>
      <c r="D522" s="52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  <c r="AA522" s="114"/>
      <c r="AB522" s="114"/>
      <c r="AC522" s="114"/>
    </row>
    <row r="523">
      <c r="A523" s="5"/>
      <c r="B523" s="5"/>
      <c r="C523" s="5"/>
      <c r="D523" s="52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  <c r="AA523" s="114"/>
      <c r="AB523" s="114"/>
      <c r="AC523" s="114"/>
    </row>
    <row r="524">
      <c r="A524" s="5"/>
      <c r="B524" s="5"/>
      <c r="C524" s="5"/>
      <c r="D524" s="52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114"/>
      <c r="AB524" s="114"/>
      <c r="AC524" s="114"/>
    </row>
    <row r="525">
      <c r="A525" s="5"/>
      <c r="B525" s="5"/>
      <c r="C525" s="5"/>
      <c r="D525" s="52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  <c r="AA525" s="114"/>
      <c r="AB525" s="114"/>
      <c r="AC525" s="114"/>
    </row>
    <row r="526">
      <c r="A526" s="5"/>
      <c r="B526" s="5"/>
      <c r="C526" s="5"/>
      <c r="D526" s="52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  <c r="AA526" s="114"/>
      <c r="AB526" s="114"/>
      <c r="AC526" s="114"/>
    </row>
    <row r="527">
      <c r="A527" s="5"/>
      <c r="B527" s="5"/>
      <c r="C527" s="5"/>
      <c r="D527" s="52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  <c r="AA527" s="114"/>
      <c r="AB527" s="114"/>
      <c r="AC527" s="114"/>
    </row>
    <row r="528">
      <c r="A528" s="5"/>
      <c r="B528" s="5"/>
      <c r="C528" s="5"/>
      <c r="D528" s="52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  <c r="AA528" s="114"/>
      <c r="AB528" s="114"/>
      <c r="AC528" s="114"/>
    </row>
    <row r="529">
      <c r="A529" s="5"/>
      <c r="B529" s="5"/>
      <c r="C529" s="5"/>
      <c r="D529" s="52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  <c r="AA529" s="114"/>
      <c r="AB529" s="114"/>
      <c r="AC529" s="114"/>
    </row>
    <row r="530">
      <c r="A530" s="5"/>
      <c r="B530" s="5"/>
      <c r="C530" s="5"/>
      <c r="D530" s="52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  <c r="AA530" s="114"/>
      <c r="AB530" s="114"/>
      <c r="AC530" s="114"/>
    </row>
    <row r="531">
      <c r="A531" s="5"/>
      <c r="B531" s="5"/>
      <c r="C531" s="5"/>
      <c r="D531" s="52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  <c r="AA531" s="114"/>
      <c r="AB531" s="114"/>
      <c r="AC531" s="114"/>
    </row>
    <row r="532">
      <c r="A532" s="5"/>
      <c r="B532" s="5"/>
      <c r="C532" s="5"/>
      <c r="D532" s="52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114"/>
      <c r="AB532" s="114"/>
      <c r="AC532" s="114"/>
    </row>
    <row r="533">
      <c r="A533" s="5"/>
      <c r="B533" s="5"/>
      <c r="C533" s="5"/>
      <c r="D533" s="52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  <c r="AA533" s="114"/>
      <c r="AB533" s="114"/>
      <c r="AC533" s="114"/>
    </row>
    <row r="534">
      <c r="A534" s="5"/>
      <c r="B534" s="5"/>
      <c r="C534" s="5"/>
      <c r="D534" s="52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  <c r="AA534" s="114"/>
      <c r="AB534" s="114"/>
      <c r="AC534" s="114"/>
    </row>
    <row r="535">
      <c r="A535" s="5"/>
      <c r="B535" s="5"/>
      <c r="C535" s="5"/>
      <c r="D535" s="52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  <c r="AA535" s="114"/>
      <c r="AB535" s="114"/>
      <c r="AC535" s="114"/>
    </row>
    <row r="536">
      <c r="A536" s="5"/>
      <c r="B536" s="5"/>
      <c r="C536" s="5"/>
      <c r="D536" s="52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  <c r="AA536" s="114"/>
      <c r="AB536" s="114"/>
      <c r="AC536" s="114"/>
    </row>
    <row r="537">
      <c r="A537" s="5"/>
      <c r="B537" s="5"/>
      <c r="C537" s="5"/>
      <c r="D537" s="52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  <c r="AA537" s="114"/>
      <c r="AB537" s="114"/>
      <c r="AC537" s="114"/>
    </row>
    <row r="538">
      <c r="A538" s="5"/>
      <c r="B538" s="5"/>
      <c r="C538" s="5"/>
      <c r="D538" s="52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  <c r="AA538" s="114"/>
      <c r="AB538" s="114"/>
      <c r="AC538" s="114"/>
    </row>
    <row r="539">
      <c r="A539" s="5"/>
      <c r="B539" s="5"/>
      <c r="C539" s="5"/>
      <c r="D539" s="52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  <c r="AA539" s="114"/>
      <c r="AB539" s="114"/>
      <c r="AC539" s="114"/>
    </row>
    <row r="540">
      <c r="A540" s="5"/>
      <c r="B540" s="5"/>
      <c r="C540" s="5"/>
      <c r="D540" s="52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  <c r="AA540" s="114"/>
      <c r="AB540" s="114"/>
      <c r="AC540" s="114"/>
    </row>
    <row r="541">
      <c r="A541" s="5"/>
      <c r="B541" s="5"/>
      <c r="C541" s="5"/>
      <c r="D541" s="52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  <c r="AA541" s="114"/>
      <c r="AB541" s="114"/>
      <c r="AC541" s="114"/>
    </row>
    <row r="542">
      <c r="A542" s="5"/>
      <c r="B542" s="5"/>
      <c r="C542" s="5"/>
      <c r="D542" s="52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  <c r="AA542" s="114"/>
      <c r="AB542" s="114"/>
      <c r="AC542" s="114"/>
    </row>
    <row r="543">
      <c r="A543" s="5"/>
      <c r="B543" s="5"/>
      <c r="C543" s="5"/>
      <c r="D543" s="52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114"/>
      <c r="AB543" s="114"/>
      <c r="AC543" s="114"/>
    </row>
    <row r="544">
      <c r="A544" s="5"/>
      <c r="B544" s="5"/>
      <c r="C544" s="5"/>
      <c r="D544" s="52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114"/>
      <c r="AB544" s="114"/>
      <c r="AC544" s="114"/>
    </row>
    <row r="545">
      <c r="A545" s="5"/>
      <c r="B545" s="5"/>
      <c r="C545" s="5"/>
      <c r="D545" s="52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  <c r="AA545" s="114"/>
      <c r="AB545" s="114"/>
      <c r="AC545" s="114"/>
    </row>
    <row r="546">
      <c r="A546" s="5"/>
      <c r="B546" s="5"/>
      <c r="C546" s="5"/>
      <c r="D546" s="52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  <c r="AA546" s="114"/>
      <c r="AB546" s="114"/>
      <c r="AC546" s="114"/>
    </row>
    <row r="547">
      <c r="A547" s="5"/>
      <c r="B547" s="5"/>
      <c r="C547" s="5"/>
      <c r="D547" s="52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  <c r="AA547" s="114"/>
      <c r="AB547" s="114"/>
      <c r="AC547" s="114"/>
    </row>
    <row r="548">
      <c r="A548" s="5"/>
      <c r="B548" s="5"/>
      <c r="C548" s="5"/>
      <c r="D548" s="52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  <c r="AA548" s="114"/>
      <c r="AB548" s="114"/>
      <c r="AC548" s="114"/>
    </row>
    <row r="549">
      <c r="A549" s="5"/>
      <c r="B549" s="5"/>
      <c r="C549" s="5"/>
      <c r="D549" s="52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  <c r="AA549" s="114"/>
      <c r="AB549" s="114"/>
      <c r="AC549" s="114"/>
    </row>
    <row r="550">
      <c r="A550" s="5"/>
      <c r="B550" s="5"/>
      <c r="C550" s="5"/>
      <c r="D550" s="52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  <c r="AA550" s="114"/>
      <c r="AB550" s="114"/>
      <c r="AC550" s="114"/>
    </row>
    <row r="551">
      <c r="A551" s="5"/>
      <c r="B551" s="5"/>
      <c r="C551" s="5"/>
      <c r="D551" s="52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  <c r="AA551" s="114"/>
      <c r="AB551" s="114"/>
      <c r="AC551" s="114"/>
    </row>
    <row r="552">
      <c r="A552" s="5"/>
      <c r="B552" s="5"/>
      <c r="C552" s="5"/>
      <c r="D552" s="52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  <c r="AA552" s="114"/>
      <c r="AB552" s="114"/>
      <c r="AC552" s="114"/>
    </row>
    <row r="553">
      <c r="A553" s="5"/>
      <c r="B553" s="5"/>
      <c r="C553" s="5"/>
      <c r="D553" s="52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  <c r="AA553" s="114"/>
      <c r="AB553" s="114"/>
      <c r="AC553" s="114"/>
    </row>
    <row r="554">
      <c r="A554" s="5"/>
      <c r="B554" s="5"/>
      <c r="C554" s="5"/>
      <c r="D554" s="52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  <c r="AA554" s="114"/>
      <c r="AB554" s="114"/>
      <c r="AC554" s="114"/>
    </row>
    <row r="555">
      <c r="A555" s="5"/>
      <c r="B555" s="5"/>
      <c r="C555" s="5"/>
      <c r="D555" s="52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  <c r="AA555" s="114"/>
      <c r="AB555" s="114"/>
      <c r="AC555" s="114"/>
    </row>
    <row r="556">
      <c r="A556" s="5"/>
      <c r="B556" s="5"/>
      <c r="C556" s="5"/>
      <c r="D556" s="52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  <c r="AA556" s="114"/>
      <c r="AB556" s="114"/>
      <c r="AC556" s="114"/>
    </row>
    <row r="557">
      <c r="A557" s="5"/>
      <c r="B557" s="5"/>
      <c r="C557" s="5"/>
      <c r="D557" s="52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  <c r="AA557" s="114"/>
      <c r="AB557" s="114"/>
      <c r="AC557" s="114"/>
    </row>
    <row r="558">
      <c r="A558" s="5"/>
      <c r="B558" s="5"/>
      <c r="C558" s="5"/>
      <c r="D558" s="52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  <c r="AA558" s="114"/>
      <c r="AB558" s="114"/>
      <c r="AC558" s="114"/>
    </row>
    <row r="559">
      <c r="A559" s="5"/>
      <c r="B559" s="5"/>
      <c r="C559" s="5"/>
      <c r="D559" s="52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  <c r="AA559" s="114"/>
      <c r="AB559" s="114"/>
      <c r="AC559" s="114"/>
    </row>
    <row r="560">
      <c r="A560" s="5"/>
      <c r="B560" s="5"/>
      <c r="C560" s="5"/>
      <c r="D560" s="52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  <c r="AA560" s="114"/>
      <c r="AB560" s="114"/>
      <c r="AC560" s="114"/>
    </row>
    <row r="561">
      <c r="A561" s="5"/>
      <c r="B561" s="5"/>
      <c r="C561" s="5"/>
      <c r="D561" s="52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  <c r="AA561" s="114"/>
      <c r="AB561" s="114"/>
      <c r="AC561" s="114"/>
    </row>
    <row r="562">
      <c r="A562" s="5"/>
      <c r="B562" s="5"/>
      <c r="C562" s="5"/>
      <c r="D562" s="52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  <c r="AA562" s="114"/>
      <c r="AB562" s="114"/>
      <c r="AC562" s="114"/>
    </row>
    <row r="563">
      <c r="A563" s="5"/>
      <c r="B563" s="5"/>
      <c r="C563" s="5"/>
      <c r="D563" s="52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  <c r="AA563" s="114"/>
      <c r="AB563" s="114"/>
      <c r="AC563" s="114"/>
    </row>
    <row r="564">
      <c r="A564" s="5"/>
      <c r="B564" s="5"/>
      <c r="C564" s="5"/>
      <c r="D564" s="52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  <c r="AA564" s="114"/>
      <c r="AB564" s="114"/>
      <c r="AC564" s="114"/>
    </row>
    <row r="565">
      <c r="A565" s="5"/>
      <c r="B565" s="5"/>
      <c r="C565" s="5"/>
      <c r="D565" s="52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  <c r="AA565" s="114"/>
      <c r="AB565" s="114"/>
      <c r="AC565" s="114"/>
    </row>
    <row r="566">
      <c r="A566" s="5"/>
      <c r="B566" s="5"/>
      <c r="C566" s="5"/>
      <c r="D566" s="52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  <c r="AA566" s="114"/>
      <c r="AB566" s="114"/>
      <c r="AC566" s="114"/>
    </row>
    <row r="567">
      <c r="A567" s="5"/>
      <c r="B567" s="5"/>
      <c r="C567" s="5"/>
      <c r="D567" s="52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  <c r="AA567" s="114"/>
      <c r="AB567" s="114"/>
      <c r="AC567" s="114"/>
    </row>
    <row r="568">
      <c r="A568" s="5"/>
      <c r="B568" s="5"/>
      <c r="C568" s="5"/>
      <c r="D568" s="52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  <c r="AA568" s="114"/>
      <c r="AB568" s="114"/>
      <c r="AC568" s="114"/>
    </row>
    <row r="569">
      <c r="A569" s="5"/>
      <c r="B569" s="5"/>
      <c r="C569" s="5"/>
      <c r="D569" s="52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  <c r="AA569" s="114"/>
      <c r="AB569" s="114"/>
      <c r="AC569" s="114"/>
    </row>
    <row r="570">
      <c r="A570" s="5"/>
      <c r="B570" s="5"/>
      <c r="C570" s="5"/>
      <c r="D570" s="52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114"/>
      <c r="AB570" s="114"/>
      <c r="AC570" s="114"/>
    </row>
    <row r="571">
      <c r="A571" s="5"/>
      <c r="B571" s="5"/>
      <c r="C571" s="5"/>
      <c r="D571" s="52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  <c r="AA571" s="114"/>
      <c r="AB571" s="114"/>
      <c r="AC571" s="114"/>
    </row>
    <row r="572">
      <c r="A572" s="5"/>
      <c r="B572" s="5"/>
      <c r="C572" s="5"/>
      <c r="D572" s="52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  <c r="AA572" s="114"/>
      <c r="AB572" s="114"/>
      <c r="AC572" s="114"/>
    </row>
    <row r="573">
      <c r="A573" s="5"/>
      <c r="B573" s="5"/>
      <c r="C573" s="5"/>
      <c r="D573" s="52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  <c r="AA573" s="114"/>
      <c r="AB573" s="114"/>
      <c r="AC573" s="114"/>
    </row>
    <row r="574">
      <c r="A574" s="5"/>
      <c r="B574" s="5"/>
      <c r="C574" s="5"/>
      <c r="D574" s="52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  <c r="AA574" s="114"/>
      <c r="AB574" s="114"/>
      <c r="AC574" s="114"/>
    </row>
    <row r="575">
      <c r="A575" s="5"/>
      <c r="B575" s="5"/>
      <c r="C575" s="5"/>
      <c r="D575" s="52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  <c r="AA575" s="114"/>
      <c r="AB575" s="114"/>
      <c r="AC575" s="114"/>
    </row>
    <row r="576">
      <c r="A576" s="5"/>
      <c r="B576" s="5"/>
      <c r="C576" s="5"/>
      <c r="D576" s="52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  <c r="AA576" s="114"/>
      <c r="AB576" s="114"/>
      <c r="AC576" s="114"/>
    </row>
    <row r="577">
      <c r="A577" s="5"/>
      <c r="B577" s="5"/>
      <c r="C577" s="5"/>
      <c r="D577" s="52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  <c r="AA577" s="114"/>
      <c r="AB577" s="114"/>
      <c r="AC577" s="114"/>
    </row>
    <row r="578">
      <c r="A578" s="5"/>
      <c r="B578" s="5"/>
      <c r="C578" s="5"/>
      <c r="D578" s="52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  <c r="AA578" s="114"/>
      <c r="AB578" s="114"/>
      <c r="AC578" s="114"/>
    </row>
    <row r="579">
      <c r="A579" s="5"/>
      <c r="B579" s="5"/>
      <c r="C579" s="5"/>
      <c r="D579" s="52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  <c r="AA579" s="114"/>
      <c r="AB579" s="114"/>
      <c r="AC579" s="114"/>
    </row>
    <row r="580">
      <c r="A580" s="5"/>
      <c r="B580" s="5"/>
      <c r="C580" s="5"/>
      <c r="D580" s="52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  <c r="AA580" s="114"/>
      <c r="AB580" s="114"/>
      <c r="AC580" s="114"/>
    </row>
    <row r="581">
      <c r="A581" s="5"/>
      <c r="B581" s="5"/>
      <c r="C581" s="5"/>
      <c r="D581" s="52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  <c r="AA581" s="114"/>
      <c r="AB581" s="114"/>
      <c r="AC581" s="114"/>
    </row>
    <row r="582">
      <c r="A582" s="5"/>
      <c r="B582" s="5"/>
      <c r="C582" s="5"/>
      <c r="D582" s="52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  <c r="AA582" s="114"/>
      <c r="AB582" s="114"/>
      <c r="AC582" s="114"/>
    </row>
    <row r="583">
      <c r="A583" s="5"/>
      <c r="B583" s="5"/>
      <c r="C583" s="5"/>
      <c r="D583" s="52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  <c r="AA583" s="114"/>
      <c r="AB583" s="114"/>
      <c r="AC583" s="114"/>
    </row>
    <row r="584">
      <c r="A584" s="5"/>
      <c r="B584" s="5"/>
      <c r="C584" s="5"/>
      <c r="D584" s="52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  <c r="AA584" s="114"/>
      <c r="AB584" s="114"/>
      <c r="AC584" s="114"/>
    </row>
    <row r="585">
      <c r="A585" s="5"/>
      <c r="B585" s="5"/>
      <c r="C585" s="5"/>
      <c r="D585" s="52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  <c r="AA585" s="114"/>
      <c r="AB585" s="114"/>
      <c r="AC585" s="114"/>
    </row>
    <row r="586">
      <c r="A586" s="5"/>
      <c r="B586" s="5"/>
      <c r="C586" s="5"/>
      <c r="D586" s="52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  <c r="AA586" s="114"/>
      <c r="AB586" s="114"/>
      <c r="AC586" s="114"/>
    </row>
    <row r="587">
      <c r="A587" s="5"/>
      <c r="B587" s="5"/>
      <c r="C587" s="5"/>
      <c r="D587" s="52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114"/>
      <c r="AB587" s="114"/>
      <c r="AC587" s="114"/>
    </row>
    <row r="588">
      <c r="A588" s="5"/>
      <c r="B588" s="5"/>
      <c r="C588" s="5"/>
      <c r="D588" s="52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  <c r="AA588" s="114"/>
      <c r="AB588" s="114"/>
      <c r="AC588" s="114"/>
    </row>
    <row r="589">
      <c r="A589" s="5"/>
      <c r="B589" s="5"/>
      <c r="C589" s="5"/>
      <c r="D589" s="52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  <c r="AA589" s="114"/>
      <c r="AB589" s="114"/>
      <c r="AC589" s="114"/>
    </row>
    <row r="590">
      <c r="A590" s="5"/>
      <c r="B590" s="5"/>
      <c r="C590" s="5"/>
      <c r="D590" s="52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  <c r="AA590" s="114"/>
      <c r="AB590" s="114"/>
      <c r="AC590" s="114"/>
    </row>
    <row r="591">
      <c r="A591" s="5"/>
      <c r="B591" s="5"/>
      <c r="C591" s="5"/>
      <c r="D591" s="52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  <c r="AA591" s="114"/>
      <c r="AB591" s="114"/>
      <c r="AC591" s="114"/>
    </row>
    <row r="592">
      <c r="A592" s="5"/>
      <c r="B592" s="5"/>
      <c r="C592" s="5"/>
      <c r="D592" s="52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114"/>
      <c r="AB592" s="114"/>
      <c r="AC592" s="114"/>
    </row>
    <row r="593">
      <c r="A593" s="5"/>
      <c r="B593" s="5"/>
      <c r="C593" s="5"/>
      <c r="D593" s="52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  <c r="AA593" s="114"/>
      <c r="AB593" s="114"/>
      <c r="AC593" s="114"/>
    </row>
    <row r="594">
      <c r="A594" s="5"/>
      <c r="B594" s="5"/>
      <c r="C594" s="5"/>
      <c r="D594" s="52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  <c r="AA594" s="114"/>
      <c r="AB594" s="114"/>
      <c r="AC594" s="114"/>
    </row>
    <row r="595">
      <c r="A595" s="5"/>
      <c r="B595" s="5"/>
      <c r="C595" s="5"/>
      <c r="D595" s="52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  <c r="AA595" s="114"/>
      <c r="AB595" s="114"/>
      <c r="AC595" s="114"/>
    </row>
    <row r="596">
      <c r="A596" s="5"/>
      <c r="B596" s="5"/>
      <c r="C596" s="5"/>
      <c r="D596" s="52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  <c r="AA596" s="114"/>
      <c r="AB596" s="114"/>
      <c r="AC596" s="114"/>
    </row>
    <row r="597">
      <c r="A597" s="5"/>
      <c r="B597" s="5"/>
      <c r="C597" s="5"/>
      <c r="D597" s="52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  <c r="AA597" s="114"/>
      <c r="AB597" s="114"/>
      <c r="AC597" s="114"/>
    </row>
    <row r="598">
      <c r="A598" s="5"/>
      <c r="B598" s="5"/>
      <c r="C598" s="5"/>
      <c r="D598" s="52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  <c r="AA598" s="114"/>
      <c r="AB598" s="114"/>
      <c r="AC598" s="114"/>
    </row>
    <row r="599">
      <c r="A599" s="5"/>
      <c r="B599" s="5"/>
      <c r="C599" s="5"/>
      <c r="D599" s="52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  <c r="AA599" s="114"/>
      <c r="AB599" s="114"/>
      <c r="AC599" s="114"/>
    </row>
    <row r="600">
      <c r="A600" s="5"/>
      <c r="B600" s="5"/>
      <c r="C600" s="5"/>
      <c r="D600" s="52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  <c r="AA600" s="114"/>
      <c r="AB600" s="114"/>
      <c r="AC600" s="114"/>
    </row>
    <row r="601">
      <c r="A601" s="5"/>
      <c r="B601" s="5"/>
      <c r="C601" s="5"/>
      <c r="D601" s="52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  <c r="AA601" s="114"/>
      <c r="AB601" s="114"/>
      <c r="AC601" s="114"/>
    </row>
    <row r="602">
      <c r="A602" s="5"/>
      <c r="B602" s="5"/>
      <c r="C602" s="5"/>
      <c r="D602" s="52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  <c r="AA602" s="114"/>
      <c r="AB602" s="114"/>
      <c r="AC602" s="114"/>
    </row>
    <row r="603">
      <c r="A603" s="5"/>
      <c r="B603" s="5"/>
      <c r="C603" s="5"/>
      <c r="D603" s="52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  <c r="AA603" s="114"/>
      <c r="AB603" s="114"/>
      <c r="AC603" s="114"/>
    </row>
    <row r="604">
      <c r="A604" s="5"/>
      <c r="B604" s="5"/>
      <c r="C604" s="5"/>
      <c r="D604" s="52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  <c r="AA604" s="114"/>
      <c r="AB604" s="114"/>
      <c r="AC604" s="114"/>
    </row>
    <row r="605">
      <c r="A605" s="5"/>
      <c r="B605" s="5"/>
      <c r="C605" s="5"/>
      <c r="D605" s="52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114"/>
      <c r="AB605" s="114"/>
      <c r="AC605" s="114"/>
    </row>
    <row r="606">
      <c r="A606" s="5"/>
      <c r="B606" s="5"/>
      <c r="C606" s="5"/>
      <c r="D606" s="52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  <c r="AA606" s="114"/>
      <c r="AB606" s="114"/>
      <c r="AC606" s="114"/>
    </row>
    <row r="607">
      <c r="A607" s="5"/>
      <c r="B607" s="5"/>
      <c r="C607" s="5"/>
      <c r="D607" s="52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  <c r="AA607" s="114"/>
      <c r="AB607" s="114"/>
      <c r="AC607" s="114"/>
    </row>
    <row r="608">
      <c r="A608" s="5"/>
      <c r="B608" s="5"/>
      <c r="C608" s="5"/>
      <c r="D608" s="52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  <c r="AA608" s="114"/>
      <c r="AB608" s="114"/>
      <c r="AC608" s="114"/>
    </row>
    <row r="609">
      <c r="A609" s="5"/>
      <c r="B609" s="5"/>
      <c r="C609" s="5"/>
      <c r="D609" s="52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  <c r="AA609" s="114"/>
      <c r="AB609" s="114"/>
      <c r="AC609" s="114"/>
    </row>
    <row r="610">
      <c r="A610" s="5"/>
      <c r="B610" s="5"/>
      <c r="C610" s="5"/>
      <c r="D610" s="52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  <c r="AA610" s="114"/>
      <c r="AB610" s="114"/>
      <c r="AC610" s="114"/>
    </row>
    <row r="611">
      <c r="A611" s="5"/>
      <c r="B611" s="5"/>
      <c r="C611" s="5"/>
      <c r="D611" s="52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  <c r="AA611" s="114"/>
      <c r="AB611" s="114"/>
      <c r="AC611" s="114"/>
    </row>
    <row r="612">
      <c r="A612" s="5"/>
      <c r="B612" s="5"/>
      <c r="C612" s="5"/>
      <c r="D612" s="52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  <c r="AA612" s="114"/>
      <c r="AB612" s="114"/>
      <c r="AC612" s="114"/>
    </row>
    <row r="613">
      <c r="A613" s="5"/>
      <c r="B613" s="5"/>
      <c r="C613" s="5"/>
      <c r="D613" s="52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  <c r="AA613" s="114"/>
      <c r="AB613" s="114"/>
      <c r="AC613" s="114"/>
    </row>
    <row r="614">
      <c r="A614" s="5"/>
      <c r="B614" s="5"/>
      <c r="C614" s="5"/>
      <c r="D614" s="52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  <c r="AA614" s="114"/>
      <c r="AB614" s="114"/>
      <c r="AC614" s="114"/>
    </row>
    <row r="615">
      <c r="A615" s="5"/>
      <c r="B615" s="5"/>
      <c r="C615" s="5"/>
      <c r="D615" s="52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114"/>
      <c r="AB615" s="114"/>
      <c r="AC615" s="114"/>
    </row>
    <row r="616">
      <c r="A616" s="5"/>
      <c r="B616" s="5"/>
      <c r="C616" s="5"/>
      <c r="D616" s="52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  <c r="AA616" s="114"/>
      <c r="AB616" s="114"/>
      <c r="AC616" s="114"/>
    </row>
    <row r="617">
      <c r="A617" s="5"/>
      <c r="B617" s="5"/>
      <c r="C617" s="5"/>
      <c r="D617" s="52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  <c r="AA617" s="114"/>
      <c r="AB617" s="114"/>
      <c r="AC617" s="114"/>
    </row>
    <row r="618">
      <c r="A618" s="5"/>
      <c r="B618" s="5"/>
      <c r="C618" s="5"/>
      <c r="D618" s="52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  <c r="AA618" s="114"/>
      <c r="AB618" s="114"/>
      <c r="AC618" s="114"/>
    </row>
    <row r="619">
      <c r="A619" s="5"/>
      <c r="B619" s="5"/>
      <c r="C619" s="5"/>
      <c r="D619" s="52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  <c r="AA619" s="114"/>
      <c r="AB619" s="114"/>
      <c r="AC619" s="114"/>
    </row>
    <row r="620">
      <c r="A620" s="5"/>
      <c r="B620" s="5"/>
      <c r="C620" s="5"/>
      <c r="D620" s="52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  <c r="AA620" s="114"/>
      <c r="AB620" s="114"/>
      <c r="AC620" s="114"/>
    </row>
    <row r="621">
      <c r="A621" s="5"/>
      <c r="B621" s="5"/>
      <c r="C621" s="5"/>
      <c r="D621" s="52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  <c r="AA621" s="114"/>
      <c r="AB621" s="114"/>
      <c r="AC621" s="114"/>
    </row>
    <row r="622">
      <c r="A622" s="5"/>
      <c r="B622" s="5"/>
      <c r="C622" s="5"/>
      <c r="D622" s="52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  <c r="AA622" s="114"/>
      <c r="AB622" s="114"/>
      <c r="AC622" s="114"/>
    </row>
    <row r="623">
      <c r="A623" s="5"/>
      <c r="B623" s="5"/>
      <c r="C623" s="5"/>
      <c r="D623" s="52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  <c r="AA623" s="114"/>
      <c r="AB623" s="114"/>
      <c r="AC623" s="114"/>
    </row>
    <row r="624">
      <c r="A624" s="5"/>
      <c r="B624" s="5"/>
      <c r="C624" s="5"/>
      <c r="D624" s="52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  <c r="AA624" s="114"/>
      <c r="AB624" s="114"/>
      <c r="AC624" s="114"/>
    </row>
    <row r="625">
      <c r="A625" s="5"/>
      <c r="B625" s="5"/>
      <c r="C625" s="5"/>
      <c r="D625" s="52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  <c r="AA625" s="114"/>
      <c r="AB625" s="114"/>
      <c r="AC625" s="114"/>
    </row>
    <row r="626">
      <c r="A626" s="5"/>
      <c r="B626" s="5"/>
      <c r="C626" s="5"/>
      <c r="D626" s="52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  <c r="AA626" s="114"/>
      <c r="AB626" s="114"/>
      <c r="AC626" s="114"/>
    </row>
    <row r="627">
      <c r="A627" s="5"/>
      <c r="B627" s="5"/>
      <c r="C627" s="5"/>
      <c r="D627" s="52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  <c r="AA627" s="114"/>
      <c r="AB627" s="114"/>
      <c r="AC627" s="114"/>
    </row>
    <row r="628">
      <c r="A628" s="5"/>
      <c r="B628" s="5"/>
      <c r="C628" s="5"/>
      <c r="D628" s="52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114"/>
      <c r="AB628" s="114"/>
      <c r="AC628" s="114"/>
    </row>
    <row r="629">
      <c r="A629" s="5"/>
      <c r="B629" s="5"/>
      <c r="C629" s="5"/>
      <c r="D629" s="52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  <c r="AA629" s="114"/>
      <c r="AB629" s="114"/>
      <c r="AC629" s="114"/>
    </row>
    <row r="630">
      <c r="A630" s="5"/>
      <c r="B630" s="5"/>
      <c r="C630" s="5"/>
      <c r="D630" s="52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  <c r="AA630" s="114"/>
      <c r="AB630" s="114"/>
      <c r="AC630" s="114"/>
    </row>
    <row r="631">
      <c r="A631" s="5"/>
      <c r="B631" s="5"/>
      <c r="C631" s="5"/>
      <c r="D631" s="52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114"/>
      <c r="AB631" s="114"/>
      <c r="AC631" s="114"/>
    </row>
    <row r="632">
      <c r="A632" s="5"/>
      <c r="B632" s="5"/>
      <c r="C632" s="5"/>
      <c r="D632" s="52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  <c r="AA632" s="114"/>
      <c r="AB632" s="114"/>
      <c r="AC632" s="114"/>
    </row>
    <row r="633">
      <c r="A633" s="5"/>
      <c r="B633" s="5"/>
      <c r="C633" s="5"/>
      <c r="D633" s="52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  <c r="AA633" s="114"/>
      <c r="AB633" s="114"/>
      <c r="AC633" s="114"/>
    </row>
    <row r="634">
      <c r="A634" s="5"/>
      <c r="B634" s="5"/>
      <c r="C634" s="5"/>
      <c r="D634" s="52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  <c r="AA634" s="114"/>
      <c r="AB634" s="114"/>
      <c r="AC634" s="114"/>
    </row>
    <row r="635">
      <c r="A635" s="5"/>
      <c r="B635" s="5"/>
      <c r="C635" s="5"/>
      <c r="D635" s="52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  <c r="AA635" s="114"/>
      <c r="AB635" s="114"/>
      <c r="AC635" s="114"/>
    </row>
    <row r="636">
      <c r="A636" s="5"/>
      <c r="B636" s="5"/>
      <c r="C636" s="5"/>
      <c r="D636" s="52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114"/>
      <c r="AB636" s="114"/>
      <c r="AC636" s="114"/>
    </row>
    <row r="637">
      <c r="A637" s="5"/>
      <c r="B637" s="5"/>
      <c r="C637" s="5"/>
      <c r="D637" s="52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114"/>
      <c r="AB637" s="114"/>
      <c r="AC637" s="114"/>
    </row>
    <row r="638">
      <c r="A638" s="5"/>
      <c r="B638" s="5"/>
      <c r="C638" s="5"/>
      <c r="D638" s="52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114"/>
      <c r="AB638" s="114"/>
      <c r="AC638" s="114"/>
    </row>
    <row r="639">
      <c r="A639" s="5"/>
      <c r="B639" s="5"/>
      <c r="C639" s="5"/>
      <c r="D639" s="52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114"/>
      <c r="AB639" s="114"/>
      <c r="AC639" s="114"/>
    </row>
    <row r="640">
      <c r="A640" s="5"/>
      <c r="B640" s="5"/>
      <c r="C640" s="5"/>
      <c r="D640" s="52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114"/>
      <c r="AB640" s="114"/>
      <c r="AC640" s="114"/>
    </row>
    <row r="641">
      <c r="A641" s="5"/>
      <c r="B641" s="5"/>
      <c r="C641" s="5"/>
      <c r="D641" s="52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114"/>
      <c r="AB641" s="114"/>
      <c r="AC641" s="114"/>
    </row>
    <row r="642">
      <c r="A642" s="5"/>
      <c r="B642" s="5"/>
      <c r="C642" s="5"/>
      <c r="D642" s="52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114"/>
      <c r="AB642" s="114"/>
      <c r="AC642" s="114"/>
    </row>
    <row r="643">
      <c r="A643" s="5"/>
      <c r="B643" s="5"/>
      <c r="C643" s="5"/>
      <c r="D643" s="52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114"/>
      <c r="AB643" s="114"/>
      <c r="AC643" s="114"/>
    </row>
    <row r="644">
      <c r="A644" s="5"/>
      <c r="B644" s="5"/>
      <c r="C644" s="5"/>
      <c r="D644" s="52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114"/>
      <c r="AB644" s="114"/>
      <c r="AC644" s="114"/>
    </row>
    <row r="645">
      <c r="A645" s="5"/>
      <c r="B645" s="5"/>
      <c r="C645" s="5"/>
      <c r="D645" s="52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114"/>
      <c r="AB645" s="114"/>
      <c r="AC645" s="114"/>
    </row>
    <row r="646">
      <c r="A646" s="5"/>
      <c r="B646" s="5"/>
      <c r="C646" s="5"/>
      <c r="D646" s="52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114"/>
      <c r="AB646" s="114"/>
      <c r="AC646" s="114"/>
    </row>
    <row r="647">
      <c r="A647" s="5"/>
      <c r="B647" s="5"/>
      <c r="C647" s="5"/>
      <c r="D647" s="52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114"/>
      <c r="AB647" s="114"/>
      <c r="AC647" s="114"/>
    </row>
    <row r="648">
      <c r="A648" s="5"/>
      <c r="B648" s="5"/>
      <c r="C648" s="5"/>
      <c r="D648" s="52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114"/>
      <c r="AB648" s="114"/>
      <c r="AC648" s="114"/>
    </row>
    <row r="649">
      <c r="A649" s="5"/>
      <c r="B649" s="5"/>
      <c r="C649" s="5"/>
      <c r="D649" s="52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114"/>
      <c r="AB649" s="114"/>
      <c r="AC649" s="114"/>
    </row>
    <row r="650">
      <c r="A650" s="5"/>
      <c r="B650" s="5"/>
      <c r="C650" s="5"/>
      <c r="D650" s="52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114"/>
      <c r="AB650" s="114"/>
      <c r="AC650" s="114"/>
    </row>
    <row r="651">
      <c r="A651" s="5"/>
      <c r="B651" s="5"/>
      <c r="C651" s="5"/>
      <c r="D651" s="52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114"/>
      <c r="AB651" s="114"/>
      <c r="AC651" s="114"/>
    </row>
    <row r="652">
      <c r="A652" s="5"/>
      <c r="B652" s="5"/>
      <c r="C652" s="5"/>
      <c r="D652" s="52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114"/>
      <c r="AB652" s="114"/>
      <c r="AC652" s="114"/>
    </row>
    <row r="653">
      <c r="A653" s="5"/>
      <c r="B653" s="5"/>
      <c r="C653" s="5"/>
      <c r="D653" s="52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  <c r="AA653" s="114"/>
      <c r="AB653" s="114"/>
      <c r="AC653" s="114"/>
    </row>
    <row r="654">
      <c r="A654" s="5"/>
      <c r="B654" s="5"/>
      <c r="C654" s="5"/>
      <c r="D654" s="52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114"/>
      <c r="AB654" s="114"/>
      <c r="AC654" s="114"/>
    </row>
    <row r="655">
      <c r="A655" s="5"/>
      <c r="B655" s="5"/>
      <c r="C655" s="5"/>
      <c r="D655" s="52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  <c r="AA655" s="114"/>
      <c r="AB655" s="114"/>
      <c r="AC655" s="114"/>
    </row>
    <row r="656">
      <c r="A656" s="5"/>
      <c r="B656" s="5"/>
      <c r="C656" s="5"/>
      <c r="D656" s="52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114"/>
      <c r="AB656" s="114"/>
      <c r="AC656" s="114"/>
    </row>
    <row r="657">
      <c r="A657" s="5"/>
      <c r="B657" s="5"/>
      <c r="C657" s="5"/>
      <c r="D657" s="52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  <c r="AA657" s="114"/>
      <c r="AB657" s="114"/>
      <c r="AC657" s="114"/>
    </row>
    <row r="658">
      <c r="A658" s="5"/>
      <c r="B658" s="5"/>
      <c r="C658" s="5"/>
      <c r="D658" s="52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114"/>
      <c r="AB658" s="114"/>
      <c r="AC658" s="114"/>
    </row>
    <row r="659">
      <c r="A659" s="5"/>
      <c r="B659" s="5"/>
      <c r="C659" s="5"/>
      <c r="D659" s="52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  <c r="AA659" s="114"/>
      <c r="AB659" s="114"/>
      <c r="AC659" s="114"/>
    </row>
    <row r="660">
      <c r="A660" s="5"/>
      <c r="B660" s="5"/>
      <c r="C660" s="5"/>
      <c r="D660" s="52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  <c r="AA660" s="114"/>
      <c r="AB660" s="114"/>
      <c r="AC660" s="114"/>
    </row>
    <row r="661">
      <c r="A661" s="5"/>
      <c r="B661" s="5"/>
      <c r="C661" s="5"/>
      <c r="D661" s="52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114"/>
      <c r="AB661" s="114"/>
      <c r="AC661" s="114"/>
    </row>
    <row r="662">
      <c r="A662" s="5"/>
      <c r="B662" s="5"/>
      <c r="C662" s="5"/>
      <c r="D662" s="52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  <c r="AA662" s="114"/>
      <c r="AB662" s="114"/>
      <c r="AC662" s="114"/>
    </row>
    <row r="663">
      <c r="A663" s="5"/>
      <c r="B663" s="5"/>
      <c r="C663" s="5"/>
      <c r="D663" s="52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114"/>
      <c r="AB663" s="114"/>
      <c r="AC663" s="114"/>
    </row>
    <row r="664">
      <c r="A664" s="5"/>
      <c r="B664" s="5"/>
      <c r="C664" s="5"/>
      <c r="D664" s="52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114"/>
      <c r="AB664" s="114"/>
      <c r="AC664" s="114"/>
    </row>
    <row r="665">
      <c r="A665" s="5"/>
      <c r="B665" s="5"/>
      <c r="C665" s="5"/>
      <c r="D665" s="52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  <c r="AA665" s="114"/>
      <c r="AB665" s="114"/>
      <c r="AC665" s="114"/>
    </row>
    <row r="666">
      <c r="A666" s="5"/>
      <c r="B666" s="5"/>
      <c r="C666" s="5"/>
      <c r="D666" s="52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114"/>
      <c r="AB666" s="114"/>
      <c r="AC666" s="114"/>
    </row>
    <row r="667">
      <c r="A667" s="5"/>
      <c r="B667" s="5"/>
      <c r="C667" s="5"/>
      <c r="D667" s="52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  <c r="AA667" s="114"/>
      <c r="AB667" s="114"/>
      <c r="AC667" s="114"/>
    </row>
    <row r="668">
      <c r="A668" s="5"/>
      <c r="B668" s="5"/>
      <c r="C668" s="5"/>
      <c r="D668" s="52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  <c r="AA668" s="114"/>
      <c r="AB668" s="114"/>
      <c r="AC668" s="114"/>
    </row>
    <row r="669">
      <c r="A669" s="5"/>
      <c r="B669" s="5"/>
      <c r="C669" s="5"/>
      <c r="D669" s="52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114"/>
      <c r="AB669" s="114"/>
      <c r="AC669" s="114"/>
    </row>
    <row r="670">
      <c r="A670" s="5"/>
      <c r="B670" s="5"/>
      <c r="C670" s="5"/>
      <c r="D670" s="52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  <c r="AA670" s="114"/>
      <c r="AB670" s="114"/>
      <c r="AC670" s="114"/>
    </row>
    <row r="671">
      <c r="A671" s="5"/>
      <c r="B671" s="5"/>
      <c r="C671" s="5"/>
      <c r="D671" s="52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114"/>
      <c r="AB671" s="114"/>
      <c r="AC671" s="114"/>
    </row>
    <row r="672">
      <c r="A672" s="5"/>
      <c r="B672" s="5"/>
      <c r="C672" s="5"/>
      <c r="D672" s="52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  <c r="AA672" s="114"/>
      <c r="AB672" s="114"/>
      <c r="AC672" s="114"/>
    </row>
    <row r="673">
      <c r="A673" s="5"/>
      <c r="B673" s="5"/>
      <c r="C673" s="5"/>
      <c r="D673" s="52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  <c r="AA673" s="114"/>
      <c r="AB673" s="114"/>
      <c r="AC673" s="114"/>
    </row>
    <row r="674">
      <c r="A674" s="5"/>
      <c r="B674" s="5"/>
      <c r="C674" s="5"/>
      <c r="D674" s="52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114"/>
      <c r="AB674" s="114"/>
      <c r="AC674" s="114"/>
    </row>
    <row r="675">
      <c r="A675" s="5"/>
      <c r="B675" s="5"/>
      <c r="C675" s="5"/>
      <c r="D675" s="52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  <c r="AA675" s="114"/>
      <c r="AB675" s="114"/>
      <c r="AC675" s="114"/>
    </row>
    <row r="676">
      <c r="A676" s="5"/>
      <c r="B676" s="5"/>
      <c r="C676" s="5"/>
      <c r="D676" s="52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  <c r="AA676" s="114"/>
      <c r="AB676" s="114"/>
      <c r="AC676" s="114"/>
    </row>
    <row r="677">
      <c r="A677" s="5"/>
      <c r="B677" s="5"/>
      <c r="C677" s="5"/>
      <c r="D677" s="52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  <c r="AA677" s="114"/>
      <c r="AB677" s="114"/>
      <c r="AC677" s="114"/>
    </row>
    <row r="678">
      <c r="A678" s="5"/>
      <c r="B678" s="5"/>
      <c r="C678" s="5"/>
      <c r="D678" s="52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  <c r="AA678" s="114"/>
      <c r="AB678" s="114"/>
      <c r="AC678" s="114"/>
    </row>
    <row r="679">
      <c r="A679" s="5"/>
      <c r="B679" s="5"/>
      <c r="C679" s="5"/>
      <c r="D679" s="52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  <c r="AA679" s="114"/>
      <c r="AB679" s="114"/>
      <c r="AC679" s="114"/>
    </row>
    <row r="680">
      <c r="A680" s="5"/>
      <c r="B680" s="5"/>
      <c r="C680" s="5"/>
      <c r="D680" s="52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114"/>
      <c r="AB680" s="114"/>
      <c r="AC680" s="114"/>
    </row>
    <row r="681">
      <c r="A681" s="5"/>
      <c r="B681" s="5"/>
      <c r="C681" s="5"/>
      <c r="D681" s="52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  <c r="AA681" s="114"/>
      <c r="AB681" s="114"/>
      <c r="AC681" s="114"/>
    </row>
    <row r="682">
      <c r="A682" s="5"/>
      <c r="B682" s="5"/>
      <c r="C682" s="5"/>
      <c r="D682" s="52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114"/>
      <c r="AB682" s="114"/>
      <c r="AC682" s="114"/>
    </row>
    <row r="683">
      <c r="A683" s="5"/>
      <c r="B683" s="5"/>
      <c r="C683" s="5"/>
      <c r="D683" s="52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114"/>
      <c r="AB683" s="114"/>
      <c r="AC683" s="114"/>
    </row>
    <row r="684">
      <c r="A684" s="5"/>
      <c r="B684" s="5"/>
      <c r="C684" s="5"/>
      <c r="D684" s="52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114"/>
      <c r="AB684" s="114"/>
      <c r="AC684" s="114"/>
    </row>
    <row r="685">
      <c r="A685" s="5"/>
      <c r="B685" s="5"/>
      <c r="C685" s="5"/>
      <c r="D685" s="52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114"/>
      <c r="AB685" s="114"/>
      <c r="AC685" s="114"/>
    </row>
    <row r="686">
      <c r="A686" s="5"/>
      <c r="B686" s="5"/>
      <c r="C686" s="5"/>
      <c r="D686" s="52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  <c r="AA686" s="114"/>
      <c r="AB686" s="114"/>
      <c r="AC686" s="114"/>
    </row>
    <row r="687">
      <c r="A687" s="5"/>
      <c r="B687" s="5"/>
      <c r="C687" s="5"/>
      <c r="D687" s="52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  <c r="AA687" s="114"/>
      <c r="AB687" s="114"/>
      <c r="AC687" s="114"/>
    </row>
    <row r="688">
      <c r="A688" s="5"/>
      <c r="B688" s="5"/>
      <c r="C688" s="5"/>
      <c r="D688" s="52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  <c r="AA688" s="114"/>
      <c r="AB688" s="114"/>
      <c r="AC688" s="114"/>
    </row>
    <row r="689">
      <c r="A689" s="5"/>
      <c r="B689" s="5"/>
      <c r="C689" s="5"/>
      <c r="D689" s="52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  <c r="AA689" s="114"/>
      <c r="AB689" s="114"/>
      <c r="AC689" s="114"/>
    </row>
    <row r="690">
      <c r="A690" s="5"/>
      <c r="B690" s="5"/>
      <c r="C690" s="5"/>
      <c r="D690" s="52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  <c r="AA690" s="114"/>
      <c r="AB690" s="114"/>
      <c r="AC690" s="114"/>
    </row>
    <row r="691">
      <c r="A691" s="5"/>
      <c r="B691" s="5"/>
      <c r="C691" s="5"/>
      <c r="D691" s="52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  <c r="AA691" s="114"/>
      <c r="AB691" s="114"/>
      <c r="AC691" s="114"/>
    </row>
    <row r="692">
      <c r="A692" s="5"/>
      <c r="B692" s="5"/>
      <c r="C692" s="5"/>
      <c r="D692" s="52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114"/>
      <c r="AB692" s="114"/>
      <c r="AC692" s="114"/>
    </row>
    <row r="693">
      <c r="A693" s="5"/>
      <c r="B693" s="5"/>
      <c r="C693" s="5"/>
      <c r="D693" s="52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  <c r="AA693" s="114"/>
      <c r="AB693" s="114"/>
      <c r="AC693" s="114"/>
    </row>
    <row r="694">
      <c r="A694" s="5"/>
      <c r="B694" s="5"/>
      <c r="C694" s="5"/>
      <c r="D694" s="52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  <c r="AA694" s="114"/>
      <c r="AB694" s="114"/>
      <c r="AC694" s="114"/>
    </row>
    <row r="695">
      <c r="A695" s="5"/>
      <c r="B695" s="5"/>
      <c r="C695" s="5"/>
      <c r="D695" s="52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  <c r="AA695" s="114"/>
      <c r="AB695" s="114"/>
      <c r="AC695" s="114"/>
    </row>
    <row r="696">
      <c r="A696" s="5"/>
      <c r="B696" s="5"/>
      <c r="C696" s="5"/>
      <c r="D696" s="52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  <c r="AA696" s="114"/>
      <c r="AB696" s="114"/>
      <c r="AC696" s="114"/>
    </row>
    <row r="697">
      <c r="A697" s="5"/>
      <c r="B697" s="5"/>
      <c r="C697" s="5"/>
      <c r="D697" s="52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  <c r="AA697" s="114"/>
      <c r="AB697" s="114"/>
      <c r="AC697" s="114"/>
    </row>
    <row r="698">
      <c r="A698" s="5"/>
      <c r="B698" s="5"/>
      <c r="C698" s="5"/>
      <c r="D698" s="52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114"/>
      <c r="AB698" s="114"/>
      <c r="AC698" s="114"/>
    </row>
    <row r="699">
      <c r="A699" s="5"/>
      <c r="B699" s="5"/>
      <c r="C699" s="5"/>
      <c r="D699" s="52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  <c r="AA699" s="114"/>
      <c r="AB699" s="114"/>
      <c r="AC699" s="114"/>
    </row>
    <row r="700">
      <c r="A700" s="5"/>
      <c r="B700" s="5"/>
      <c r="C700" s="5"/>
      <c r="D700" s="52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  <c r="AA700" s="114"/>
      <c r="AB700" s="114"/>
      <c r="AC700" s="114"/>
    </row>
    <row r="701">
      <c r="A701" s="5"/>
      <c r="B701" s="5"/>
      <c r="C701" s="5"/>
      <c r="D701" s="52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  <c r="AA701" s="114"/>
      <c r="AB701" s="114"/>
      <c r="AC701" s="114"/>
    </row>
    <row r="702">
      <c r="A702" s="5"/>
      <c r="B702" s="5"/>
      <c r="C702" s="5"/>
      <c r="D702" s="52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114"/>
      <c r="AB702" s="114"/>
      <c r="AC702" s="114"/>
    </row>
    <row r="703">
      <c r="A703" s="5"/>
      <c r="B703" s="5"/>
      <c r="C703" s="5"/>
      <c r="D703" s="52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  <c r="AA703" s="114"/>
      <c r="AB703" s="114"/>
      <c r="AC703" s="114"/>
    </row>
    <row r="704">
      <c r="A704" s="5"/>
      <c r="B704" s="5"/>
      <c r="C704" s="5"/>
      <c r="D704" s="52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  <c r="AA704" s="114"/>
      <c r="AB704" s="114"/>
      <c r="AC704" s="114"/>
    </row>
    <row r="705">
      <c r="A705" s="5"/>
      <c r="B705" s="5"/>
      <c r="C705" s="5"/>
      <c r="D705" s="52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  <c r="AA705" s="114"/>
      <c r="AB705" s="114"/>
      <c r="AC705" s="114"/>
    </row>
    <row r="706">
      <c r="A706" s="5"/>
      <c r="B706" s="5"/>
      <c r="C706" s="5"/>
      <c r="D706" s="52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114"/>
      <c r="AB706" s="114"/>
      <c r="AC706" s="114"/>
    </row>
    <row r="707">
      <c r="A707" s="5"/>
      <c r="B707" s="5"/>
      <c r="C707" s="5"/>
      <c r="D707" s="52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114"/>
      <c r="AB707" s="114"/>
      <c r="AC707" s="114"/>
    </row>
    <row r="708">
      <c r="A708" s="5"/>
      <c r="B708" s="5"/>
      <c r="C708" s="5"/>
      <c r="D708" s="52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  <c r="AA708" s="114"/>
      <c r="AB708" s="114"/>
      <c r="AC708" s="114"/>
    </row>
    <row r="709">
      <c r="A709" s="5"/>
      <c r="B709" s="5"/>
      <c r="C709" s="5"/>
      <c r="D709" s="52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114"/>
      <c r="AB709" s="114"/>
      <c r="AC709" s="114"/>
    </row>
    <row r="710">
      <c r="A710" s="5"/>
      <c r="B710" s="5"/>
      <c r="C710" s="5"/>
      <c r="D710" s="52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114"/>
      <c r="AB710" s="114"/>
      <c r="AC710" s="114"/>
    </row>
    <row r="711">
      <c r="A711" s="5"/>
      <c r="B711" s="5"/>
      <c r="C711" s="5"/>
      <c r="D711" s="52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114"/>
      <c r="AB711" s="114"/>
      <c r="AC711" s="114"/>
    </row>
    <row r="712">
      <c r="A712" s="5"/>
      <c r="B712" s="5"/>
      <c r="C712" s="5"/>
      <c r="D712" s="52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114"/>
      <c r="AB712" s="114"/>
      <c r="AC712" s="114"/>
    </row>
    <row r="713">
      <c r="A713" s="5"/>
      <c r="B713" s="5"/>
      <c r="C713" s="5"/>
      <c r="D713" s="52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114"/>
      <c r="AB713" s="114"/>
      <c r="AC713" s="114"/>
    </row>
    <row r="714">
      <c r="A714" s="5"/>
      <c r="B714" s="5"/>
      <c r="C714" s="5"/>
      <c r="D714" s="52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114"/>
      <c r="AB714" s="114"/>
      <c r="AC714" s="114"/>
    </row>
    <row r="715">
      <c r="A715" s="5"/>
      <c r="B715" s="5"/>
      <c r="C715" s="5"/>
      <c r="D715" s="52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114"/>
      <c r="AB715" s="114"/>
      <c r="AC715" s="114"/>
    </row>
    <row r="716">
      <c r="A716" s="5"/>
      <c r="B716" s="5"/>
      <c r="C716" s="5"/>
      <c r="D716" s="52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114"/>
      <c r="AB716" s="114"/>
      <c r="AC716" s="114"/>
    </row>
    <row r="717">
      <c r="A717" s="5"/>
      <c r="B717" s="5"/>
      <c r="C717" s="5"/>
      <c r="D717" s="52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114"/>
      <c r="AB717" s="114"/>
      <c r="AC717" s="114"/>
    </row>
    <row r="718">
      <c r="A718" s="5"/>
      <c r="B718" s="5"/>
      <c r="C718" s="5"/>
      <c r="D718" s="52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114"/>
      <c r="AB718" s="114"/>
      <c r="AC718" s="114"/>
    </row>
    <row r="719">
      <c r="A719" s="5"/>
      <c r="B719" s="5"/>
      <c r="C719" s="5"/>
      <c r="D719" s="52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114"/>
      <c r="AB719" s="114"/>
      <c r="AC719" s="114"/>
    </row>
    <row r="720">
      <c r="A720" s="5"/>
      <c r="B720" s="5"/>
      <c r="C720" s="5"/>
      <c r="D720" s="52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114"/>
      <c r="AB720" s="114"/>
      <c r="AC720" s="114"/>
    </row>
    <row r="721">
      <c r="A721" s="5"/>
      <c r="B721" s="5"/>
      <c r="C721" s="5"/>
      <c r="D721" s="52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114"/>
      <c r="AB721" s="114"/>
      <c r="AC721" s="114"/>
    </row>
    <row r="722">
      <c r="A722" s="5"/>
      <c r="B722" s="5"/>
      <c r="C722" s="5"/>
      <c r="D722" s="52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114"/>
      <c r="AB722" s="114"/>
      <c r="AC722" s="114"/>
    </row>
    <row r="723">
      <c r="A723" s="5"/>
      <c r="B723" s="5"/>
      <c r="C723" s="5"/>
      <c r="D723" s="52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114"/>
      <c r="AB723" s="114"/>
      <c r="AC723" s="114"/>
    </row>
    <row r="724">
      <c r="A724" s="5"/>
      <c r="B724" s="5"/>
      <c r="C724" s="5"/>
      <c r="D724" s="52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114"/>
      <c r="AB724" s="114"/>
      <c r="AC724" s="114"/>
    </row>
    <row r="725">
      <c r="A725" s="5"/>
      <c r="B725" s="5"/>
      <c r="C725" s="5"/>
      <c r="D725" s="52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114"/>
      <c r="AB725" s="114"/>
      <c r="AC725" s="114"/>
    </row>
    <row r="726">
      <c r="A726" s="5"/>
      <c r="B726" s="5"/>
      <c r="C726" s="5"/>
      <c r="D726" s="52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114"/>
      <c r="AB726" s="114"/>
      <c r="AC726" s="114"/>
    </row>
    <row r="727">
      <c r="A727" s="5"/>
      <c r="B727" s="5"/>
      <c r="C727" s="5"/>
      <c r="D727" s="52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114"/>
      <c r="AB727" s="114"/>
      <c r="AC727" s="114"/>
    </row>
    <row r="728">
      <c r="A728" s="5"/>
      <c r="B728" s="5"/>
      <c r="C728" s="5"/>
      <c r="D728" s="52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114"/>
      <c r="AB728" s="114"/>
      <c r="AC728" s="114"/>
    </row>
    <row r="729">
      <c r="A729" s="5"/>
      <c r="B729" s="5"/>
      <c r="C729" s="5"/>
      <c r="D729" s="52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  <c r="AA729" s="114"/>
      <c r="AB729" s="114"/>
      <c r="AC729" s="114"/>
    </row>
    <row r="730">
      <c r="A730" s="5"/>
      <c r="B730" s="5"/>
      <c r="C730" s="5"/>
      <c r="D730" s="52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114"/>
      <c r="AB730" s="114"/>
      <c r="AC730" s="114"/>
    </row>
    <row r="731">
      <c r="A731" s="5"/>
      <c r="B731" s="5"/>
      <c r="C731" s="5"/>
      <c r="D731" s="52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114"/>
      <c r="AB731" s="114"/>
      <c r="AC731" s="114"/>
    </row>
    <row r="732">
      <c r="A732" s="5"/>
      <c r="B732" s="5"/>
      <c r="C732" s="5"/>
      <c r="D732" s="52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  <c r="AA732" s="114"/>
      <c r="AB732" s="114"/>
      <c r="AC732" s="114"/>
    </row>
    <row r="733">
      <c r="A733" s="5"/>
      <c r="B733" s="5"/>
      <c r="C733" s="5"/>
      <c r="D733" s="52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  <c r="AA733" s="114"/>
      <c r="AB733" s="114"/>
      <c r="AC733" s="114"/>
    </row>
    <row r="734">
      <c r="A734" s="5"/>
      <c r="B734" s="5"/>
      <c r="C734" s="5"/>
      <c r="D734" s="52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  <c r="AA734" s="114"/>
      <c r="AB734" s="114"/>
      <c r="AC734" s="114"/>
    </row>
    <row r="735">
      <c r="A735" s="5"/>
      <c r="B735" s="5"/>
      <c r="C735" s="5"/>
      <c r="D735" s="52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  <c r="AA735" s="114"/>
      <c r="AB735" s="114"/>
      <c r="AC735" s="114"/>
    </row>
    <row r="736">
      <c r="A736" s="5"/>
      <c r="B736" s="5"/>
      <c r="C736" s="5"/>
      <c r="D736" s="52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  <c r="AA736" s="114"/>
      <c r="AB736" s="114"/>
      <c r="AC736" s="114"/>
    </row>
    <row r="737">
      <c r="A737" s="5"/>
      <c r="B737" s="5"/>
      <c r="C737" s="5"/>
      <c r="D737" s="52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  <c r="AA737" s="114"/>
      <c r="AB737" s="114"/>
      <c r="AC737" s="114"/>
    </row>
    <row r="738">
      <c r="A738" s="5"/>
      <c r="B738" s="5"/>
      <c r="C738" s="5"/>
      <c r="D738" s="52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  <c r="AA738" s="114"/>
      <c r="AB738" s="114"/>
      <c r="AC738" s="114"/>
    </row>
    <row r="739">
      <c r="A739" s="5"/>
      <c r="B739" s="5"/>
      <c r="C739" s="5"/>
      <c r="D739" s="52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  <c r="AA739" s="114"/>
      <c r="AB739" s="114"/>
      <c r="AC739" s="114"/>
    </row>
    <row r="740">
      <c r="A740" s="5"/>
      <c r="B740" s="5"/>
      <c r="C740" s="5"/>
      <c r="D740" s="52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  <c r="AA740" s="114"/>
      <c r="AB740" s="114"/>
      <c r="AC740" s="114"/>
    </row>
    <row r="741">
      <c r="A741" s="5"/>
      <c r="B741" s="5"/>
      <c r="C741" s="5"/>
      <c r="D741" s="52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  <c r="AA741" s="114"/>
      <c r="AB741" s="114"/>
      <c r="AC741" s="114"/>
    </row>
    <row r="742">
      <c r="A742" s="5"/>
      <c r="B742" s="5"/>
      <c r="C742" s="5"/>
      <c r="D742" s="52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  <c r="AA742" s="114"/>
      <c r="AB742" s="114"/>
      <c r="AC742" s="114"/>
    </row>
    <row r="743">
      <c r="A743" s="5"/>
      <c r="B743" s="5"/>
      <c r="C743" s="5"/>
      <c r="D743" s="52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  <c r="AA743" s="114"/>
      <c r="AB743" s="114"/>
      <c r="AC743" s="114"/>
    </row>
    <row r="744">
      <c r="A744" s="5"/>
      <c r="B744" s="5"/>
      <c r="C744" s="5"/>
      <c r="D744" s="52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  <c r="AA744" s="114"/>
      <c r="AB744" s="114"/>
      <c r="AC744" s="114"/>
    </row>
    <row r="745">
      <c r="A745" s="5"/>
      <c r="B745" s="5"/>
      <c r="C745" s="5"/>
      <c r="D745" s="52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  <c r="AA745" s="114"/>
      <c r="AB745" s="114"/>
      <c r="AC745" s="114"/>
    </row>
    <row r="746">
      <c r="A746" s="5"/>
      <c r="B746" s="5"/>
      <c r="C746" s="5"/>
      <c r="D746" s="52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  <c r="AA746" s="114"/>
      <c r="AB746" s="114"/>
      <c r="AC746" s="114"/>
    </row>
    <row r="747">
      <c r="A747" s="5"/>
      <c r="B747" s="5"/>
      <c r="C747" s="5"/>
      <c r="D747" s="52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  <c r="AA747" s="114"/>
      <c r="AB747" s="114"/>
      <c r="AC747" s="114"/>
    </row>
    <row r="748">
      <c r="A748" s="5"/>
      <c r="B748" s="5"/>
      <c r="C748" s="5"/>
      <c r="D748" s="52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114"/>
      <c r="AB748" s="114"/>
      <c r="AC748" s="114"/>
    </row>
    <row r="749">
      <c r="A749" s="5"/>
      <c r="B749" s="5"/>
      <c r="C749" s="5"/>
      <c r="D749" s="52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  <c r="AA749" s="114"/>
      <c r="AB749" s="114"/>
      <c r="AC749" s="114"/>
    </row>
    <row r="750">
      <c r="A750" s="5"/>
      <c r="B750" s="5"/>
      <c r="C750" s="5"/>
      <c r="D750" s="52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  <c r="AA750" s="114"/>
      <c r="AB750" s="114"/>
      <c r="AC750" s="114"/>
    </row>
    <row r="751">
      <c r="A751" s="5"/>
      <c r="B751" s="5"/>
      <c r="C751" s="5"/>
      <c r="D751" s="52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  <c r="AA751" s="114"/>
      <c r="AB751" s="114"/>
      <c r="AC751" s="114"/>
    </row>
    <row r="752">
      <c r="A752" s="5"/>
      <c r="B752" s="5"/>
      <c r="C752" s="5"/>
      <c r="D752" s="52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  <c r="AA752" s="114"/>
      <c r="AB752" s="114"/>
      <c r="AC752" s="114"/>
    </row>
    <row r="753">
      <c r="A753" s="5"/>
      <c r="B753" s="5"/>
      <c r="C753" s="5"/>
      <c r="D753" s="52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  <c r="AA753" s="114"/>
      <c r="AB753" s="114"/>
      <c r="AC753" s="114"/>
    </row>
    <row r="754">
      <c r="A754" s="5"/>
      <c r="B754" s="5"/>
      <c r="C754" s="5"/>
      <c r="D754" s="52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  <c r="AA754" s="114"/>
      <c r="AB754" s="114"/>
      <c r="AC754" s="114"/>
    </row>
    <row r="755">
      <c r="A755" s="5"/>
      <c r="B755" s="5"/>
      <c r="C755" s="5"/>
      <c r="D755" s="52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  <c r="AA755" s="114"/>
      <c r="AB755" s="114"/>
      <c r="AC755" s="114"/>
    </row>
    <row r="756">
      <c r="A756" s="5"/>
      <c r="B756" s="5"/>
      <c r="C756" s="5"/>
      <c r="D756" s="52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  <c r="AA756" s="114"/>
      <c r="AB756" s="114"/>
      <c r="AC756" s="114"/>
    </row>
    <row r="757">
      <c r="A757" s="5"/>
      <c r="B757" s="5"/>
      <c r="C757" s="5"/>
      <c r="D757" s="52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  <c r="AA757" s="114"/>
      <c r="AB757" s="114"/>
      <c r="AC757" s="114"/>
    </row>
    <row r="758">
      <c r="A758" s="5"/>
      <c r="B758" s="5"/>
      <c r="C758" s="5"/>
      <c r="D758" s="52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114"/>
      <c r="AB758" s="114"/>
      <c r="AC758" s="114"/>
    </row>
    <row r="759">
      <c r="A759" s="5"/>
      <c r="B759" s="5"/>
      <c r="C759" s="5"/>
      <c r="D759" s="52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  <c r="AA759" s="114"/>
      <c r="AB759" s="114"/>
      <c r="AC759" s="114"/>
    </row>
    <row r="760">
      <c r="A760" s="5"/>
      <c r="B760" s="5"/>
      <c r="C760" s="5"/>
      <c r="D760" s="52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  <c r="AA760" s="114"/>
      <c r="AB760" s="114"/>
      <c r="AC760" s="114"/>
    </row>
    <row r="761">
      <c r="A761" s="5"/>
      <c r="B761" s="5"/>
      <c r="C761" s="5"/>
      <c r="D761" s="52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  <c r="AA761" s="114"/>
      <c r="AB761" s="114"/>
      <c r="AC761" s="114"/>
    </row>
    <row r="762">
      <c r="A762" s="5"/>
      <c r="B762" s="5"/>
      <c r="C762" s="5"/>
      <c r="D762" s="52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  <c r="AA762" s="114"/>
      <c r="AB762" s="114"/>
      <c r="AC762" s="114"/>
    </row>
    <row r="763">
      <c r="A763" s="5"/>
      <c r="B763" s="5"/>
      <c r="C763" s="5"/>
      <c r="D763" s="52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  <c r="AA763" s="114"/>
      <c r="AB763" s="114"/>
      <c r="AC763" s="114"/>
    </row>
    <row r="764">
      <c r="A764" s="5"/>
      <c r="B764" s="5"/>
      <c r="C764" s="5"/>
      <c r="D764" s="52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  <c r="AA764" s="114"/>
      <c r="AB764" s="114"/>
      <c r="AC764" s="114"/>
    </row>
    <row r="765">
      <c r="A765" s="5"/>
      <c r="B765" s="5"/>
      <c r="C765" s="5"/>
      <c r="D765" s="52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  <c r="AA765" s="114"/>
      <c r="AB765" s="114"/>
      <c r="AC765" s="114"/>
    </row>
    <row r="766">
      <c r="A766" s="5"/>
      <c r="B766" s="5"/>
      <c r="C766" s="5"/>
      <c r="D766" s="52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  <c r="AA766" s="114"/>
      <c r="AB766" s="114"/>
      <c r="AC766" s="114"/>
    </row>
    <row r="767">
      <c r="A767" s="5"/>
      <c r="B767" s="5"/>
      <c r="C767" s="5"/>
      <c r="D767" s="52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  <c r="AA767" s="114"/>
      <c r="AB767" s="114"/>
      <c r="AC767" s="114"/>
    </row>
    <row r="768">
      <c r="A768" s="5"/>
      <c r="B768" s="5"/>
      <c r="C768" s="5"/>
      <c r="D768" s="52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  <c r="AA768" s="114"/>
      <c r="AB768" s="114"/>
      <c r="AC768" s="114"/>
    </row>
    <row r="769">
      <c r="A769" s="5"/>
      <c r="B769" s="5"/>
      <c r="C769" s="5"/>
      <c r="D769" s="52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114"/>
      <c r="AB769" s="114"/>
      <c r="AC769" s="114"/>
    </row>
    <row r="770">
      <c r="A770" s="5"/>
      <c r="B770" s="5"/>
      <c r="C770" s="5"/>
      <c r="D770" s="52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  <c r="AA770" s="114"/>
      <c r="AB770" s="114"/>
      <c r="AC770" s="114"/>
    </row>
    <row r="771">
      <c r="A771" s="5"/>
      <c r="B771" s="5"/>
      <c r="C771" s="5"/>
      <c r="D771" s="52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  <c r="AA771" s="114"/>
      <c r="AB771" s="114"/>
      <c r="AC771" s="114"/>
    </row>
    <row r="772">
      <c r="A772" s="5"/>
      <c r="B772" s="5"/>
      <c r="C772" s="5"/>
      <c r="D772" s="52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  <c r="AA772" s="114"/>
      <c r="AB772" s="114"/>
      <c r="AC772" s="114"/>
    </row>
    <row r="773">
      <c r="A773" s="5"/>
      <c r="B773" s="5"/>
      <c r="C773" s="5"/>
      <c r="D773" s="52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  <c r="AA773" s="114"/>
      <c r="AB773" s="114"/>
      <c r="AC773" s="114"/>
    </row>
    <row r="774">
      <c r="A774" s="5"/>
      <c r="B774" s="5"/>
      <c r="C774" s="5"/>
      <c r="D774" s="52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  <c r="AA774" s="114"/>
      <c r="AB774" s="114"/>
      <c r="AC774" s="114"/>
    </row>
    <row r="775">
      <c r="A775" s="5"/>
      <c r="B775" s="5"/>
      <c r="C775" s="5"/>
      <c r="D775" s="52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  <c r="AA775" s="114"/>
      <c r="AB775" s="114"/>
      <c r="AC775" s="114"/>
    </row>
    <row r="776">
      <c r="A776" s="5"/>
      <c r="B776" s="5"/>
      <c r="C776" s="5"/>
      <c r="D776" s="52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  <c r="AA776" s="114"/>
      <c r="AB776" s="114"/>
      <c r="AC776" s="114"/>
    </row>
    <row r="777">
      <c r="A777" s="5"/>
      <c r="B777" s="5"/>
      <c r="C777" s="5"/>
      <c r="D777" s="52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114"/>
      <c r="AB777" s="114"/>
      <c r="AC777" s="114"/>
    </row>
    <row r="778">
      <c r="A778" s="5"/>
      <c r="B778" s="5"/>
      <c r="C778" s="5"/>
      <c r="D778" s="52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114"/>
      <c r="AB778" s="114"/>
      <c r="AC778" s="114"/>
    </row>
    <row r="779">
      <c r="A779" s="5"/>
      <c r="B779" s="5"/>
      <c r="C779" s="5"/>
      <c r="D779" s="52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114"/>
      <c r="AB779" s="114"/>
      <c r="AC779" s="114"/>
    </row>
    <row r="780">
      <c r="A780" s="5"/>
      <c r="B780" s="5"/>
      <c r="C780" s="5"/>
      <c r="D780" s="52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  <c r="AA780" s="114"/>
      <c r="AB780" s="114"/>
      <c r="AC780" s="114"/>
    </row>
    <row r="781">
      <c r="A781" s="5"/>
      <c r="B781" s="5"/>
      <c r="C781" s="5"/>
      <c r="D781" s="52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  <c r="AA781" s="114"/>
      <c r="AB781" s="114"/>
      <c r="AC781" s="114"/>
    </row>
    <row r="782">
      <c r="A782" s="5"/>
      <c r="B782" s="5"/>
      <c r="C782" s="5"/>
      <c r="D782" s="52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  <c r="AA782" s="114"/>
      <c r="AB782" s="114"/>
      <c r="AC782" s="114"/>
    </row>
    <row r="783">
      <c r="A783" s="5"/>
      <c r="B783" s="5"/>
      <c r="C783" s="5"/>
      <c r="D783" s="52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  <c r="AA783" s="114"/>
      <c r="AB783" s="114"/>
      <c r="AC783" s="114"/>
    </row>
    <row r="784">
      <c r="A784" s="5"/>
      <c r="B784" s="5"/>
      <c r="C784" s="5"/>
      <c r="D784" s="52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  <c r="AA784" s="114"/>
      <c r="AB784" s="114"/>
      <c r="AC784" s="114"/>
    </row>
    <row r="785">
      <c r="A785" s="5"/>
      <c r="B785" s="5"/>
      <c r="C785" s="5"/>
      <c r="D785" s="52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  <c r="AA785" s="114"/>
      <c r="AB785" s="114"/>
      <c r="AC785" s="114"/>
    </row>
    <row r="786">
      <c r="A786" s="5"/>
      <c r="B786" s="5"/>
      <c r="C786" s="5"/>
      <c r="D786" s="52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  <c r="AA786" s="114"/>
      <c r="AB786" s="114"/>
      <c r="AC786" s="114"/>
    </row>
    <row r="787">
      <c r="A787" s="5"/>
      <c r="B787" s="5"/>
      <c r="C787" s="5"/>
      <c r="D787" s="52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  <c r="AA787" s="114"/>
      <c r="AB787" s="114"/>
      <c r="AC787" s="114"/>
    </row>
    <row r="788">
      <c r="A788" s="5"/>
      <c r="B788" s="5"/>
      <c r="C788" s="5"/>
      <c r="D788" s="52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  <c r="AA788" s="114"/>
      <c r="AB788" s="114"/>
      <c r="AC788" s="114"/>
    </row>
    <row r="789">
      <c r="A789" s="5"/>
      <c r="B789" s="5"/>
      <c r="C789" s="5"/>
      <c r="D789" s="52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  <c r="AA789" s="114"/>
      <c r="AB789" s="114"/>
      <c r="AC789" s="114"/>
    </row>
    <row r="790">
      <c r="A790" s="5"/>
      <c r="B790" s="5"/>
      <c r="C790" s="5"/>
      <c r="D790" s="52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  <c r="AA790" s="114"/>
      <c r="AB790" s="114"/>
      <c r="AC790" s="114"/>
    </row>
    <row r="791">
      <c r="A791" s="5"/>
      <c r="B791" s="5"/>
      <c r="C791" s="5"/>
      <c r="D791" s="52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  <c r="AA791" s="114"/>
      <c r="AB791" s="114"/>
      <c r="AC791" s="114"/>
    </row>
    <row r="792">
      <c r="A792" s="5"/>
      <c r="B792" s="5"/>
      <c r="C792" s="5"/>
      <c r="D792" s="52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  <c r="AA792" s="114"/>
      <c r="AB792" s="114"/>
      <c r="AC792" s="114"/>
    </row>
    <row r="793">
      <c r="A793" s="5"/>
      <c r="B793" s="5"/>
      <c r="C793" s="5"/>
      <c r="D793" s="52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  <c r="AA793" s="114"/>
      <c r="AB793" s="114"/>
      <c r="AC793" s="114"/>
    </row>
    <row r="794">
      <c r="A794" s="5"/>
      <c r="B794" s="5"/>
      <c r="C794" s="5"/>
      <c r="D794" s="52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  <c r="AA794" s="114"/>
      <c r="AB794" s="114"/>
      <c r="AC794" s="114"/>
    </row>
    <row r="795">
      <c r="A795" s="5"/>
      <c r="B795" s="5"/>
      <c r="C795" s="5"/>
      <c r="D795" s="52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  <c r="AA795" s="114"/>
      <c r="AB795" s="114"/>
      <c r="AC795" s="114"/>
    </row>
    <row r="796">
      <c r="A796" s="5"/>
      <c r="B796" s="5"/>
      <c r="C796" s="5"/>
      <c r="D796" s="52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  <c r="AA796" s="114"/>
      <c r="AB796" s="114"/>
      <c r="AC796" s="114"/>
    </row>
    <row r="797">
      <c r="A797" s="5"/>
      <c r="B797" s="5"/>
      <c r="C797" s="5"/>
      <c r="D797" s="52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  <c r="AA797" s="114"/>
      <c r="AB797" s="114"/>
      <c r="AC797" s="114"/>
    </row>
    <row r="798">
      <c r="A798" s="5"/>
      <c r="B798" s="5"/>
      <c r="C798" s="5"/>
      <c r="D798" s="52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  <c r="AA798" s="114"/>
      <c r="AB798" s="114"/>
      <c r="AC798" s="114"/>
    </row>
    <row r="799">
      <c r="A799" s="5"/>
      <c r="B799" s="5"/>
      <c r="C799" s="5"/>
      <c r="D799" s="52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  <c r="AA799" s="114"/>
      <c r="AB799" s="114"/>
      <c r="AC799" s="114"/>
    </row>
    <row r="800">
      <c r="A800" s="5"/>
      <c r="B800" s="5"/>
      <c r="C800" s="5"/>
      <c r="D800" s="52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  <c r="AA800" s="114"/>
      <c r="AB800" s="114"/>
      <c r="AC800" s="114"/>
    </row>
    <row r="801">
      <c r="A801" s="5"/>
      <c r="B801" s="5"/>
      <c r="C801" s="5"/>
      <c r="D801" s="52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  <c r="AA801" s="114"/>
      <c r="AB801" s="114"/>
      <c r="AC801" s="114"/>
    </row>
    <row r="802">
      <c r="A802" s="5"/>
      <c r="B802" s="5"/>
      <c r="C802" s="5"/>
      <c r="D802" s="52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  <c r="AA802" s="114"/>
      <c r="AB802" s="114"/>
      <c r="AC802" s="114"/>
    </row>
    <row r="803">
      <c r="A803" s="5"/>
      <c r="B803" s="5"/>
      <c r="C803" s="5"/>
      <c r="D803" s="52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  <c r="AA803" s="114"/>
      <c r="AB803" s="114"/>
      <c r="AC803" s="114"/>
    </row>
    <row r="804">
      <c r="A804" s="5"/>
      <c r="B804" s="5"/>
      <c r="C804" s="5"/>
      <c r="D804" s="52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114"/>
      <c r="AB804" s="114"/>
      <c r="AC804" s="114"/>
    </row>
    <row r="805">
      <c r="A805" s="5"/>
      <c r="B805" s="5"/>
      <c r="C805" s="5"/>
      <c r="D805" s="52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114"/>
      <c r="AB805" s="114"/>
      <c r="AC805" s="114"/>
    </row>
    <row r="806">
      <c r="A806" s="5"/>
      <c r="B806" s="5"/>
      <c r="C806" s="5"/>
      <c r="D806" s="52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  <c r="AA806" s="114"/>
      <c r="AB806" s="114"/>
      <c r="AC806" s="114"/>
    </row>
    <row r="807">
      <c r="A807" s="5"/>
      <c r="B807" s="5"/>
      <c r="C807" s="5"/>
      <c r="D807" s="52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  <c r="AA807" s="114"/>
      <c r="AB807" s="114"/>
      <c r="AC807" s="114"/>
    </row>
    <row r="808">
      <c r="A808" s="5"/>
      <c r="B808" s="5"/>
      <c r="C808" s="5"/>
      <c r="D808" s="52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  <c r="AA808" s="114"/>
      <c r="AB808" s="114"/>
      <c r="AC808" s="114"/>
    </row>
    <row r="809">
      <c r="A809" s="5"/>
      <c r="B809" s="5"/>
      <c r="C809" s="5"/>
      <c r="D809" s="52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114"/>
      <c r="AB809" s="114"/>
      <c r="AC809" s="114"/>
    </row>
    <row r="810">
      <c r="A810" s="5"/>
      <c r="B810" s="5"/>
      <c r="C810" s="5"/>
      <c r="D810" s="52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114"/>
      <c r="AB810" s="114"/>
      <c r="AC810" s="114"/>
    </row>
    <row r="811">
      <c r="A811" s="5"/>
      <c r="B811" s="5"/>
      <c r="C811" s="5"/>
      <c r="D811" s="52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114"/>
      <c r="AB811" s="114"/>
      <c r="AC811" s="114"/>
    </row>
    <row r="812">
      <c r="A812" s="5"/>
      <c r="B812" s="5"/>
      <c r="C812" s="5"/>
      <c r="D812" s="52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114"/>
      <c r="AB812" s="114"/>
      <c r="AC812" s="114"/>
    </row>
    <row r="813">
      <c r="A813" s="5"/>
      <c r="B813" s="5"/>
      <c r="C813" s="5"/>
      <c r="D813" s="52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114"/>
      <c r="AB813" s="114"/>
      <c r="AC813" s="114"/>
    </row>
    <row r="814">
      <c r="A814" s="5"/>
      <c r="B814" s="5"/>
      <c r="C814" s="5"/>
      <c r="D814" s="52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114"/>
      <c r="AB814" s="114"/>
      <c r="AC814" s="114"/>
    </row>
    <row r="815">
      <c r="A815" s="5"/>
      <c r="B815" s="5"/>
      <c r="C815" s="5"/>
      <c r="D815" s="52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114"/>
      <c r="AB815" s="114"/>
      <c r="AC815" s="114"/>
    </row>
    <row r="816">
      <c r="A816" s="5"/>
      <c r="B816" s="5"/>
      <c r="C816" s="5"/>
      <c r="D816" s="52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114"/>
      <c r="AB816" s="114"/>
      <c r="AC816" s="114"/>
    </row>
    <row r="817">
      <c r="A817" s="5"/>
      <c r="B817" s="5"/>
      <c r="C817" s="5"/>
      <c r="D817" s="52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114"/>
      <c r="AB817" s="114"/>
      <c r="AC817" s="114"/>
    </row>
    <row r="818">
      <c r="A818" s="5"/>
      <c r="B818" s="5"/>
      <c r="C818" s="5"/>
      <c r="D818" s="52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114"/>
      <c r="AB818" s="114"/>
      <c r="AC818" s="114"/>
    </row>
    <row r="819">
      <c r="A819" s="5"/>
      <c r="B819" s="5"/>
      <c r="C819" s="5"/>
      <c r="D819" s="52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114"/>
      <c r="AB819" s="114"/>
      <c r="AC819" s="114"/>
    </row>
    <row r="820">
      <c r="A820" s="5"/>
      <c r="B820" s="5"/>
      <c r="C820" s="5"/>
      <c r="D820" s="52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114"/>
      <c r="AB820" s="114"/>
      <c r="AC820" s="114"/>
    </row>
    <row r="821">
      <c r="A821" s="5"/>
      <c r="B821" s="5"/>
      <c r="C821" s="5"/>
      <c r="D821" s="52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114"/>
      <c r="AB821" s="114"/>
      <c r="AC821" s="114"/>
    </row>
    <row r="822">
      <c r="A822" s="5"/>
      <c r="B822" s="5"/>
      <c r="C822" s="5"/>
      <c r="D822" s="52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114"/>
      <c r="AB822" s="114"/>
      <c r="AC822" s="114"/>
    </row>
    <row r="823">
      <c r="A823" s="5"/>
      <c r="B823" s="5"/>
      <c r="C823" s="5"/>
      <c r="D823" s="52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114"/>
      <c r="AB823" s="114"/>
      <c r="AC823" s="114"/>
    </row>
    <row r="824">
      <c r="A824" s="5"/>
      <c r="B824" s="5"/>
      <c r="C824" s="5"/>
      <c r="D824" s="52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114"/>
      <c r="AB824" s="114"/>
      <c r="AC824" s="114"/>
    </row>
    <row r="825">
      <c r="A825" s="5"/>
      <c r="B825" s="5"/>
      <c r="C825" s="5"/>
      <c r="D825" s="52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114"/>
      <c r="AB825" s="114"/>
      <c r="AC825" s="114"/>
    </row>
    <row r="826">
      <c r="A826" s="5"/>
      <c r="B826" s="5"/>
      <c r="C826" s="5"/>
      <c r="D826" s="52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114"/>
      <c r="AB826" s="114"/>
      <c r="AC826" s="114"/>
    </row>
    <row r="827">
      <c r="A827" s="5"/>
      <c r="B827" s="5"/>
      <c r="C827" s="5"/>
      <c r="D827" s="52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114"/>
      <c r="AB827" s="114"/>
      <c r="AC827" s="114"/>
    </row>
    <row r="828">
      <c r="A828" s="5"/>
      <c r="B828" s="5"/>
      <c r="C828" s="5"/>
      <c r="D828" s="52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114"/>
      <c r="AB828" s="114"/>
      <c r="AC828" s="114"/>
    </row>
    <row r="829">
      <c r="A829" s="5"/>
      <c r="B829" s="5"/>
      <c r="C829" s="5"/>
      <c r="D829" s="52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114"/>
      <c r="AB829" s="114"/>
      <c r="AC829" s="114"/>
    </row>
    <row r="830">
      <c r="A830" s="5"/>
      <c r="B830" s="5"/>
      <c r="C830" s="5"/>
      <c r="D830" s="52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114"/>
      <c r="AB830" s="114"/>
      <c r="AC830" s="114"/>
    </row>
    <row r="831">
      <c r="A831" s="5"/>
      <c r="B831" s="5"/>
      <c r="C831" s="5"/>
      <c r="D831" s="52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114"/>
      <c r="AB831" s="114"/>
      <c r="AC831" s="114"/>
    </row>
    <row r="832">
      <c r="A832" s="5"/>
      <c r="B832" s="5"/>
      <c r="C832" s="5"/>
      <c r="D832" s="52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114"/>
      <c r="AB832" s="114"/>
      <c r="AC832" s="114"/>
    </row>
    <row r="833">
      <c r="A833" s="5"/>
      <c r="B833" s="5"/>
      <c r="C833" s="5"/>
      <c r="D833" s="52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114"/>
      <c r="AB833" s="114"/>
      <c r="AC833" s="114"/>
    </row>
    <row r="834">
      <c r="A834" s="5"/>
      <c r="B834" s="5"/>
      <c r="C834" s="5"/>
      <c r="D834" s="52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114"/>
      <c r="AB834" s="114"/>
      <c r="AC834" s="114"/>
    </row>
    <row r="835">
      <c r="A835" s="5"/>
      <c r="B835" s="5"/>
      <c r="C835" s="5"/>
      <c r="D835" s="52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114"/>
      <c r="AB835" s="114"/>
      <c r="AC835" s="114"/>
    </row>
    <row r="836">
      <c r="A836" s="5"/>
      <c r="B836" s="5"/>
      <c r="C836" s="5"/>
      <c r="D836" s="52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114"/>
      <c r="AB836" s="114"/>
      <c r="AC836" s="114"/>
    </row>
    <row r="837">
      <c r="A837" s="5"/>
      <c r="B837" s="5"/>
      <c r="C837" s="5"/>
      <c r="D837" s="52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114"/>
      <c r="AB837" s="114"/>
      <c r="AC837" s="114"/>
    </row>
    <row r="838">
      <c r="A838" s="5"/>
      <c r="B838" s="5"/>
      <c r="C838" s="5"/>
      <c r="D838" s="52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114"/>
      <c r="AB838" s="114"/>
      <c r="AC838" s="114"/>
    </row>
    <row r="839">
      <c r="A839" s="5"/>
      <c r="B839" s="5"/>
      <c r="C839" s="5"/>
      <c r="D839" s="52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114"/>
      <c r="AB839" s="114"/>
      <c r="AC839" s="114"/>
    </row>
    <row r="840">
      <c r="A840" s="5"/>
      <c r="B840" s="5"/>
      <c r="C840" s="5"/>
      <c r="D840" s="52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114"/>
      <c r="AB840" s="114"/>
      <c r="AC840" s="114"/>
    </row>
    <row r="841">
      <c r="A841" s="5"/>
      <c r="B841" s="5"/>
      <c r="C841" s="5"/>
      <c r="D841" s="52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114"/>
      <c r="AB841" s="114"/>
      <c r="AC841" s="114"/>
    </row>
    <row r="842">
      <c r="A842" s="5"/>
      <c r="B842" s="5"/>
      <c r="C842" s="5"/>
      <c r="D842" s="52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114"/>
      <c r="AB842" s="114"/>
      <c r="AC842" s="114"/>
    </row>
    <row r="843">
      <c r="A843" s="5"/>
      <c r="B843" s="5"/>
      <c r="C843" s="5"/>
      <c r="D843" s="52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114"/>
      <c r="AB843" s="114"/>
      <c r="AC843" s="114"/>
    </row>
    <row r="844">
      <c r="A844" s="5"/>
      <c r="B844" s="5"/>
      <c r="C844" s="5"/>
      <c r="D844" s="52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114"/>
      <c r="AB844" s="114"/>
      <c r="AC844" s="114"/>
    </row>
    <row r="845">
      <c r="A845" s="5"/>
      <c r="B845" s="5"/>
      <c r="C845" s="5"/>
      <c r="D845" s="52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114"/>
      <c r="AB845" s="114"/>
      <c r="AC845" s="114"/>
    </row>
    <row r="846">
      <c r="A846" s="5"/>
      <c r="B846" s="5"/>
      <c r="C846" s="5"/>
      <c r="D846" s="52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114"/>
      <c r="AB846" s="114"/>
      <c r="AC846" s="114"/>
    </row>
    <row r="847">
      <c r="A847" s="5"/>
      <c r="B847" s="5"/>
      <c r="C847" s="5"/>
      <c r="D847" s="52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114"/>
      <c r="AB847" s="114"/>
      <c r="AC847" s="114"/>
    </row>
    <row r="848">
      <c r="A848" s="5"/>
      <c r="B848" s="5"/>
      <c r="C848" s="5"/>
      <c r="D848" s="52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114"/>
      <c r="AB848" s="114"/>
      <c r="AC848" s="114"/>
    </row>
    <row r="849">
      <c r="A849" s="5"/>
      <c r="B849" s="5"/>
      <c r="C849" s="5"/>
      <c r="D849" s="52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114"/>
      <c r="AB849" s="114"/>
      <c r="AC849" s="114"/>
    </row>
    <row r="850">
      <c r="A850" s="5"/>
      <c r="B850" s="5"/>
      <c r="C850" s="5"/>
      <c r="D850" s="52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114"/>
      <c r="AB850" s="114"/>
      <c r="AC850" s="114"/>
    </row>
    <row r="851">
      <c r="A851" s="5"/>
      <c r="B851" s="5"/>
      <c r="C851" s="5"/>
      <c r="D851" s="52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114"/>
      <c r="AB851" s="114"/>
      <c r="AC851" s="114"/>
    </row>
    <row r="852">
      <c r="A852" s="5"/>
      <c r="B852" s="5"/>
      <c r="C852" s="5"/>
      <c r="D852" s="52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114"/>
      <c r="AB852" s="114"/>
      <c r="AC852" s="114"/>
    </row>
    <row r="853">
      <c r="A853" s="5"/>
      <c r="B853" s="5"/>
      <c r="C853" s="5"/>
      <c r="D853" s="52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114"/>
      <c r="AB853" s="114"/>
      <c r="AC853" s="114"/>
    </row>
    <row r="854">
      <c r="A854" s="5"/>
      <c r="B854" s="5"/>
      <c r="C854" s="5"/>
      <c r="D854" s="52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114"/>
      <c r="AB854" s="114"/>
      <c r="AC854" s="114"/>
    </row>
    <row r="855">
      <c r="A855" s="5"/>
      <c r="B855" s="5"/>
      <c r="C855" s="5"/>
      <c r="D855" s="52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  <c r="AA855" s="114"/>
      <c r="AB855" s="114"/>
      <c r="AC855" s="114"/>
    </row>
    <row r="856">
      <c r="A856" s="5"/>
      <c r="B856" s="5"/>
      <c r="C856" s="5"/>
      <c r="D856" s="52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  <c r="AA856" s="114"/>
      <c r="AB856" s="114"/>
      <c r="AC856" s="114"/>
    </row>
    <row r="857">
      <c r="A857" s="5"/>
      <c r="B857" s="5"/>
      <c r="C857" s="5"/>
      <c r="D857" s="52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114"/>
      <c r="AB857" s="114"/>
      <c r="AC857" s="114"/>
    </row>
    <row r="858">
      <c r="A858" s="5"/>
      <c r="B858" s="5"/>
      <c r="C858" s="5"/>
      <c r="D858" s="52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  <c r="AA858" s="114"/>
      <c r="AB858" s="114"/>
      <c r="AC858" s="114"/>
    </row>
    <row r="859">
      <c r="A859" s="5"/>
      <c r="B859" s="5"/>
      <c r="C859" s="5"/>
      <c r="D859" s="52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  <c r="AA859" s="114"/>
      <c r="AB859" s="114"/>
      <c r="AC859" s="114"/>
    </row>
    <row r="860">
      <c r="A860" s="5"/>
      <c r="B860" s="5"/>
      <c r="C860" s="5"/>
      <c r="D860" s="52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  <c r="AA860" s="114"/>
      <c r="AB860" s="114"/>
      <c r="AC860" s="114"/>
    </row>
    <row r="861">
      <c r="A861" s="5"/>
      <c r="B861" s="5"/>
      <c r="C861" s="5"/>
      <c r="D861" s="52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  <c r="AA861" s="114"/>
      <c r="AB861" s="114"/>
      <c r="AC861" s="114"/>
    </row>
    <row r="862">
      <c r="A862" s="5"/>
      <c r="B862" s="5"/>
      <c r="C862" s="5"/>
      <c r="D862" s="52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114"/>
      <c r="AB862" s="114"/>
      <c r="AC862" s="114"/>
    </row>
    <row r="863">
      <c r="A863" s="5"/>
      <c r="B863" s="5"/>
      <c r="C863" s="5"/>
      <c r="D863" s="52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  <c r="AA863" s="114"/>
      <c r="AB863" s="114"/>
      <c r="AC863" s="114"/>
    </row>
    <row r="864">
      <c r="A864" s="5"/>
      <c r="B864" s="5"/>
      <c r="C864" s="5"/>
      <c r="D864" s="52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  <c r="AA864" s="114"/>
      <c r="AB864" s="114"/>
      <c r="AC864" s="114"/>
    </row>
    <row r="865">
      <c r="A865" s="5"/>
      <c r="B865" s="5"/>
      <c r="C865" s="5"/>
      <c r="D865" s="52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  <c r="AA865" s="114"/>
      <c r="AB865" s="114"/>
      <c r="AC865" s="114"/>
    </row>
    <row r="866">
      <c r="A866" s="5"/>
      <c r="B866" s="5"/>
      <c r="C866" s="5"/>
      <c r="D866" s="52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114"/>
      <c r="AB866" s="114"/>
      <c r="AC866" s="114"/>
    </row>
    <row r="867">
      <c r="A867" s="5"/>
      <c r="B867" s="5"/>
      <c r="C867" s="5"/>
      <c r="D867" s="52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  <c r="AA867" s="114"/>
      <c r="AB867" s="114"/>
      <c r="AC867" s="114"/>
    </row>
    <row r="868">
      <c r="A868" s="5"/>
      <c r="B868" s="5"/>
      <c r="C868" s="5"/>
      <c r="D868" s="52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114"/>
      <c r="AB868" s="114"/>
      <c r="AC868" s="114"/>
    </row>
    <row r="869">
      <c r="A869" s="5"/>
      <c r="B869" s="5"/>
      <c r="C869" s="5"/>
      <c r="D869" s="52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  <c r="AA869" s="114"/>
      <c r="AB869" s="114"/>
      <c r="AC869" s="114"/>
    </row>
    <row r="870">
      <c r="A870" s="5"/>
      <c r="B870" s="5"/>
      <c r="C870" s="5"/>
      <c r="D870" s="52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  <c r="AA870" s="114"/>
      <c r="AB870" s="114"/>
      <c r="AC870" s="114"/>
    </row>
    <row r="871">
      <c r="A871" s="5"/>
      <c r="B871" s="5"/>
      <c r="C871" s="5"/>
      <c r="D871" s="52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  <c r="AA871" s="114"/>
      <c r="AB871" s="114"/>
      <c r="AC871" s="114"/>
    </row>
    <row r="872">
      <c r="A872" s="5"/>
      <c r="B872" s="5"/>
      <c r="C872" s="5"/>
      <c r="D872" s="52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  <c r="AA872" s="114"/>
      <c r="AB872" s="114"/>
      <c r="AC872" s="114"/>
    </row>
    <row r="873">
      <c r="A873" s="5"/>
      <c r="B873" s="5"/>
      <c r="C873" s="5"/>
      <c r="D873" s="52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114"/>
      <c r="AB873" s="114"/>
      <c r="AC873" s="114"/>
    </row>
    <row r="874">
      <c r="A874" s="5"/>
      <c r="B874" s="5"/>
      <c r="C874" s="5"/>
      <c r="D874" s="52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114"/>
      <c r="AB874" s="114"/>
      <c r="AC874" s="114"/>
    </row>
    <row r="875">
      <c r="A875" s="5"/>
      <c r="B875" s="5"/>
      <c r="C875" s="5"/>
      <c r="D875" s="52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114"/>
      <c r="AB875" s="114"/>
      <c r="AC875" s="114"/>
    </row>
    <row r="876">
      <c r="A876" s="5"/>
      <c r="B876" s="5"/>
      <c r="C876" s="5"/>
      <c r="D876" s="52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114"/>
      <c r="AB876" s="114"/>
      <c r="AC876" s="114"/>
    </row>
    <row r="877">
      <c r="A877" s="5"/>
      <c r="B877" s="5"/>
      <c r="C877" s="5"/>
      <c r="D877" s="52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114"/>
      <c r="AB877" s="114"/>
      <c r="AC877" s="114"/>
    </row>
    <row r="878">
      <c r="A878" s="5"/>
      <c r="B878" s="5"/>
      <c r="C878" s="5"/>
      <c r="D878" s="52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114"/>
      <c r="AB878" s="114"/>
      <c r="AC878" s="114"/>
    </row>
    <row r="879">
      <c r="A879" s="5"/>
      <c r="B879" s="5"/>
      <c r="C879" s="5"/>
      <c r="D879" s="52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114"/>
      <c r="AB879" s="114"/>
      <c r="AC879" s="114"/>
    </row>
    <row r="880">
      <c r="A880" s="5"/>
      <c r="B880" s="5"/>
      <c r="C880" s="5"/>
      <c r="D880" s="52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114"/>
      <c r="AB880" s="114"/>
      <c r="AC880" s="114"/>
    </row>
    <row r="881">
      <c r="A881" s="5"/>
      <c r="B881" s="5"/>
      <c r="C881" s="5"/>
      <c r="D881" s="52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114"/>
      <c r="AB881" s="114"/>
      <c r="AC881" s="114"/>
    </row>
    <row r="882">
      <c r="A882" s="5"/>
      <c r="B882" s="5"/>
      <c r="C882" s="5"/>
      <c r="D882" s="52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  <c r="AA882" s="114"/>
      <c r="AB882" s="114"/>
      <c r="AC882" s="114"/>
    </row>
    <row r="883">
      <c r="A883" s="5"/>
      <c r="B883" s="5"/>
      <c r="C883" s="5"/>
      <c r="D883" s="52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  <c r="AA883" s="114"/>
      <c r="AB883" s="114"/>
      <c r="AC883" s="114"/>
    </row>
    <row r="884">
      <c r="A884" s="5"/>
      <c r="B884" s="5"/>
      <c r="C884" s="5"/>
      <c r="D884" s="52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  <c r="AA884" s="114"/>
      <c r="AB884" s="114"/>
      <c r="AC884" s="114"/>
    </row>
    <row r="885">
      <c r="A885" s="5"/>
      <c r="B885" s="5"/>
      <c r="C885" s="5"/>
      <c r="D885" s="52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  <c r="AA885" s="114"/>
      <c r="AB885" s="114"/>
      <c r="AC885" s="114"/>
    </row>
    <row r="886">
      <c r="A886" s="5"/>
      <c r="B886" s="5"/>
      <c r="C886" s="5"/>
      <c r="D886" s="52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  <c r="AA886" s="114"/>
      <c r="AB886" s="114"/>
      <c r="AC886" s="114"/>
    </row>
    <row r="887">
      <c r="A887" s="5"/>
      <c r="B887" s="5"/>
      <c r="C887" s="5"/>
      <c r="D887" s="52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  <c r="AA887" s="114"/>
      <c r="AB887" s="114"/>
      <c r="AC887" s="114"/>
    </row>
    <row r="888">
      <c r="A888" s="5"/>
      <c r="B888" s="5"/>
      <c r="C888" s="5"/>
      <c r="D888" s="52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  <c r="AA888" s="114"/>
      <c r="AB888" s="114"/>
      <c r="AC888" s="114"/>
    </row>
    <row r="889">
      <c r="A889" s="5"/>
      <c r="B889" s="5"/>
      <c r="C889" s="5"/>
      <c r="D889" s="52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  <c r="AA889" s="114"/>
      <c r="AB889" s="114"/>
      <c r="AC889" s="114"/>
    </row>
    <row r="890">
      <c r="A890" s="5"/>
      <c r="B890" s="5"/>
      <c r="C890" s="5"/>
      <c r="D890" s="52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  <c r="AA890" s="114"/>
      <c r="AB890" s="114"/>
      <c r="AC890" s="114"/>
    </row>
    <row r="891">
      <c r="A891" s="5"/>
      <c r="B891" s="5"/>
      <c r="C891" s="5"/>
      <c r="D891" s="52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  <c r="AA891" s="114"/>
      <c r="AB891" s="114"/>
      <c r="AC891" s="114"/>
    </row>
    <row r="892">
      <c r="A892" s="5"/>
      <c r="B892" s="5"/>
      <c r="C892" s="5"/>
      <c r="D892" s="52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  <c r="AA892" s="114"/>
      <c r="AB892" s="114"/>
      <c r="AC892" s="114"/>
    </row>
    <row r="893">
      <c r="A893" s="5"/>
      <c r="B893" s="5"/>
      <c r="C893" s="5"/>
      <c r="D893" s="52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114"/>
      <c r="AB893" s="114"/>
      <c r="AC893" s="114"/>
    </row>
    <row r="894">
      <c r="A894" s="5"/>
      <c r="B894" s="5"/>
      <c r="C894" s="5"/>
      <c r="D894" s="52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114"/>
      <c r="AB894" s="114"/>
      <c r="AC894" s="114"/>
    </row>
    <row r="895">
      <c r="A895" s="5"/>
      <c r="B895" s="5"/>
      <c r="C895" s="5"/>
      <c r="D895" s="52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114"/>
      <c r="AB895" s="114"/>
      <c r="AC895" s="114"/>
    </row>
    <row r="896">
      <c r="A896" s="5"/>
      <c r="B896" s="5"/>
      <c r="C896" s="5"/>
      <c r="D896" s="52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114"/>
      <c r="AB896" s="114"/>
      <c r="AC896" s="114"/>
    </row>
    <row r="897">
      <c r="A897" s="5"/>
      <c r="B897" s="5"/>
      <c r="C897" s="5"/>
      <c r="D897" s="52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114"/>
      <c r="AB897" s="114"/>
      <c r="AC897" s="114"/>
    </row>
    <row r="898">
      <c r="A898" s="5"/>
      <c r="B898" s="5"/>
      <c r="C898" s="5"/>
      <c r="D898" s="52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114"/>
      <c r="AB898" s="114"/>
      <c r="AC898" s="114"/>
    </row>
    <row r="899">
      <c r="A899" s="5"/>
      <c r="B899" s="5"/>
      <c r="C899" s="5"/>
      <c r="D899" s="52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114"/>
      <c r="AB899" s="114"/>
      <c r="AC899" s="114"/>
    </row>
    <row r="900">
      <c r="A900" s="5"/>
      <c r="B900" s="5"/>
      <c r="C900" s="5"/>
      <c r="D900" s="52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114"/>
      <c r="AB900" s="114"/>
      <c r="AC900" s="114"/>
    </row>
    <row r="901">
      <c r="A901" s="5"/>
      <c r="B901" s="5"/>
      <c r="C901" s="5"/>
      <c r="D901" s="52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114"/>
      <c r="AB901" s="114"/>
      <c r="AC901" s="114"/>
    </row>
    <row r="902">
      <c r="A902" s="5"/>
      <c r="B902" s="5"/>
      <c r="C902" s="5"/>
      <c r="D902" s="52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114"/>
      <c r="AB902" s="114"/>
      <c r="AC902" s="114"/>
    </row>
    <row r="903">
      <c r="A903" s="5"/>
      <c r="B903" s="5"/>
      <c r="C903" s="5"/>
      <c r="D903" s="52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114"/>
      <c r="AB903" s="114"/>
      <c r="AC903" s="114"/>
    </row>
    <row r="904">
      <c r="A904" s="5"/>
      <c r="B904" s="5"/>
      <c r="C904" s="5"/>
      <c r="D904" s="52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114"/>
      <c r="AB904" s="114"/>
      <c r="AC904" s="114"/>
    </row>
    <row r="905">
      <c r="A905" s="5"/>
      <c r="B905" s="5"/>
      <c r="C905" s="5"/>
      <c r="D905" s="52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114"/>
      <c r="AB905" s="114"/>
      <c r="AC905" s="114"/>
    </row>
    <row r="906">
      <c r="A906" s="5"/>
      <c r="B906" s="5"/>
      <c r="C906" s="5"/>
      <c r="D906" s="52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114"/>
      <c r="AB906" s="114"/>
      <c r="AC906" s="114"/>
    </row>
    <row r="907">
      <c r="A907" s="5"/>
      <c r="B907" s="5"/>
      <c r="C907" s="5"/>
      <c r="D907" s="52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114"/>
      <c r="AB907" s="114"/>
      <c r="AC907" s="114"/>
    </row>
    <row r="908">
      <c r="A908" s="5"/>
      <c r="B908" s="5"/>
      <c r="C908" s="5"/>
      <c r="D908" s="52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114"/>
      <c r="AB908" s="114"/>
      <c r="AC908" s="114"/>
    </row>
    <row r="909">
      <c r="A909" s="5"/>
      <c r="B909" s="5"/>
      <c r="C909" s="5"/>
      <c r="D909" s="52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114"/>
      <c r="AB909" s="114"/>
      <c r="AC909" s="114"/>
    </row>
    <row r="910">
      <c r="A910" s="5"/>
      <c r="B910" s="5"/>
      <c r="C910" s="5"/>
      <c r="D910" s="52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114"/>
      <c r="AB910" s="114"/>
      <c r="AC910" s="114"/>
    </row>
    <row r="911">
      <c r="A911" s="5"/>
      <c r="B911" s="5"/>
      <c r="C911" s="5"/>
      <c r="D911" s="52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114"/>
      <c r="AB911" s="114"/>
      <c r="AC911" s="114"/>
    </row>
    <row r="912">
      <c r="A912" s="5"/>
      <c r="B912" s="5"/>
      <c r="C912" s="5"/>
      <c r="D912" s="52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114"/>
      <c r="AB912" s="114"/>
      <c r="AC912" s="114"/>
    </row>
    <row r="913">
      <c r="A913" s="5"/>
      <c r="B913" s="5"/>
      <c r="C913" s="5"/>
      <c r="D913" s="52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114"/>
      <c r="AB913" s="114"/>
      <c r="AC913" s="114"/>
    </row>
    <row r="914">
      <c r="A914" s="5"/>
      <c r="B914" s="5"/>
      <c r="C914" s="5"/>
      <c r="D914" s="52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114"/>
      <c r="AB914" s="114"/>
      <c r="AC914" s="114"/>
    </row>
    <row r="915">
      <c r="A915" s="5"/>
      <c r="B915" s="5"/>
      <c r="C915" s="5"/>
      <c r="D915" s="52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114"/>
      <c r="AB915" s="114"/>
      <c r="AC915" s="114"/>
    </row>
    <row r="916">
      <c r="A916" s="5"/>
      <c r="B916" s="5"/>
      <c r="C916" s="5"/>
      <c r="D916" s="52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114"/>
      <c r="AB916" s="114"/>
      <c r="AC916" s="114"/>
    </row>
    <row r="917">
      <c r="A917" s="5"/>
      <c r="B917" s="5"/>
      <c r="C917" s="5"/>
      <c r="D917" s="52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114"/>
      <c r="AB917" s="114"/>
      <c r="AC917" s="114"/>
    </row>
    <row r="918">
      <c r="A918" s="5"/>
      <c r="B918" s="5"/>
      <c r="C918" s="5"/>
      <c r="D918" s="52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114"/>
      <c r="AB918" s="114"/>
      <c r="AC918" s="114"/>
    </row>
    <row r="919">
      <c r="A919" s="5"/>
      <c r="B919" s="5"/>
      <c r="C919" s="5"/>
      <c r="D919" s="52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114"/>
      <c r="AB919" s="114"/>
      <c r="AC919" s="114"/>
    </row>
    <row r="920">
      <c r="A920" s="5"/>
      <c r="B920" s="5"/>
      <c r="C920" s="5"/>
      <c r="D920" s="52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114"/>
      <c r="AB920" s="114"/>
      <c r="AC920" s="114"/>
    </row>
    <row r="921">
      <c r="A921" s="5"/>
      <c r="B921" s="5"/>
      <c r="C921" s="5"/>
      <c r="D921" s="52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114"/>
      <c r="AB921" s="114"/>
      <c r="AC921" s="114"/>
    </row>
    <row r="922">
      <c r="A922" s="5"/>
      <c r="B922" s="5"/>
      <c r="C922" s="5"/>
      <c r="D922" s="52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114"/>
      <c r="AB922" s="114"/>
      <c r="AC922" s="114"/>
    </row>
    <row r="923">
      <c r="A923" s="5"/>
      <c r="B923" s="5"/>
      <c r="C923" s="5"/>
      <c r="D923" s="52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114"/>
      <c r="AB923" s="114"/>
      <c r="AC923" s="114"/>
    </row>
    <row r="924">
      <c r="A924" s="5"/>
      <c r="B924" s="5"/>
      <c r="C924" s="5"/>
      <c r="D924" s="52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114"/>
      <c r="AB924" s="114"/>
      <c r="AC924" s="114"/>
    </row>
    <row r="925">
      <c r="A925" s="5"/>
      <c r="B925" s="5"/>
      <c r="C925" s="5"/>
      <c r="D925" s="52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114"/>
      <c r="AB925" s="114"/>
      <c r="AC925" s="114"/>
    </row>
    <row r="926">
      <c r="A926" s="5"/>
      <c r="B926" s="5"/>
      <c r="C926" s="5"/>
      <c r="D926" s="52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114"/>
      <c r="AB926" s="114"/>
      <c r="AC926" s="114"/>
    </row>
    <row r="927">
      <c r="A927" s="5"/>
      <c r="B927" s="5"/>
      <c r="C927" s="5"/>
      <c r="D927" s="52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114"/>
      <c r="AB927" s="114"/>
      <c r="AC927" s="114"/>
    </row>
    <row r="928">
      <c r="A928" s="5"/>
      <c r="B928" s="5"/>
      <c r="C928" s="5"/>
      <c r="D928" s="52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114"/>
      <c r="AB928" s="114"/>
      <c r="AC928" s="114"/>
    </row>
    <row r="929">
      <c r="A929" s="5"/>
      <c r="B929" s="5"/>
      <c r="C929" s="5"/>
      <c r="D929" s="52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114"/>
      <c r="AB929" s="114"/>
      <c r="AC929" s="114"/>
    </row>
    <row r="930">
      <c r="A930" s="5"/>
      <c r="B930" s="5"/>
      <c r="C930" s="5"/>
      <c r="D930" s="52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114"/>
      <c r="AB930" s="114"/>
      <c r="AC930" s="114"/>
    </row>
    <row r="931">
      <c r="A931" s="5"/>
      <c r="B931" s="5"/>
      <c r="C931" s="5"/>
      <c r="D931" s="52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114"/>
      <c r="AB931" s="114"/>
      <c r="AC931" s="114"/>
    </row>
    <row r="932">
      <c r="A932" s="5"/>
      <c r="B932" s="5"/>
      <c r="C932" s="5"/>
      <c r="D932" s="52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114"/>
      <c r="AB932" s="114"/>
      <c r="AC932" s="114"/>
    </row>
    <row r="933">
      <c r="A933" s="5"/>
      <c r="B933" s="5"/>
      <c r="C933" s="5"/>
      <c r="D933" s="52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114"/>
      <c r="AB933" s="114"/>
      <c r="AC933" s="114"/>
    </row>
    <row r="934">
      <c r="A934" s="5"/>
      <c r="B934" s="5"/>
      <c r="C934" s="5"/>
      <c r="D934" s="52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114"/>
      <c r="AB934" s="114"/>
      <c r="AC934" s="114"/>
    </row>
    <row r="935">
      <c r="A935" s="5"/>
      <c r="B935" s="5"/>
      <c r="C935" s="5"/>
      <c r="D935" s="52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114"/>
      <c r="AB935" s="114"/>
      <c r="AC935" s="114"/>
    </row>
    <row r="936">
      <c r="A936" s="5"/>
      <c r="B936" s="5"/>
      <c r="C936" s="5"/>
      <c r="D936" s="52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114"/>
      <c r="AB936" s="114"/>
      <c r="AC936" s="114"/>
    </row>
    <row r="937">
      <c r="A937" s="5"/>
      <c r="B937" s="5"/>
      <c r="C937" s="5"/>
      <c r="D937" s="52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114"/>
      <c r="AB937" s="114"/>
      <c r="AC937" s="114"/>
    </row>
    <row r="938">
      <c r="A938" s="5"/>
      <c r="B938" s="5"/>
      <c r="C938" s="5"/>
      <c r="D938" s="52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114"/>
      <c r="AB938" s="114"/>
      <c r="AC938" s="114"/>
    </row>
    <row r="939">
      <c r="A939" s="5"/>
      <c r="B939" s="5"/>
      <c r="C939" s="5"/>
      <c r="D939" s="52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114"/>
      <c r="AB939" s="114"/>
      <c r="AC939" s="114"/>
    </row>
    <row r="940">
      <c r="A940" s="5"/>
      <c r="B940" s="5"/>
      <c r="C940" s="5"/>
      <c r="D940" s="52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114"/>
      <c r="AB940" s="114"/>
      <c r="AC940" s="114"/>
    </row>
    <row r="941">
      <c r="A941" s="5"/>
      <c r="B941" s="5"/>
      <c r="C941" s="5"/>
      <c r="D941" s="52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114"/>
      <c r="AB941" s="114"/>
      <c r="AC941" s="114"/>
    </row>
    <row r="942">
      <c r="A942" s="5"/>
      <c r="B942" s="5"/>
      <c r="C942" s="5"/>
      <c r="D942" s="52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114"/>
      <c r="AB942" s="114"/>
      <c r="AC942" s="114"/>
    </row>
    <row r="943">
      <c r="A943" s="5"/>
      <c r="B943" s="5"/>
      <c r="C943" s="5"/>
      <c r="D943" s="52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114"/>
      <c r="AB943" s="114"/>
      <c r="AC943" s="114"/>
    </row>
    <row r="944">
      <c r="A944" s="5"/>
      <c r="B944" s="5"/>
      <c r="C944" s="5"/>
      <c r="D944" s="52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114"/>
      <c r="AB944" s="114"/>
      <c r="AC944" s="114"/>
    </row>
    <row r="945">
      <c r="A945" s="5"/>
      <c r="B945" s="5"/>
      <c r="C945" s="5"/>
      <c r="D945" s="52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114"/>
      <c r="AB945" s="114"/>
      <c r="AC945" s="114"/>
    </row>
    <row r="946">
      <c r="A946" s="5"/>
      <c r="B946" s="5"/>
      <c r="C946" s="5"/>
      <c r="D946" s="52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114"/>
      <c r="AB946" s="114"/>
      <c r="AC946" s="114"/>
    </row>
    <row r="947">
      <c r="A947" s="5"/>
      <c r="B947" s="5"/>
      <c r="C947" s="5"/>
      <c r="D947" s="52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114"/>
      <c r="AB947" s="114"/>
      <c r="AC947" s="114"/>
    </row>
    <row r="948">
      <c r="A948" s="5"/>
      <c r="B948" s="5"/>
      <c r="C948" s="5"/>
      <c r="D948" s="52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114"/>
      <c r="AB948" s="114"/>
      <c r="AC948" s="114"/>
    </row>
    <row r="949">
      <c r="A949" s="5"/>
      <c r="B949" s="5"/>
      <c r="C949" s="5"/>
      <c r="D949" s="52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114"/>
      <c r="AB949" s="114"/>
      <c r="AC949" s="114"/>
    </row>
    <row r="950">
      <c r="A950" s="5"/>
      <c r="B950" s="5"/>
      <c r="C950" s="5"/>
      <c r="D950" s="52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114"/>
      <c r="AB950" s="114"/>
      <c r="AC950" s="114"/>
    </row>
    <row r="951">
      <c r="A951" s="5"/>
      <c r="B951" s="5"/>
      <c r="C951" s="5"/>
      <c r="D951" s="52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114"/>
      <c r="AB951" s="114"/>
      <c r="AC951" s="114"/>
    </row>
    <row r="952">
      <c r="A952" s="5"/>
      <c r="B952" s="5"/>
      <c r="C952" s="5"/>
      <c r="D952" s="52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114"/>
      <c r="AB952" s="114"/>
      <c r="AC952" s="114"/>
    </row>
    <row r="953">
      <c r="A953" s="5"/>
      <c r="B953" s="5"/>
      <c r="C953" s="5"/>
      <c r="D953" s="52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114"/>
      <c r="AB953" s="114"/>
      <c r="AC953" s="114"/>
    </row>
    <row r="954">
      <c r="A954" s="5"/>
      <c r="B954" s="5"/>
      <c r="C954" s="5"/>
      <c r="D954" s="52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114"/>
      <c r="AB954" s="114"/>
      <c r="AC954" s="114"/>
    </row>
    <row r="955">
      <c r="A955" s="5"/>
      <c r="B955" s="5"/>
      <c r="C955" s="5"/>
      <c r="D955" s="52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114"/>
      <c r="AB955" s="114"/>
      <c r="AC955" s="114"/>
    </row>
    <row r="956">
      <c r="A956" s="5"/>
      <c r="B956" s="5"/>
      <c r="C956" s="5"/>
      <c r="D956" s="52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114"/>
      <c r="AB956" s="114"/>
      <c r="AC956" s="114"/>
    </row>
    <row r="957">
      <c r="A957" s="5"/>
      <c r="B957" s="5"/>
      <c r="C957" s="5"/>
      <c r="D957" s="52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114"/>
      <c r="AB957" s="114"/>
      <c r="AC957" s="114"/>
    </row>
    <row r="958">
      <c r="A958" s="5"/>
      <c r="B958" s="5"/>
      <c r="C958" s="5"/>
      <c r="D958" s="52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114"/>
      <c r="AB958" s="114"/>
      <c r="AC958" s="114"/>
    </row>
    <row r="959">
      <c r="A959" s="5"/>
      <c r="B959" s="5"/>
      <c r="C959" s="5"/>
      <c r="D959" s="52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114"/>
      <c r="AB959" s="114"/>
      <c r="AC959" s="114"/>
    </row>
    <row r="960">
      <c r="A960" s="5"/>
      <c r="B960" s="5"/>
      <c r="C960" s="5"/>
      <c r="D960" s="52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114"/>
      <c r="AB960" s="114"/>
      <c r="AC960" s="114"/>
    </row>
    <row r="961">
      <c r="A961" s="5"/>
      <c r="B961" s="5"/>
      <c r="C961" s="5"/>
      <c r="D961" s="52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114"/>
      <c r="AB961" s="114"/>
      <c r="AC961" s="114"/>
    </row>
    <row r="962">
      <c r="A962" s="5"/>
      <c r="B962" s="5"/>
      <c r="C962" s="5"/>
      <c r="D962" s="52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114"/>
      <c r="AB962" s="114"/>
      <c r="AC962" s="114"/>
    </row>
    <row r="963">
      <c r="A963" s="5"/>
      <c r="B963" s="5"/>
      <c r="C963" s="5"/>
      <c r="D963" s="52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114"/>
      <c r="AB963" s="114"/>
      <c r="AC963" s="114"/>
    </row>
    <row r="964">
      <c r="A964" s="5"/>
      <c r="B964" s="5"/>
      <c r="C964" s="5"/>
      <c r="D964" s="52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114"/>
      <c r="AB964" s="114"/>
      <c r="AC964" s="114"/>
    </row>
    <row r="965">
      <c r="A965" s="5"/>
      <c r="B965" s="5"/>
      <c r="C965" s="5"/>
      <c r="D965" s="52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114"/>
      <c r="AB965" s="114"/>
      <c r="AC965" s="114"/>
    </row>
    <row r="966">
      <c r="A966" s="5"/>
      <c r="B966" s="5"/>
      <c r="C966" s="5"/>
      <c r="D966" s="52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114"/>
      <c r="AB966" s="114"/>
      <c r="AC966" s="114"/>
    </row>
    <row r="967">
      <c r="A967" s="5"/>
      <c r="B967" s="5"/>
      <c r="C967" s="5"/>
      <c r="D967" s="52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114"/>
      <c r="AB967" s="114"/>
      <c r="AC967" s="114"/>
    </row>
    <row r="968">
      <c r="A968" s="5"/>
      <c r="B968" s="5"/>
      <c r="C968" s="5"/>
      <c r="D968" s="52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114"/>
      <c r="AB968" s="114"/>
      <c r="AC968" s="114"/>
    </row>
    <row r="969">
      <c r="A969" s="5"/>
      <c r="B969" s="5"/>
      <c r="C969" s="5"/>
      <c r="D969" s="52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114"/>
      <c r="AB969" s="114"/>
      <c r="AC969" s="114"/>
    </row>
    <row r="970">
      <c r="A970" s="5"/>
      <c r="B970" s="5"/>
      <c r="C970" s="5"/>
      <c r="D970" s="52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114"/>
      <c r="AB970" s="114"/>
      <c r="AC970" s="114"/>
    </row>
    <row r="971">
      <c r="A971" s="5"/>
      <c r="B971" s="5"/>
      <c r="C971" s="5"/>
      <c r="D971" s="52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114"/>
      <c r="AB971" s="114"/>
      <c r="AC971" s="114"/>
    </row>
    <row r="972">
      <c r="A972" s="5"/>
      <c r="B972" s="5"/>
      <c r="C972" s="5"/>
      <c r="D972" s="52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114"/>
      <c r="AB972" s="114"/>
      <c r="AC972" s="114"/>
    </row>
    <row r="973">
      <c r="A973" s="5"/>
      <c r="B973" s="5"/>
      <c r="C973" s="5"/>
      <c r="D973" s="52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114"/>
      <c r="AB973" s="114"/>
      <c r="AC973" s="114"/>
    </row>
    <row r="974">
      <c r="A974" s="5"/>
      <c r="B974" s="5"/>
      <c r="C974" s="5"/>
      <c r="D974" s="52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114"/>
      <c r="AB974" s="114"/>
      <c r="AC974" s="114"/>
    </row>
    <row r="975">
      <c r="A975" s="5"/>
      <c r="B975" s="5"/>
      <c r="C975" s="5"/>
      <c r="D975" s="52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114"/>
      <c r="AB975" s="114"/>
      <c r="AC975" s="114"/>
    </row>
    <row r="976">
      <c r="A976" s="5"/>
      <c r="B976" s="5"/>
      <c r="C976" s="5"/>
      <c r="D976" s="52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114"/>
      <c r="AB976" s="114"/>
      <c r="AC976" s="114"/>
    </row>
    <row r="977">
      <c r="A977" s="5"/>
      <c r="B977" s="5"/>
      <c r="C977" s="5"/>
      <c r="D977" s="52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114"/>
      <c r="AB977" s="114"/>
      <c r="AC977" s="114"/>
    </row>
    <row r="978">
      <c r="A978" s="5"/>
      <c r="B978" s="5"/>
      <c r="C978" s="5"/>
      <c r="D978" s="52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114"/>
      <c r="AB978" s="114"/>
      <c r="AC978" s="114"/>
    </row>
    <row r="979">
      <c r="A979" s="5"/>
      <c r="B979" s="5"/>
      <c r="C979" s="5"/>
      <c r="D979" s="52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114"/>
      <c r="AB979" s="114"/>
      <c r="AC979" s="114"/>
    </row>
    <row r="980">
      <c r="A980" s="5"/>
      <c r="B980" s="5"/>
      <c r="C980" s="5"/>
      <c r="D980" s="52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114"/>
      <c r="AB980" s="114"/>
      <c r="AC980" s="114"/>
    </row>
    <row r="981">
      <c r="A981" s="5"/>
      <c r="B981" s="5"/>
      <c r="C981" s="5"/>
      <c r="D981" s="52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114"/>
      <c r="AB981" s="114"/>
      <c r="AC981" s="114"/>
    </row>
    <row r="982">
      <c r="A982" s="5"/>
      <c r="B982" s="5"/>
      <c r="C982" s="5"/>
      <c r="D982" s="52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114"/>
      <c r="AB982" s="114"/>
      <c r="AC982" s="114"/>
    </row>
    <row r="983">
      <c r="A983" s="5"/>
      <c r="B983" s="5"/>
      <c r="C983" s="5"/>
      <c r="D983" s="52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114"/>
      <c r="AB983" s="114"/>
      <c r="AC983" s="114"/>
    </row>
    <row r="984">
      <c r="A984" s="5"/>
      <c r="B984" s="5"/>
      <c r="C984" s="5"/>
      <c r="D984" s="52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114"/>
      <c r="AB984" s="114"/>
      <c r="AC984" s="114"/>
    </row>
    <row r="985">
      <c r="A985" s="5"/>
      <c r="B985" s="5"/>
      <c r="C985" s="5"/>
      <c r="D985" s="52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114"/>
      <c r="AB985" s="114"/>
      <c r="AC985" s="114"/>
    </row>
    <row r="986">
      <c r="A986" s="5"/>
      <c r="B986" s="5"/>
      <c r="C986" s="5"/>
      <c r="D986" s="52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114"/>
      <c r="AB986" s="114"/>
      <c r="AC986" s="114"/>
    </row>
    <row r="987">
      <c r="A987" s="5"/>
      <c r="B987" s="5"/>
      <c r="C987" s="5"/>
      <c r="D987" s="52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114"/>
      <c r="AB987" s="114"/>
      <c r="AC987" s="114"/>
    </row>
    <row r="988">
      <c r="A988" s="5"/>
      <c r="B988" s="5"/>
      <c r="C988" s="5"/>
      <c r="D988" s="52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114"/>
      <c r="AB988" s="114"/>
      <c r="AC988" s="114"/>
    </row>
    <row r="989">
      <c r="A989" s="5"/>
      <c r="B989" s="5"/>
      <c r="C989" s="5"/>
      <c r="D989" s="52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114"/>
      <c r="AB989" s="114"/>
      <c r="AC989" s="114"/>
    </row>
    <row r="990">
      <c r="A990" s="5"/>
      <c r="B990" s="5"/>
      <c r="C990" s="5"/>
      <c r="D990" s="52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114"/>
      <c r="AB990" s="114"/>
      <c r="AC990" s="114"/>
    </row>
    <row r="991">
      <c r="A991" s="5"/>
      <c r="B991" s="5"/>
      <c r="C991" s="5"/>
      <c r="D991" s="52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114"/>
      <c r="AB991" s="114"/>
      <c r="AC991" s="114"/>
    </row>
    <row r="992">
      <c r="A992" s="5"/>
      <c r="B992" s="5"/>
      <c r="C992" s="5"/>
      <c r="D992" s="52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114"/>
      <c r="AB992" s="114"/>
      <c r="AC992" s="114"/>
    </row>
    <row r="993">
      <c r="A993" s="5"/>
      <c r="B993" s="5"/>
      <c r="C993" s="5"/>
      <c r="D993" s="52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114"/>
      <c r="AB993" s="114"/>
      <c r="AC993" s="114"/>
    </row>
    <row r="994">
      <c r="A994" s="5"/>
      <c r="B994" s="5"/>
      <c r="C994" s="5"/>
      <c r="D994" s="52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114"/>
      <c r="AB994" s="114"/>
      <c r="AC994" s="114"/>
    </row>
    <row r="995">
      <c r="A995" s="5"/>
      <c r="B995" s="5"/>
      <c r="C995" s="5"/>
      <c r="D995" s="52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114"/>
      <c r="AB995" s="114"/>
      <c r="AC995" s="114"/>
    </row>
    <row r="996">
      <c r="A996" s="5"/>
      <c r="B996" s="5"/>
      <c r="C996" s="5"/>
      <c r="D996" s="52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114"/>
      <c r="AB996" s="114"/>
      <c r="AC996" s="114"/>
    </row>
    <row r="997">
      <c r="A997" s="5"/>
      <c r="B997" s="5"/>
      <c r="C997" s="5"/>
      <c r="D997" s="52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114"/>
      <c r="AB997" s="114"/>
      <c r="AC997" s="114"/>
    </row>
    <row r="998">
      <c r="A998" s="5"/>
      <c r="B998" s="5"/>
      <c r="C998" s="5"/>
      <c r="D998" s="52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114"/>
      <c r="AB998" s="114"/>
      <c r="AC998" s="114"/>
    </row>
    <row r="999">
      <c r="A999" s="5"/>
      <c r="B999" s="5"/>
      <c r="C999" s="5"/>
      <c r="D999" s="52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114"/>
      <c r="AB999" s="114"/>
      <c r="AC999" s="114"/>
    </row>
    <row r="1000">
      <c r="A1000" s="5"/>
      <c r="B1000" s="5"/>
      <c r="C1000" s="5"/>
      <c r="D1000" s="52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114"/>
      <c r="AB1000" s="114"/>
      <c r="AC1000" s="114"/>
    </row>
    <row r="1001">
      <c r="A1001" s="5"/>
      <c r="B1001" s="5"/>
      <c r="C1001" s="5"/>
      <c r="D1001" s="52"/>
      <c r="E1001" s="5"/>
      <c r="F1001" s="5"/>
      <c r="G1001" s="5"/>
      <c r="H1001" s="5"/>
      <c r="I1001" s="5"/>
      <c r="J1001" s="5"/>
      <c r="K1001" s="5"/>
      <c r="L1001" s="5"/>
      <c r="M1001" s="5"/>
      <c r="N1001" s="5"/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114"/>
      <c r="AB1001" s="114"/>
      <c r="AC1001" s="114"/>
    </row>
    <row r="1002">
      <c r="A1002" s="5"/>
      <c r="B1002" s="5"/>
      <c r="C1002" s="5"/>
      <c r="D1002" s="52"/>
      <c r="E1002" s="5"/>
      <c r="F1002" s="5"/>
      <c r="G1002" s="5"/>
      <c r="H1002" s="5"/>
      <c r="I1002" s="5"/>
      <c r="J1002" s="5"/>
      <c r="K1002" s="5"/>
      <c r="L1002" s="5"/>
      <c r="M1002" s="5"/>
      <c r="N1002" s="5"/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114"/>
      <c r="AB1002" s="114"/>
      <c r="AC1002" s="114"/>
    </row>
    <row r="1003">
      <c r="A1003" s="5"/>
      <c r="B1003" s="5"/>
      <c r="C1003" s="5"/>
      <c r="D1003" s="52"/>
      <c r="E1003" s="5"/>
      <c r="F1003" s="5"/>
      <c r="G1003" s="5"/>
      <c r="H1003" s="5"/>
      <c r="I1003" s="5"/>
      <c r="J1003" s="5"/>
      <c r="K1003" s="5"/>
      <c r="L1003" s="5"/>
      <c r="M1003" s="5"/>
      <c r="N1003" s="5"/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114"/>
      <c r="AB1003" s="114"/>
      <c r="AC1003" s="114"/>
    </row>
    <row r="1004">
      <c r="A1004" s="5"/>
      <c r="B1004" s="5"/>
      <c r="C1004" s="5"/>
      <c r="D1004" s="52"/>
      <c r="E1004" s="5"/>
      <c r="F1004" s="5"/>
      <c r="G1004" s="5"/>
      <c r="H1004" s="5"/>
      <c r="I1004" s="5"/>
      <c r="J1004" s="5"/>
      <c r="K1004" s="5"/>
      <c r="L1004" s="5"/>
      <c r="M1004" s="5"/>
      <c r="N1004" s="5"/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114"/>
      <c r="AB1004" s="114"/>
      <c r="AC1004" s="114"/>
    </row>
    <row r="1005">
      <c r="A1005" s="5"/>
      <c r="B1005" s="5"/>
      <c r="C1005" s="5"/>
      <c r="D1005" s="52"/>
      <c r="E1005" s="5"/>
      <c r="F1005" s="5"/>
      <c r="G1005" s="5"/>
      <c r="H1005" s="5"/>
      <c r="I1005" s="5"/>
      <c r="J1005" s="5"/>
      <c r="K1005" s="5"/>
      <c r="L1005" s="5"/>
      <c r="M1005" s="5"/>
      <c r="N1005" s="5"/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114"/>
      <c r="AB1005" s="114"/>
      <c r="AC1005" s="114"/>
    </row>
    <row r="1006">
      <c r="A1006" s="5"/>
      <c r="B1006" s="5"/>
      <c r="C1006" s="5"/>
      <c r="D1006" s="52"/>
      <c r="E1006" s="5"/>
      <c r="F1006" s="5"/>
      <c r="G1006" s="5"/>
      <c r="H1006" s="5"/>
      <c r="I1006" s="5"/>
      <c r="J1006" s="5"/>
      <c r="K1006" s="5"/>
      <c r="L1006" s="5"/>
      <c r="M1006" s="5"/>
      <c r="N1006" s="5"/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114"/>
      <c r="AB1006" s="114"/>
      <c r="AC1006" s="114"/>
    </row>
    <row r="1007">
      <c r="A1007" s="5"/>
      <c r="B1007" s="5"/>
      <c r="C1007" s="5"/>
      <c r="D1007" s="52"/>
      <c r="E1007" s="5"/>
      <c r="F1007" s="5"/>
      <c r="G1007" s="5"/>
      <c r="H1007" s="5"/>
      <c r="I1007" s="5"/>
      <c r="J1007" s="5"/>
      <c r="K1007" s="5"/>
      <c r="L1007" s="5"/>
      <c r="M1007" s="5"/>
      <c r="N1007" s="5"/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114"/>
      <c r="AB1007" s="114"/>
      <c r="AC1007" s="114"/>
    </row>
    <row r="1008">
      <c r="A1008" s="5"/>
      <c r="B1008" s="5"/>
      <c r="C1008" s="5"/>
      <c r="D1008" s="52"/>
      <c r="E1008" s="5"/>
      <c r="F1008" s="5"/>
      <c r="G1008" s="5"/>
      <c r="H1008" s="5"/>
      <c r="I1008" s="5"/>
      <c r="J1008" s="5"/>
      <c r="K1008" s="5"/>
      <c r="L1008" s="5"/>
      <c r="M1008" s="5"/>
      <c r="N1008" s="5"/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114"/>
      <c r="AB1008" s="114"/>
      <c r="AC1008" s="114"/>
    </row>
    <row r="1009">
      <c r="A1009" s="5"/>
      <c r="B1009" s="5"/>
      <c r="C1009" s="5"/>
      <c r="D1009" s="52"/>
      <c r="E1009" s="5"/>
      <c r="F1009" s="5"/>
      <c r="G1009" s="5"/>
      <c r="H1009" s="5"/>
      <c r="I1009" s="5"/>
      <c r="J1009" s="5"/>
      <c r="K1009" s="5"/>
      <c r="L1009" s="5"/>
      <c r="M1009" s="5"/>
      <c r="N1009" s="5"/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114"/>
      <c r="AB1009" s="114"/>
      <c r="AC1009" s="114"/>
    </row>
    <row r="1010">
      <c r="A1010" s="5"/>
      <c r="B1010" s="5"/>
      <c r="C1010" s="5"/>
      <c r="D1010" s="52"/>
      <c r="E1010" s="5"/>
      <c r="F1010" s="5"/>
      <c r="G1010" s="5"/>
      <c r="H1010" s="5"/>
      <c r="I1010" s="5"/>
      <c r="J1010" s="5"/>
      <c r="K1010" s="5"/>
      <c r="L1010" s="5"/>
      <c r="M1010" s="5"/>
      <c r="N1010" s="5"/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114"/>
      <c r="AB1010" s="114"/>
      <c r="AC1010" s="114"/>
    </row>
    <row r="1011">
      <c r="A1011" s="5"/>
      <c r="B1011" s="5"/>
      <c r="C1011" s="5"/>
      <c r="D1011" s="52"/>
      <c r="E1011" s="5"/>
      <c r="F1011" s="5"/>
      <c r="G1011" s="5"/>
      <c r="H1011" s="5"/>
      <c r="I1011" s="5"/>
      <c r="J1011" s="5"/>
      <c r="K1011" s="5"/>
      <c r="L1011" s="5"/>
      <c r="M1011" s="5"/>
      <c r="N1011" s="5"/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114"/>
      <c r="AB1011" s="114"/>
      <c r="AC1011" s="114"/>
    </row>
    <row r="1012">
      <c r="A1012" s="5"/>
      <c r="B1012" s="5"/>
      <c r="C1012" s="5"/>
      <c r="D1012" s="52"/>
      <c r="E1012" s="5"/>
      <c r="F1012" s="5"/>
      <c r="G1012" s="5"/>
      <c r="H1012" s="5"/>
      <c r="I1012" s="5"/>
      <c r="J1012" s="5"/>
      <c r="K1012" s="5"/>
      <c r="L1012" s="5"/>
      <c r="M1012" s="5"/>
      <c r="N1012" s="5"/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114"/>
      <c r="AB1012" s="114"/>
      <c r="AC1012" s="114"/>
    </row>
    <row r="1013">
      <c r="A1013" s="5"/>
      <c r="B1013" s="5"/>
      <c r="C1013" s="5"/>
      <c r="D1013" s="52"/>
      <c r="E1013" s="5"/>
      <c r="F1013" s="5"/>
      <c r="G1013" s="5"/>
      <c r="H1013" s="5"/>
      <c r="I1013" s="5"/>
      <c r="J1013" s="5"/>
      <c r="K1013" s="5"/>
      <c r="L1013" s="5"/>
      <c r="M1013" s="5"/>
      <c r="N1013" s="5"/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114"/>
      <c r="AB1013" s="114"/>
      <c r="AC1013" s="114"/>
    </row>
    <row r="1014">
      <c r="A1014" s="5"/>
      <c r="B1014" s="5"/>
      <c r="C1014" s="5"/>
      <c r="D1014" s="52"/>
      <c r="E1014" s="5"/>
      <c r="F1014" s="5"/>
      <c r="G1014" s="5"/>
      <c r="H1014" s="5"/>
      <c r="I1014" s="5"/>
      <c r="J1014" s="5"/>
      <c r="K1014" s="5"/>
      <c r="L1014" s="5"/>
      <c r="M1014" s="5"/>
      <c r="N1014" s="5"/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114"/>
      <c r="AB1014" s="114"/>
      <c r="AC1014" s="114"/>
    </row>
    <row r="1015">
      <c r="A1015" s="5"/>
      <c r="B1015" s="5"/>
      <c r="C1015" s="5"/>
      <c r="D1015" s="52"/>
      <c r="E1015" s="5"/>
      <c r="F1015" s="5"/>
      <c r="G1015" s="5"/>
      <c r="H1015" s="5"/>
      <c r="I1015" s="5"/>
      <c r="J1015" s="5"/>
      <c r="K1015" s="5"/>
      <c r="L1015" s="5"/>
      <c r="M1015" s="5"/>
      <c r="N1015" s="5"/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114"/>
      <c r="AB1015" s="114"/>
      <c r="AC1015" s="114"/>
    </row>
    <row r="1016">
      <c r="A1016" s="5"/>
      <c r="B1016" s="5"/>
      <c r="C1016" s="5"/>
      <c r="D1016" s="52"/>
      <c r="E1016" s="5"/>
      <c r="F1016" s="5"/>
      <c r="G1016" s="5"/>
      <c r="H1016" s="5"/>
      <c r="I1016" s="5"/>
      <c r="J1016" s="5"/>
      <c r="K1016" s="5"/>
      <c r="L1016" s="5"/>
      <c r="M1016" s="5"/>
      <c r="N1016" s="5"/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114"/>
      <c r="AB1016" s="114"/>
      <c r="AC1016" s="114"/>
    </row>
    <row r="1017">
      <c r="A1017" s="5"/>
      <c r="B1017" s="5"/>
      <c r="C1017" s="5"/>
      <c r="D1017" s="52"/>
      <c r="E1017" s="5"/>
      <c r="F1017" s="5"/>
      <c r="G1017" s="5"/>
      <c r="H1017" s="5"/>
      <c r="I1017" s="5"/>
      <c r="J1017" s="5"/>
      <c r="K1017" s="5"/>
      <c r="L1017" s="5"/>
      <c r="M1017" s="5"/>
      <c r="N1017" s="5"/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114"/>
      <c r="AB1017" s="114"/>
      <c r="AC1017" s="114"/>
    </row>
    <row r="1018">
      <c r="A1018" s="5"/>
      <c r="B1018" s="5"/>
      <c r="C1018" s="5"/>
      <c r="D1018" s="52"/>
      <c r="E1018" s="5"/>
      <c r="F1018" s="5"/>
      <c r="G1018" s="5"/>
      <c r="H1018" s="5"/>
      <c r="I1018" s="5"/>
      <c r="J1018" s="5"/>
      <c r="K1018" s="5"/>
      <c r="L1018" s="5"/>
      <c r="M1018" s="5"/>
      <c r="N1018" s="5"/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114"/>
      <c r="AB1018" s="114"/>
      <c r="AC1018" s="114"/>
    </row>
    <row r="1019">
      <c r="A1019" s="5"/>
      <c r="B1019" s="5"/>
      <c r="C1019" s="5"/>
      <c r="D1019" s="52"/>
      <c r="E1019" s="5"/>
      <c r="F1019" s="5"/>
      <c r="G1019" s="5"/>
      <c r="H1019" s="5"/>
      <c r="I1019" s="5"/>
      <c r="J1019" s="5"/>
      <c r="K1019" s="5"/>
      <c r="L1019" s="5"/>
      <c r="M1019" s="5"/>
      <c r="N1019" s="5"/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114"/>
      <c r="AB1019" s="114"/>
      <c r="AC1019" s="114"/>
    </row>
    <row r="1020">
      <c r="A1020" s="5"/>
      <c r="B1020" s="5"/>
      <c r="C1020" s="5"/>
      <c r="D1020" s="52"/>
      <c r="E1020" s="5"/>
      <c r="F1020" s="5"/>
      <c r="G1020" s="5"/>
      <c r="H1020" s="5"/>
      <c r="I1020" s="5"/>
      <c r="J1020" s="5"/>
      <c r="K1020" s="5"/>
      <c r="L1020" s="5"/>
      <c r="M1020" s="5"/>
      <c r="N1020" s="5"/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114"/>
      <c r="AB1020" s="114"/>
      <c r="AC1020" s="114"/>
    </row>
    <row r="1021">
      <c r="A1021" s="5"/>
      <c r="B1021" s="5"/>
      <c r="C1021" s="5"/>
      <c r="D1021" s="52"/>
      <c r="E1021" s="5"/>
      <c r="F1021" s="5"/>
      <c r="G1021" s="5"/>
      <c r="H1021" s="5"/>
      <c r="I1021" s="5"/>
      <c r="J1021" s="5"/>
      <c r="K1021" s="5"/>
      <c r="L1021" s="5"/>
      <c r="M1021" s="5"/>
      <c r="N1021" s="5"/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114"/>
      <c r="AB1021" s="114"/>
      <c r="AC1021" s="114"/>
    </row>
    <row r="1022">
      <c r="A1022" s="5"/>
      <c r="B1022" s="5"/>
      <c r="C1022" s="5"/>
      <c r="D1022" s="52"/>
      <c r="E1022" s="5"/>
      <c r="F1022" s="5"/>
      <c r="G1022" s="5"/>
      <c r="H1022" s="5"/>
      <c r="I1022" s="5"/>
      <c r="J1022" s="5"/>
      <c r="K1022" s="5"/>
      <c r="L1022" s="5"/>
      <c r="M1022" s="5"/>
      <c r="N1022" s="5"/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114"/>
      <c r="AB1022" s="114"/>
      <c r="AC1022" s="114"/>
    </row>
    <row r="1023">
      <c r="A1023" s="5"/>
      <c r="B1023" s="5"/>
      <c r="C1023" s="5"/>
      <c r="D1023" s="52"/>
      <c r="E1023" s="5"/>
      <c r="F1023" s="5"/>
      <c r="G1023" s="5"/>
      <c r="H1023" s="5"/>
      <c r="I1023" s="5"/>
      <c r="J1023" s="5"/>
      <c r="K1023" s="5"/>
      <c r="L1023" s="5"/>
      <c r="M1023" s="5"/>
      <c r="N1023" s="5"/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114"/>
      <c r="AB1023" s="114"/>
      <c r="AC1023" s="114"/>
    </row>
    <row r="1024">
      <c r="A1024" s="5"/>
      <c r="B1024" s="5"/>
      <c r="C1024" s="5"/>
      <c r="D1024" s="52"/>
      <c r="E1024" s="5"/>
      <c r="F1024" s="5"/>
      <c r="G1024" s="5"/>
      <c r="H1024" s="5"/>
      <c r="I1024" s="5"/>
      <c r="J1024" s="5"/>
      <c r="K1024" s="5"/>
      <c r="L1024" s="5"/>
      <c r="M1024" s="5"/>
      <c r="N1024" s="5"/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114"/>
      <c r="AB1024" s="114"/>
      <c r="AC1024" s="114"/>
    </row>
    <row r="1025">
      <c r="A1025" s="5"/>
      <c r="B1025" s="5"/>
      <c r="C1025" s="5"/>
      <c r="D1025" s="52"/>
      <c r="E1025" s="5"/>
      <c r="F1025" s="5"/>
      <c r="G1025" s="5"/>
      <c r="H1025" s="5"/>
      <c r="I1025" s="5"/>
      <c r="J1025" s="5"/>
      <c r="K1025" s="5"/>
      <c r="L1025" s="5"/>
      <c r="M1025" s="5"/>
      <c r="N1025" s="5"/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114"/>
      <c r="AB1025" s="114"/>
      <c r="AC1025" s="114"/>
    </row>
    <row r="1026">
      <c r="A1026" s="5"/>
      <c r="B1026" s="5"/>
      <c r="C1026" s="5"/>
      <c r="D1026" s="52"/>
      <c r="E1026" s="5"/>
      <c r="F1026" s="5"/>
      <c r="G1026" s="5"/>
      <c r="H1026" s="5"/>
      <c r="I1026" s="5"/>
      <c r="J1026" s="5"/>
      <c r="K1026" s="5"/>
      <c r="L1026" s="5"/>
      <c r="M1026" s="5"/>
      <c r="N1026" s="5"/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114"/>
      <c r="AB1026" s="114"/>
      <c r="AC1026" s="114"/>
    </row>
    <row r="1027">
      <c r="A1027" s="5"/>
      <c r="B1027" s="5"/>
      <c r="C1027" s="5"/>
      <c r="D1027" s="52"/>
      <c r="E1027" s="5"/>
      <c r="F1027" s="5"/>
      <c r="G1027" s="5"/>
      <c r="H1027" s="5"/>
      <c r="I1027" s="5"/>
      <c r="J1027" s="5"/>
      <c r="K1027" s="5"/>
      <c r="L1027" s="5"/>
      <c r="M1027" s="5"/>
      <c r="N1027" s="5"/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114"/>
      <c r="AB1027" s="114"/>
      <c r="AC1027" s="114"/>
    </row>
    <row r="1028">
      <c r="A1028" s="5"/>
      <c r="B1028" s="5"/>
      <c r="C1028" s="5"/>
      <c r="D1028" s="52"/>
      <c r="E1028" s="5"/>
      <c r="F1028" s="5"/>
      <c r="G1028" s="5"/>
      <c r="H1028" s="5"/>
      <c r="I1028" s="5"/>
      <c r="J1028" s="5"/>
      <c r="K1028" s="5"/>
      <c r="L1028" s="5"/>
      <c r="M1028" s="5"/>
      <c r="N1028" s="5"/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114"/>
      <c r="AB1028" s="114"/>
      <c r="AC1028" s="114"/>
    </row>
    <row r="1029">
      <c r="A1029" s="5"/>
      <c r="B1029" s="5"/>
      <c r="C1029" s="5"/>
      <c r="D1029" s="52"/>
      <c r="E1029" s="5"/>
      <c r="F1029" s="5"/>
      <c r="G1029" s="5"/>
      <c r="H1029" s="5"/>
      <c r="I1029" s="5"/>
      <c r="J1029" s="5"/>
      <c r="K1029" s="5"/>
      <c r="L1029" s="5"/>
      <c r="M1029" s="5"/>
      <c r="N1029" s="5"/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114"/>
      <c r="AB1029" s="114"/>
      <c r="AC1029" s="114"/>
    </row>
    <row r="1030">
      <c r="A1030" s="5"/>
      <c r="B1030" s="5"/>
      <c r="C1030" s="5"/>
      <c r="D1030" s="52"/>
      <c r="E1030" s="5"/>
      <c r="F1030" s="5"/>
      <c r="G1030" s="5"/>
      <c r="H1030" s="5"/>
      <c r="I1030" s="5"/>
      <c r="J1030" s="5"/>
      <c r="K1030" s="5"/>
      <c r="L1030" s="5"/>
      <c r="M1030" s="5"/>
      <c r="N1030" s="5"/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114"/>
      <c r="AB1030" s="114"/>
      <c r="AC1030" s="114"/>
    </row>
    <row r="1031">
      <c r="A1031" s="5"/>
      <c r="B1031" s="5"/>
      <c r="C1031" s="5"/>
      <c r="D1031" s="52"/>
      <c r="E1031" s="5"/>
      <c r="F1031" s="5"/>
      <c r="G1031" s="5"/>
      <c r="H1031" s="5"/>
      <c r="I1031" s="5"/>
      <c r="J1031" s="5"/>
      <c r="K1031" s="5"/>
      <c r="L1031" s="5"/>
      <c r="M1031" s="5"/>
      <c r="N1031" s="5"/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114"/>
      <c r="AB1031" s="114"/>
      <c r="AC1031" s="114"/>
    </row>
    <row r="1032">
      <c r="A1032" s="5"/>
      <c r="B1032" s="5"/>
      <c r="C1032" s="5"/>
      <c r="D1032" s="52"/>
      <c r="E1032" s="5"/>
      <c r="F1032" s="5"/>
      <c r="G1032" s="5"/>
      <c r="H1032" s="5"/>
      <c r="I1032" s="5"/>
      <c r="J1032" s="5"/>
      <c r="K1032" s="5"/>
      <c r="L1032" s="5"/>
      <c r="M1032" s="5"/>
      <c r="N1032" s="5"/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114"/>
      <c r="AB1032" s="114"/>
      <c r="AC1032" s="114"/>
    </row>
    <row r="1033">
      <c r="A1033" s="5"/>
      <c r="B1033" s="5"/>
      <c r="C1033" s="5"/>
      <c r="D1033" s="52"/>
      <c r="E1033" s="5"/>
      <c r="F1033" s="5"/>
      <c r="G1033" s="5"/>
      <c r="H1033" s="5"/>
      <c r="I1033" s="5"/>
      <c r="J1033" s="5"/>
      <c r="K1033" s="5"/>
      <c r="L1033" s="5"/>
      <c r="M1033" s="5"/>
      <c r="N1033" s="5"/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114"/>
      <c r="AB1033" s="114"/>
      <c r="AC1033" s="114"/>
    </row>
    <row r="1034">
      <c r="A1034" s="5"/>
      <c r="B1034" s="5"/>
      <c r="C1034" s="5"/>
      <c r="D1034" s="52"/>
      <c r="E1034" s="5"/>
      <c r="F1034" s="5"/>
      <c r="G1034" s="5"/>
      <c r="H1034" s="5"/>
      <c r="I1034" s="5"/>
      <c r="J1034" s="5"/>
      <c r="K1034" s="5"/>
      <c r="L1034" s="5"/>
      <c r="M1034" s="5"/>
      <c r="N1034" s="5"/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114"/>
      <c r="AB1034" s="114"/>
      <c r="AC1034" s="114"/>
    </row>
    <row r="1035">
      <c r="A1035" s="5"/>
      <c r="B1035" s="5"/>
      <c r="C1035" s="5"/>
      <c r="D1035" s="52"/>
      <c r="E1035" s="5"/>
      <c r="F1035" s="5"/>
      <c r="G1035" s="5"/>
      <c r="H1035" s="5"/>
      <c r="I1035" s="5"/>
      <c r="J1035" s="5"/>
      <c r="K1035" s="5"/>
      <c r="L1035" s="5"/>
      <c r="M1035" s="5"/>
      <c r="N1035" s="5"/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114"/>
      <c r="AB1035" s="114"/>
      <c r="AC1035" s="114"/>
    </row>
    <row r="1036">
      <c r="A1036" s="5"/>
      <c r="B1036" s="5"/>
      <c r="C1036" s="5"/>
      <c r="D1036" s="52"/>
      <c r="E1036" s="5"/>
      <c r="F1036" s="5"/>
      <c r="G1036" s="5"/>
      <c r="H1036" s="5"/>
      <c r="I1036" s="5"/>
      <c r="J1036" s="5"/>
      <c r="K1036" s="5"/>
      <c r="L1036" s="5"/>
      <c r="M1036" s="5"/>
      <c r="N1036" s="5"/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114"/>
      <c r="AB1036" s="114"/>
      <c r="AC1036" s="114"/>
    </row>
    <row r="1037">
      <c r="A1037" s="5"/>
      <c r="B1037" s="5"/>
      <c r="C1037" s="5"/>
      <c r="D1037" s="52"/>
      <c r="E1037" s="5"/>
      <c r="F1037" s="5"/>
      <c r="G1037" s="5"/>
      <c r="H1037" s="5"/>
      <c r="I1037" s="5"/>
      <c r="J1037" s="5"/>
      <c r="K1037" s="5"/>
      <c r="L1037" s="5"/>
      <c r="M1037" s="5"/>
      <c r="N1037" s="5"/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114"/>
      <c r="AB1037" s="114"/>
      <c r="AC1037" s="114"/>
    </row>
    <row r="1038">
      <c r="A1038" s="5"/>
      <c r="B1038" s="5"/>
      <c r="C1038" s="5"/>
      <c r="D1038" s="52"/>
      <c r="E1038" s="5"/>
      <c r="F1038" s="5"/>
      <c r="G1038" s="5"/>
      <c r="H1038" s="5"/>
      <c r="I1038" s="5"/>
      <c r="J1038" s="5"/>
      <c r="K1038" s="5"/>
      <c r="L1038" s="5"/>
      <c r="M1038" s="5"/>
      <c r="N1038" s="5"/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114"/>
      <c r="AB1038" s="114"/>
      <c r="AC1038" s="114"/>
    </row>
    <row r="1039">
      <c r="A1039" s="5"/>
      <c r="B1039" s="5"/>
      <c r="C1039" s="5"/>
      <c r="D1039" s="52"/>
      <c r="E1039" s="5"/>
      <c r="F1039" s="5"/>
      <c r="G1039" s="5"/>
      <c r="H1039" s="5"/>
      <c r="I1039" s="5"/>
      <c r="J1039" s="5"/>
      <c r="K1039" s="5"/>
      <c r="L1039" s="5"/>
      <c r="M1039" s="5"/>
      <c r="N1039" s="5"/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114"/>
      <c r="AB1039" s="114"/>
      <c r="AC1039" s="114"/>
    </row>
    <row r="1040">
      <c r="A1040" s="5"/>
      <c r="B1040" s="5"/>
      <c r="C1040" s="5"/>
      <c r="D1040" s="52"/>
      <c r="E1040" s="5"/>
      <c r="F1040" s="5"/>
      <c r="G1040" s="5"/>
      <c r="H1040" s="5"/>
      <c r="I1040" s="5"/>
      <c r="J1040" s="5"/>
      <c r="K1040" s="5"/>
      <c r="L1040" s="5"/>
      <c r="M1040" s="5"/>
      <c r="N1040" s="5"/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114"/>
      <c r="AB1040" s="114"/>
      <c r="AC1040" s="114"/>
    </row>
    <row r="1041">
      <c r="A1041" s="5"/>
      <c r="B1041" s="5"/>
      <c r="C1041" s="5"/>
      <c r="D1041" s="52"/>
      <c r="E1041" s="5"/>
      <c r="F1041" s="5"/>
      <c r="G1041" s="5"/>
      <c r="H1041" s="5"/>
      <c r="I1041" s="5"/>
      <c r="J1041" s="5"/>
      <c r="K1041" s="5"/>
      <c r="L1041" s="5"/>
      <c r="M1041" s="5"/>
      <c r="N1041" s="5"/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114"/>
      <c r="AB1041" s="114"/>
      <c r="AC1041" s="114"/>
    </row>
    <row r="1042">
      <c r="A1042" s="5"/>
      <c r="B1042" s="5"/>
      <c r="C1042" s="5"/>
      <c r="D1042" s="52"/>
      <c r="E1042" s="5"/>
      <c r="F1042" s="5"/>
      <c r="G1042" s="5"/>
      <c r="H1042" s="5"/>
      <c r="I1042" s="5"/>
      <c r="J1042" s="5"/>
      <c r="K1042" s="5"/>
      <c r="L1042" s="5"/>
      <c r="M1042" s="5"/>
      <c r="N1042" s="5"/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114"/>
      <c r="AB1042" s="114"/>
      <c r="AC1042" s="114"/>
    </row>
    <row r="1043">
      <c r="A1043" s="5"/>
      <c r="B1043" s="5"/>
      <c r="C1043" s="5"/>
      <c r="D1043" s="52"/>
      <c r="E1043" s="5"/>
      <c r="F1043" s="5"/>
      <c r="G1043" s="5"/>
      <c r="H1043" s="5"/>
      <c r="I1043" s="5"/>
      <c r="J1043" s="5"/>
      <c r="K1043" s="5"/>
      <c r="L1043" s="5"/>
      <c r="M1043" s="5"/>
      <c r="N1043" s="5"/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114"/>
      <c r="AB1043" s="114"/>
      <c r="AC1043" s="114"/>
    </row>
    <row r="1044">
      <c r="A1044" s="5"/>
      <c r="B1044" s="5"/>
      <c r="C1044" s="5"/>
      <c r="D1044" s="52"/>
      <c r="E1044" s="5"/>
      <c r="F1044" s="5"/>
      <c r="G1044" s="5"/>
      <c r="H1044" s="5"/>
      <c r="I1044" s="5"/>
      <c r="J1044" s="5"/>
      <c r="K1044" s="5"/>
      <c r="L1044" s="5"/>
      <c r="M1044" s="5"/>
      <c r="N1044" s="5"/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114"/>
      <c r="AB1044" s="114"/>
      <c r="AC1044" s="114"/>
    </row>
    <row r="1045">
      <c r="A1045" s="5"/>
      <c r="B1045" s="5"/>
      <c r="C1045" s="5"/>
      <c r="D1045" s="52"/>
      <c r="E1045" s="5"/>
      <c r="F1045" s="5"/>
      <c r="G1045" s="5"/>
      <c r="H1045" s="5"/>
      <c r="I1045" s="5"/>
      <c r="J1045" s="5"/>
      <c r="K1045" s="5"/>
      <c r="L1045" s="5"/>
      <c r="M1045" s="5"/>
      <c r="N1045" s="5"/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114"/>
      <c r="AB1045" s="114"/>
      <c r="AC1045" s="114"/>
    </row>
    <row r="1046">
      <c r="A1046" s="5"/>
      <c r="B1046" s="5"/>
      <c r="C1046" s="5"/>
      <c r="D1046" s="52"/>
      <c r="E1046" s="5"/>
      <c r="F1046" s="5"/>
      <c r="G1046" s="5"/>
      <c r="H1046" s="5"/>
      <c r="I1046" s="5"/>
      <c r="J1046" s="5"/>
      <c r="K1046" s="5"/>
      <c r="L1046" s="5"/>
      <c r="M1046" s="5"/>
      <c r="N1046" s="5"/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114"/>
      <c r="AB1046" s="114"/>
      <c r="AC1046" s="114"/>
    </row>
    <row r="1047">
      <c r="A1047" s="5"/>
      <c r="B1047" s="5"/>
      <c r="C1047" s="5"/>
      <c r="D1047" s="52"/>
      <c r="E1047" s="5"/>
      <c r="F1047" s="5"/>
      <c r="G1047" s="5"/>
      <c r="H1047" s="5"/>
      <c r="I1047" s="5"/>
      <c r="J1047" s="5"/>
      <c r="K1047" s="5"/>
      <c r="L1047" s="5"/>
      <c r="M1047" s="5"/>
      <c r="N1047" s="5"/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114"/>
      <c r="AB1047" s="114"/>
      <c r="AC1047" s="114"/>
    </row>
    <row r="1048">
      <c r="A1048" s="5"/>
      <c r="B1048" s="5"/>
      <c r="C1048" s="5"/>
      <c r="D1048" s="52"/>
      <c r="E1048" s="5"/>
      <c r="F1048" s="5"/>
      <c r="G1048" s="5"/>
      <c r="H1048" s="5"/>
      <c r="I1048" s="5"/>
      <c r="J1048" s="5"/>
      <c r="K1048" s="5"/>
      <c r="L1048" s="5"/>
      <c r="M1048" s="5"/>
      <c r="N1048" s="5"/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114"/>
      <c r="AB1048" s="114"/>
      <c r="AC1048" s="114"/>
    </row>
    <row r="1049">
      <c r="A1049" s="5"/>
      <c r="B1049" s="5"/>
      <c r="C1049" s="5"/>
      <c r="D1049" s="52"/>
      <c r="E1049" s="5"/>
      <c r="F1049" s="5"/>
      <c r="G1049" s="5"/>
      <c r="H1049" s="5"/>
      <c r="I1049" s="5"/>
      <c r="J1049" s="5"/>
      <c r="K1049" s="5"/>
      <c r="L1049" s="5"/>
      <c r="M1049" s="5"/>
      <c r="N1049" s="5"/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114"/>
      <c r="AB1049" s="114"/>
      <c r="AC1049" s="114"/>
    </row>
    <row r="1050">
      <c r="A1050" s="5"/>
      <c r="B1050" s="5"/>
      <c r="C1050" s="5"/>
      <c r="D1050" s="52"/>
      <c r="E1050" s="5"/>
      <c r="F1050" s="5"/>
      <c r="G1050" s="5"/>
      <c r="H1050" s="5"/>
      <c r="I1050" s="5"/>
      <c r="J1050" s="5"/>
      <c r="K1050" s="5"/>
      <c r="L1050" s="5"/>
      <c r="M1050" s="5"/>
      <c r="N1050" s="5"/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114"/>
      <c r="AB1050" s="114"/>
      <c r="AC1050" s="114"/>
    </row>
    <row r="1051">
      <c r="A1051" s="5"/>
      <c r="B1051" s="5"/>
      <c r="C1051" s="5"/>
      <c r="D1051" s="52"/>
      <c r="E1051" s="5"/>
      <c r="F1051" s="5"/>
      <c r="G1051" s="5"/>
      <c r="H1051" s="5"/>
      <c r="I1051" s="5"/>
      <c r="J1051" s="5"/>
      <c r="K1051" s="5"/>
      <c r="L1051" s="5"/>
      <c r="M1051" s="5"/>
      <c r="N1051" s="5"/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114"/>
      <c r="AB1051" s="114"/>
      <c r="AC1051" s="114"/>
    </row>
    <row r="1052">
      <c r="A1052" s="5"/>
      <c r="B1052" s="5"/>
      <c r="C1052" s="5"/>
      <c r="D1052" s="52"/>
      <c r="E1052" s="5"/>
      <c r="F1052" s="5"/>
      <c r="G1052" s="5"/>
      <c r="H1052" s="5"/>
      <c r="I1052" s="5"/>
      <c r="J1052" s="5"/>
      <c r="K1052" s="5"/>
      <c r="L1052" s="5"/>
      <c r="M1052" s="5"/>
      <c r="N1052" s="5"/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114"/>
      <c r="AB1052" s="114"/>
      <c r="AC1052" s="114"/>
    </row>
    <row r="1053">
      <c r="A1053" s="5"/>
      <c r="B1053" s="5"/>
      <c r="C1053" s="5"/>
      <c r="D1053" s="52"/>
      <c r="E1053" s="5"/>
      <c r="F1053" s="5"/>
      <c r="G1053" s="5"/>
      <c r="H1053" s="5"/>
      <c r="I1053" s="5"/>
      <c r="J1053" s="5"/>
      <c r="K1053" s="5"/>
      <c r="L1053" s="5"/>
      <c r="M1053" s="5"/>
      <c r="N1053" s="5"/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114"/>
      <c r="AB1053" s="114"/>
      <c r="AC1053" s="114"/>
    </row>
    <row r="1054">
      <c r="A1054" s="5"/>
      <c r="B1054" s="5"/>
      <c r="C1054" s="5"/>
      <c r="D1054" s="52"/>
      <c r="E1054" s="5"/>
      <c r="F1054" s="5"/>
      <c r="G1054" s="5"/>
      <c r="H1054" s="5"/>
      <c r="I1054" s="5"/>
      <c r="J1054" s="5"/>
      <c r="K1054" s="5"/>
      <c r="L1054" s="5"/>
      <c r="M1054" s="5"/>
      <c r="N1054" s="5"/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114"/>
      <c r="AB1054" s="114"/>
      <c r="AC1054" s="114"/>
    </row>
    <row r="1055">
      <c r="A1055" s="5"/>
      <c r="B1055" s="5"/>
      <c r="C1055" s="5"/>
      <c r="D1055" s="52"/>
      <c r="E1055" s="5"/>
      <c r="F1055" s="5"/>
      <c r="G1055" s="5"/>
      <c r="H1055" s="5"/>
      <c r="I1055" s="5"/>
      <c r="J1055" s="5"/>
      <c r="K1055" s="5"/>
      <c r="L1055" s="5"/>
      <c r="M1055" s="5"/>
      <c r="N1055" s="5"/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114"/>
      <c r="AB1055" s="114"/>
      <c r="AC1055" s="114"/>
    </row>
    <row r="1056">
      <c r="A1056" s="5"/>
      <c r="B1056" s="5"/>
      <c r="C1056" s="5"/>
      <c r="D1056" s="52"/>
      <c r="E1056" s="5"/>
      <c r="F1056" s="5"/>
      <c r="G1056" s="5"/>
      <c r="H1056" s="5"/>
      <c r="I1056" s="5"/>
      <c r="J1056" s="5"/>
      <c r="K1056" s="5"/>
      <c r="L1056" s="5"/>
      <c r="M1056" s="5"/>
      <c r="N1056" s="5"/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114"/>
      <c r="AB1056" s="114"/>
      <c r="AC1056" s="114"/>
    </row>
    <row r="1057">
      <c r="A1057" s="5"/>
      <c r="B1057" s="5"/>
      <c r="C1057" s="5"/>
      <c r="D1057" s="52"/>
      <c r="E1057" s="5"/>
      <c r="F1057" s="5"/>
      <c r="G1057" s="5"/>
      <c r="H1057" s="5"/>
      <c r="I1057" s="5"/>
      <c r="J1057" s="5"/>
      <c r="K1057" s="5"/>
      <c r="L1057" s="5"/>
      <c r="M1057" s="5"/>
      <c r="N1057" s="5"/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114"/>
      <c r="AB1057" s="114"/>
      <c r="AC1057" s="114"/>
    </row>
    <row r="1058">
      <c r="A1058" s="5"/>
      <c r="B1058" s="5"/>
      <c r="C1058" s="5"/>
      <c r="D1058" s="52"/>
      <c r="E1058" s="5"/>
      <c r="F1058" s="5"/>
      <c r="G1058" s="5"/>
      <c r="H1058" s="5"/>
      <c r="I1058" s="5"/>
      <c r="J1058" s="5"/>
      <c r="K1058" s="5"/>
      <c r="L1058" s="5"/>
      <c r="M1058" s="5"/>
      <c r="N1058" s="5"/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114"/>
      <c r="AB1058" s="114"/>
      <c r="AC1058" s="114"/>
    </row>
    <row r="1059">
      <c r="A1059" s="5"/>
      <c r="B1059" s="5"/>
      <c r="C1059" s="5"/>
      <c r="D1059" s="52"/>
      <c r="E1059" s="5"/>
      <c r="F1059" s="5"/>
      <c r="G1059" s="5"/>
      <c r="H1059" s="5"/>
      <c r="I1059" s="5"/>
      <c r="J1059" s="5"/>
      <c r="K1059" s="5"/>
      <c r="L1059" s="5"/>
      <c r="M1059" s="5"/>
      <c r="N1059" s="5"/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114"/>
      <c r="AB1059" s="114"/>
      <c r="AC1059" s="114"/>
    </row>
    <row r="1060">
      <c r="A1060" s="5"/>
      <c r="B1060" s="5"/>
      <c r="C1060" s="5"/>
      <c r="D1060" s="52"/>
      <c r="E1060" s="5"/>
      <c r="F1060" s="5"/>
      <c r="G1060" s="5"/>
      <c r="H1060" s="5"/>
      <c r="I1060" s="5"/>
      <c r="J1060" s="5"/>
      <c r="K1060" s="5"/>
      <c r="L1060" s="5"/>
      <c r="M1060" s="5"/>
      <c r="N1060" s="5"/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114"/>
      <c r="AB1060" s="114"/>
      <c r="AC1060" s="114"/>
    </row>
    <row r="1061">
      <c r="A1061" s="5"/>
      <c r="B1061" s="5"/>
      <c r="C1061" s="5"/>
      <c r="D1061" s="52"/>
      <c r="E1061" s="5"/>
      <c r="F1061" s="5"/>
      <c r="G1061" s="5"/>
      <c r="H1061" s="5"/>
      <c r="I1061" s="5"/>
      <c r="J1061" s="5"/>
      <c r="K1061" s="5"/>
      <c r="L1061" s="5"/>
      <c r="M1061" s="5"/>
      <c r="N1061" s="5"/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114"/>
      <c r="AB1061" s="114"/>
      <c r="AC1061" s="114"/>
    </row>
    <row r="1062">
      <c r="A1062" s="5"/>
      <c r="B1062" s="5"/>
      <c r="C1062" s="5"/>
      <c r="D1062" s="52"/>
      <c r="E1062" s="5"/>
      <c r="F1062" s="5"/>
      <c r="G1062" s="5"/>
      <c r="H1062" s="5"/>
      <c r="I1062" s="5"/>
      <c r="J1062" s="5"/>
      <c r="K1062" s="5"/>
      <c r="L1062" s="5"/>
      <c r="M1062" s="5"/>
      <c r="N1062" s="5"/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114"/>
      <c r="AB1062" s="114"/>
      <c r="AC1062" s="114"/>
    </row>
    <row r="1063">
      <c r="A1063" s="5"/>
      <c r="B1063" s="5"/>
      <c r="C1063" s="5"/>
      <c r="D1063" s="52"/>
      <c r="E1063" s="5"/>
      <c r="F1063" s="5"/>
      <c r="G1063" s="5"/>
      <c r="H1063" s="5"/>
      <c r="I1063" s="5"/>
      <c r="J1063" s="5"/>
      <c r="K1063" s="5"/>
      <c r="L1063" s="5"/>
      <c r="M1063" s="5"/>
      <c r="N1063" s="5"/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114"/>
      <c r="AB1063" s="114"/>
      <c r="AC1063" s="114"/>
    </row>
    <row r="1064">
      <c r="A1064" s="5"/>
      <c r="B1064" s="5"/>
      <c r="C1064" s="5"/>
      <c r="D1064" s="52"/>
      <c r="E1064" s="5"/>
      <c r="F1064" s="5"/>
      <c r="G1064" s="5"/>
      <c r="H1064" s="5"/>
      <c r="I1064" s="5"/>
      <c r="J1064" s="5"/>
      <c r="K1064" s="5"/>
      <c r="L1064" s="5"/>
      <c r="M1064" s="5"/>
      <c r="N1064" s="5"/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114"/>
      <c r="AB1064" s="114"/>
      <c r="AC1064" s="114"/>
    </row>
    <row r="1065">
      <c r="A1065" s="5"/>
      <c r="B1065" s="5"/>
      <c r="C1065" s="5"/>
      <c r="D1065" s="52"/>
      <c r="E1065" s="5"/>
      <c r="F1065" s="5"/>
      <c r="G1065" s="5"/>
      <c r="H1065" s="5"/>
      <c r="I1065" s="5"/>
      <c r="J1065" s="5"/>
      <c r="K1065" s="5"/>
      <c r="L1065" s="5"/>
      <c r="M1065" s="5"/>
      <c r="N1065" s="5"/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114"/>
      <c r="AB1065" s="114"/>
      <c r="AC1065" s="114"/>
    </row>
    <row r="1066">
      <c r="A1066" s="5"/>
      <c r="B1066" s="5"/>
      <c r="C1066" s="5"/>
      <c r="D1066" s="52"/>
      <c r="E1066" s="5"/>
      <c r="F1066" s="5"/>
      <c r="G1066" s="5"/>
      <c r="H1066" s="5"/>
      <c r="I1066" s="5"/>
      <c r="J1066" s="5"/>
      <c r="K1066" s="5"/>
      <c r="L1066" s="5"/>
      <c r="M1066" s="5"/>
      <c r="N1066" s="5"/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114"/>
      <c r="AB1066" s="114"/>
      <c r="AC1066" s="114"/>
    </row>
    <row r="1067">
      <c r="A1067" s="5"/>
      <c r="B1067" s="5"/>
      <c r="C1067" s="5"/>
      <c r="D1067" s="52"/>
      <c r="E1067" s="5"/>
      <c r="F1067" s="5"/>
      <c r="G1067" s="5"/>
      <c r="H1067" s="5"/>
      <c r="I1067" s="5"/>
      <c r="J1067" s="5"/>
      <c r="K1067" s="5"/>
      <c r="L1067" s="5"/>
      <c r="M1067" s="5"/>
      <c r="N1067" s="5"/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114"/>
      <c r="AB1067" s="114"/>
      <c r="AC1067" s="114"/>
    </row>
    <row r="1068">
      <c r="A1068" s="5"/>
      <c r="B1068" s="5"/>
      <c r="C1068" s="5"/>
      <c r="D1068" s="52"/>
      <c r="E1068" s="5"/>
      <c r="F1068" s="5"/>
      <c r="G1068" s="5"/>
      <c r="H1068" s="5"/>
      <c r="I1068" s="5"/>
      <c r="J1068" s="5"/>
      <c r="K1068" s="5"/>
      <c r="L1068" s="5"/>
      <c r="M1068" s="5"/>
      <c r="N1068" s="5"/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114"/>
      <c r="AB1068" s="114"/>
      <c r="AC1068" s="114"/>
    </row>
    <row r="1069">
      <c r="A1069" s="5"/>
      <c r="B1069" s="5"/>
      <c r="C1069" s="5"/>
      <c r="D1069" s="52"/>
      <c r="E1069" s="5"/>
      <c r="F1069" s="5"/>
      <c r="G1069" s="5"/>
      <c r="H1069" s="5"/>
      <c r="I1069" s="5"/>
      <c r="J1069" s="5"/>
      <c r="K1069" s="5"/>
      <c r="L1069" s="5"/>
      <c r="M1069" s="5"/>
      <c r="N1069" s="5"/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114"/>
      <c r="AB1069" s="114"/>
      <c r="AC1069" s="114"/>
    </row>
    <row r="1070">
      <c r="A1070" s="5"/>
      <c r="B1070" s="5"/>
      <c r="C1070" s="5"/>
      <c r="D1070" s="52"/>
      <c r="E1070" s="5"/>
      <c r="F1070" s="5"/>
      <c r="G1070" s="5"/>
      <c r="H1070" s="5"/>
      <c r="I1070" s="5"/>
      <c r="J1070" s="5"/>
      <c r="K1070" s="5"/>
      <c r="L1070" s="5"/>
      <c r="M1070" s="5"/>
      <c r="N1070" s="5"/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114"/>
      <c r="AB1070" s="114"/>
      <c r="AC1070" s="114"/>
    </row>
    <row r="1071">
      <c r="A1071" s="5"/>
      <c r="B1071" s="5"/>
      <c r="C1071" s="5"/>
      <c r="D1071" s="52"/>
      <c r="E1071" s="5"/>
      <c r="F1071" s="5"/>
      <c r="G1071" s="5"/>
      <c r="H1071" s="5"/>
      <c r="I1071" s="5"/>
      <c r="J1071" s="5"/>
      <c r="K1071" s="5"/>
      <c r="L1071" s="5"/>
      <c r="M1071" s="5"/>
      <c r="N1071" s="5"/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114"/>
      <c r="AB1071" s="114"/>
      <c r="AC1071" s="114"/>
    </row>
    <row r="1072">
      <c r="A1072" s="5"/>
      <c r="B1072" s="5"/>
      <c r="C1072" s="5"/>
      <c r="D1072" s="52"/>
      <c r="E1072" s="5"/>
      <c r="F1072" s="5"/>
      <c r="G1072" s="5"/>
      <c r="H1072" s="5"/>
      <c r="I1072" s="5"/>
      <c r="J1072" s="5"/>
      <c r="K1072" s="5"/>
      <c r="L1072" s="5"/>
      <c r="M1072" s="5"/>
      <c r="N1072" s="5"/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114"/>
      <c r="AB1072" s="114"/>
      <c r="AC1072" s="114"/>
    </row>
    <row r="1073">
      <c r="A1073" s="5"/>
      <c r="B1073" s="5"/>
      <c r="C1073" s="5"/>
      <c r="D1073" s="52"/>
      <c r="E1073" s="5"/>
      <c r="F1073" s="5"/>
      <c r="G1073" s="5"/>
      <c r="H1073" s="5"/>
      <c r="I1073" s="5"/>
      <c r="J1073" s="5"/>
      <c r="K1073" s="5"/>
      <c r="L1073" s="5"/>
      <c r="M1073" s="5"/>
      <c r="N1073" s="5"/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114"/>
      <c r="AB1073" s="114"/>
      <c r="AC1073" s="114"/>
    </row>
    <row r="1074">
      <c r="A1074" s="5"/>
      <c r="B1074" s="5"/>
      <c r="C1074" s="5"/>
      <c r="D1074" s="52"/>
      <c r="E1074" s="5"/>
      <c r="F1074" s="5"/>
      <c r="G1074" s="5"/>
      <c r="H1074" s="5"/>
      <c r="I1074" s="5"/>
      <c r="J1074" s="5"/>
      <c r="K1074" s="5"/>
      <c r="L1074" s="5"/>
      <c r="M1074" s="5"/>
      <c r="N1074" s="5"/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114"/>
      <c r="AB1074" s="114"/>
      <c r="AC1074" s="114"/>
    </row>
    <row r="1075">
      <c r="A1075" s="5"/>
      <c r="B1075" s="5"/>
      <c r="C1075" s="5"/>
      <c r="D1075" s="52"/>
      <c r="E1075" s="5"/>
      <c r="F1075" s="5"/>
      <c r="G1075" s="5"/>
      <c r="H1075" s="5"/>
      <c r="I1075" s="5"/>
      <c r="J1075" s="5"/>
      <c r="K1075" s="5"/>
      <c r="L1075" s="5"/>
      <c r="M1075" s="5"/>
      <c r="N1075" s="5"/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114"/>
      <c r="AB1075" s="114"/>
      <c r="AC1075" s="114"/>
    </row>
    <row r="1076">
      <c r="A1076" s="5"/>
      <c r="B1076" s="5"/>
      <c r="C1076" s="5"/>
      <c r="D1076" s="52"/>
      <c r="E1076" s="5"/>
      <c r="F1076" s="5"/>
      <c r="G1076" s="5"/>
      <c r="H1076" s="5"/>
      <c r="I1076" s="5"/>
      <c r="J1076" s="5"/>
      <c r="K1076" s="5"/>
      <c r="L1076" s="5"/>
      <c r="M1076" s="5"/>
      <c r="N1076" s="5"/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114"/>
      <c r="AB1076" s="114"/>
      <c r="AC1076" s="114"/>
    </row>
    <row r="1077">
      <c r="A1077" s="5"/>
      <c r="B1077" s="5"/>
      <c r="C1077" s="5"/>
      <c r="D1077" s="52"/>
      <c r="E1077" s="5"/>
      <c r="F1077" s="5"/>
      <c r="G1077" s="5"/>
      <c r="H1077" s="5"/>
      <c r="I1077" s="5"/>
      <c r="J1077" s="5"/>
      <c r="K1077" s="5"/>
      <c r="L1077" s="5"/>
      <c r="M1077" s="5"/>
      <c r="N1077" s="5"/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114"/>
      <c r="AB1077" s="114"/>
      <c r="AC1077" s="114"/>
    </row>
    <row r="1078">
      <c r="A1078" s="5"/>
      <c r="B1078" s="5"/>
      <c r="C1078" s="5"/>
      <c r="D1078" s="52"/>
      <c r="E1078" s="5"/>
      <c r="F1078" s="5"/>
      <c r="G1078" s="5"/>
      <c r="H1078" s="5"/>
      <c r="I1078" s="5"/>
      <c r="J1078" s="5"/>
      <c r="K1078" s="5"/>
      <c r="L1078" s="5"/>
      <c r="M1078" s="5"/>
      <c r="N1078" s="5"/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114"/>
      <c r="AB1078" s="114"/>
      <c r="AC1078" s="114"/>
    </row>
    <row r="1079">
      <c r="A1079" s="5"/>
      <c r="B1079" s="5"/>
      <c r="C1079" s="5"/>
      <c r="D1079" s="52"/>
      <c r="E1079" s="5"/>
      <c r="F1079" s="5"/>
      <c r="G1079" s="5"/>
      <c r="H1079" s="5"/>
      <c r="I1079" s="5"/>
      <c r="J1079" s="5"/>
      <c r="K1079" s="5"/>
      <c r="L1079" s="5"/>
      <c r="M1079" s="5"/>
      <c r="N1079" s="5"/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114"/>
      <c r="AB1079" s="114"/>
      <c r="AC1079" s="114"/>
    </row>
    <row r="1080">
      <c r="A1080" s="5"/>
      <c r="B1080" s="5"/>
      <c r="C1080" s="5"/>
      <c r="D1080" s="52"/>
      <c r="E1080" s="5"/>
      <c r="F1080" s="5"/>
      <c r="G1080" s="5"/>
      <c r="H1080" s="5"/>
      <c r="I1080" s="5"/>
      <c r="J1080" s="5"/>
      <c r="K1080" s="5"/>
      <c r="L1080" s="5"/>
      <c r="M1080" s="5"/>
      <c r="N1080" s="5"/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114"/>
      <c r="AB1080" s="114"/>
      <c r="AC1080" s="114"/>
    </row>
    <row r="1081">
      <c r="A1081" s="5"/>
      <c r="B1081" s="5"/>
      <c r="C1081" s="5"/>
      <c r="D1081" s="52"/>
      <c r="E1081" s="5"/>
      <c r="F1081" s="5"/>
      <c r="G1081" s="5"/>
      <c r="H1081" s="5"/>
      <c r="I1081" s="5"/>
      <c r="J1081" s="5"/>
      <c r="K1081" s="5"/>
      <c r="L1081" s="5"/>
      <c r="M1081" s="5"/>
      <c r="N1081" s="5"/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114"/>
      <c r="AB1081" s="114"/>
      <c r="AC1081" s="114"/>
    </row>
    <row r="1082">
      <c r="A1082" s="5"/>
      <c r="B1082" s="5"/>
      <c r="C1082" s="5"/>
      <c r="D1082" s="52"/>
      <c r="E1082" s="5"/>
      <c r="F1082" s="5"/>
      <c r="G1082" s="5"/>
      <c r="H1082" s="5"/>
      <c r="I1082" s="5"/>
      <c r="J1082" s="5"/>
      <c r="K1082" s="5"/>
      <c r="L1082" s="5"/>
      <c r="M1082" s="5"/>
      <c r="N1082" s="5"/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114"/>
      <c r="AB1082" s="114"/>
      <c r="AC1082" s="114"/>
    </row>
    <row r="1083">
      <c r="A1083" s="5"/>
      <c r="B1083" s="5"/>
      <c r="C1083" s="5"/>
      <c r="D1083" s="52"/>
      <c r="E1083" s="5"/>
      <c r="F1083" s="5"/>
      <c r="G1083" s="5"/>
      <c r="H1083" s="5"/>
      <c r="I1083" s="5"/>
      <c r="J1083" s="5"/>
      <c r="K1083" s="5"/>
      <c r="L1083" s="5"/>
      <c r="M1083" s="5"/>
      <c r="N1083" s="5"/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114"/>
      <c r="AB1083" s="114"/>
      <c r="AC1083" s="114"/>
    </row>
    <row r="1084">
      <c r="A1084" s="5"/>
      <c r="B1084" s="5"/>
      <c r="C1084" s="5"/>
      <c r="D1084" s="52"/>
      <c r="E1084" s="5"/>
      <c r="F1084" s="5"/>
      <c r="G1084" s="5"/>
      <c r="H1084" s="5"/>
      <c r="I1084" s="5"/>
      <c r="J1084" s="5"/>
      <c r="K1084" s="5"/>
      <c r="L1084" s="5"/>
      <c r="M1084" s="5"/>
      <c r="N1084" s="5"/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114"/>
      <c r="AB1084" s="114"/>
      <c r="AC1084" s="114"/>
    </row>
    <row r="1085">
      <c r="A1085" s="5"/>
      <c r="B1085" s="5"/>
      <c r="C1085" s="5"/>
      <c r="D1085" s="52"/>
      <c r="E1085" s="5"/>
      <c r="F1085" s="5"/>
      <c r="G1085" s="5"/>
      <c r="H1085" s="5"/>
      <c r="I1085" s="5"/>
      <c r="J1085" s="5"/>
      <c r="K1085" s="5"/>
      <c r="L1085" s="5"/>
      <c r="M1085" s="5"/>
      <c r="N1085" s="5"/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114"/>
      <c r="AB1085" s="114"/>
      <c r="AC1085" s="114"/>
    </row>
    <row r="1086">
      <c r="A1086" s="5"/>
      <c r="B1086" s="5"/>
      <c r="C1086" s="5"/>
      <c r="D1086" s="52"/>
      <c r="E1086" s="5"/>
      <c r="F1086" s="5"/>
      <c r="G1086" s="5"/>
      <c r="H1086" s="5"/>
      <c r="I1086" s="5"/>
      <c r="J1086" s="5"/>
      <c r="K1086" s="5"/>
      <c r="L1086" s="5"/>
      <c r="M1086" s="5"/>
      <c r="N1086" s="5"/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114"/>
      <c r="AB1086" s="114"/>
      <c r="AC1086" s="114"/>
    </row>
    <row r="1087">
      <c r="A1087" s="5"/>
      <c r="B1087" s="5"/>
      <c r="C1087" s="5"/>
      <c r="D1087" s="52"/>
      <c r="E1087" s="5"/>
      <c r="F1087" s="5"/>
      <c r="G1087" s="5"/>
      <c r="H1087" s="5"/>
      <c r="I1087" s="5"/>
      <c r="J1087" s="5"/>
      <c r="K1087" s="5"/>
      <c r="L1087" s="5"/>
      <c r="M1087" s="5"/>
      <c r="N1087" s="5"/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114"/>
      <c r="AB1087" s="114"/>
      <c r="AC1087" s="114"/>
    </row>
    <row r="1088">
      <c r="A1088" s="5"/>
      <c r="B1088" s="5"/>
      <c r="C1088" s="5"/>
      <c r="D1088" s="52"/>
      <c r="E1088" s="5"/>
      <c r="F1088" s="5"/>
      <c r="G1088" s="5"/>
      <c r="H1088" s="5"/>
      <c r="I1088" s="5"/>
      <c r="J1088" s="5"/>
      <c r="K1088" s="5"/>
      <c r="L1088" s="5"/>
      <c r="M1088" s="5"/>
      <c r="N1088" s="5"/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114"/>
      <c r="AB1088" s="114"/>
      <c r="AC1088" s="114"/>
    </row>
    <row r="1089">
      <c r="A1089" s="5"/>
      <c r="B1089" s="5"/>
      <c r="C1089" s="5"/>
      <c r="D1089" s="52"/>
      <c r="E1089" s="5"/>
      <c r="F1089" s="5"/>
      <c r="G1089" s="5"/>
      <c r="H1089" s="5"/>
      <c r="I1089" s="5"/>
      <c r="J1089" s="5"/>
      <c r="K1089" s="5"/>
      <c r="L1089" s="5"/>
      <c r="M1089" s="5"/>
      <c r="N1089" s="5"/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114"/>
      <c r="AB1089" s="114"/>
      <c r="AC1089" s="114"/>
    </row>
    <row r="1090">
      <c r="A1090" s="5"/>
      <c r="B1090" s="5"/>
      <c r="C1090" s="5"/>
      <c r="D1090" s="52"/>
      <c r="E1090" s="5"/>
      <c r="F1090" s="5"/>
      <c r="G1090" s="5"/>
      <c r="H1090" s="5"/>
      <c r="I1090" s="5"/>
      <c r="J1090" s="5"/>
      <c r="K1090" s="5"/>
      <c r="L1090" s="5"/>
      <c r="M1090" s="5"/>
      <c r="N1090" s="5"/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114"/>
      <c r="AB1090" s="114"/>
      <c r="AC1090" s="114"/>
    </row>
    <row r="1091">
      <c r="A1091" s="5"/>
      <c r="B1091" s="5"/>
      <c r="C1091" s="5"/>
      <c r="D1091" s="52"/>
      <c r="E1091" s="5"/>
      <c r="F1091" s="5"/>
      <c r="G1091" s="5"/>
      <c r="H1091" s="5"/>
      <c r="I1091" s="5"/>
      <c r="J1091" s="5"/>
      <c r="K1091" s="5"/>
      <c r="L1091" s="5"/>
      <c r="M1091" s="5"/>
      <c r="N1091" s="5"/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114"/>
      <c r="AB1091" s="114"/>
      <c r="AC1091" s="114"/>
    </row>
    <row r="1092">
      <c r="A1092" s="5"/>
      <c r="B1092" s="5"/>
      <c r="C1092" s="5"/>
      <c r="D1092" s="52"/>
      <c r="E1092" s="5"/>
      <c r="F1092" s="5"/>
      <c r="G1092" s="5"/>
      <c r="H1092" s="5"/>
      <c r="I1092" s="5"/>
      <c r="J1092" s="5"/>
      <c r="K1092" s="5"/>
      <c r="L1092" s="5"/>
      <c r="M1092" s="5"/>
      <c r="N1092" s="5"/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114"/>
      <c r="AB1092" s="114"/>
      <c r="AC1092" s="114"/>
    </row>
    <row r="1093">
      <c r="A1093" s="5"/>
      <c r="B1093" s="5"/>
      <c r="C1093" s="5"/>
      <c r="D1093" s="52"/>
      <c r="E1093" s="5"/>
      <c r="F1093" s="5"/>
      <c r="G1093" s="5"/>
      <c r="H1093" s="5"/>
      <c r="I1093" s="5"/>
      <c r="J1093" s="5"/>
      <c r="K1093" s="5"/>
      <c r="L1093" s="5"/>
      <c r="M1093" s="5"/>
      <c r="N1093" s="5"/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114"/>
      <c r="AB1093" s="114"/>
      <c r="AC1093" s="114"/>
    </row>
    <row r="1094">
      <c r="A1094" s="5"/>
      <c r="B1094" s="5"/>
      <c r="C1094" s="5"/>
      <c r="D1094" s="52"/>
      <c r="E1094" s="5"/>
      <c r="F1094" s="5"/>
      <c r="G1094" s="5"/>
      <c r="H1094" s="5"/>
      <c r="I1094" s="5"/>
      <c r="J1094" s="5"/>
      <c r="K1094" s="5"/>
      <c r="L1094" s="5"/>
      <c r="M1094" s="5"/>
      <c r="N1094" s="5"/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114"/>
      <c r="AB1094" s="114"/>
      <c r="AC1094" s="114"/>
    </row>
    <row r="1095">
      <c r="A1095" s="5"/>
      <c r="B1095" s="5"/>
      <c r="C1095" s="5"/>
      <c r="D1095" s="52"/>
      <c r="E1095" s="5"/>
      <c r="F1095" s="5"/>
      <c r="G1095" s="5"/>
      <c r="H1095" s="5"/>
      <c r="I1095" s="5"/>
      <c r="J1095" s="5"/>
      <c r="K1095" s="5"/>
      <c r="L1095" s="5"/>
      <c r="M1095" s="5"/>
      <c r="N1095" s="5"/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114"/>
      <c r="AB1095" s="114"/>
      <c r="AC1095" s="114"/>
    </row>
    <row r="1096">
      <c r="A1096" s="5"/>
      <c r="B1096" s="5"/>
      <c r="C1096" s="5"/>
      <c r="D1096" s="52"/>
      <c r="E1096" s="5"/>
      <c r="F1096" s="5"/>
      <c r="G1096" s="5"/>
      <c r="H1096" s="5"/>
      <c r="I1096" s="5"/>
      <c r="J1096" s="5"/>
      <c r="K1096" s="5"/>
      <c r="L1096" s="5"/>
      <c r="M1096" s="5"/>
      <c r="N1096" s="5"/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114"/>
      <c r="AB1096" s="114"/>
      <c r="AC1096" s="114"/>
    </row>
    <row r="1097">
      <c r="A1097" s="5"/>
      <c r="B1097" s="5"/>
      <c r="C1097" s="5"/>
      <c r="D1097" s="52"/>
      <c r="E1097" s="5"/>
      <c r="F1097" s="5"/>
      <c r="G1097" s="5"/>
      <c r="H1097" s="5"/>
      <c r="I1097" s="5"/>
      <c r="J1097" s="5"/>
      <c r="K1097" s="5"/>
      <c r="L1097" s="5"/>
      <c r="M1097" s="5"/>
      <c r="N1097" s="5"/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114"/>
      <c r="AB1097" s="114"/>
      <c r="AC1097" s="114"/>
    </row>
    <row r="1098">
      <c r="A1098" s="5"/>
      <c r="B1098" s="5"/>
      <c r="C1098" s="5"/>
      <c r="D1098" s="52"/>
      <c r="E1098" s="5"/>
      <c r="F1098" s="5"/>
      <c r="G1098" s="5"/>
      <c r="H1098" s="5"/>
      <c r="I1098" s="5"/>
      <c r="J1098" s="5"/>
      <c r="K1098" s="5"/>
      <c r="L1098" s="5"/>
      <c r="M1098" s="5"/>
      <c r="N1098" s="5"/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114"/>
      <c r="AB1098" s="114"/>
      <c r="AC1098" s="114"/>
    </row>
    <row r="1099">
      <c r="A1099" s="5"/>
      <c r="B1099" s="5"/>
      <c r="C1099" s="5"/>
      <c r="D1099" s="52"/>
      <c r="E1099" s="5"/>
      <c r="F1099" s="5"/>
      <c r="G1099" s="5"/>
      <c r="H1099" s="5"/>
      <c r="I1099" s="5"/>
      <c r="J1099" s="5"/>
      <c r="K1099" s="5"/>
      <c r="L1099" s="5"/>
      <c r="M1099" s="5"/>
      <c r="N1099" s="5"/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114"/>
      <c r="AB1099" s="114"/>
      <c r="AC1099" s="114"/>
    </row>
    <row r="1100">
      <c r="A1100" s="5"/>
      <c r="B1100" s="5"/>
      <c r="C1100" s="5"/>
      <c r="D1100" s="52"/>
      <c r="E1100" s="5"/>
      <c r="F1100" s="5"/>
      <c r="G1100" s="5"/>
      <c r="H1100" s="5"/>
      <c r="I1100" s="5"/>
      <c r="J1100" s="5"/>
      <c r="K1100" s="5"/>
      <c r="L1100" s="5"/>
      <c r="M1100" s="5"/>
      <c r="N1100" s="5"/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114"/>
      <c r="AB1100" s="114"/>
      <c r="AC1100" s="114"/>
    </row>
    <row r="1101">
      <c r="A1101" s="5"/>
      <c r="B1101" s="5"/>
      <c r="C1101" s="5"/>
      <c r="D1101" s="52"/>
      <c r="E1101" s="5"/>
      <c r="F1101" s="5"/>
      <c r="G1101" s="5"/>
      <c r="H1101" s="5"/>
      <c r="I1101" s="5"/>
      <c r="J1101" s="5"/>
      <c r="K1101" s="5"/>
      <c r="L1101" s="5"/>
      <c r="M1101" s="5"/>
      <c r="N1101" s="5"/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114"/>
      <c r="AB1101" s="114"/>
      <c r="AC1101" s="114"/>
    </row>
    <row r="1102">
      <c r="A1102" s="5"/>
      <c r="B1102" s="5"/>
      <c r="C1102" s="5"/>
      <c r="D1102" s="52"/>
      <c r="E1102" s="5"/>
      <c r="F1102" s="5"/>
      <c r="G1102" s="5"/>
      <c r="H1102" s="5"/>
      <c r="I1102" s="5"/>
      <c r="J1102" s="5"/>
      <c r="K1102" s="5"/>
      <c r="L1102" s="5"/>
      <c r="M1102" s="5"/>
      <c r="N1102" s="5"/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114"/>
      <c r="AB1102" s="114"/>
      <c r="AC1102" s="114"/>
    </row>
    <row r="1103">
      <c r="A1103" s="5"/>
      <c r="B1103" s="5"/>
      <c r="C1103" s="5"/>
      <c r="D1103" s="52"/>
      <c r="E1103" s="5"/>
      <c r="F1103" s="5"/>
      <c r="G1103" s="5"/>
      <c r="H1103" s="5"/>
      <c r="I1103" s="5"/>
      <c r="J1103" s="5"/>
      <c r="K1103" s="5"/>
      <c r="L1103" s="5"/>
      <c r="M1103" s="5"/>
      <c r="N1103" s="5"/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114"/>
      <c r="AB1103" s="114"/>
      <c r="AC1103" s="114"/>
    </row>
    <row r="1104">
      <c r="A1104" s="5"/>
      <c r="B1104" s="5"/>
      <c r="C1104" s="5"/>
      <c r="D1104" s="52"/>
      <c r="E1104" s="5"/>
      <c r="F1104" s="5"/>
      <c r="G1104" s="5"/>
      <c r="H1104" s="5"/>
      <c r="I1104" s="5"/>
      <c r="J1104" s="5"/>
      <c r="K1104" s="5"/>
      <c r="L1104" s="5"/>
      <c r="M1104" s="5"/>
      <c r="N1104" s="5"/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114"/>
      <c r="AB1104" s="114"/>
      <c r="AC1104" s="114"/>
    </row>
    <row r="1105">
      <c r="A1105" s="5"/>
      <c r="B1105" s="5"/>
      <c r="C1105" s="5"/>
      <c r="D1105" s="52"/>
      <c r="E1105" s="5"/>
      <c r="F1105" s="5"/>
      <c r="G1105" s="5"/>
      <c r="H1105" s="5"/>
      <c r="I1105" s="5"/>
      <c r="J1105" s="5"/>
      <c r="K1105" s="5"/>
      <c r="L1105" s="5"/>
      <c r="M1105" s="5"/>
      <c r="N1105" s="5"/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114"/>
      <c r="AB1105" s="114"/>
      <c r="AC1105" s="114"/>
    </row>
    <row r="1106">
      <c r="A1106" s="5"/>
      <c r="B1106" s="5"/>
      <c r="C1106" s="5"/>
      <c r="D1106" s="52"/>
      <c r="E1106" s="5"/>
      <c r="F1106" s="5"/>
      <c r="G1106" s="5"/>
      <c r="H1106" s="5"/>
      <c r="I1106" s="5"/>
      <c r="J1106" s="5"/>
      <c r="K1106" s="5"/>
      <c r="L1106" s="5"/>
      <c r="M1106" s="5"/>
      <c r="N1106" s="5"/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114"/>
      <c r="AB1106" s="114"/>
      <c r="AC1106" s="114"/>
    </row>
    <row r="1107">
      <c r="A1107" s="5"/>
      <c r="B1107" s="5"/>
      <c r="C1107" s="5"/>
      <c r="D1107" s="52"/>
      <c r="E1107" s="5"/>
      <c r="F1107" s="5"/>
      <c r="G1107" s="5"/>
      <c r="H1107" s="5"/>
      <c r="I1107" s="5"/>
      <c r="J1107" s="5"/>
      <c r="K1107" s="5"/>
      <c r="L1107" s="5"/>
      <c r="M1107" s="5"/>
      <c r="N1107" s="5"/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114"/>
      <c r="AB1107" s="114"/>
      <c r="AC1107" s="114"/>
    </row>
    <row r="1108">
      <c r="A1108" s="5"/>
      <c r="B1108" s="5"/>
      <c r="C1108" s="5"/>
      <c r="D1108" s="52"/>
      <c r="E1108" s="5"/>
      <c r="F1108" s="5"/>
      <c r="G1108" s="5"/>
      <c r="H1108" s="5"/>
      <c r="I1108" s="5"/>
      <c r="J1108" s="5"/>
      <c r="K1108" s="5"/>
      <c r="L1108" s="5"/>
      <c r="M1108" s="5"/>
      <c r="N1108" s="5"/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114"/>
      <c r="AB1108" s="114"/>
      <c r="AC1108" s="114"/>
    </row>
    <row r="1109">
      <c r="A1109" s="5"/>
      <c r="B1109" s="5"/>
      <c r="C1109" s="5"/>
      <c r="D1109" s="52"/>
      <c r="E1109" s="5"/>
      <c r="F1109" s="5"/>
      <c r="G1109" s="5"/>
      <c r="H1109" s="5"/>
      <c r="I1109" s="5"/>
      <c r="J1109" s="5"/>
      <c r="K1109" s="5"/>
      <c r="L1109" s="5"/>
      <c r="M1109" s="5"/>
      <c r="N1109" s="5"/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114"/>
      <c r="AB1109" s="114"/>
      <c r="AC1109" s="114"/>
    </row>
    <row r="1110">
      <c r="A1110" s="5"/>
      <c r="B1110" s="5"/>
      <c r="C1110" s="5"/>
      <c r="D1110" s="52"/>
      <c r="E1110" s="5"/>
      <c r="F1110" s="5"/>
      <c r="G1110" s="5"/>
      <c r="H1110" s="5"/>
      <c r="I1110" s="5"/>
      <c r="J1110" s="5"/>
      <c r="K1110" s="5"/>
      <c r="L1110" s="5"/>
      <c r="M1110" s="5"/>
      <c r="N1110" s="5"/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114"/>
      <c r="AB1110" s="114"/>
      <c r="AC1110" s="114"/>
    </row>
    <row r="1111">
      <c r="A1111" s="5"/>
      <c r="B1111" s="5"/>
      <c r="C1111" s="5"/>
      <c r="D1111" s="52"/>
      <c r="E1111" s="5"/>
      <c r="F1111" s="5"/>
      <c r="G1111" s="5"/>
      <c r="H1111" s="5"/>
      <c r="I1111" s="5"/>
      <c r="J1111" s="5"/>
      <c r="K1111" s="5"/>
      <c r="L1111" s="5"/>
      <c r="M1111" s="5"/>
      <c r="N1111" s="5"/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114"/>
      <c r="AB1111" s="114"/>
      <c r="AC1111" s="114"/>
    </row>
    <row r="1112">
      <c r="A1112" s="5"/>
      <c r="B1112" s="5"/>
      <c r="C1112" s="5"/>
      <c r="D1112" s="52"/>
      <c r="E1112" s="5"/>
      <c r="F1112" s="5"/>
      <c r="G1112" s="5"/>
      <c r="H1112" s="5"/>
      <c r="I1112" s="5"/>
      <c r="J1112" s="5"/>
      <c r="K1112" s="5"/>
      <c r="L1112" s="5"/>
      <c r="M1112" s="5"/>
      <c r="N1112" s="5"/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114"/>
      <c r="AB1112" s="114"/>
      <c r="AC1112" s="114"/>
    </row>
    <row r="1113">
      <c r="A1113" s="5"/>
      <c r="B1113" s="5"/>
      <c r="C1113" s="5"/>
      <c r="D1113" s="52"/>
      <c r="E1113" s="5"/>
      <c r="F1113" s="5"/>
      <c r="G1113" s="5"/>
      <c r="H1113" s="5"/>
      <c r="I1113" s="5"/>
      <c r="J1113" s="5"/>
      <c r="K1113" s="5"/>
      <c r="L1113" s="5"/>
      <c r="M1113" s="5"/>
      <c r="N1113" s="5"/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114"/>
      <c r="AB1113" s="114"/>
      <c r="AC1113" s="114"/>
    </row>
    <row r="1114">
      <c r="A1114" s="5"/>
      <c r="B1114" s="5"/>
      <c r="C1114" s="5"/>
      <c r="D1114" s="52"/>
      <c r="E1114" s="5"/>
      <c r="F1114" s="5"/>
      <c r="G1114" s="5"/>
      <c r="H1114" s="5"/>
      <c r="I1114" s="5"/>
      <c r="J1114" s="5"/>
      <c r="K1114" s="5"/>
      <c r="L1114" s="5"/>
      <c r="M1114" s="5"/>
      <c r="N1114" s="5"/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114"/>
      <c r="AB1114" s="114"/>
      <c r="AC1114" s="114"/>
    </row>
    <row r="1115">
      <c r="A1115" s="5"/>
      <c r="B1115" s="5"/>
      <c r="C1115" s="5"/>
      <c r="D1115" s="52"/>
      <c r="E1115" s="5"/>
      <c r="F1115" s="5"/>
      <c r="G1115" s="5"/>
      <c r="H1115" s="5"/>
      <c r="I1115" s="5"/>
      <c r="J1115" s="5"/>
      <c r="K1115" s="5"/>
      <c r="L1115" s="5"/>
      <c r="M1115" s="5"/>
      <c r="N1115" s="5"/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114"/>
      <c r="AB1115" s="114"/>
      <c r="AC1115" s="114"/>
    </row>
    <row r="1116">
      <c r="A1116" s="5"/>
      <c r="B1116" s="5"/>
      <c r="C1116" s="5"/>
      <c r="D1116" s="52"/>
      <c r="E1116" s="5"/>
      <c r="F1116" s="5"/>
      <c r="G1116" s="5"/>
      <c r="H1116" s="5"/>
      <c r="I1116" s="5"/>
      <c r="J1116" s="5"/>
      <c r="K1116" s="5"/>
      <c r="L1116" s="5"/>
      <c r="M1116" s="5"/>
      <c r="N1116" s="5"/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114"/>
      <c r="AB1116" s="114"/>
      <c r="AC1116" s="114"/>
    </row>
    <row r="1117">
      <c r="A1117" s="5"/>
      <c r="B1117" s="5"/>
      <c r="C1117" s="5"/>
      <c r="D1117" s="52"/>
      <c r="E1117" s="5"/>
      <c r="F1117" s="5"/>
      <c r="G1117" s="5"/>
      <c r="H1117" s="5"/>
      <c r="I1117" s="5"/>
      <c r="J1117" s="5"/>
      <c r="K1117" s="5"/>
      <c r="L1117" s="5"/>
      <c r="M1117" s="5"/>
      <c r="N1117" s="5"/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114"/>
      <c r="AB1117" s="114"/>
      <c r="AC1117" s="114"/>
    </row>
    <row r="1118">
      <c r="A1118" s="5"/>
      <c r="B1118" s="5"/>
      <c r="C1118" s="5"/>
      <c r="D1118" s="52"/>
      <c r="E1118" s="5"/>
      <c r="F1118" s="5"/>
      <c r="G1118" s="5"/>
      <c r="H1118" s="5"/>
      <c r="I1118" s="5"/>
      <c r="J1118" s="5"/>
      <c r="K1118" s="5"/>
      <c r="L1118" s="5"/>
      <c r="M1118" s="5"/>
      <c r="N1118" s="5"/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114"/>
      <c r="AB1118" s="114"/>
      <c r="AC1118" s="114"/>
    </row>
    <row r="1119">
      <c r="A1119" s="5"/>
      <c r="B1119" s="5"/>
      <c r="C1119" s="5"/>
      <c r="D1119" s="52"/>
      <c r="E1119" s="5"/>
      <c r="F1119" s="5"/>
      <c r="G1119" s="5"/>
      <c r="H1119" s="5"/>
      <c r="I1119" s="5"/>
      <c r="J1119" s="5"/>
      <c r="K1119" s="5"/>
      <c r="L1119" s="5"/>
      <c r="M1119" s="5"/>
      <c r="N1119" s="5"/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114"/>
      <c r="AB1119" s="114"/>
      <c r="AC1119" s="114"/>
    </row>
    <row r="1120">
      <c r="A1120" s="5"/>
      <c r="B1120" s="5"/>
      <c r="C1120" s="5"/>
      <c r="D1120" s="52"/>
      <c r="E1120" s="5"/>
      <c r="F1120" s="5"/>
      <c r="G1120" s="5"/>
      <c r="H1120" s="5"/>
      <c r="I1120" s="5"/>
      <c r="J1120" s="5"/>
      <c r="K1120" s="5"/>
      <c r="L1120" s="5"/>
      <c r="M1120" s="5"/>
      <c r="N1120" s="5"/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114"/>
      <c r="AB1120" s="114"/>
      <c r="AC1120" s="114"/>
    </row>
    <row r="1121">
      <c r="A1121" s="5"/>
      <c r="B1121" s="5"/>
      <c r="C1121" s="5"/>
      <c r="D1121" s="52"/>
      <c r="E1121" s="5"/>
      <c r="F1121" s="5"/>
      <c r="G1121" s="5"/>
      <c r="H1121" s="5"/>
      <c r="I1121" s="5"/>
      <c r="J1121" s="5"/>
      <c r="K1121" s="5"/>
      <c r="L1121" s="5"/>
      <c r="M1121" s="5"/>
      <c r="N1121" s="5"/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114"/>
      <c r="AB1121" s="114"/>
      <c r="AC1121" s="114"/>
    </row>
    <row r="1122">
      <c r="A1122" s="5"/>
      <c r="B1122" s="5"/>
      <c r="C1122" s="5"/>
      <c r="D1122" s="52"/>
      <c r="E1122" s="5"/>
      <c r="F1122" s="5"/>
      <c r="G1122" s="5"/>
      <c r="H1122" s="5"/>
      <c r="I1122" s="5"/>
      <c r="J1122" s="5"/>
      <c r="K1122" s="5"/>
      <c r="L1122" s="5"/>
      <c r="M1122" s="5"/>
      <c r="N1122" s="5"/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114"/>
      <c r="AB1122" s="114"/>
      <c r="AC1122" s="114"/>
    </row>
    <row r="1123">
      <c r="A1123" s="5"/>
      <c r="B1123" s="5"/>
      <c r="C1123" s="5"/>
      <c r="D1123" s="52"/>
      <c r="E1123" s="5"/>
      <c r="F1123" s="5"/>
      <c r="G1123" s="5"/>
      <c r="H1123" s="5"/>
      <c r="I1123" s="5"/>
      <c r="J1123" s="5"/>
      <c r="K1123" s="5"/>
      <c r="L1123" s="5"/>
      <c r="M1123" s="5"/>
      <c r="N1123" s="5"/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114"/>
      <c r="AB1123" s="114"/>
      <c r="AC1123" s="114"/>
    </row>
    <row r="1124">
      <c r="A1124" s="5"/>
      <c r="B1124" s="5"/>
      <c r="C1124" s="5"/>
      <c r="D1124" s="52"/>
      <c r="E1124" s="5"/>
      <c r="F1124" s="5"/>
      <c r="G1124" s="5"/>
      <c r="H1124" s="5"/>
      <c r="I1124" s="5"/>
      <c r="J1124" s="5"/>
      <c r="K1124" s="5"/>
      <c r="L1124" s="5"/>
      <c r="M1124" s="5"/>
      <c r="N1124" s="5"/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114"/>
      <c r="AB1124" s="114"/>
      <c r="AC1124" s="114"/>
    </row>
    <row r="1125">
      <c r="A1125" s="5"/>
      <c r="B1125" s="5"/>
      <c r="C1125" s="5"/>
      <c r="D1125" s="52"/>
      <c r="E1125" s="5"/>
      <c r="F1125" s="5"/>
      <c r="G1125" s="5"/>
      <c r="H1125" s="5"/>
      <c r="I1125" s="5"/>
      <c r="J1125" s="5"/>
      <c r="K1125" s="5"/>
      <c r="L1125" s="5"/>
      <c r="M1125" s="5"/>
      <c r="N1125" s="5"/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114"/>
      <c r="AB1125" s="114"/>
      <c r="AC1125" s="114"/>
    </row>
    <row r="1126">
      <c r="A1126" s="5"/>
      <c r="B1126" s="5"/>
      <c r="C1126" s="5"/>
      <c r="D1126" s="52"/>
      <c r="E1126" s="5"/>
      <c r="F1126" s="5"/>
      <c r="G1126" s="5"/>
      <c r="H1126" s="5"/>
      <c r="I1126" s="5"/>
      <c r="J1126" s="5"/>
      <c r="K1126" s="5"/>
      <c r="L1126" s="5"/>
      <c r="M1126" s="5"/>
      <c r="N1126" s="5"/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114"/>
      <c r="AB1126" s="114"/>
      <c r="AC1126" s="114"/>
    </row>
    <row r="1127">
      <c r="A1127" s="5"/>
      <c r="B1127" s="5"/>
      <c r="C1127" s="5"/>
      <c r="D1127" s="52"/>
      <c r="E1127" s="5"/>
      <c r="F1127" s="5"/>
      <c r="G1127" s="5"/>
      <c r="H1127" s="5"/>
      <c r="I1127" s="5"/>
      <c r="J1127" s="5"/>
      <c r="K1127" s="5"/>
      <c r="L1127" s="5"/>
      <c r="M1127" s="5"/>
      <c r="N1127" s="5"/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114"/>
      <c r="AB1127" s="114"/>
      <c r="AC1127" s="114"/>
    </row>
    <row r="1128">
      <c r="A1128" s="5"/>
      <c r="B1128" s="5"/>
      <c r="C1128" s="5"/>
      <c r="D1128" s="52"/>
      <c r="E1128" s="5"/>
      <c r="F1128" s="5"/>
      <c r="G1128" s="5"/>
      <c r="H1128" s="5"/>
      <c r="I1128" s="5"/>
      <c r="J1128" s="5"/>
      <c r="K1128" s="5"/>
      <c r="L1128" s="5"/>
      <c r="M1128" s="5"/>
      <c r="N1128" s="5"/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114"/>
      <c r="AB1128" s="114"/>
      <c r="AC1128" s="114"/>
    </row>
    <row r="1129">
      <c r="A1129" s="5"/>
      <c r="B1129" s="5"/>
      <c r="C1129" s="5"/>
      <c r="D1129" s="52"/>
      <c r="E1129" s="5"/>
      <c r="F1129" s="5"/>
      <c r="G1129" s="5"/>
      <c r="H1129" s="5"/>
      <c r="I1129" s="5"/>
      <c r="J1129" s="5"/>
      <c r="K1129" s="5"/>
      <c r="L1129" s="5"/>
      <c r="M1129" s="5"/>
      <c r="N1129" s="5"/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114"/>
      <c r="AB1129" s="114"/>
      <c r="AC1129" s="114"/>
    </row>
    <row r="1130">
      <c r="A1130" s="5"/>
      <c r="B1130" s="5"/>
      <c r="C1130" s="5"/>
      <c r="D1130" s="52"/>
      <c r="E1130" s="5"/>
      <c r="F1130" s="5"/>
      <c r="G1130" s="5"/>
      <c r="H1130" s="5"/>
      <c r="I1130" s="5"/>
      <c r="J1130" s="5"/>
      <c r="K1130" s="5"/>
      <c r="L1130" s="5"/>
      <c r="M1130" s="5"/>
      <c r="N1130" s="5"/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114"/>
      <c r="AB1130" s="114"/>
      <c r="AC1130" s="114"/>
    </row>
    <row r="1131">
      <c r="A1131" s="5"/>
      <c r="B1131" s="5"/>
      <c r="C1131" s="5"/>
      <c r="D1131" s="52"/>
      <c r="E1131" s="5"/>
      <c r="F1131" s="5"/>
      <c r="G1131" s="5"/>
      <c r="H1131" s="5"/>
      <c r="I1131" s="5"/>
      <c r="J1131" s="5"/>
      <c r="K1131" s="5"/>
      <c r="L1131" s="5"/>
      <c r="M1131" s="5"/>
      <c r="N1131" s="5"/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114"/>
      <c r="AB1131" s="114"/>
      <c r="AC1131" s="114"/>
    </row>
    <row r="1132">
      <c r="A1132" s="5"/>
      <c r="B1132" s="5"/>
      <c r="C1132" s="5"/>
      <c r="D1132" s="52"/>
      <c r="E1132" s="5"/>
      <c r="F1132" s="5"/>
      <c r="G1132" s="5"/>
      <c r="H1132" s="5"/>
      <c r="I1132" s="5"/>
      <c r="J1132" s="5"/>
      <c r="K1132" s="5"/>
      <c r="L1132" s="5"/>
      <c r="M1132" s="5"/>
      <c r="N1132" s="5"/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114"/>
      <c r="AB1132" s="114"/>
      <c r="AC1132" s="114"/>
    </row>
    <row r="1133">
      <c r="A1133" s="5"/>
      <c r="B1133" s="5"/>
      <c r="C1133" s="5"/>
      <c r="D1133" s="52"/>
      <c r="E1133" s="5"/>
      <c r="F1133" s="5"/>
      <c r="G1133" s="5"/>
      <c r="H1133" s="5"/>
      <c r="I1133" s="5"/>
      <c r="J1133" s="5"/>
      <c r="K1133" s="5"/>
      <c r="L1133" s="5"/>
      <c r="M1133" s="5"/>
      <c r="N1133" s="5"/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114"/>
      <c r="AB1133" s="114"/>
      <c r="AC1133" s="114"/>
    </row>
    <row r="1134">
      <c r="A1134" s="5"/>
      <c r="B1134" s="5"/>
      <c r="C1134" s="5"/>
      <c r="D1134" s="52"/>
      <c r="E1134" s="5"/>
      <c r="F1134" s="5"/>
      <c r="G1134" s="5"/>
      <c r="H1134" s="5"/>
      <c r="I1134" s="5"/>
      <c r="J1134" s="5"/>
      <c r="K1134" s="5"/>
      <c r="L1134" s="5"/>
      <c r="M1134" s="5"/>
      <c r="N1134" s="5"/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114"/>
      <c r="AB1134" s="114"/>
      <c r="AC1134" s="114"/>
    </row>
    <row r="1135">
      <c r="A1135" s="5"/>
      <c r="B1135" s="5"/>
      <c r="C1135" s="5"/>
      <c r="D1135" s="52"/>
      <c r="E1135" s="5"/>
      <c r="F1135" s="5"/>
      <c r="G1135" s="5"/>
      <c r="H1135" s="5"/>
      <c r="I1135" s="5"/>
      <c r="J1135" s="5"/>
      <c r="K1135" s="5"/>
      <c r="L1135" s="5"/>
      <c r="M1135" s="5"/>
      <c r="N1135" s="5"/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114"/>
      <c r="AB1135" s="114"/>
      <c r="AC1135" s="114"/>
    </row>
    <row r="1136">
      <c r="A1136" s="5"/>
      <c r="B1136" s="5"/>
      <c r="C1136" s="5"/>
      <c r="D1136" s="52"/>
      <c r="E1136" s="5"/>
      <c r="F1136" s="5"/>
      <c r="G1136" s="5"/>
      <c r="H1136" s="5"/>
      <c r="I1136" s="5"/>
      <c r="J1136" s="5"/>
      <c r="K1136" s="5"/>
      <c r="L1136" s="5"/>
      <c r="M1136" s="5"/>
      <c r="N1136" s="5"/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114"/>
      <c r="AB1136" s="114"/>
      <c r="AC1136" s="114"/>
    </row>
    <row r="1137">
      <c r="A1137" s="5"/>
      <c r="B1137" s="5"/>
      <c r="C1137" s="5"/>
      <c r="D1137" s="52"/>
      <c r="E1137" s="5"/>
      <c r="F1137" s="5"/>
      <c r="G1137" s="5"/>
      <c r="H1137" s="5"/>
      <c r="I1137" s="5"/>
      <c r="J1137" s="5"/>
      <c r="K1137" s="5"/>
      <c r="L1137" s="5"/>
      <c r="M1137" s="5"/>
      <c r="N1137" s="5"/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114"/>
      <c r="AB1137" s="114"/>
      <c r="AC1137" s="114"/>
    </row>
    <row r="1138">
      <c r="A1138" s="5"/>
      <c r="B1138" s="5"/>
      <c r="C1138" s="5"/>
      <c r="D1138" s="52"/>
      <c r="E1138" s="5"/>
      <c r="F1138" s="5"/>
      <c r="G1138" s="5"/>
      <c r="H1138" s="5"/>
      <c r="I1138" s="5"/>
      <c r="J1138" s="5"/>
      <c r="K1138" s="5"/>
      <c r="L1138" s="5"/>
      <c r="M1138" s="5"/>
      <c r="N1138" s="5"/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114"/>
      <c r="AB1138" s="114"/>
      <c r="AC1138" s="114"/>
    </row>
    <row r="1139">
      <c r="A1139" s="5"/>
      <c r="B1139" s="5"/>
      <c r="C1139" s="5"/>
      <c r="D1139" s="52"/>
      <c r="E1139" s="5"/>
      <c r="F1139" s="5"/>
      <c r="G1139" s="5"/>
      <c r="H1139" s="5"/>
      <c r="I1139" s="5"/>
      <c r="J1139" s="5"/>
      <c r="K1139" s="5"/>
      <c r="L1139" s="5"/>
      <c r="M1139" s="5"/>
      <c r="N1139" s="5"/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114"/>
      <c r="AB1139" s="114"/>
      <c r="AC1139" s="114"/>
    </row>
    <row r="1140">
      <c r="A1140" s="5"/>
      <c r="B1140" s="5"/>
      <c r="C1140" s="5"/>
      <c r="D1140" s="52"/>
      <c r="E1140" s="5"/>
      <c r="F1140" s="5"/>
      <c r="G1140" s="5"/>
      <c r="H1140" s="5"/>
      <c r="I1140" s="5"/>
      <c r="J1140" s="5"/>
      <c r="K1140" s="5"/>
      <c r="L1140" s="5"/>
      <c r="M1140" s="5"/>
      <c r="N1140" s="5"/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114"/>
      <c r="AB1140" s="114"/>
      <c r="AC1140" s="114"/>
    </row>
    <row r="1141">
      <c r="A1141" s="5"/>
      <c r="B1141" s="5"/>
      <c r="C1141" s="5"/>
      <c r="D1141" s="52"/>
      <c r="E1141" s="5"/>
      <c r="F1141" s="5"/>
      <c r="G1141" s="5"/>
      <c r="H1141" s="5"/>
      <c r="I1141" s="5"/>
      <c r="J1141" s="5"/>
      <c r="K1141" s="5"/>
      <c r="L1141" s="5"/>
      <c r="M1141" s="5"/>
      <c r="N1141" s="5"/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114"/>
      <c r="AB1141" s="114"/>
      <c r="AC1141" s="114"/>
    </row>
    <row r="1142">
      <c r="A1142" s="5"/>
      <c r="B1142" s="5"/>
      <c r="C1142" s="5"/>
      <c r="D1142" s="52"/>
      <c r="E1142" s="5"/>
      <c r="F1142" s="5"/>
      <c r="G1142" s="5"/>
      <c r="H1142" s="5"/>
      <c r="I1142" s="5"/>
      <c r="J1142" s="5"/>
      <c r="K1142" s="5"/>
      <c r="L1142" s="5"/>
      <c r="M1142" s="5"/>
      <c r="N1142" s="5"/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114"/>
      <c r="AB1142" s="114"/>
      <c r="AC1142" s="114"/>
    </row>
    <row r="1143">
      <c r="A1143" s="5"/>
      <c r="B1143" s="5"/>
      <c r="C1143" s="5"/>
      <c r="D1143" s="52"/>
      <c r="E1143" s="5"/>
      <c r="F1143" s="5"/>
      <c r="G1143" s="5"/>
      <c r="H1143" s="5"/>
      <c r="I1143" s="5"/>
      <c r="J1143" s="5"/>
      <c r="K1143" s="5"/>
      <c r="L1143" s="5"/>
      <c r="M1143" s="5"/>
      <c r="N1143" s="5"/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114"/>
      <c r="AB1143" s="114"/>
      <c r="AC1143" s="114"/>
    </row>
    <row r="1144">
      <c r="A1144" s="5"/>
      <c r="B1144" s="5"/>
      <c r="C1144" s="5"/>
      <c r="D1144" s="52"/>
      <c r="E1144" s="5"/>
      <c r="F1144" s="5"/>
      <c r="G1144" s="5"/>
      <c r="H1144" s="5"/>
      <c r="I1144" s="5"/>
      <c r="J1144" s="5"/>
      <c r="K1144" s="5"/>
      <c r="L1144" s="5"/>
      <c r="M1144" s="5"/>
      <c r="N1144" s="5"/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114"/>
      <c r="AB1144" s="114"/>
      <c r="AC1144" s="114"/>
    </row>
    <row r="1145">
      <c r="A1145" s="5"/>
      <c r="B1145" s="5"/>
      <c r="C1145" s="5"/>
      <c r="D1145" s="52"/>
      <c r="E1145" s="5"/>
      <c r="F1145" s="5"/>
      <c r="G1145" s="5"/>
      <c r="H1145" s="5"/>
      <c r="I1145" s="5"/>
      <c r="J1145" s="5"/>
      <c r="K1145" s="5"/>
      <c r="L1145" s="5"/>
      <c r="M1145" s="5"/>
      <c r="N1145" s="5"/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114"/>
      <c r="AB1145" s="114"/>
      <c r="AC1145" s="114"/>
    </row>
    <row r="1146">
      <c r="A1146" s="5"/>
      <c r="B1146" s="5"/>
      <c r="C1146" s="5"/>
      <c r="D1146" s="52"/>
      <c r="E1146" s="5"/>
      <c r="F1146" s="5"/>
      <c r="G1146" s="5"/>
      <c r="H1146" s="5"/>
      <c r="I1146" s="5"/>
      <c r="J1146" s="5"/>
      <c r="K1146" s="5"/>
      <c r="L1146" s="5"/>
      <c r="M1146" s="5"/>
      <c r="N1146" s="5"/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114"/>
      <c r="AB1146" s="114"/>
      <c r="AC1146" s="114"/>
    </row>
    <row r="1147">
      <c r="A1147" s="5"/>
      <c r="B1147" s="5"/>
      <c r="C1147" s="5"/>
      <c r="D1147" s="52"/>
      <c r="E1147" s="5"/>
      <c r="F1147" s="5"/>
      <c r="G1147" s="5"/>
      <c r="H1147" s="5"/>
      <c r="I1147" s="5"/>
      <c r="J1147" s="5"/>
      <c r="K1147" s="5"/>
      <c r="L1147" s="5"/>
      <c r="M1147" s="5"/>
      <c r="N1147" s="5"/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114"/>
      <c r="AB1147" s="114"/>
      <c r="AC1147" s="114"/>
    </row>
    <row r="1148">
      <c r="A1148" s="5"/>
      <c r="B1148" s="5"/>
      <c r="C1148" s="5"/>
      <c r="D1148" s="52"/>
      <c r="E1148" s="5"/>
      <c r="F1148" s="5"/>
      <c r="G1148" s="5"/>
      <c r="H1148" s="5"/>
      <c r="I1148" s="5"/>
      <c r="J1148" s="5"/>
      <c r="K1148" s="5"/>
      <c r="L1148" s="5"/>
      <c r="M1148" s="5"/>
      <c r="N1148" s="5"/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114"/>
      <c r="AB1148" s="114"/>
      <c r="AC1148" s="114"/>
    </row>
    <row r="1149">
      <c r="A1149" s="5"/>
      <c r="B1149" s="5"/>
      <c r="C1149" s="5"/>
      <c r="D1149" s="52"/>
      <c r="E1149" s="5"/>
      <c r="F1149" s="5"/>
      <c r="G1149" s="5"/>
      <c r="H1149" s="5"/>
      <c r="I1149" s="5"/>
      <c r="J1149" s="5"/>
      <c r="K1149" s="5"/>
      <c r="L1149" s="5"/>
      <c r="M1149" s="5"/>
      <c r="N1149" s="5"/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114"/>
      <c r="AB1149" s="114"/>
      <c r="AC1149" s="114"/>
    </row>
    <row r="1150">
      <c r="A1150" s="5"/>
      <c r="B1150" s="5"/>
      <c r="C1150" s="5"/>
      <c r="D1150" s="52"/>
      <c r="E1150" s="5"/>
      <c r="F1150" s="5"/>
      <c r="G1150" s="5"/>
      <c r="H1150" s="5"/>
      <c r="I1150" s="5"/>
      <c r="J1150" s="5"/>
      <c r="K1150" s="5"/>
      <c r="L1150" s="5"/>
      <c r="M1150" s="5"/>
      <c r="N1150" s="5"/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114"/>
      <c r="AB1150" s="114"/>
      <c r="AC1150" s="114"/>
    </row>
    <row r="1151">
      <c r="A1151" s="5"/>
      <c r="B1151" s="5"/>
      <c r="C1151" s="5"/>
      <c r="D1151" s="52"/>
      <c r="E1151" s="5"/>
      <c r="F1151" s="5"/>
      <c r="G1151" s="5"/>
      <c r="H1151" s="5"/>
      <c r="I1151" s="5"/>
      <c r="J1151" s="5"/>
      <c r="K1151" s="5"/>
      <c r="L1151" s="5"/>
      <c r="M1151" s="5"/>
      <c r="N1151" s="5"/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114"/>
      <c r="AB1151" s="114"/>
      <c r="AC1151" s="114"/>
    </row>
    <row r="1152">
      <c r="A1152" s="5"/>
      <c r="B1152" s="5"/>
      <c r="C1152" s="5"/>
      <c r="D1152" s="52"/>
      <c r="E1152" s="5"/>
      <c r="F1152" s="5"/>
      <c r="G1152" s="5"/>
      <c r="H1152" s="5"/>
      <c r="I1152" s="5"/>
      <c r="J1152" s="5"/>
      <c r="K1152" s="5"/>
      <c r="L1152" s="5"/>
      <c r="M1152" s="5"/>
      <c r="N1152" s="5"/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114"/>
      <c r="AB1152" s="114"/>
      <c r="AC1152" s="114"/>
    </row>
    <row r="1153">
      <c r="A1153" s="5"/>
      <c r="B1153" s="5"/>
      <c r="C1153" s="5"/>
      <c r="D1153" s="52"/>
      <c r="E1153" s="5"/>
      <c r="F1153" s="5"/>
      <c r="G1153" s="5"/>
      <c r="H1153" s="5"/>
      <c r="I1153" s="5"/>
      <c r="J1153" s="5"/>
      <c r="K1153" s="5"/>
      <c r="L1153" s="5"/>
      <c r="M1153" s="5"/>
      <c r="N1153" s="5"/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114"/>
      <c r="AB1153" s="114"/>
      <c r="AC1153" s="114"/>
    </row>
    <row r="1154">
      <c r="A1154" s="5"/>
      <c r="B1154" s="5"/>
      <c r="C1154" s="5"/>
      <c r="D1154" s="52"/>
      <c r="E1154" s="5"/>
      <c r="F1154" s="5"/>
      <c r="G1154" s="5"/>
      <c r="H1154" s="5"/>
      <c r="I1154" s="5"/>
      <c r="J1154" s="5"/>
      <c r="K1154" s="5"/>
      <c r="L1154" s="5"/>
      <c r="M1154" s="5"/>
      <c r="N1154" s="5"/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114"/>
      <c r="AB1154" s="114"/>
      <c r="AC1154" s="114"/>
    </row>
    <row r="1155">
      <c r="A1155" s="5"/>
      <c r="B1155" s="5"/>
      <c r="C1155" s="5"/>
      <c r="D1155" s="52"/>
      <c r="E1155" s="5"/>
      <c r="F1155" s="5"/>
      <c r="G1155" s="5"/>
      <c r="H1155" s="5"/>
      <c r="I1155" s="5"/>
      <c r="J1155" s="5"/>
      <c r="K1155" s="5"/>
      <c r="L1155" s="5"/>
      <c r="M1155" s="5"/>
      <c r="N1155" s="5"/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114"/>
      <c r="AB1155" s="114"/>
      <c r="AC1155" s="114"/>
    </row>
    <row r="1156">
      <c r="A1156" s="5"/>
      <c r="B1156" s="5"/>
      <c r="C1156" s="5"/>
      <c r="D1156" s="52"/>
      <c r="E1156" s="5"/>
      <c r="F1156" s="5"/>
      <c r="G1156" s="5"/>
      <c r="H1156" s="5"/>
      <c r="I1156" s="5"/>
      <c r="J1156" s="5"/>
      <c r="K1156" s="5"/>
      <c r="L1156" s="5"/>
      <c r="M1156" s="5"/>
      <c r="N1156" s="5"/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114"/>
      <c r="AB1156" s="114"/>
      <c r="AC1156" s="114"/>
    </row>
    <row r="1157">
      <c r="A1157" s="5"/>
      <c r="B1157" s="5"/>
      <c r="C1157" s="5"/>
      <c r="D1157" s="52"/>
      <c r="E1157" s="5"/>
      <c r="F1157" s="5"/>
      <c r="G1157" s="5"/>
      <c r="H1157" s="5"/>
      <c r="I1157" s="5"/>
      <c r="J1157" s="5"/>
      <c r="K1157" s="5"/>
      <c r="L1157" s="5"/>
      <c r="M1157" s="5"/>
      <c r="N1157" s="5"/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114"/>
      <c r="AB1157" s="114"/>
      <c r="AC1157" s="114"/>
    </row>
    <row r="1158">
      <c r="A1158" s="5"/>
      <c r="B1158" s="5"/>
      <c r="C1158" s="5"/>
      <c r="D1158" s="52"/>
      <c r="E1158" s="5"/>
      <c r="F1158" s="5"/>
      <c r="G1158" s="5"/>
      <c r="H1158" s="5"/>
      <c r="I1158" s="5"/>
      <c r="J1158" s="5"/>
      <c r="K1158" s="5"/>
      <c r="L1158" s="5"/>
      <c r="M1158" s="5"/>
      <c r="N1158" s="5"/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114"/>
      <c r="AB1158" s="114"/>
      <c r="AC1158" s="114"/>
    </row>
    <row r="1159">
      <c r="A1159" s="5"/>
      <c r="B1159" s="5"/>
      <c r="C1159" s="5"/>
      <c r="D1159" s="52"/>
      <c r="E1159" s="5"/>
      <c r="F1159" s="5"/>
      <c r="G1159" s="5"/>
      <c r="H1159" s="5"/>
      <c r="I1159" s="5"/>
      <c r="J1159" s="5"/>
      <c r="K1159" s="5"/>
      <c r="L1159" s="5"/>
      <c r="M1159" s="5"/>
      <c r="N1159" s="5"/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114"/>
      <c r="AB1159" s="114"/>
      <c r="AC1159" s="114"/>
    </row>
    <row r="1160">
      <c r="A1160" s="5"/>
      <c r="B1160" s="5"/>
      <c r="C1160" s="5"/>
      <c r="D1160" s="52"/>
      <c r="E1160" s="5"/>
      <c r="F1160" s="5"/>
      <c r="G1160" s="5"/>
      <c r="H1160" s="5"/>
      <c r="I1160" s="5"/>
      <c r="J1160" s="5"/>
      <c r="K1160" s="5"/>
      <c r="L1160" s="5"/>
      <c r="M1160" s="5"/>
      <c r="N1160" s="5"/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114"/>
      <c r="AB1160" s="114"/>
      <c r="AC1160" s="114"/>
    </row>
    <row r="1161">
      <c r="A1161" s="5"/>
      <c r="B1161" s="5"/>
      <c r="C1161" s="5"/>
      <c r="D1161" s="52"/>
      <c r="E1161" s="5"/>
      <c r="F1161" s="5"/>
      <c r="G1161" s="5"/>
      <c r="H1161" s="5"/>
      <c r="I1161" s="5"/>
      <c r="J1161" s="5"/>
      <c r="K1161" s="5"/>
      <c r="L1161" s="5"/>
      <c r="M1161" s="5"/>
      <c r="N1161" s="5"/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114"/>
      <c r="AB1161" s="114"/>
      <c r="AC1161" s="114"/>
    </row>
    <row r="1162">
      <c r="A1162" s="5"/>
      <c r="B1162" s="5"/>
      <c r="C1162" s="5"/>
      <c r="D1162" s="52"/>
      <c r="E1162" s="5"/>
      <c r="F1162" s="5"/>
      <c r="G1162" s="5"/>
      <c r="H1162" s="5"/>
      <c r="I1162" s="5"/>
      <c r="J1162" s="5"/>
      <c r="K1162" s="5"/>
      <c r="L1162" s="5"/>
      <c r="M1162" s="5"/>
      <c r="N1162" s="5"/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114"/>
      <c r="AB1162" s="114"/>
      <c r="AC1162" s="114"/>
    </row>
    <row r="1163">
      <c r="A1163" s="5"/>
      <c r="B1163" s="5"/>
      <c r="C1163" s="5"/>
      <c r="D1163" s="52"/>
      <c r="E1163" s="5"/>
      <c r="F1163" s="5"/>
      <c r="G1163" s="5"/>
      <c r="H1163" s="5"/>
      <c r="I1163" s="5"/>
      <c r="J1163" s="5"/>
      <c r="K1163" s="5"/>
      <c r="L1163" s="5"/>
      <c r="M1163" s="5"/>
      <c r="N1163" s="5"/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114"/>
      <c r="AB1163" s="114"/>
      <c r="AC1163" s="114"/>
    </row>
    <row r="1164">
      <c r="A1164" s="5"/>
      <c r="B1164" s="5"/>
      <c r="C1164" s="5"/>
      <c r="D1164" s="52"/>
      <c r="E1164" s="5"/>
      <c r="F1164" s="5"/>
      <c r="G1164" s="5"/>
      <c r="H1164" s="5"/>
      <c r="I1164" s="5"/>
      <c r="J1164" s="5"/>
      <c r="K1164" s="5"/>
      <c r="L1164" s="5"/>
      <c r="M1164" s="5"/>
      <c r="N1164" s="5"/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114"/>
      <c r="AB1164" s="114"/>
      <c r="AC1164" s="114"/>
    </row>
    <row r="1165">
      <c r="A1165" s="5"/>
      <c r="B1165" s="5"/>
      <c r="C1165" s="5"/>
      <c r="D1165" s="52"/>
      <c r="E1165" s="5"/>
      <c r="F1165" s="5"/>
      <c r="G1165" s="5"/>
      <c r="H1165" s="5"/>
      <c r="I1165" s="5"/>
      <c r="J1165" s="5"/>
      <c r="K1165" s="5"/>
      <c r="L1165" s="5"/>
      <c r="M1165" s="5"/>
      <c r="N1165" s="5"/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114"/>
      <c r="AB1165" s="114"/>
      <c r="AC1165" s="114"/>
    </row>
    <row r="1166">
      <c r="A1166" s="5"/>
      <c r="B1166" s="5"/>
      <c r="C1166" s="5"/>
      <c r="D1166" s="52"/>
      <c r="E1166" s="5"/>
      <c r="F1166" s="5"/>
      <c r="G1166" s="5"/>
      <c r="H1166" s="5"/>
      <c r="I1166" s="5"/>
      <c r="J1166" s="5"/>
      <c r="K1166" s="5"/>
      <c r="L1166" s="5"/>
      <c r="M1166" s="5"/>
      <c r="N1166" s="5"/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114"/>
      <c r="AB1166" s="114"/>
      <c r="AC1166" s="114"/>
    </row>
    <row r="1167">
      <c r="A1167" s="5"/>
      <c r="B1167" s="5"/>
      <c r="C1167" s="5"/>
      <c r="D1167" s="52"/>
      <c r="E1167" s="5"/>
      <c r="F1167" s="5"/>
      <c r="G1167" s="5"/>
      <c r="H1167" s="5"/>
      <c r="I1167" s="5"/>
      <c r="J1167" s="5"/>
      <c r="K1167" s="5"/>
      <c r="L1167" s="5"/>
      <c r="M1167" s="5"/>
      <c r="N1167" s="5"/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114"/>
      <c r="AB1167" s="114"/>
      <c r="AC1167" s="114"/>
    </row>
    <row r="1168">
      <c r="A1168" s="5"/>
      <c r="B1168" s="5"/>
      <c r="C1168" s="5"/>
      <c r="D1168" s="52"/>
      <c r="E1168" s="5"/>
      <c r="F1168" s="5"/>
      <c r="G1168" s="5"/>
      <c r="H1168" s="5"/>
      <c r="I1168" s="5"/>
      <c r="J1168" s="5"/>
      <c r="K1168" s="5"/>
      <c r="L1168" s="5"/>
      <c r="M1168" s="5"/>
      <c r="N1168" s="5"/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114"/>
      <c r="AB1168" s="114"/>
      <c r="AC1168" s="114"/>
    </row>
    <row r="1169">
      <c r="A1169" s="5"/>
      <c r="B1169" s="5"/>
      <c r="C1169" s="5"/>
      <c r="D1169" s="52"/>
      <c r="E1169" s="5"/>
      <c r="F1169" s="5"/>
      <c r="G1169" s="5"/>
      <c r="H1169" s="5"/>
      <c r="I1169" s="5"/>
      <c r="J1169" s="5"/>
      <c r="K1169" s="5"/>
      <c r="L1169" s="5"/>
      <c r="M1169" s="5"/>
      <c r="N1169" s="5"/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114"/>
      <c r="AB1169" s="114"/>
      <c r="AC1169" s="114"/>
    </row>
    <row r="1170">
      <c r="A1170" s="5"/>
      <c r="B1170" s="5"/>
      <c r="C1170" s="5"/>
      <c r="D1170" s="52"/>
      <c r="E1170" s="5"/>
      <c r="F1170" s="5"/>
      <c r="G1170" s="5"/>
      <c r="H1170" s="5"/>
      <c r="I1170" s="5"/>
      <c r="J1170" s="5"/>
      <c r="K1170" s="5"/>
      <c r="L1170" s="5"/>
      <c r="M1170" s="5"/>
      <c r="N1170" s="5"/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114"/>
      <c r="AB1170" s="114"/>
      <c r="AC1170" s="114"/>
    </row>
    <row r="1171">
      <c r="A1171" s="5"/>
      <c r="B1171" s="5"/>
      <c r="C1171" s="5"/>
      <c r="D1171" s="52"/>
      <c r="E1171" s="5"/>
      <c r="F1171" s="5"/>
      <c r="G1171" s="5"/>
      <c r="H1171" s="5"/>
      <c r="I1171" s="5"/>
      <c r="J1171" s="5"/>
      <c r="K1171" s="5"/>
      <c r="L1171" s="5"/>
      <c r="M1171" s="5"/>
      <c r="N1171" s="5"/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114"/>
      <c r="AB1171" s="114"/>
      <c r="AC1171" s="114"/>
    </row>
    <row r="1172">
      <c r="A1172" s="5"/>
      <c r="B1172" s="5"/>
      <c r="C1172" s="5"/>
      <c r="D1172" s="52"/>
      <c r="E1172" s="5"/>
      <c r="F1172" s="5"/>
      <c r="G1172" s="5"/>
      <c r="H1172" s="5"/>
      <c r="I1172" s="5"/>
      <c r="J1172" s="5"/>
      <c r="K1172" s="5"/>
      <c r="L1172" s="5"/>
      <c r="M1172" s="5"/>
      <c r="N1172" s="5"/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114"/>
      <c r="AB1172" s="114"/>
      <c r="AC1172" s="114"/>
    </row>
    <row r="1173">
      <c r="A1173" s="5"/>
      <c r="B1173" s="5"/>
      <c r="C1173" s="5"/>
      <c r="D1173" s="52"/>
      <c r="E1173" s="5"/>
      <c r="F1173" s="5"/>
      <c r="G1173" s="5"/>
      <c r="H1173" s="5"/>
      <c r="I1173" s="5"/>
      <c r="J1173" s="5"/>
      <c r="K1173" s="5"/>
      <c r="L1173" s="5"/>
      <c r="M1173" s="5"/>
      <c r="N1173" s="5"/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114"/>
      <c r="AB1173" s="114"/>
      <c r="AC1173" s="114"/>
    </row>
    <row r="1174">
      <c r="A1174" s="5"/>
      <c r="B1174" s="5"/>
      <c r="C1174" s="5"/>
      <c r="D1174" s="52"/>
      <c r="E1174" s="5"/>
      <c r="F1174" s="5"/>
      <c r="G1174" s="5"/>
      <c r="H1174" s="5"/>
      <c r="I1174" s="5"/>
      <c r="J1174" s="5"/>
      <c r="K1174" s="5"/>
      <c r="L1174" s="5"/>
      <c r="M1174" s="5"/>
      <c r="N1174" s="5"/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114"/>
      <c r="AB1174" s="114"/>
      <c r="AC1174" s="114"/>
    </row>
    <row r="1175">
      <c r="A1175" s="5"/>
      <c r="B1175" s="5"/>
      <c r="C1175" s="5"/>
      <c r="D1175" s="52"/>
      <c r="E1175" s="5"/>
      <c r="F1175" s="5"/>
      <c r="G1175" s="5"/>
      <c r="H1175" s="5"/>
      <c r="I1175" s="5"/>
      <c r="J1175" s="5"/>
      <c r="K1175" s="5"/>
      <c r="L1175" s="5"/>
      <c r="M1175" s="5"/>
      <c r="N1175" s="5"/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114"/>
      <c r="AB1175" s="114"/>
      <c r="AC1175" s="114"/>
    </row>
    <row r="1176">
      <c r="A1176" s="5"/>
      <c r="B1176" s="5"/>
      <c r="C1176" s="5"/>
      <c r="D1176" s="52"/>
      <c r="E1176" s="5"/>
      <c r="F1176" s="5"/>
      <c r="G1176" s="5"/>
      <c r="H1176" s="5"/>
      <c r="I1176" s="5"/>
      <c r="J1176" s="5"/>
      <c r="K1176" s="5"/>
      <c r="L1176" s="5"/>
      <c r="M1176" s="5"/>
      <c r="N1176" s="5"/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114"/>
      <c r="AB1176" s="114"/>
      <c r="AC1176" s="114"/>
    </row>
    <row r="1177">
      <c r="A1177" s="5"/>
      <c r="B1177" s="5"/>
      <c r="C1177" s="5"/>
      <c r="D1177" s="52"/>
      <c r="E1177" s="5"/>
      <c r="F1177" s="5"/>
      <c r="G1177" s="5"/>
      <c r="H1177" s="5"/>
      <c r="I1177" s="5"/>
      <c r="J1177" s="5"/>
      <c r="K1177" s="5"/>
      <c r="L1177" s="5"/>
      <c r="M1177" s="5"/>
      <c r="N1177" s="5"/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114"/>
      <c r="AB1177" s="114"/>
      <c r="AC1177" s="114"/>
    </row>
    <row r="1178">
      <c r="A1178" s="5"/>
      <c r="B1178" s="5"/>
      <c r="C1178" s="5"/>
      <c r="D1178" s="52"/>
      <c r="E1178" s="5"/>
      <c r="F1178" s="5"/>
      <c r="G1178" s="5"/>
      <c r="H1178" s="5"/>
      <c r="I1178" s="5"/>
      <c r="J1178" s="5"/>
      <c r="K1178" s="5"/>
      <c r="L1178" s="5"/>
      <c r="M1178" s="5"/>
      <c r="N1178" s="5"/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114"/>
      <c r="AB1178" s="114"/>
      <c r="AC1178" s="114"/>
    </row>
    <row r="1179">
      <c r="A1179" s="5"/>
      <c r="B1179" s="5"/>
      <c r="C1179" s="5"/>
      <c r="D1179" s="52"/>
      <c r="E1179" s="5"/>
      <c r="F1179" s="5"/>
      <c r="G1179" s="5"/>
      <c r="H1179" s="5"/>
      <c r="I1179" s="5"/>
      <c r="J1179" s="5"/>
      <c r="K1179" s="5"/>
      <c r="L1179" s="5"/>
      <c r="M1179" s="5"/>
      <c r="N1179" s="5"/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114"/>
      <c r="AB1179" s="114"/>
      <c r="AC1179" s="114"/>
    </row>
    <row r="1180">
      <c r="A1180" s="5"/>
      <c r="B1180" s="5"/>
      <c r="C1180" s="5"/>
      <c r="D1180" s="52"/>
      <c r="E1180" s="5"/>
      <c r="F1180" s="5"/>
      <c r="G1180" s="5"/>
      <c r="H1180" s="5"/>
      <c r="I1180" s="5"/>
      <c r="J1180" s="5"/>
      <c r="K1180" s="5"/>
      <c r="L1180" s="5"/>
      <c r="M1180" s="5"/>
      <c r="N1180" s="5"/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114"/>
      <c r="AB1180" s="114"/>
      <c r="AC1180" s="114"/>
    </row>
    <row r="1181">
      <c r="A1181" s="5"/>
      <c r="B1181" s="5"/>
      <c r="C1181" s="5"/>
      <c r="D1181" s="52"/>
      <c r="E1181" s="5"/>
      <c r="F1181" s="5"/>
      <c r="G1181" s="5"/>
      <c r="H1181" s="5"/>
      <c r="I1181" s="5"/>
      <c r="J1181" s="5"/>
      <c r="K1181" s="5"/>
      <c r="L1181" s="5"/>
      <c r="M1181" s="5"/>
      <c r="N1181" s="5"/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114"/>
      <c r="AB1181" s="114"/>
      <c r="AC1181" s="114"/>
    </row>
    <row r="1182">
      <c r="A1182" s="5"/>
      <c r="B1182" s="5"/>
      <c r="C1182" s="5"/>
      <c r="D1182" s="52"/>
      <c r="E1182" s="5"/>
      <c r="F1182" s="5"/>
      <c r="G1182" s="5"/>
      <c r="H1182" s="5"/>
      <c r="I1182" s="5"/>
      <c r="J1182" s="5"/>
      <c r="K1182" s="5"/>
      <c r="L1182" s="5"/>
      <c r="M1182" s="5"/>
      <c r="N1182" s="5"/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114"/>
      <c r="AB1182" s="114"/>
      <c r="AC1182" s="114"/>
    </row>
    <row r="1183">
      <c r="A1183" s="5"/>
      <c r="B1183" s="5"/>
      <c r="C1183" s="5"/>
      <c r="D1183" s="52"/>
      <c r="E1183" s="5"/>
      <c r="F1183" s="5"/>
      <c r="G1183" s="5"/>
      <c r="H1183" s="5"/>
      <c r="I1183" s="5"/>
      <c r="J1183" s="5"/>
      <c r="K1183" s="5"/>
      <c r="L1183" s="5"/>
      <c r="M1183" s="5"/>
      <c r="N1183" s="5"/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114"/>
      <c r="AB1183" s="114"/>
      <c r="AC1183" s="114"/>
    </row>
    <row r="1184">
      <c r="A1184" s="5"/>
      <c r="B1184" s="5"/>
      <c r="C1184" s="5"/>
      <c r="D1184" s="52"/>
      <c r="E1184" s="5"/>
      <c r="F1184" s="5"/>
      <c r="G1184" s="5"/>
      <c r="H1184" s="5"/>
      <c r="I1184" s="5"/>
      <c r="J1184" s="5"/>
      <c r="K1184" s="5"/>
      <c r="L1184" s="5"/>
      <c r="M1184" s="5"/>
      <c r="N1184" s="5"/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114"/>
      <c r="AB1184" s="114"/>
      <c r="AC1184" s="114"/>
    </row>
    <row r="1185">
      <c r="A1185" s="5"/>
      <c r="B1185" s="5"/>
      <c r="C1185" s="5"/>
      <c r="D1185" s="52"/>
      <c r="E1185" s="5"/>
      <c r="F1185" s="5"/>
      <c r="G1185" s="5"/>
      <c r="H1185" s="5"/>
      <c r="I1185" s="5"/>
      <c r="J1185" s="5"/>
      <c r="K1185" s="5"/>
      <c r="L1185" s="5"/>
      <c r="M1185" s="5"/>
      <c r="N1185" s="5"/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114"/>
      <c r="AB1185" s="114"/>
      <c r="AC1185" s="114"/>
    </row>
    <row r="1186">
      <c r="A1186" s="5"/>
      <c r="B1186" s="5"/>
      <c r="C1186" s="5"/>
      <c r="D1186" s="52"/>
      <c r="E1186" s="5"/>
      <c r="F1186" s="5"/>
      <c r="G1186" s="5"/>
      <c r="H1186" s="5"/>
      <c r="I1186" s="5"/>
      <c r="J1186" s="5"/>
      <c r="K1186" s="5"/>
      <c r="L1186" s="5"/>
      <c r="M1186" s="5"/>
      <c r="N1186" s="5"/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114"/>
      <c r="AB1186" s="114"/>
      <c r="AC1186" s="114"/>
    </row>
    <row r="1187">
      <c r="A1187" s="5"/>
      <c r="B1187" s="5"/>
      <c r="C1187" s="5"/>
      <c r="D1187" s="52"/>
      <c r="E1187" s="5"/>
      <c r="F1187" s="5"/>
      <c r="G1187" s="5"/>
      <c r="H1187" s="5"/>
      <c r="I1187" s="5"/>
      <c r="J1187" s="5"/>
      <c r="K1187" s="5"/>
      <c r="L1187" s="5"/>
      <c r="M1187" s="5"/>
      <c r="N1187" s="5"/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114"/>
      <c r="AB1187" s="114"/>
      <c r="AC1187" s="114"/>
    </row>
    <row r="1188">
      <c r="A1188" s="5"/>
      <c r="B1188" s="5"/>
      <c r="C1188" s="5"/>
      <c r="D1188" s="52"/>
      <c r="E1188" s="5"/>
      <c r="F1188" s="5"/>
      <c r="G1188" s="5"/>
      <c r="H1188" s="5"/>
      <c r="I1188" s="5"/>
      <c r="J1188" s="5"/>
      <c r="K1188" s="5"/>
      <c r="L1188" s="5"/>
      <c r="M1188" s="5"/>
      <c r="N1188" s="5"/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114"/>
      <c r="AB1188" s="114"/>
      <c r="AC1188" s="114"/>
    </row>
    <row r="1189">
      <c r="A1189" s="5"/>
      <c r="B1189" s="5"/>
      <c r="C1189" s="5"/>
      <c r="D1189" s="52"/>
      <c r="E1189" s="5"/>
      <c r="F1189" s="5"/>
      <c r="G1189" s="5"/>
      <c r="H1189" s="5"/>
      <c r="I1189" s="5"/>
      <c r="J1189" s="5"/>
      <c r="K1189" s="5"/>
      <c r="L1189" s="5"/>
      <c r="M1189" s="5"/>
      <c r="N1189" s="5"/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114"/>
      <c r="AB1189" s="114"/>
      <c r="AC1189" s="114"/>
    </row>
    <row r="1190">
      <c r="A1190" s="5"/>
      <c r="B1190" s="5"/>
      <c r="C1190" s="5"/>
      <c r="D1190" s="52"/>
      <c r="E1190" s="5"/>
      <c r="F1190" s="5"/>
      <c r="G1190" s="5"/>
      <c r="H1190" s="5"/>
      <c r="I1190" s="5"/>
      <c r="J1190" s="5"/>
      <c r="K1190" s="5"/>
      <c r="L1190" s="5"/>
      <c r="M1190" s="5"/>
      <c r="N1190" s="5"/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114"/>
      <c r="AB1190" s="114"/>
      <c r="AC1190" s="114"/>
    </row>
    <row r="1191">
      <c r="A1191" s="5"/>
      <c r="B1191" s="5"/>
      <c r="C1191" s="5"/>
      <c r="D1191" s="52"/>
      <c r="E1191" s="5"/>
      <c r="F1191" s="5"/>
      <c r="G1191" s="5"/>
      <c r="H1191" s="5"/>
      <c r="I1191" s="5"/>
      <c r="J1191" s="5"/>
      <c r="K1191" s="5"/>
      <c r="L1191" s="5"/>
      <c r="M1191" s="5"/>
      <c r="N1191" s="5"/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114"/>
      <c r="AB1191" s="114"/>
      <c r="AC1191" s="114"/>
    </row>
    <row r="1192">
      <c r="A1192" s="5"/>
      <c r="B1192" s="5"/>
      <c r="C1192" s="5"/>
      <c r="D1192" s="52"/>
      <c r="E1192" s="5"/>
      <c r="F1192" s="5"/>
      <c r="G1192" s="5"/>
      <c r="H1192" s="5"/>
      <c r="I1192" s="5"/>
      <c r="J1192" s="5"/>
      <c r="K1192" s="5"/>
      <c r="L1192" s="5"/>
      <c r="M1192" s="5"/>
      <c r="N1192" s="5"/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114"/>
      <c r="AB1192" s="114"/>
      <c r="AC1192" s="114"/>
    </row>
    <row r="1193">
      <c r="A1193" s="5"/>
      <c r="B1193" s="5"/>
      <c r="C1193" s="5"/>
      <c r="D1193" s="52"/>
      <c r="E1193" s="5"/>
      <c r="F1193" s="5"/>
      <c r="G1193" s="5"/>
      <c r="H1193" s="5"/>
      <c r="I1193" s="5"/>
      <c r="J1193" s="5"/>
      <c r="K1193" s="5"/>
      <c r="L1193" s="5"/>
      <c r="M1193" s="5"/>
      <c r="N1193" s="5"/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114"/>
      <c r="AB1193" s="114"/>
      <c r="AC1193" s="114"/>
    </row>
    <row r="1194">
      <c r="A1194" s="5"/>
      <c r="B1194" s="5"/>
      <c r="C1194" s="5"/>
      <c r="D1194" s="52"/>
      <c r="E1194" s="5"/>
      <c r="F1194" s="5"/>
      <c r="G1194" s="5"/>
      <c r="H1194" s="5"/>
      <c r="I1194" s="5"/>
      <c r="J1194" s="5"/>
      <c r="K1194" s="5"/>
      <c r="L1194" s="5"/>
      <c r="M1194" s="5"/>
      <c r="N1194" s="5"/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114"/>
      <c r="AB1194" s="114"/>
      <c r="AC1194" s="114"/>
    </row>
    <row r="1195">
      <c r="A1195" s="5"/>
      <c r="B1195" s="5"/>
      <c r="C1195" s="5"/>
      <c r="D1195" s="52"/>
      <c r="E1195" s="5"/>
      <c r="F1195" s="5"/>
      <c r="G1195" s="5"/>
      <c r="H1195" s="5"/>
      <c r="I1195" s="5"/>
      <c r="J1195" s="5"/>
      <c r="K1195" s="5"/>
      <c r="L1195" s="5"/>
      <c r="M1195" s="5"/>
      <c r="N1195" s="5"/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114"/>
      <c r="AB1195" s="114"/>
      <c r="AC1195" s="114"/>
    </row>
    <row r="1196">
      <c r="A1196" s="5"/>
      <c r="B1196" s="5"/>
      <c r="C1196" s="5"/>
      <c r="D1196" s="52"/>
      <c r="E1196" s="5"/>
      <c r="F1196" s="5"/>
      <c r="G1196" s="5"/>
      <c r="H1196" s="5"/>
      <c r="I1196" s="5"/>
      <c r="J1196" s="5"/>
      <c r="K1196" s="5"/>
      <c r="L1196" s="5"/>
      <c r="M1196" s="5"/>
      <c r="N1196" s="5"/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114"/>
      <c r="AB1196" s="114"/>
      <c r="AC1196" s="114"/>
    </row>
    <row r="1197">
      <c r="A1197" s="5"/>
      <c r="B1197" s="5"/>
      <c r="C1197" s="5"/>
      <c r="D1197" s="52"/>
      <c r="E1197" s="5"/>
      <c r="F1197" s="5"/>
      <c r="G1197" s="5"/>
      <c r="H1197" s="5"/>
      <c r="I1197" s="5"/>
      <c r="J1197" s="5"/>
      <c r="K1197" s="5"/>
      <c r="L1197" s="5"/>
      <c r="M1197" s="5"/>
      <c r="N1197" s="5"/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114"/>
      <c r="AB1197" s="114"/>
      <c r="AC1197" s="114"/>
    </row>
    <row r="1198">
      <c r="A1198" s="5"/>
      <c r="B1198" s="5"/>
      <c r="C1198" s="5"/>
      <c r="D1198" s="52"/>
      <c r="E1198" s="5"/>
      <c r="F1198" s="5"/>
      <c r="G1198" s="5"/>
      <c r="H1198" s="5"/>
      <c r="I1198" s="5"/>
      <c r="J1198" s="5"/>
      <c r="K1198" s="5"/>
      <c r="L1198" s="5"/>
      <c r="M1198" s="5"/>
      <c r="N1198" s="5"/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114"/>
      <c r="AB1198" s="114"/>
      <c r="AC1198" s="114"/>
    </row>
    <row r="1199">
      <c r="A1199" s="5"/>
      <c r="B1199" s="5"/>
      <c r="C1199" s="5"/>
      <c r="D1199" s="52"/>
      <c r="E1199" s="5"/>
      <c r="F1199" s="5"/>
      <c r="G1199" s="5"/>
      <c r="H1199" s="5"/>
      <c r="I1199" s="5"/>
      <c r="J1199" s="5"/>
      <c r="K1199" s="5"/>
      <c r="L1199" s="5"/>
      <c r="M1199" s="5"/>
      <c r="N1199" s="5"/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114"/>
      <c r="AB1199" s="114"/>
      <c r="AC1199" s="114"/>
    </row>
    <row r="1200">
      <c r="A1200" s="5"/>
      <c r="B1200" s="5"/>
      <c r="C1200" s="5"/>
      <c r="D1200" s="52"/>
      <c r="E1200" s="5"/>
      <c r="F1200" s="5"/>
      <c r="G1200" s="5"/>
      <c r="H1200" s="5"/>
      <c r="I1200" s="5"/>
      <c r="J1200" s="5"/>
      <c r="K1200" s="5"/>
      <c r="L1200" s="5"/>
      <c r="M1200" s="5"/>
      <c r="N1200" s="5"/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114"/>
      <c r="AB1200" s="114"/>
      <c r="AC1200" s="114"/>
    </row>
    <row r="1201">
      <c r="A1201" s="5"/>
      <c r="B1201" s="5"/>
      <c r="C1201" s="5"/>
      <c r="D1201" s="52"/>
      <c r="E1201" s="5"/>
      <c r="F1201" s="5"/>
      <c r="G1201" s="5"/>
      <c r="H1201" s="5"/>
      <c r="I1201" s="5"/>
      <c r="J1201" s="5"/>
      <c r="K1201" s="5"/>
      <c r="L1201" s="5"/>
      <c r="M1201" s="5"/>
      <c r="N1201" s="5"/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114"/>
      <c r="AB1201" s="114"/>
      <c r="AC1201" s="114"/>
    </row>
    <row r="1202">
      <c r="A1202" s="5"/>
      <c r="B1202" s="5"/>
      <c r="C1202" s="5"/>
      <c r="D1202" s="52"/>
      <c r="E1202" s="5"/>
      <c r="F1202" s="5"/>
      <c r="G1202" s="5"/>
      <c r="H1202" s="5"/>
      <c r="I1202" s="5"/>
      <c r="J1202" s="5"/>
      <c r="K1202" s="5"/>
      <c r="L1202" s="5"/>
      <c r="M1202" s="5"/>
      <c r="N1202" s="5"/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114"/>
      <c r="AB1202" s="114"/>
      <c r="AC1202" s="114"/>
    </row>
    <row r="1203">
      <c r="A1203" s="5"/>
      <c r="B1203" s="5"/>
      <c r="C1203" s="5"/>
      <c r="D1203" s="52"/>
      <c r="E1203" s="5"/>
      <c r="F1203" s="5"/>
      <c r="G1203" s="5"/>
      <c r="H1203" s="5"/>
      <c r="I1203" s="5"/>
      <c r="J1203" s="5"/>
      <c r="K1203" s="5"/>
      <c r="L1203" s="5"/>
      <c r="M1203" s="5"/>
      <c r="N1203" s="5"/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114"/>
      <c r="AB1203" s="114"/>
      <c r="AC1203" s="114"/>
    </row>
  </sheetData>
  <autoFilter ref="$E$1:$E$211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8.86"/>
    <col customWidth="1" min="2" max="2" width="68.14"/>
    <col customWidth="1" min="3" max="3" width="60.57"/>
    <col customWidth="1" min="4" max="4" width="56.29"/>
    <col customWidth="1" min="5" max="5" width="24.43"/>
    <col customWidth="1" min="6" max="6" width="45.86"/>
    <col customWidth="1" min="7" max="7" width="51.57"/>
    <col customWidth="1" min="8" max="8" width="25.57"/>
    <col customWidth="1" min="9" max="9" width="66.57"/>
    <col customWidth="1" min="10" max="10" width="22.43"/>
  </cols>
  <sheetData>
    <row r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52"/>
      <c r="G1" s="152"/>
      <c r="H1" s="152"/>
      <c r="I1" s="152"/>
      <c r="J1" s="152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  <c r="AA1" s="118"/>
      <c r="AB1" s="118"/>
      <c r="AC1" s="118"/>
      <c r="AD1" s="118"/>
      <c r="AE1" s="118"/>
      <c r="AF1" s="118"/>
      <c r="AG1" s="118"/>
      <c r="AH1" s="118"/>
    </row>
    <row r="2">
      <c r="A2" s="164" t="s">
        <v>8093</v>
      </c>
      <c r="B2" s="164" t="s">
        <v>8096</v>
      </c>
      <c r="C2" s="164" t="s">
        <v>8097</v>
      </c>
      <c r="D2" s="165" t="s">
        <v>8098</v>
      </c>
      <c r="E2" s="166"/>
      <c r="F2" s="167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</row>
    <row r="3">
      <c r="A3" s="168" t="s">
        <v>8104</v>
      </c>
      <c r="B3" s="168" t="s">
        <v>8107</v>
      </c>
      <c r="C3" s="168" t="s">
        <v>8108</v>
      </c>
      <c r="D3" s="169" t="s">
        <v>8109</v>
      </c>
      <c r="E3" s="166"/>
      <c r="F3" s="167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152"/>
      <c r="AF3" s="152"/>
      <c r="AG3" s="152"/>
      <c r="AH3" s="152"/>
    </row>
    <row r="4">
      <c r="A4" s="168" t="s">
        <v>8114</v>
      </c>
      <c r="B4" s="168" t="s">
        <v>8115</v>
      </c>
      <c r="C4" s="168" t="s">
        <v>8116</v>
      </c>
      <c r="D4" s="169" t="s">
        <v>8117</v>
      </c>
      <c r="E4" s="166"/>
      <c r="F4" s="167"/>
      <c r="G4" s="152"/>
      <c r="H4" s="167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</row>
    <row r="5">
      <c r="A5" s="170" t="s">
        <v>3408</v>
      </c>
      <c r="B5" s="170" t="s">
        <v>3409</v>
      </c>
      <c r="C5" s="170" t="s">
        <v>3411</v>
      </c>
      <c r="D5" s="171" t="s">
        <v>8123</v>
      </c>
      <c r="E5" s="166"/>
      <c r="F5" s="167"/>
      <c r="G5" s="152"/>
      <c r="H5" s="167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</row>
    <row r="6">
      <c r="A6" s="168" t="s">
        <v>8128</v>
      </c>
      <c r="B6" s="168" t="s">
        <v>8129</v>
      </c>
      <c r="C6" s="168" t="s">
        <v>8130</v>
      </c>
      <c r="D6" s="169" t="s">
        <v>8131</v>
      </c>
      <c r="E6" s="168"/>
      <c r="F6" s="167"/>
      <c r="G6" s="152"/>
      <c r="H6" s="167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</row>
    <row r="7">
      <c r="A7" s="168" t="s">
        <v>8135</v>
      </c>
      <c r="B7" s="168" t="s">
        <v>8137</v>
      </c>
      <c r="C7" s="168" t="s">
        <v>8138</v>
      </c>
      <c r="D7" s="169" t="s">
        <v>8139</v>
      </c>
      <c r="E7" s="168"/>
      <c r="F7" s="167"/>
      <c r="G7" s="152"/>
      <c r="H7" s="167"/>
      <c r="I7" s="152"/>
      <c r="J7" s="152"/>
      <c r="K7" s="118"/>
      <c r="L7" s="118"/>
      <c r="M7" s="118"/>
      <c r="N7" s="118"/>
      <c r="O7" s="118"/>
      <c r="P7" s="118"/>
      <c r="Q7" s="118"/>
      <c r="R7" s="118"/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  <c r="AD7" s="118"/>
      <c r="AE7" s="118"/>
      <c r="AF7" s="118"/>
      <c r="AG7" s="118"/>
      <c r="AH7" s="118"/>
    </row>
    <row r="8">
      <c r="A8" s="166" t="s">
        <v>8143</v>
      </c>
      <c r="B8" s="166" t="s">
        <v>8144</v>
      </c>
      <c r="C8" s="166" t="s">
        <v>8145</v>
      </c>
      <c r="D8" s="172" t="s">
        <v>8146</v>
      </c>
      <c r="E8" s="166"/>
      <c r="F8" s="167"/>
      <c r="G8" s="152"/>
      <c r="H8" s="167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18"/>
      <c r="AE8" s="118"/>
      <c r="AF8" s="118"/>
      <c r="AG8" s="118"/>
      <c r="AH8" s="118"/>
    </row>
    <row r="9">
      <c r="A9" s="166" t="s">
        <v>8150</v>
      </c>
      <c r="B9" s="166" t="s">
        <v>8150</v>
      </c>
      <c r="C9" s="172" t="s">
        <v>8151</v>
      </c>
      <c r="D9" s="172" t="s">
        <v>8152</v>
      </c>
      <c r="E9" s="166"/>
      <c r="F9" s="167"/>
      <c r="G9" s="152"/>
      <c r="H9" s="167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18"/>
      <c r="AE9" s="118"/>
      <c r="AF9" s="118"/>
      <c r="AG9" s="118"/>
      <c r="AH9" s="118"/>
    </row>
    <row r="10">
      <c r="A10" s="166" t="s">
        <v>8157</v>
      </c>
      <c r="B10" s="166" t="s">
        <v>8158</v>
      </c>
      <c r="C10" s="166" t="s">
        <v>8159</v>
      </c>
      <c r="D10" s="172" t="s">
        <v>8160</v>
      </c>
      <c r="E10" s="166"/>
      <c r="F10" s="167"/>
      <c r="G10" s="152"/>
      <c r="H10" s="167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152"/>
      <c r="AB10" s="152"/>
      <c r="AC10" s="152"/>
      <c r="AD10" s="118"/>
      <c r="AE10" s="118"/>
      <c r="AF10" s="118"/>
      <c r="AG10" s="118"/>
      <c r="AH10" s="118"/>
    </row>
    <row r="11">
      <c r="A11" s="168" t="s">
        <v>8163</v>
      </c>
      <c r="B11" s="168" t="s">
        <v>8163</v>
      </c>
      <c r="C11" s="168" t="s">
        <v>8165</v>
      </c>
      <c r="D11" s="169" t="s">
        <v>8167</v>
      </c>
      <c r="E11" s="168"/>
      <c r="F11" s="167"/>
      <c r="G11" s="152"/>
      <c r="H11" s="167"/>
      <c r="I11" s="152"/>
      <c r="J11" s="152"/>
      <c r="K11" s="118"/>
      <c r="L11" s="118"/>
      <c r="M11" s="118"/>
      <c r="N11" s="118"/>
      <c r="O11" s="118"/>
      <c r="P11" s="118"/>
      <c r="Q11" s="118"/>
      <c r="R11" s="118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8"/>
      <c r="AE11" s="118"/>
      <c r="AF11" s="118"/>
      <c r="AG11" s="118"/>
      <c r="AH11" s="118"/>
    </row>
    <row r="12">
      <c r="A12" s="168" t="s">
        <v>8172</v>
      </c>
      <c r="B12" s="168" t="s">
        <v>8173</v>
      </c>
      <c r="C12" s="168" t="s">
        <v>8174</v>
      </c>
      <c r="D12" s="169" t="s">
        <v>8175</v>
      </c>
      <c r="E12" s="168" t="s">
        <v>20</v>
      </c>
      <c r="F12" s="167"/>
      <c r="G12" s="152"/>
      <c r="H12" s="167"/>
      <c r="I12" s="152"/>
      <c r="J12" s="152"/>
      <c r="K12" s="118"/>
      <c r="L12" s="118"/>
      <c r="M12" s="118"/>
      <c r="N12" s="118"/>
      <c r="O12" s="118"/>
      <c r="P12" s="118"/>
      <c r="Q12" s="118"/>
      <c r="R12" s="118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</row>
    <row r="13">
      <c r="A13" s="169" t="s">
        <v>8180</v>
      </c>
      <c r="B13" s="169" t="s">
        <v>8181</v>
      </c>
      <c r="C13" s="169" t="s">
        <v>8182</v>
      </c>
      <c r="D13" s="169" t="s">
        <v>8183</v>
      </c>
      <c r="E13" s="169" t="s">
        <v>276</v>
      </c>
      <c r="F13" s="167"/>
      <c r="G13" s="152"/>
      <c r="H13" s="167"/>
      <c r="I13" s="152"/>
      <c r="J13" s="152"/>
      <c r="K13" s="118"/>
      <c r="L13" s="118"/>
      <c r="M13" s="118"/>
      <c r="N13" s="118"/>
      <c r="O13" s="118"/>
      <c r="P13" s="118"/>
      <c r="Q13" s="118"/>
      <c r="R13" s="118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</row>
    <row r="14">
      <c r="A14" s="169" t="s">
        <v>8188</v>
      </c>
      <c r="B14" s="169" t="s">
        <v>8190</v>
      </c>
      <c r="C14" s="169" t="s">
        <v>8191</v>
      </c>
      <c r="D14" s="169" t="s">
        <v>8193</v>
      </c>
      <c r="E14" s="169" t="s">
        <v>320</v>
      </c>
      <c r="F14" s="152"/>
      <c r="G14" s="152"/>
      <c r="H14" s="152"/>
      <c r="I14" s="152"/>
      <c r="J14" s="152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</row>
    <row r="15">
      <c r="A15" s="169" t="s">
        <v>8195</v>
      </c>
      <c r="B15" s="169" t="s">
        <v>8196</v>
      </c>
      <c r="C15" s="169" t="s">
        <v>8197</v>
      </c>
      <c r="D15" s="169" t="s">
        <v>8199</v>
      </c>
      <c r="E15" s="169" t="s">
        <v>1563</v>
      </c>
      <c r="F15" s="152"/>
      <c r="G15" s="152"/>
      <c r="H15" s="152"/>
      <c r="I15" s="152"/>
      <c r="J15" s="152"/>
      <c r="K15" s="118"/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18"/>
      <c r="AG15" s="118"/>
      <c r="AH15" s="118"/>
    </row>
    <row r="16">
      <c r="A16" s="173" t="s">
        <v>8203</v>
      </c>
      <c r="B16" s="173" t="s">
        <v>8204</v>
      </c>
      <c r="C16" s="173" t="s">
        <v>8205</v>
      </c>
      <c r="D16" s="169" t="s">
        <v>8206</v>
      </c>
      <c r="E16" s="173" t="s">
        <v>8207</v>
      </c>
      <c r="F16" s="152"/>
      <c r="G16" s="152"/>
      <c r="H16" s="152"/>
      <c r="I16" s="152"/>
      <c r="J16" s="152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</row>
    <row r="17">
      <c r="A17" s="169" t="s">
        <v>8212</v>
      </c>
      <c r="B17" s="169" t="s">
        <v>8213</v>
      </c>
      <c r="C17" s="173" t="s">
        <v>8214</v>
      </c>
      <c r="D17" s="169" t="s">
        <v>8215</v>
      </c>
      <c r="E17" s="169" t="s">
        <v>8216</v>
      </c>
      <c r="F17" s="152"/>
      <c r="G17" s="152"/>
      <c r="H17" s="152"/>
      <c r="I17" s="152"/>
      <c r="J17" s="152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</row>
    <row r="18">
      <c r="A18" s="169" t="s">
        <v>8221</v>
      </c>
      <c r="B18" s="169" t="s">
        <v>8222</v>
      </c>
      <c r="C18" s="169" t="s">
        <v>8223</v>
      </c>
      <c r="D18" s="169" t="s">
        <v>8224</v>
      </c>
      <c r="E18" s="169" t="s">
        <v>1335</v>
      </c>
      <c r="F18" s="152"/>
      <c r="G18" s="152"/>
      <c r="H18" s="152"/>
      <c r="I18" s="152"/>
      <c r="J18" s="152"/>
      <c r="K18" s="118"/>
      <c r="L18" s="118"/>
      <c r="M18" s="118"/>
      <c r="N18" s="118"/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</row>
    <row r="19">
      <c r="A19" s="169" t="s">
        <v>8228</v>
      </c>
      <c r="B19" s="169" t="s">
        <v>8229</v>
      </c>
      <c r="C19" s="169" t="s">
        <v>8230</v>
      </c>
      <c r="D19" s="169" t="s">
        <v>8231</v>
      </c>
      <c r="E19" s="169" t="s">
        <v>41</v>
      </c>
      <c r="F19" s="152"/>
      <c r="G19" s="152"/>
      <c r="H19" s="152"/>
      <c r="I19" s="152"/>
      <c r="J19" s="152"/>
      <c r="K19" s="118"/>
      <c r="L19" s="118"/>
      <c r="M19" s="118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</row>
    <row r="20">
      <c r="A20" s="169" t="s">
        <v>8236</v>
      </c>
      <c r="B20" s="169" t="s">
        <v>8237</v>
      </c>
      <c r="C20" s="169" t="s">
        <v>8239</v>
      </c>
      <c r="D20" s="169" t="s">
        <v>8240</v>
      </c>
      <c r="E20" s="169" t="s">
        <v>41</v>
      </c>
      <c r="F20" s="152"/>
      <c r="G20" s="152"/>
      <c r="H20" s="152"/>
      <c r="I20" s="152"/>
      <c r="J20" s="152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</row>
    <row r="21">
      <c r="A21" s="173" t="s">
        <v>8248</v>
      </c>
      <c r="B21" s="173" t="s">
        <v>8249</v>
      </c>
      <c r="C21" s="173" t="s">
        <v>8251</v>
      </c>
      <c r="D21" s="169" t="s">
        <v>8252</v>
      </c>
      <c r="E21" s="173" t="s">
        <v>238</v>
      </c>
      <c r="F21" s="152"/>
      <c r="G21" s="152"/>
      <c r="H21" s="152"/>
      <c r="I21" s="152"/>
      <c r="J21" s="152"/>
      <c r="K21" s="118"/>
      <c r="L21" s="118"/>
      <c r="M21" s="118"/>
      <c r="N21" s="118"/>
      <c r="O21" s="118"/>
      <c r="P21" s="118"/>
      <c r="Q21" s="118"/>
      <c r="R21" s="118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</row>
    <row r="22">
      <c r="A22" s="173" t="s">
        <v>8257</v>
      </c>
      <c r="B22" s="173" t="s">
        <v>8258</v>
      </c>
      <c r="C22" s="173" t="s">
        <v>8259</v>
      </c>
      <c r="D22" s="169" t="s">
        <v>8260</v>
      </c>
      <c r="E22" s="173" t="s">
        <v>20</v>
      </c>
      <c r="F22" s="152"/>
      <c r="G22" s="152"/>
      <c r="H22" s="152"/>
      <c r="I22" s="152"/>
      <c r="J22" s="152"/>
      <c r="K22" s="118"/>
      <c r="L22" s="118"/>
      <c r="M22" s="118"/>
      <c r="N22" s="118"/>
      <c r="O22" s="118"/>
      <c r="P22" s="118"/>
      <c r="Q22" s="118"/>
      <c r="R22" s="118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</row>
    <row r="23">
      <c r="A23" s="169" t="s">
        <v>8265</v>
      </c>
      <c r="B23" s="169" t="s">
        <v>8266</v>
      </c>
      <c r="C23" s="169" t="s">
        <v>8267</v>
      </c>
      <c r="D23" s="169" t="s">
        <v>8268</v>
      </c>
      <c r="E23" s="169" t="s">
        <v>276</v>
      </c>
      <c r="F23" s="152"/>
      <c r="G23" s="152"/>
      <c r="H23" s="152"/>
      <c r="I23" s="152"/>
      <c r="J23" s="152"/>
      <c r="K23" s="118"/>
      <c r="L23" s="118"/>
      <c r="M23" s="118"/>
      <c r="N23" s="118"/>
      <c r="O23" s="118"/>
      <c r="P23" s="118"/>
      <c r="Q23" s="118"/>
      <c r="R23" s="118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</row>
    <row r="24">
      <c r="A24" s="173" t="s">
        <v>8274</v>
      </c>
      <c r="B24" s="173" t="s">
        <v>8275</v>
      </c>
      <c r="C24" s="169" t="s">
        <v>8276</v>
      </c>
      <c r="D24" s="169" t="s">
        <v>8277</v>
      </c>
      <c r="E24" s="173" t="s">
        <v>20</v>
      </c>
      <c r="F24" s="152"/>
      <c r="G24" s="152"/>
      <c r="H24" s="152"/>
      <c r="I24" s="152"/>
      <c r="J24" s="152"/>
      <c r="K24" s="118"/>
      <c r="L24" s="118"/>
      <c r="M24" s="118"/>
      <c r="N24" s="118"/>
      <c r="O24" s="118"/>
      <c r="P24" s="118"/>
      <c r="Q24" s="118"/>
      <c r="R24" s="118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</row>
    <row r="25">
      <c r="A25" s="173" t="s">
        <v>8282</v>
      </c>
      <c r="B25" s="173" t="s">
        <v>8283</v>
      </c>
      <c r="C25" s="169" t="s">
        <v>8284</v>
      </c>
      <c r="D25" s="169" t="s">
        <v>8277</v>
      </c>
      <c r="E25" s="173" t="s">
        <v>20</v>
      </c>
      <c r="F25" s="152"/>
      <c r="G25" s="152"/>
      <c r="H25" s="152"/>
      <c r="I25" s="152"/>
      <c r="J25" s="152"/>
      <c r="K25" s="118"/>
      <c r="L25" s="118"/>
      <c r="M25" s="118"/>
      <c r="N25" s="118"/>
      <c r="O25" s="118"/>
      <c r="P25" s="118"/>
      <c r="Q25" s="118"/>
      <c r="R25" s="118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18"/>
    </row>
    <row r="26">
      <c r="A26" s="173" t="s">
        <v>8289</v>
      </c>
      <c r="B26" s="173" t="s">
        <v>8290</v>
      </c>
      <c r="C26" s="173" t="s">
        <v>8291</v>
      </c>
      <c r="D26" s="169" t="s">
        <v>8292</v>
      </c>
      <c r="E26" s="173" t="s">
        <v>20</v>
      </c>
      <c r="F26" s="152"/>
      <c r="G26" s="152"/>
      <c r="H26" s="152"/>
      <c r="I26" s="152"/>
      <c r="J26" s="152"/>
      <c r="K26" s="118"/>
      <c r="L26" s="118"/>
      <c r="M26" s="118"/>
      <c r="N26" s="118"/>
      <c r="O26" s="118"/>
      <c r="P26" s="118"/>
      <c r="Q26" s="118"/>
      <c r="R26" s="118"/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</row>
    <row r="27">
      <c r="A27" s="169" t="s">
        <v>8293</v>
      </c>
      <c r="B27" s="169" t="s">
        <v>8294</v>
      </c>
      <c r="C27" s="169" t="s">
        <v>8295</v>
      </c>
      <c r="D27" s="169" t="s">
        <v>8296</v>
      </c>
      <c r="E27" s="169" t="s">
        <v>41</v>
      </c>
      <c r="F27" s="152"/>
      <c r="G27" s="152"/>
      <c r="H27" s="152"/>
      <c r="I27" s="152"/>
      <c r="J27" s="152"/>
      <c r="K27" s="118"/>
      <c r="L27" s="118"/>
      <c r="M27" s="118"/>
      <c r="N27" s="118"/>
      <c r="O27" s="118"/>
      <c r="P27" s="118"/>
      <c r="Q27" s="118"/>
      <c r="R27" s="118"/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  <c r="AD27" s="118"/>
      <c r="AE27" s="118"/>
      <c r="AF27" s="118"/>
      <c r="AG27" s="118"/>
      <c r="AH27" s="118"/>
    </row>
    <row r="28">
      <c r="A28" s="169" t="s">
        <v>8301</v>
      </c>
      <c r="B28" s="169" t="s">
        <v>8302</v>
      </c>
      <c r="C28" s="169" t="s">
        <v>8303</v>
      </c>
      <c r="D28" s="169" t="s">
        <v>8304</v>
      </c>
      <c r="E28" s="169" t="s">
        <v>320</v>
      </c>
      <c r="F28" s="152"/>
      <c r="G28" s="152"/>
      <c r="H28" s="152"/>
      <c r="I28" s="152"/>
      <c r="J28" s="152"/>
      <c r="K28" s="118"/>
      <c r="L28" s="118"/>
      <c r="M28" s="118"/>
      <c r="N28" s="118"/>
      <c r="O28" s="118"/>
      <c r="P28" s="118"/>
      <c r="Q28" s="118"/>
      <c r="R28" s="118"/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</row>
    <row r="29">
      <c r="A29" s="169" t="s">
        <v>8309</v>
      </c>
      <c r="B29" s="169" t="s">
        <v>8310</v>
      </c>
      <c r="C29" s="169" t="s">
        <v>8311</v>
      </c>
      <c r="D29" s="169" t="s">
        <v>8312</v>
      </c>
      <c r="E29" s="169" t="s">
        <v>322</v>
      </c>
      <c r="F29" s="152"/>
      <c r="G29" s="152"/>
      <c r="H29" s="152"/>
      <c r="I29" s="152"/>
      <c r="J29" s="152"/>
      <c r="K29" s="118"/>
      <c r="L29" s="118"/>
      <c r="M29" s="118"/>
      <c r="N29" s="118"/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</row>
    <row r="30">
      <c r="A30" s="169" t="s">
        <v>8317</v>
      </c>
      <c r="B30" s="172" t="s">
        <v>8318</v>
      </c>
      <c r="C30" s="169" t="s">
        <v>8319</v>
      </c>
      <c r="D30" s="169" t="s">
        <v>8320</v>
      </c>
      <c r="E30" s="169" t="s">
        <v>8321</v>
      </c>
      <c r="F30" s="152"/>
      <c r="G30" s="152"/>
      <c r="H30" s="152"/>
      <c r="I30" s="152"/>
      <c r="J30" s="152"/>
      <c r="K30" s="118"/>
      <c r="L30" s="118"/>
      <c r="M30" s="118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</row>
    <row r="31">
      <c r="A31" s="172" t="s">
        <v>8322</v>
      </c>
      <c r="B31" s="172" t="s">
        <v>8323</v>
      </c>
      <c r="C31" s="172" t="s">
        <v>8324</v>
      </c>
      <c r="D31" s="172" t="s">
        <v>8326</v>
      </c>
      <c r="E31" s="172" t="s">
        <v>8328</v>
      </c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152"/>
      <c r="AB31" s="152"/>
      <c r="AC31" s="152"/>
      <c r="AD31" s="118"/>
      <c r="AE31" s="118"/>
      <c r="AF31" s="118"/>
      <c r="AG31" s="118"/>
      <c r="AH31" s="118"/>
    </row>
    <row r="32">
      <c r="A32" s="169" t="s">
        <v>8331</v>
      </c>
      <c r="B32" s="169" t="s">
        <v>8332</v>
      </c>
      <c r="C32" s="169" t="s">
        <v>8333</v>
      </c>
      <c r="D32" s="169" t="s">
        <v>8334</v>
      </c>
      <c r="E32" s="169" t="s">
        <v>8335</v>
      </c>
      <c r="F32" s="152"/>
      <c r="G32" s="152"/>
      <c r="H32" s="152"/>
      <c r="I32" s="152"/>
      <c r="J32" s="152"/>
      <c r="K32" s="118"/>
      <c r="L32" s="118"/>
      <c r="M32" s="118"/>
      <c r="N32" s="118"/>
      <c r="O32" s="118"/>
      <c r="P32" s="118"/>
      <c r="Q32" s="118"/>
      <c r="R32" s="118"/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</row>
    <row r="33">
      <c r="A33" s="169" t="s">
        <v>8340</v>
      </c>
      <c r="B33" s="169" t="s">
        <v>8341</v>
      </c>
      <c r="C33" s="169" t="s">
        <v>8342</v>
      </c>
      <c r="D33" s="169" t="s">
        <v>8343</v>
      </c>
      <c r="E33" s="169" t="s">
        <v>8344</v>
      </c>
      <c r="F33" s="152"/>
      <c r="G33" s="152"/>
      <c r="H33" s="152"/>
      <c r="I33" s="152"/>
      <c r="J33" s="152"/>
      <c r="K33" s="118"/>
      <c r="L33" s="118"/>
      <c r="M33" s="118"/>
      <c r="N33" s="118"/>
      <c r="O33" s="118"/>
      <c r="P33" s="118"/>
      <c r="Q33" s="118"/>
      <c r="R33" s="118"/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18"/>
    </row>
    <row r="34">
      <c r="A34" s="173" t="s">
        <v>8349</v>
      </c>
      <c r="B34" s="173" t="s">
        <v>8350</v>
      </c>
      <c r="C34" s="169" t="s">
        <v>8351</v>
      </c>
      <c r="D34" s="169" t="s">
        <v>8352</v>
      </c>
      <c r="E34" s="173" t="s">
        <v>8353</v>
      </c>
      <c r="F34" s="152"/>
      <c r="G34" s="152"/>
      <c r="H34" s="152"/>
      <c r="I34" s="152"/>
      <c r="J34" s="152"/>
      <c r="K34" s="118"/>
      <c r="L34" s="118"/>
      <c r="M34" s="118"/>
      <c r="N34" s="118"/>
      <c r="O34" s="118"/>
      <c r="P34" s="118"/>
      <c r="Q34" s="118"/>
      <c r="R34" s="118"/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G34" s="118"/>
      <c r="AH34" s="118"/>
    </row>
    <row r="35">
      <c r="A35" s="169" t="s">
        <v>8358</v>
      </c>
      <c r="B35" s="169" t="s">
        <v>8359</v>
      </c>
      <c r="C35" s="173" t="s">
        <v>8360</v>
      </c>
      <c r="D35" s="169" t="s">
        <v>8361</v>
      </c>
      <c r="E35" s="169" t="s">
        <v>8362</v>
      </c>
      <c r="F35" s="152"/>
      <c r="G35" s="152"/>
      <c r="H35" s="152"/>
      <c r="I35" s="152"/>
      <c r="J35" s="152"/>
      <c r="K35" s="118"/>
      <c r="L35" s="118"/>
      <c r="M35" s="118"/>
      <c r="N35" s="118"/>
      <c r="O35" s="118"/>
      <c r="P35" s="118"/>
      <c r="Q35" s="118"/>
      <c r="R35" s="118"/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18"/>
    </row>
    <row r="36">
      <c r="A36" s="169" t="s">
        <v>8367</v>
      </c>
      <c r="B36" s="169" t="s">
        <v>8368</v>
      </c>
      <c r="C36" s="169" t="s">
        <v>8369</v>
      </c>
      <c r="D36" s="169" t="s">
        <v>8370</v>
      </c>
      <c r="E36" s="169" t="s">
        <v>8371</v>
      </c>
      <c r="F36" s="152"/>
      <c r="G36" s="152"/>
      <c r="H36" s="152"/>
      <c r="I36" s="152"/>
      <c r="J36" s="152"/>
      <c r="K36" s="118"/>
      <c r="L36" s="118"/>
      <c r="M36" s="118"/>
      <c r="N36" s="118"/>
      <c r="O36" s="118"/>
      <c r="P36" s="118"/>
      <c r="Q36" s="118"/>
      <c r="R36" s="118"/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</row>
    <row r="37">
      <c r="A37" s="173" t="s">
        <v>8376</v>
      </c>
      <c r="B37" s="173" t="s">
        <v>8377</v>
      </c>
      <c r="C37" s="173" t="s">
        <v>8378</v>
      </c>
      <c r="D37" s="169" t="s">
        <v>8379</v>
      </c>
      <c r="E37" s="173" t="s">
        <v>8380</v>
      </c>
      <c r="F37" s="152"/>
      <c r="G37" s="152"/>
      <c r="H37" s="152"/>
      <c r="I37" s="152"/>
      <c r="J37" s="152"/>
      <c r="K37" s="118"/>
      <c r="L37" s="118"/>
      <c r="M37" s="118"/>
      <c r="N37" s="118"/>
      <c r="O37" s="118"/>
      <c r="P37" s="118"/>
      <c r="Q37" s="118"/>
      <c r="R37" s="118"/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</row>
    <row r="38">
      <c r="A38" s="169" t="s">
        <v>8385</v>
      </c>
      <c r="B38" s="169" t="s">
        <v>8386</v>
      </c>
      <c r="C38" s="169" t="s">
        <v>8387</v>
      </c>
      <c r="D38" s="169" t="s">
        <v>8388</v>
      </c>
      <c r="E38" s="169" t="s">
        <v>1182</v>
      </c>
      <c r="F38" s="152"/>
      <c r="G38" s="152"/>
      <c r="H38" s="152"/>
      <c r="I38" s="152"/>
      <c r="J38" s="152"/>
      <c r="K38" s="118"/>
      <c r="L38" s="118"/>
      <c r="M38" s="118"/>
      <c r="N38" s="118"/>
      <c r="O38" s="118"/>
      <c r="P38" s="118"/>
      <c r="Q38" s="118"/>
      <c r="R38" s="118"/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</row>
    <row r="39">
      <c r="A39" s="169" t="s">
        <v>8393</v>
      </c>
      <c r="B39" s="169" t="s">
        <v>8394</v>
      </c>
      <c r="C39" s="169" t="s">
        <v>8395</v>
      </c>
      <c r="D39" s="169" t="s">
        <v>8396</v>
      </c>
      <c r="E39" s="169" t="s">
        <v>8397</v>
      </c>
      <c r="F39" s="152"/>
      <c r="G39" s="152"/>
      <c r="H39" s="152"/>
      <c r="I39" s="152"/>
      <c r="J39" s="152"/>
      <c r="K39" s="118"/>
      <c r="L39" s="118"/>
      <c r="M39" s="118"/>
      <c r="N39" s="118"/>
      <c r="O39" s="118"/>
      <c r="P39" s="118"/>
      <c r="Q39" s="118"/>
      <c r="R39" s="118"/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</row>
    <row r="40">
      <c r="A40" s="169" t="s">
        <v>8402</v>
      </c>
      <c r="B40" s="169" t="s">
        <v>8403</v>
      </c>
      <c r="C40" s="169" t="s">
        <v>8404</v>
      </c>
      <c r="D40" s="169" t="s">
        <v>8405</v>
      </c>
      <c r="E40" s="169" t="s">
        <v>8406</v>
      </c>
      <c r="F40" s="152"/>
      <c r="G40" s="152"/>
      <c r="H40" s="152"/>
      <c r="I40" s="152"/>
      <c r="J40" s="152"/>
      <c r="K40" s="118"/>
      <c r="L40" s="118"/>
      <c r="M40" s="118"/>
      <c r="N40" s="118"/>
      <c r="O40" s="118"/>
      <c r="P40" s="118"/>
      <c r="Q40" s="118"/>
      <c r="R40" s="118"/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</row>
    <row r="41">
      <c r="A41" s="169" t="s">
        <v>8411</v>
      </c>
      <c r="B41" s="169" t="s">
        <v>8412</v>
      </c>
      <c r="C41" s="169" t="s">
        <v>8413</v>
      </c>
      <c r="D41" s="169" t="s">
        <v>8414</v>
      </c>
      <c r="E41" s="169" t="s">
        <v>8415</v>
      </c>
      <c r="F41" s="152"/>
      <c r="G41" s="152"/>
      <c r="H41" s="152"/>
      <c r="I41" s="152"/>
      <c r="J41" s="152"/>
      <c r="K41" s="118"/>
      <c r="L41" s="118"/>
      <c r="M41" s="118"/>
      <c r="N41" s="118"/>
      <c r="O41" s="118"/>
      <c r="P41" s="118"/>
      <c r="Q41" s="118"/>
      <c r="R41" s="118"/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18"/>
    </row>
    <row r="42">
      <c r="A42" s="169" t="s">
        <v>8420</v>
      </c>
      <c r="B42" s="169" t="s">
        <v>8421</v>
      </c>
      <c r="C42" s="169" t="s">
        <v>8422</v>
      </c>
      <c r="D42" s="169" t="s">
        <v>8423</v>
      </c>
      <c r="E42" s="169" t="s">
        <v>8424</v>
      </c>
      <c r="F42" s="152"/>
      <c r="G42" s="152"/>
      <c r="H42" s="152"/>
      <c r="I42" s="152"/>
      <c r="J42" s="152"/>
      <c r="K42" s="118"/>
      <c r="L42" s="118"/>
      <c r="M42" s="118"/>
      <c r="N42" s="118"/>
      <c r="O42" s="118"/>
      <c r="P42" s="118"/>
      <c r="Q42" s="118"/>
      <c r="R42" s="118"/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</row>
    <row r="43">
      <c r="A43" s="169" t="s">
        <v>8428</v>
      </c>
      <c r="B43" s="169" t="s">
        <v>8430</v>
      </c>
      <c r="C43" s="169" t="s">
        <v>8431</v>
      </c>
      <c r="D43" s="169" t="s">
        <v>8432</v>
      </c>
      <c r="E43" s="169" t="s">
        <v>8433</v>
      </c>
      <c r="F43" s="152"/>
      <c r="G43" s="152"/>
      <c r="H43" s="152"/>
      <c r="I43" s="152"/>
      <c r="J43" s="152"/>
      <c r="K43" s="118"/>
      <c r="L43" s="118"/>
      <c r="M43" s="118"/>
      <c r="N43" s="118"/>
      <c r="O43" s="118"/>
      <c r="P43" s="118"/>
      <c r="Q43" s="118"/>
      <c r="R43" s="118"/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18"/>
    </row>
    <row r="44">
      <c r="A44" s="169" t="s">
        <v>8438</v>
      </c>
      <c r="B44" s="169" t="s">
        <v>8439</v>
      </c>
      <c r="C44" s="169" t="s">
        <v>8440</v>
      </c>
      <c r="D44" s="169" t="s">
        <v>8441</v>
      </c>
      <c r="E44" s="169" t="s">
        <v>8397</v>
      </c>
      <c r="F44" s="152"/>
      <c r="G44" s="152"/>
      <c r="H44" s="152"/>
      <c r="I44" s="152"/>
      <c r="J44" s="152"/>
      <c r="K44" s="118"/>
      <c r="L44" s="118"/>
      <c r="M44" s="118"/>
      <c r="N44" s="118"/>
      <c r="O44" s="118"/>
      <c r="P44" s="118"/>
      <c r="Q44" s="118"/>
      <c r="R44" s="118"/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</row>
    <row r="45">
      <c r="A45" s="169" t="s">
        <v>8446</v>
      </c>
      <c r="B45" s="169" t="s">
        <v>8447</v>
      </c>
      <c r="C45" s="173" t="s">
        <v>8448</v>
      </c>
      <c r="D45" s="169" t="s">
        <v>8449</v>
      </c>
      <c r="E45" s="169" t="s">
        <v>8362</v>
      </c>
      <c r="F45" s="152"/>
      <c r="G45" s="152"/>
      <c r="H45" s="152"/>
      <c r="I45" s="152"/>
      <c r="J45" s="152"/>
      <c r="K45" s="118"/>
      <c r="L45" s="118"/>
      <c r="M45" s="118"/>
      <c r="N45" s="118"/>
      <c r="O45" s="118"/>
      <c r="P45" s="118"/>
      <c r="Q45" s="118"/>
      <c r="R45" s="118"/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  <c r="AD45" s="118"/>
      <c r="AE45" s="118"/>
      <c r="AF45" s="118"/>
      <c r="AG45" s="118"/>
      <c r="AH45" s="118"/>
    </row>
    <row r="46">
      <c r="A46" s="169" t="s">
        <v>8450</v>
      </c>
      <c r="B46" s="169" t="s">
        <v>8452</v>
      </c>
      <c r="C46" s="169" t="s">
        <v>8454</v>
      </c>
      <c r="D46" s="169" t="s">
        <v>8456</v>
      </c>
      <c r="E46" s="169" t="s">
        <v>1563</v>
      </c>
      <c r="F46" s="152"/>
      <c r="G46" s="152"/>
      <c r="H46" s="152"/>
      <c r="I46" s="152"/>
      <c r="J46" s="152"/>
      <c r="K46" s="118"/>
      <c r="L46" s="118"/>
      <c r="M46" s="118"/>
      <c r="N46" s="118"/>
      <c r="O46" s="118"/>
      <c r="P46" s="118"/>
      <c r="Q46" s="118"/>
      <c r="R46" s="118"/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  <c r="AD46" s="118"/>
      <c r="AE46" s="118"/>
      <c r="AF46" s="118"/>
      <c r="AG46" s="118"/>
      <c r="AH46" s="118"/>
    </row>
    <row r="47">
      <c r="A47" s="169" t="s">
        <v>8458</v>
      </c>
      <c r="B47" s="169" t="s">
        <v>8459</v>
      </c>
      <c r="C47" s="173" t="s">
        <v>8460</v>
      </c>
      <c r="D47" s="169" t="s">
        <v>8461</v>
      </c>
      <c r="E47" s="169" t="s">
        <v>8462</v>
      </c>
      <c r="F47" s="152"/>
      <c r="G47" s="152"/>
      <c r="H47" s="152"/>
      <c r="I47" s="152"/>
      <c r="J47" s="152"/>
      <c r="K47" s="118"/>
      <c r="L47" s="118"/>
      <c r="M47" s="118"/>
      <c r="N47" s="118"/>
      <c r="O47" s="118"/>
      <c r="P47" s="118"/>
      <c r="Q47" s="118"/>
      <c r="R47" s="118"/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  <c r="AD47" s="118"/>
      <c r="AE47" s="118"/>
      <c r="AF47" s="118"/>
      <c r="AG47" s="118"/>
      <c r="AH47" s="118"/>
    </row>
    <row r="48">
      <c r="A48" s="169" t="s">
        <v>8466</v>
      </c>
      <c r="B48" s="169" t="s">
        <v>8467</v>
      </c>
      <c r="C48" s="169" t="s">
        <v>8468</v>
      </c>
      <c r="D48" s="169" t="s">
        <v>8469</v>
      </c>
      <c r="E48" s="169" t="s">
        <v>8470</v>
      </c>
      <c r="F48" s="152"/>
      <c r="G48" s="152"/>
      <c r="H48" s="152"/>
      <c r="I48" s="152"/>
      <c r="J48" s="152"/>
      <c r="K48" s="118"/>
      <c r="L48" s="118"/>
      <c r="M48" s="118"/>
      <c r="N48" s="118"/>
      <c r="O48" s="118"/>
      <c r="P48" s="118"/>
      <c r="Q48" s="118"/>
      <c r="R48" s="118"/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  <c r="AD48" s="118"/>
      <c r="AE48" s="118"/>
      <c r="AF48" s="118"/>
      <c r="AG48" s="118"/>
      <c r="AH48" s="118"/>
    </row>
    <row r="49">
      <c r="A49" s="169" t="s">
        <v>8472</v>
      </c>
      <c r="B49" s="169" t="s">
        <v>8473</v>
      </c>
      <c r="C49" s="169" t="s">
        <v>8475</v>
      </c>
      <c r="D49" s="169" t="s">
        <v>8476</v>
      </c>
      <c r="E49" s="169" t="s">
        <v>8478</v>
      </c>
      <c r="F49" s="152"/>
      <c r="G49" s="152"/>
      <c r="H49" s="152"/>
      <c r="I49" s="152"/>
      <c r="J49" s="152"/>
      <c r="K49" s="118"/>
      <c r="L49" s="118"/>
      <c r="M49" s="118"/>
      <c r="N49" s="118"/>
      <c r="O49" s="118"/>
      <c r="P49" s="118"/>
      <c r="Q49" s="118"/>
      <c r="R49" s="118"/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  <c r="AD49" s="118"/>
      <c r="AE49" s="118"/>
      <c r="AF49" s="118"/>
      <c r="AG49" s="118"/>
      <c r="AH49" s="118"/>
    </row>
    <row r="50">
      <c r="A50" s="169" t="s">
        <v>8479</v>
      </c>
      <c r="B50" s="169" t="s">
        <v>8480</v>
      </c>
      <c r="C50" s="169" t="s">
        <v>8481</v>
      </c>
      <c r="D50" s="169" t="s">
        <v>8484</v>
      </c>
      <c r="E50" s="169" t="s">
        <v>8485</v>
      </c>
      <c r="F50" s="152"/>
      <c r="G50" s="152"/>
      <c r="H50" s="152"/>
      <c r="I50" s="152"/>
      <c r="J50" s="152"/>
      <c r="K50" s="118"/>
      <c r="L50" s="118"/>
      <c r="M50" s="118"/>
      <c r="N50" s="118"/>
      <c r="O50" s="118"/>
      <c r="P50" s="118"/>
      <c r="Q50" s="118"/>
      <c r="R50" s="118"/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  <c r="AD50" s="118"/>
      <c r="AE50" s="118"/>
      <c r="AF50" s="118"/>
      <c r="AG50" s="118"/>
      <c r="AH50" s="118"/>
    </row>
    <row r="51">
      <c r="A51" s="169" t="s">
        <v>8488</v>
      </c>
      <c r="B51" s="169" t="s">
        <v>8489</v>
      </c>
      <c r="C51" s="169" t="s">
        <v>8490</v>
      </c>
      <c r="D51" s="169" t="s">
        <v>8491</v>
      </c>
      <c r="E51" s="169" t="s">
        <v>8492</v>
      </c>
      <c r="F51" s="152"/>
      <c r="G51" s="152"/>
      <c r="H51" s="152"/>
      <c r="I51" s="152"/>
      <c r="J51" s="152"/>
      <c r="K51" s="118"/>
      <c r="L51" s="118"/>
      <c r="M51" s="118"/>
      <c r="N51" s="118"/>
      <c r="O51" s="118"/>
      <c r="P51" s="118"/>
      <c r="Q51" s="118"/>
      <c r="R51" s="118"/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  <c r="AD51" s="118"/>
      <c r="AE51" s="118"/>
      <c r="AF51" s="118"/>
      <c r="AG51" s="118"/>
      <c r="AH51" s="118"/>
    </row>
    <row r="52">
      <c r="A52" s="169" t="s">
        <v>8497</v>
      </c>
      <c r="B52" s="169" t="s">
        <v>8498</v>
      </c>
      <c r="C52" s="169" t="s">
        <v>8499</v>
      </c>
      <c r="D52" s="169" t="s">
        <v>8500</v>
      </c>
      <c r="E52" s="169" t="s">
        <v>8501</v>
      </c>
      <c r="F52" s="152"/>
      <c r="G52" s="152"/>
      <c r="H52" s="152"/>
      <c r="I52" s="152"/>
      <c r="J52" s="152"/>
      <c r="K52" s="118"/>
      <c r="L52" s="118"/>
      <c r="M52" s="118"/>
      <c r="N52" s="118"/>
      <c r="O52" s="118"/>
      <c r="P52" s="118"/>
      <c r="Q52" s="118"/>
      <c r="R52" s="118"/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  <c r="AD52" s="118"/>
      <c r="AE52" s="118"/>
      <c r="AF52" s="118"/>
      <c r="AG52" s="118"/>
      <c r="AH52" s="118"/>
    </row>
    <row r="53">
      <c r="A53" s="172" t="s">
        <v>8506</v>
      </c>
      <c r="B53" s="172" t="s">
        <v>8507</v>
      </c>
      <c r="C53" s="172" t="s">
        <v>8508</v>
      </c>
      <c r="D53" s="172" t="s">
        <v>8509</v>
      </c>
      <c r="E53" s="172" t="s">
        <v>8510</v>
      </c>
      <c r="F53" s="152"/>
      <c r="G53" s="152"/>
      <c r="H53" s="152"/>
      <c r="I53" s="152"/>
      <c r="J53" s="152"/>
      <c r="K53" s="152"/>
      <c r="L53" s="152"/>
      <c r="M53" s="152"/>
      <c r="N53" s="152"/>
      <c r="O53" s="152"/>
      <c r="P53" s="152"/>
      <c r="Q53" s="152"/>
      <c r="R53" s="152"/>
      <c r="S53" s="152"/>
      <c r="T53" s="152"/>
      <c r="U53" s="152"/>
      <c r="V53" s="152"/>
      <c r="W53" s="152"/>
      <c r="X53" s="152"/>
      <c r="Y53" s="152"/>
      <c r="Z53" s="152"/>
      <c r="AA53" s="152"/>
      <c r="AB53" s="152"/>
      <c r="AC53" s="152"/>
      <c r="AD53" s="118"/>
      <c r="AE53" s="118"/>
      <c r="AF53" s="118"/>
      <c r="AG53" s="118"/>
      <c r="AH53" s="118"/>
    </row>
    <row r="54">
      <c r="A54" s="169" t="s">
        <v>8515</v>
      </c>
      <c r="B54" s="169" t="s">
        <v>8516</v>
      </c>
      <c r="C54" s="169" t="s">
        <v>8517</v>
      </c>
      <c r="D54" s="169" t="s">
        <v>8518</v>
      </c>
      <c r="E54" s="169" t="s">
        <v>8519</v>
      </c>
      <c r="F54" s="152"/>
      <c r="G54" s="152"/>
      <c r="H54" s="152"/>
      <c r="I54" s="152"/>
      <c r="J54" s="152"/>
      <c r="K54" s="118"/>
      <c r="L54" s="118"/>
      <c r="M54" s="118"/>
      <c r="N54" s="118"/>
      <c r="O54" s="118"/>
      <c r="P54" s="118"/>
      <c r="Q54" s="118"/>
      <c r="R54" s="118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18"/>
    </row>
    <row r="55">
      <c r="A55" s="169" t="s">
        <v>8524</v>
      </c>
      <c r="B55" s="169" t="s">
        <v>8525</v>
      </c>
      <c r="C55" s="169" t="s">
        <v>8526</v>
      </c>
      <c r="D55" s="169" t="s">
        <v>8527</v>
      </c>
      <c r="E55" s="169" t="s">
        <v>8528</v>
      </c>
      <c r="F55" s="152"/>
      <c r="G55" s="152"/>
      <c r="H55" s="152"/>
      <c r="I55" s="152"/>
      <c r="J55" s="152"/>
      <c r="K55" s="118"/>
      <c r="L55" s="118"/>
      <c r="M55" s="118"/>
      <c r="N55" s="118"/>
      <c r="O55" s="118"/>
      <c r="P55" s="118"/>
      <c r="Q55" s="118"/>
      <c r="R55" s="118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  <c r="AD55" s="118"/>
      <c r="AE55" s="118"/>
      <c r="AF55" s="118"/>
      <c r="AG55" s="118"/>
      <c r="AH55" s="118"/>
    </row>
    <row r="56">
      <c r="A56" s="169" t="s">
        <v>8533</v>
      </c>
      <c r="B56" s="169" t="s">
        <v>8534</v>
      </c>
      <c r="C56" s="169" t="s">
        <v>8535</v>
      </c>
      <c r="D56" s="169" t="s">
        <v>8536</v>
      </c>
      <c r="E56" s="169" t="s">
        <v>8537</v>
      </c>
      <c r="F56" s="152"/>
      <c r="G56" s="152"/>
      <c r="H56" s="152"/>
      <c r="I56" s="152"/>
      <c r="J56" s="152"/>
      <c r="K56" s="118"/>
      <c r="L56" s="118"/>
      <c r="M56" s="118"/>
      <c r="N56" s="118"/>
      <c r="O56" s="118"/>
      <c r="P56" s="118"/>
      <c r="Q56" s="118"/>
      <c r="R56" s="118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  <c r="AD56" s="118"/>
      <c r="AE56" s="118"/>
      <c r="AF56" s="118"/>
      <c r="AG56" s="118"/>
      <c r="AH56" s="118"/>
    </row>
    <row r="57">
      <c r="A57" s="169" t="s">
        <v>8545</v>
      </c>
      <c r="B57" s="169" t="s">
        <v>8547</v>
      </c>
      <c r="C57" s="169" t="s">
        <v>8548</v>
      </c>
      <c r="D57" s="169" t="s">
        <v>8549</v>
      </c>
      <c r="E57" s="169" t="s">
        <v>8550</v>
      </c>
      <c r="F57" s="152"/>
      <c r="G57" s="152"/>
      <c r="H57" s="152"/>
      <c r="I57" s="152"/>
      <c r="J57" s="152"/>
      <c r="K57" s="118"/>
      <c r="L57" s="118"/>
      <c r="M57" s="118"/>
      <c r="N57" s="118"/>
      <c r="O57" s="118"/>
      <c r="P57" s="118"/>
      <c r="Q57" s="118"/>
      <c r="R57" s="118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  <c r="AD57" s="118"/>
      <c r="AE57" s="118"/>
      <c r="AF57" s="118"/>
      <c r="AG57" s="118"/>
      <c r="AH57" s="118"/>
    </row>
    <row r="58">
      <c r="A58" s="169" t="s">
        <v>8553</v>
      </c>
      <c r="B58" s="169" t="s">
        <v>8555</v>
      </c>
      <c r="C58" s="169" t="s">
        <v>8557</v>
      </c>
      <c r="D58" s="169" t="s">
        <v>8558</v>
      </c>
      <c r="E58" s="169" t="s">
        <v>8559</v>
      </c>
      <c r="F58" s="152"/>
      <c r="G58" s="152"/>
      <c r="H58" s="152"/>
      <c r="I58" s="152"/>
      <c r="J58" s="152"/>
      <c r="K58" s="118"/>
      <c r="L58" s="118"/>
      <c r="M58" s="118"/>
      <c r="N58" s="118"/>
      <c r="O58" s="118"/>
      <c r="P58" s="118"/>
      <c r="Q58" s="118"/>
      <c r="R58" s="118"/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  <c r="AD58" s="118"/>
      <c r="AE58" s="118"/>
      <c r="AF58" s="118"/>
      <c r="AG58" s="118"/>
      <c r="AH58" s="118"/>
    </row>
    <row r="59">
      <c r="A59" s="169" t="s">
        <v>8560</v>
      </c>
      <c r="B59" s="169" t="s">
        <v>8561</v>
      </c>
      <c r="C59" s="169" t="s">
        <v>8562</v>
      </c>
      <c r="D59" s="169" t="s">
        <v>8563</v>
      </c>
      <c r="E59" s="169" t="s">
        <v>8565</v>
      </c>
      <c r="F59" s="152"/>
      <c r="G59" s="152"/>
      <c r="H59" s="152"/>
      <c r="I59" s="152"/>
      <c r="J59" s="152"/>
      <c r="K59" s="118"/>
      <c r="L59" s="118"/>
      <c r="M59" s="118"/>
      <c r="N59" s="118"/>
      <c r="O59" s="118"/>
      <c r="P59" s="118"/>
      <c r="Q59" s="118"/>
      <c r="R59" s="118"/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  <c r="AD59" s="118"/>
      <c r="AE59" s="118"/>
      <c r="AF59" s="118"/>
      <c r="AG59" s="118"/>
      <c r="AH59" s="118"/>
    </row>
    <row r="60">
      <c r="A60" s="169" t="s">
        <v>8569</v>
      </c>
      <c r="B60" s="169" t="s">
        <v>8570</v>
      </c>
      <c r="C60" s="169" t="s">
        <v>8571</v>
      </c>
      <c r="D60" s="169" t="s">
        <v>8572</v>
      </c>
      <c r="E60" s="169" t="s">
        <v>8573</v>
      </c>
      <c r="F60" s="152"/>
      <c r="G60" s="152"/>
      <c r="H60" s="152"/>
      <c r="I60" s="152"/>
      <c r="J60" s="152"/>
      <c r="K60" s="118"/>
      <c r="L60" s="118"/>
      <c r="M60" s="118"/>
      <c r="N60" s="118"/>
      <c r="O60" s="118"/>
      <c r="P60" s="118"/>
      <c r="Q60" s="118"/>
      <c r="R60" s="118"/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18"/>
    </row>
    <row r="61">
      <c r="A61" s="169" t="s">
        <v>8578</v>
      </c>
      <c r="B61" s="169" t="s">
        <v>8579</v>
      </c>
      <c r="C61" s="169" t="s">
        <v>8580</v>
      </c>
      <c r="D61" s="169" t="s">
        <v>8581</v>
      </c>
      <c r="E61" s="169" t="s">
        <v>8582</v>
      </c>
      <c r="F61" s="152"/>
      <c r="G61" s="152"/>
      <c r="H61" s="152"/>
      <c r="I61" s="152"/>
      <c r="J61" s="152"/>
      <c r="K61" s="118"/>
      <c r="L61" s="118"/>
      <c r="M61" s="118"/>
      <c r="N61" s="118"/>
      <c r="O61" s="118"/>
      <c r="P61" s="118"/>
      <c r="Q61" s="118"/>
      <c r="R61" s="118"/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  <c r="AD61" s="118"/>
      <c r="AE61" s="118"/>
      <c r="AF61" s="118"/>
      <c r="AG61" s="118"/>
      <c r="AH61" s="118"/>
    </row>
    <row r="62">
      <c r="A62" s="173" t="s">
        <v>8587</v>
      </c>
      <c r="B62" s="173" t="s">
        <v>8588</v>
      </c>
      <c r="C62" s="173" t="s">
        <v>8589</v>
      </c>
      <c r="D62" s="169" t="s">
        <v>8084</v>
      </c>
      <c r="E62" s="173"/>
      <c r="F62" s="152"/>
      <c r="G62" s="152"/>
      <c r="H62" s="152"/>
      <c r="I62" s="152"/>
      <c r="J62" s="152"/>
      <c r="K62" s="118"/>
      <c r="L62" s="118"/>
      <c r="M62" s="118"/>
      <c r="N62" s="118"/>
      <c r="O62" s="118"/>
      <c r="P62" s="118"/>
      <c r="Q62" s="118"/>
      <c r="R62" s="118"/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  <c r="AD62" s="118"/>
      <c r="AE62" s="118"/>
      <c r="AF62" s="118"/>
      <c r="AG62" s="118"/>
      <c r="AH62" s="118"/>
    </row>
    <row r="63">
      <c r="A63" s="173" t="s">
        <v>8594</v>
      </c>
      <c r="B63" s="173" t="s">
        <v>8595</v>
      </c>
      <c r="C63" s="173" t="s">
        <v>8596</v>
      </c>
      <c r="D63" s="169" t="s">
        <v>8597</v>
      </c>
      <c r="E63" s="173"/>
      <c r="F63" s="152"/>
      <c r="G63" s="152"/>
      <c r="H63" s="152"/>
      <c r="I63" s="152"/>
      <c r="J63" s="152"/>
      <c r="K63" s="118"/>
      <c r="L63" s="118"/>
      <c r="M63" s="118"/>
      <c r="N63" s="118"/>
      <c r="O63" s="118"/>
      <c r="P63" s="118"/>
      <c r="Q63" s="118"/>
      <c r="R63" s="118"/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  <c r="AD63" s="118"/>
      <c r="AE63" s="118"/>
      <c r="AF63" s="118"/>
      <c r="AG63" s="118"/>
      <c r="AH63" s="118"/>
    </row>
    <row r="64">
      <c r="A64" s="173" t="s">
        <v>8602</v>
      </c>
      <c r="B64" s="173" t="s">
        <v>8603</v>
      </c>
      <c r="C64" s="173" t="s">
        <v>8604</v>
      </c>
      <c r="D64" s="169" t="s">
        <v>8605</v>
      </c>
      <c r="E64" s="173"/>
      <c r="F64" s="152"/>
      <c r="G64" s="152"/>
      <c r="H64" s="152"/>
      <c r="I64" s="152"/>
      <c r="J64" s="152"/>
      <c r="K64" s="118"/>
      <c r="L64" s="118"/>
      <c r="M64" s="118"/>
      <c r="N64" s="118"/>
      <c r="O64" s="118"/>
      <c r="P64" s="118"/>
      <c r="Q64" s="118"/>
      <c r="R64" s="118"/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  <c r="AD64" s="118"/>
      <c r="AE64" s="118"/>
      <c r="AF64" s="118"/>
      <c r="AG64" s="118"/>
      <c r="AH64" s="118"/>
    </row>
    <row r="65">
      <c r="A65" s="173" t="s">
        <v>8609</v>
      </c>
      <c r="B65" s="173" t="s">
        <v>8610</v>
      </c>
      <c r="C65" s="173" t="s">
        <v>8611</v>
      </c>
      <c r="D65" s="169" t="s">
        <v>8612</v>
      </c>
      <c r="E65" s="173"/>
      <c r="F65" s="152"/>
      <c r="G65" s="152"/>
      <c r="H65" s="152"/>
      <c r="I65" s="152"/>
      <c r="J65" s="152"/>
      <c r="K65" s="118"/>
      <c r="L65" s="118"/>
      <c r="M65" s="118"/>
      <c r="N65" s="118"/>
      <c r="O65" s="118"/>
      <c r="P65" s="118"/>
      <c r="Q65" s="118"/>
      <c r="R65" s="118"/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  <c r="AD65" s="118"/>
      <c r="AE65" s="118"/>
      <c r="AF65" s="118"/>
      <c r="AG65" s="118"/>
      <c r="AH65" s="118"/>
    </row>
    <row r="66">
      <c r="A66" s="173" t="s">
        <v>8617</v>
      </c>
      <c r="B66" s="173" t="s">
        <v>8618</v>
      </c>
      <c r="C66" s="173" t="s">
        <v>8619</v>
      </c>
      <c r="D66" s="169" t="s">
        <v>8620</v>
      </c>
      <c r="E66" s="173"/>
      <c r="F66" s="152"/>
      <c r="G66" s="152"/>
      <c r="H66" s="152"/>
      <c r="I66" s="152"/>
      <c r="J66" s="152"/>
      <c r="K66" s="118"/>
      <c r="L66" s="118"/>
      <c r="M66" s="118"/>
      <c r="N66" s="118"/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  <c r="AD66" s="118"/>
      <c r="AE66" s="118"/>
      <c r="AF66" s="118"/>
      <c r="AG66" s="118"/>
      <c r="AH66" s="118"/>
    </row>
    <row r="67">
      <c r="A67" s="173" t="s">
        <v>8624</v>
      </c>
      <c r="B67" s="173" t="s">
        <v>8625</v>
      </c>
      <c r="C67" s="173" t="s">
        <v>8626</v>
      </c>
      <c r="D67" s="169" t="s">
        <v>8627</v>
      </c>
      <c r="E67" s="173" t="s">
        <v>238</v>
      </c>
      <c r="F67" s="152"/>
      <c r="G67" s="152"/>
      <c r="H67" s="152"/>
      <c r="I67" s="152"/>
      <c r="J67" s="152"/>
      <c r="K67" s="118"/>
      <c r="L67" s="118"/>
      <c r="M67" s="118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  <c r="AD67" s="118"/>
      <c r="AE67" s="118"/>
      <c r="AF67" s="118"/>
      <c r="AG67" s="118"/>
      <c r="AH67" s="118"/>
    </row>
    <row r="68">
      <c r="A68" s="173" t="s">
        <v>8631</v>
      </c>
      <c r="B68" s="173" t="s">
        <v>8632</v>
      </c>
      <c r="C68" s="173" t="s">
        <v>8633</v>
      </c>
      <c r="D68" s="169" t="s">
        <v>8634</v>
      </c>
      <c r="E68" s="173"/>
      <c r="F68" s="152"/>
      <c r="G68" s="152"/>
      <c r="H68" s="152"/>
      <c r="I68" s="152"/>
      <c r="J68" s="152"/>
      <c r="K68" s="118"/>
      <c r="L68" s="118"/>
      <c r="M68" s="118"/>
      <c r="N68" s="118"/>
      <c r="O68" s="118"/>
      <c r="P68" s="118"/>
      <c r="Q68" s="118"/>
      <c r="R68" s="118"/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  <c r="AD68" s="118"/>
      <c r="AE68" s="118"/>
      <c r="AF68" s="118"/>
      <c r="AG68" s="118"/>
      <c r="AH68" s="118"/>
    </row>
    <row r="69">
      <c r="A69" s="173" t="s">
        <v>8639</v>
      </c>
      <c r="B69" s="173" t="s">
        <v>8640</v>
      </c>
      <c r="C69" s="169" t="s">
        <v>8641</v>
      </c>
      <c r="D69" s="169" t="s">
        <v>8642</v>
      </c>
      <c r="E69" s="173"/>
      <c r="F69" s="152"/>
      <c r="G69" s="152"/>
      <c r="H69" s="152"/>
      <c r="I69" s="152"/>
      <c r="J69" s="152"/>
      <c r="K69" s="118"/>
      <c r="L69" s="118"/>
      <c r="M69" s="118"/>
      <c r="N69" s="118"/>
      <c r="O69" s="118"/>
      <c r="P69" s="118"/>
      <c r="Q69" s="118"/>
      <c r="R69" s="118"/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  <c r="AD69" s="118"/>
      <c r="AE69" s="118"/>
      <c r="AF69" s="118"/>
      <c r="AG69" s="118"/>
      <c r="AH69" s="118"/>
    </row>
    <row r="70">
      <c r="A70" s="173" t="s">
        <v>8643</v>
      </c>
      <c r="B70" s="173" t="s">
        <v>8644</v>
      </c>
      <c r="C70" s="173" t="s">
        <v>8645</v>
      </c>
      <c r="D70" s="169" t="s">
        <v>8646</v>
      </c>
      <c r="E70" s="173"/>
      <c r="F70" s="152"/>
      <c r="G70" s="152"/>
      <c r="H70" s="152"/>
      <c r="I70" s="152"/>
      <c r="J70" s="152"/>
      <c r="K70" s="118"/>
      <c r="L70" s="118"/>
      <c r="M70" s="118"/>
      <c r="N70" s="118"/>
      <c r="O70" s="118"/>
      <c r="P70" s="118"/>
      <c r="Q70" s="118"/>
      <c r="R70" s="118"/>
      <c r="S70" s="118"/>
      <c r="T70" s="118"/>
      <c r="U70" s="118"/>
      <c r="V70" s="118"/>
      <c r="W70" s="118"/>
      <c r="X70" s="118"/>
      <c r="Y70" s="118"/>
      <c r="Z70" s="118"/>
      <c r="AA70" s="118"/>
      <c r="AB70" s="118"/>
      <c r="AC70" s="118"/>
      <c r="AD70" s="118"/>
      <c r="AE70" s="118"/>
      <c r="AF70" s="118"/>
      <c r="AG70" s="118"/>
      <c r="AH70" s="118"/>
    </row>
    <row r="71">
      <c r="A71" s="173" t="s">
        <v>8651</v>
      </c>
      <c r="B71" s="173" t="s">
        <v>8651</v>
      </c>
      <c r="C71" s="173" t="s">
        <v>8652</v>
      </c>
      <c r="D71" s="169" t="s">
        <v>8653</v>
      </c>
      <c r="E71" s="173"/>
      <c r="F71" s="152"/>
      <c r="G71" s="152"/>
      <c r="H71" s="152"/>
      <c r="I71" s="152"/>
      <c r="J71" s="152"/>
      <c r="K71" s="118"/>
      <c r="L71" s="118"/>
      <c r="M71" s="118"/>
      <c r="N71" s="118"/>
      <c r="O71" s="118"/>
      <c r="P71" s="118"/>
      <c r="Q71" s="118"/>
      <c r="R71" s="118"/>
      <c r="S71" s="118"/>
      <c r="T71" s="118"/>
      <c r="U71" s="118"/>
      <c r="V71" s="118"/>
      <c r="W71" s="118"/>
      <c r="X71" s="118"/>
      <c r="Y71" s="118"/>
      <c r="Z71" s="118"/>
      <c r="AA71" s="118"/>
      <c r="AB71" s="118"/>
      <c r="AC71" s="118"/>
      <c r="AD71" s="118"/>
      <c r="AE71" s="118"/>
      <c r="AF71" s="118"/>
      <c r="AG71" s="118"/>
      <c r="AH71" s="118"/>
    </row>
    <row r="72">
      <c r="A72" s="173" t="s">
        <v>8658</v>
      </c>
      <c r="B72" s="173" t="s">
        <v>8659</v>
      </c>
      <c r="C72" s="173" t="s">
        <v>8660</v>
      </c>
      <c r="D72" s="169" t="s">
        <v>8661</v>
      </c>
      <c r="E72" s="173"/>
      <c r="F72" s="152"/>
      <c r="G72" s="152"/>
      <c r="H72" s="152"/>
      <c r="I72" s="152"/>
      <c r="J72" s="152"/>
      <c r="K72" s="118"/>
      <c r="L72" s="118"/>
      <c r="M72" s="118"/>
      <c r="N72" s="118"/>
      <c r="O72" s="118"/>
      <c r="P72" s="118"/>
      <c r="Q72" s="118"/>
      <c r="R72" s="118"/>
      <c r="S72" s="118"/>
      <c r="T72" s="118"/>
      <c r="U72" s="118"/>
      <c r="V72" s="118"/>
      <c r="W72" s="118"/>
      <c r="X72" s="118"/>
      <c r="Y72" s="118"/>
      <c r="Z72" s="118"/>
      <c r="AA72" s="118"/>
      <c r="AB72" s="118"/>
      <c r="AC72" s="118"/>
      <c r="AD72" s="118"/>
      <c r="AE72" s="118"/>
      <c r="AF72" s="118"/>
      <c r="AG72" s="118"/>
      <c r="AH72" s="118"/>
    </row>
    <row r="73">
      <c r="A73" s="173" t="s">
        <v>8664</v>
      </c>
      <c r="B73" s="173" t="s">
        <v>8664</v>
      </c>
      <c r="C73" s="173" t="s">
        <v>8666</v>
      </c>
      <c r="D73" s="169" t="s">
        <v>8668</v>
      </c>
      <c r="E73" s="173"/>
      <c r="F73" s="152"/>
      <c r="G73" s="152"/>
      <c r="H73" s="152"/>
      <c r="I73" s="152"/>
      <c r="J73" s="152"/>
      <c r="K73" s="118"/>
      <c r="L73" s="118"/>
      <c r="M73" s="118"/>
      <c r="N73" s="118"/>
      <c r="O73" s="118"/>
      <c r="P73" s="118"/>
      <c r="Q73" s="118"/>
      <c r="R73" s="118"/>
      <c r="S73" s="118"/>
      <c r="T73" s="118"/>
      <c r="U73" s="118"/>
      <c r="V73" s="118"/>
      <c r="W73" s="118"/>
      <c r="X73" s="118"/>
      <c r="Y73" s="118"/>
      <c r="Z73" s="118"/>
      <c r="AA73" s="118"/>
      <c r="AB73" s="118"/>
      <c r="AC73" s="118"/>
      <c r="AD73" s="118"/>
      <c r="AE73" s="118"/>
      <c r="AF73" s="118"/>
      <c r="AG73" s="118"/>
      <c r="AH73" s="118"/>
    </row>
    <row r="74">
      <c r="A74" s="173" t="s">
        <v>8670</v>
      </c>
      <c r="B74" s="173" t="s">
        <v>8672</v>
      </c>
      <c r="C74" s="173" t="s">
        <v>8673</v>
      </c>
      <c r="D74" s="169" t="s">
        <v>8674</v>
      </c>
      <c r="E74" s="173" t="s">
        <v>20</v>
      </c>
      <c r="F74" s="152"/>
      <c r="G74" s="152"/>
      <c r="H74" s="152"/>
      <c r="I74" s="152"/>
      <c r="J74" s="152"/>
      <c r="K74" s="118"/>
      <c r="L74" s="118"/>
      <c r="M74" s="118"/>
      <c r="N74" s="118"/>
      <c r="O74" s="118"/>
      <c r="P74" s="118"/>
      <c r="Q74" s="118"/>
      <c r="R74" s="118"/>
      <c r="S74" s="118"/>
      <c r="T74" s="118"/>
      <c r="U74" s="118"/>
      <c r="V74" s="118"/>
      <c r="W74" s="118"/>
      <c r="X74" s="118"/>
      <c r="Y74" s="118"/>
      <c r="Z74" s="118"/>
      <c r="AA74" s="118"/>
      <c r="AB74" s="118"/>
      <c r="AC74" s="118"/>
      <c r="AD74" s="118"/>
      <c r="AE74" s="118"/>
      <c r="AF74" s="118"/>
      <c r="AG74" s="118"/>
      <c r="AH74" s="118"/>
    </row>
    <row r="75">
      <c r="A75" s="173" t="s">
        <v>8677</v>
      </c>
      <c r="B75" s="173" t="s">
        <v>8678</v>
      </c>
      <c r="C75" s="173" t="s">
        <v>8679</v>
      </c>
      <c r="D75" s="169" t="s">
        <v>8680</v>
      </c>
      <c r="E75" s="173" t="s">
        <v>20</v>
      </c>
      <c r="F75" s="152"/>
      <c r="G75" s="152"/>
      <c r="H75" s="152"/>
      <c r="I75" s="152"/>
      <c r="J75" s="152"/>
      <c r="K75" s="118"/>
      <c r="L75" s="118"/>
      <c r="M75" s="118"/>
      <c r="N75" s="118"/>
      <c r="O75" s="118"/>
      <c r="P75" s="118"/>
      <c r="Q75" s="118"/>
      <c r="R75" s="118"/>
      <c r="S75" s="118"/>
      <c r="T75" s="118"/>
      <c r="U75" s="118"/>
      <c r="V75" s="118"/>
      <c r="W75" s="118"/>
      <c r="X75" s="118"/>
      <c r="Y75" s="118"/>
      <c r="Z75" s="118"/>
      <c r="AA75" s="118"/>
      <c r="AB75" s="118"/>
      <c r="AC75" s="118"/>
      <c r="AD75" s="118"/>
      <c r="AE75" s="118"/>
      <c r="AF75" s="118"/>
      <c r="AG75" s="118"/>
      <c r="AH75" s="118"/>
    </row>
    <row r="76">
      <c r="A76" s="173" t="s">
        <v>8685</v>
      </c>
      <c r="B76" s="173" t="s">
        <v>8686</v>
      </c>
      <c r="C76" s="173" t="s">
        <v>8687</v>
      </c>
      <c r="D76" s="169" t="s">
        <v>8688</v>
      </c>
      <c r="E76" s="173" t="s">
        <v>20</v>
      </c>
      <c r="F76" s="152"/>
      <c r="G76" s="152"/>
      <c r="H76" s="152"/>
      <c r="I76" s="152"/>
      <c r="J76" s="152"/>
      <c r="K76" s="118"/>
      <c r="L76" s="118"/>
      <c r="M76" s="118"/>
      <c r="N76" s="118"/>
      <c r="O76" s="118"/>
      <c r="P76" s="118"/>
      <c r="Q76" s="118"/>
      <c r="R76" s="118"/>
      <c r="S76" s="118"/>
      <c r="T76" s="118"/>
      <c r="U76" s="118"/>
      <c r="V76" s="118"/>
      <c r="W76" s="118"/>
      <c r="X76" s="118"/>
      <c r="Y76" s="118"/>
      <c r="Z76" s="118"/>
      <c r="AA76" s="118"/>
      <c r="AB76" s="118"/>
      <c r="AC76" s="118"/>
      <c r="AD76" s="118"/>
      <c r="AE76" s="118"/>
      <c r="AF76" s="118"/>
      <c r="AG76" s="118"/>
      <c r="AH76" s="118"/>
    </row>
    <row r="77">
      <c r="A77" s="173" t="s">
        <v>8693</v>
      </c>
      <c r="B77" s="173" t="s">
        <v>8694</v>
      </c>
      <c r="C77" s="173" t="s">
        <v>8695</v>
      </c>
      <c r="D77" s="169" t="s">
        <v>8696</v>
      </c>
      <c r="E77" s="173" t="s">
        <v>20</v>
      </c>
      <c r="F77" s="152"/>
      <c r="G77" s="152"/>
      <c r="H77" s="152"/>
      <c r="I77" s="152"/>
      <c r="J77" s="152"/>
      <c r="K77" s="118"/>
      <c r="L77" s="118"/>
      <c r="M77" s="118"/>
      <c r="N77" s="118"/>
      <c r="O77" s="118"/>
      <c r="P77" s="118"/>
      <c r="Q77" s="118"/>
      <c r="R77" s="118"/>
      <c r="S77" s="118"/>
      <c r="T77" s="118"/>
      <c r="U77" s="118"/>
      <c r="V77" s="118"/>
      <c r="W77" s="118"/>
      <c r="X77" s="118"/>
      <c r="Y77" s="118"/>
      <c r="Z77" s="118"/>
      <c r="AA77" s="118"/>
      <c r="AB77" s="118"/>
      <c r="AC77" s="118"/>
      <c r="AD77" s="118"/>
      <c r="AE77" s="118"/>
      <c r="AF77" s="118"/>
      <c r="AG77" s="118"/>
      <c r="AH77" s="118"/>
    </row>
    <row r="78">
      <c r="A78" s="173" t="s">
        <v>8701</v>
      </c>
      <c r="B78" s="173" t="s">
        <v>8702</v>
      </c>
      <c r="C78" s="173" t="s">
        <v>8703</v>
      </c>
      <c r="D78" s="169" t="s">
        <v>8704</v>
      </c>
      <c r="E78" s="173" t="s">
        <v>20</v>
      </c>
      <c r="F78" s="152"/>
      <c r="G78" s="152"/>
      <c r="H78" s="152"/>
      <c r="I78" s="152"/>
      <c r="J78" s="152"/>
      <c r="K78" s="118"/>
      <c r="L78" s="118"/>
      <c r="M78" s="118"/>
      <c r="N78" s="118"/>
      <c r="O78" s="118"/>
      <c r="P78" s="118"/>
      <c r="Q78" s="118"/>
      <c r="R78" s="118"/>
      <c r="S78" s="118"/>
      <c r="T78" s="118"/>
      <c r="U78" s="118"/>
      <c r="V78" s="118"/>
      <c r="W78" s="118"/>
      <c r="X78" s="118"/>
      <c r="Y78" s="118"/>
      <c r="Z78" s="118"/>
      <c r="AA78" s="118"/>
      <c r="AB78" s="118"/>
      <c r="AC78" s="118"/>
      <c r="AD78" s="118"/>
      <c r="AE78" s="118"/>
      <c r="AF78" s="118"/>
      <c r="AG78" s="118"/>
      <c r="AH78" s="118"/>
    </row>
    <row r="79">
      <c r="A79" s="173" t="s">
        <v>8709</v>
      </c>
      <c r="B79" s="173" t="s">
        <v>8709</v>
      </c>
      <c r="C79" s="173" t="s">
        <v>8710</v>
      </c>
      <c r="D79" s="169" t="s">
        <v>8711</v>
      </c>
      <c r="E79" s="173"/>
      <c r="F79" s="152"/>
      <c r="G79" s="152"/>
      <c r="H79" s="152"/>
      <c r="I79" s="152"/>
      <c r="J79" s="152"/>
      <c r="K79" s="118"/>
      <c r="L79" s="118"/>
      <c r="M79" s="118"/>
      <c r="N79" s="118"/>
      <c r="O79" s="118"/>
      <c r="P79" s="118"/>
      <c r="Q79" s="118"/>
      <c r="R79" s="118"/>
      <c r="S79" s="118"/>
      <c r="T79" s="118"/>
      <c r="U79" s="118"/>
      <c r="V79" s="118"/>
      <c r="W79" s="118"/>
      <c r="X79" s="118"/>
      <c r="Y79" s="118"/>
      <c r="Z79" s="118"/>
      <c r="AA79" s="118"/>
      <c r="AB79" s="118"/>
      <c r="AC79" s="118"/>
      <c r="AD79" s="118"/>
      <c r="AE79" s="118"/>
      <c r="AF79" s="118"/>
      <c r="AG79" s="118"/>
      <c r="AH79" s="118"/>
    </row>
    <row r="80">
      <c r="A80" s="173" t="s">
        <v>8715</v>
      </c>
      <c r="B80" s="173" t="s">
        <v>8716</v>
      </c>
      <c r="C80" s="173" t="s">
        <v>8717</v>
      </c>
      <c r="D80" s="169" t="s">
        <v>8718</v>
      </c>
      <c r="E80" s="173" t="s">
        <v>8207</v>
      </c>
      <c r="F80" s="152"/>
      <c r="G80" s="152"/>
      <c r="H80" s="152"/>
      <c r="I80" s="152"/>
      <c r="J80" s="152"/>
      <c r="K80" s="118"/>
      <c r="L80" s="118"/>
      <c r="M80" s="118"/>
      <c r="N80" s="118"/>
      <c r="O80" s="118"/>
      <c r="P80" s="118"/>
      <c r="Q80" s="118"/>
      <c r="R80" s="118"/>
      <c r="S80" s="118"/>
      <c r="T80" s="118"/>
      <c r="U80" s="118"/>
      <c r="V80" s="118"/>
      <c r="W80" s="118"/>
      <c r="X80" s="118"/>
      <c r="Y80" s="118"/>
      <c r="Z80" s="118"/>
      <c r="AA80" s="118"/>
      <c r="AB80" s="118"/>
      <c r="AC80" s="118"/>
      <c r="AD80" s="118"/>
      <c r="AE80" s="118"/>
      <c r="AF80" s="118"/>
      <c r="AG80" s="118"/>
      <c r="AH80" s="118"/>
    </row>
    <row r="81">
      <c r="A81" s="169" t="s">
        <v>8722</v>
      </c>
      <c r="B81" s="169" t="s">
        <v>8723</v>
      </c>
      <c r="C81" s="173" t="s">
        <v>8724</v>
      </c>
      <c r="D81" s="169" t="s">
        <v>8725</v>
      </c>
      <c r="E81" s="169" t="s">
        <v>8216</v>
      </c>
      <c r="F81" s="152"/>
      <c r="G81" s="152"/>
      <c r="H81" s="152"/>
      <c r="I81" s="152"/>
      <c r="J81" s="152"/>
      <c r="K81" s="118"/>
      <c r="L81" s="118"/>
      <c r="M81" s="118"/>
      <c r="N81" s="118"/>
      <c r="O81" s="118"/>
      <c r="P81" s="118"/>
      <c r="Q81" s="118"/>
      <c r="R81" s="118"/>
      <c r="S81" s="118"/>
      <c r="T81" s="118"/>
      <c r="U81" s="118"/>
      <c r="V81" s="118"/>
      <c r="W81" s="118"/>
      <c r="X81" s="118"/>
      <c r="Y81" s="118"/>
      <c r="Z81" s="118"/>
      <c r="AA81" s="118"/>
      <c r="AB81" s="118"/>
      <c r="AC81" s="118"/>
      <c r="AD81" s="118"/>
      <c r="AE81" s="118"/>
      <c r="AF81" s="118"/>
      <c r="AG81" s="118"/>
      <c r="AH81" s="118"/>
    </row>
    <row r="82">
      <c r="A82" s="173" t="s">
        <v>8726</v>
      </c>
      <c r="B82" s="173" t="s">
        <v>8727</v>
      </c>
      <c r="C82" s="173" t="s">
        <v>8728</v>
      </c>
      <c r="D82" s="169" t="s">
        <v>8729</v>
      </c>
      <c r="E82" s="173"/>
      <c r="F82" s="152"/>
      <c r="G82" s="152"/>
      <c r="H82" s="152"/>
      <c r="I82" s="152"/>
      <c r="J82" s="152"/>
      <c r="K82" s="118"/>
      <c r="L82" s="118"/>
      <c r="M82" s="118"/>
      <c r="N82" s="118"/>
      <c r="O82" s="118"/>
      <c r="P82" s="118"/>
      <c r="Q82" s="118"/>
      <c r="R82" s="118"/>
      <c r="S82" s="118"/>
      <c r="T82" s="118"/>
      <c r="U82" s="118"/>
      <c r="V82" s="118"/>
      <c r="W82" s="118"/>
      <c r="X82" s="118"/>
      <c r="Y82" s="118"/>
      <c r="Z82" s="118"/>
      <c r="AA82" s="118"/>
      <c r="AB82" s="118"/>
      <c r="AC82" s="118"/>
      <c r="AD82" s="118"/>
      <c r="AE82" s="118"/>
      <c r="AF82" s="118"/>
      <c r="AG82" s="118"/>
      <c r="AH82" s="118"/>
    </row>
    <row r="83">
      <c r="A83" s="173" t="s">
        <v>8734</v>
      </c>
      <c r="B83" s="173" t="s">
        <v>8735</v>
      </c>
      <c r="C83" s="173" t="s">
        <v>8736</v>
      </c>
      <c r="D83" s="169" t="s">
        <v>8737</v>
      </c>
      <c r="E83" s="173"/>
      <c r="F83" s="152"/>
      <c r="G83" s="152"/>
      <c r="H83" s="152"/>
      <c r="I83" s="152"/>
      <c r="J83" s="152"/>
      <c r="K83" s="118"/>
      <c r="L83" s="118"/>
      <c r="M83" s="118"/>
      <c r="N83" s="118"/>
      <c r="O83" s="118"/>
      <c r="P83" s="118"/>
      <c r="Q83" s="118"/>
      <c r="R83" s="118"/>
      <c r="S83" s="118"/>
      <c r="T83" s="118"/>
      <c r="U83" s="118"/>
      <c r="V83" s="118"/>
      <c r="W83" s="118"/>
      <c r="X83" s="118"/>
      <c r="Y83" s="118"/>
      <c r="Z83" s="118"/>
      <c r="AA83" s="118"/>
      <c r="AB83" s="118"/>
      <c r="AC83" s="118"/>
      <c r="AD83" s="118"/>
      <c r="AE83" s="118"/>
      <c r="AF83" s="118"/>
      <c r="AG83" s="118"/>
      <c r="AH83" s="118"/>
    </row>
    <row r="84">
      <c r="A84" s="169" t="s">
        <v>8738</v>
      </c>
      <c r="B84" s="169" t="s">
        <v>8739</v>
      </c>
      <c r="C84" s="169" t="s">
        <v>8740</v>
      </c>
      <c r="D84" s="169" t="s">
        <v>8742</v>
      </c>
      <c r="E84" s="169" t="s">
        <v>276</v>
      </c>
      <c r="F84" s="152"/>
      <c r="G84" s="152"/>
      <c r="H84" s="152"/>
      <c r="I84" s="152"/>
      <c r="J84" s="152"/>
      <c r="K84" s="118"/>
      <c r="L84" s="118"/>
      <c r="M84" s="118"/>
      <c r="N84" s="118"/>
      <c r="O84" s="118"/>
      <c r="P84" s="118"/>
      <c r="Q84" s="118"/>
      <c r="R84" s="118"/>
      <c r="S84" s="118"/>
      <c r="T84" s="118"/>
      <c r="U84" s="118"/>
      <c r="V84" s="118"/>
      <c r="W84" s="118"/>
      <c r="X84" s="118"/>
      <c r="Y84" s="118"/>
      <c r="Z84" s="118"/>
      <c r="AA84" s="118"/>
      <c r="AB84" s="118"/>
      <c r="AC84" s="118"/>
      <c r="AD84" s="118"/>
      <c r="AE84" s="118"/>
      <c r="AF84" s="118"/>
      <c r="AG84" s="118"/>
      <c r="AH84" s="118"/>
    </row>
    <row r="85">
      <c r="A85" s="169" t="s">
        <v>8747</v>
      </c>
      <c r="B85" s="169" t="s">
        <v>8748</v>
      </c>
      <c r="C85" s="169" t="s">
        <v>8749</v>
      </c>
      <c r="D85" s="169" t="s">
        <v>8750</v>
      </c>
      <c r="E85" s="169" t="s">
        <v>276</v>
      </c>
      <c r="F85" s="152"/>
      <c r="G85" s="152"/>
      <c r="H85" s="152"/>
      <c r="I85" s="152"/>
      <c r="J85" s="152"/>
      <c r="K85" s="118"/>
      <c r="L85" s="118"/>
      <c r="M85" s="118"/>
      <c r="N85" s="118"/>
      <c r="O85" s="118"/>
      <c r="P85" s="118"/>
      <c r="Q85" s="118"/>
      <c r="R85" s="118"/>
      <c r="S85" s="118"/>
      <c r="T85" s="118"/>
      <c r="U85" s="118"/>
      <c r="V85" s="118"/>
      <c r="W85" s="118"/>
      <c r="X85" s="118"/>
      <c r="Y85" s="118"/>
      <c r="Z85" s="118"/>
      <c r="AA85" s="118"/>
      <c r="AB85" s="118"/>
      <c r="AC85" s="118"/>
      <c r="AD85" s="118"/>
      <c r="AE85" s="118"/>
      <c r="AF85" s="118"/>
      <c r="AG85" s="118"/>
      <c r="AH85" s="118"/>
    </row>
    <row r="86">
      <c r="A86" s="169" t="s">
        <v>8756</v>
      </c>
      <c r="B86" s="169" t="s">
        <v>8757</v>
      </c>
      <c r="C86" s="169" t="s">
        <v>8758</v>
      </c>
      <c r="D86" s="169" t="s">
        <v>8759</v>
      </c>
      <c r="E86" s="169" t="s">
        <v>276</v>
      </c>
      <c r="F86" s="152"/>
      <c r="G86" s="152"/>
      <c r="H86" s="152"/>
      <c r="I86" s="152"/>
      <c r="J86" s="152"/>
      <c r="K86" s="118"/>
      <c r="L86" s="118"/>
      <c r="M86" s="118"/>
      <c r="N86" s="118"/>
      <c r="O86" s="118"/>
      <c r="P86" s="118"/>
      <c r="Q86" s="118"/>
      <c r="R86" s="118"/>
      <c r="S86" s="118"/>
      <c r="T86" s="118"/>
      <c r="U86" s="118"/>
      <c r="V86" s="118"/>
      <c r="W86" s="118"/>
      <c r="X86" s="118"/>
      <c r="Y86" s="118"/>
      <c r="Z86" s="118"/>
      <c r="AA86" s="118"/>
      <c r="AB86" s="118"/>
      <c r="AC86" s="118"/>
      <c r="AD86" s="118"/>
      <c r="AE86" s="118"/>
      <c r="AF86" s="118"/>
      <c r="AG86" s="118"/>
      <c r="AH86" s="118"/>
    </row>
    <row r="87">
      <c r="A87" s="173" t="s">
        <v>8764</v>
      </c>
      <c r="B87" s="173" t="s">
        <v>8764</v>
      </c>
      <c r="C87" s="173" t="s">
        <v>8765</v>
      </c>
      <c r="D87" s="169" t="s">
        <v>8766</v>
      </c>
      <c r="E87" s="173"/>
      <c r="F87" s="152"/>
      <c r="G87" s="152"/>
      <c r="H87" s="152"/>
      <c r="I87" s="152"/>
      <c r="J87" s="152"/>
      <c r="K87" s="118"/>
      <c r="L87" s="118"/>
      <c r="M87" s="118"/>
      <c r="N87" s="118"/>
      <c r="O87" s="118"/>
      <c r="P87" s="118"/>
      <c r="Q87" s="118"/>
      <c r="R87" s="118"/>
      <c r="S87" s="118"/>
      <c r="T87" s="118"/>
      <c r="U87" s="118"/>
      <c r="V87" s="118"/>
      <c r="W87" s="118"/>
      <c r="X87" s="118"/>
      <c r="Y87" s="118"/>
      <c r="Z87" s="118"/>
      <c r="AA87" s="118"/>
      <c r="AB87" s="118"/>
      <c r="AC87" s="118"/>
      <c r="AD87" s="118"/>
      <c r="AE87" s="118"/>
      <c r="AF87" s="118"/>
      <c r="AG87" s="118"/>
      <c r="AH87" s="118"/>
    </row>
    <row r="88">
      <c r="A88" s="169" t="s">
        <v>8772</v>
      </c>
      <c r="B88" s="169" t="s">
        <v>8773</v>
      </c>
      <c r="C88" s="169" t="s">
        <v>8774</v>
      </c>
      <c r="D88" s="169" t="s">
        <v>8775</v>
      </c>
      <c r="E88" s="173"/>
      <c r="F88" s="152"/>
      <c r="G88" s="152"/>
      <c r="H88" s="152"/>
      <c r="I88" s="152"/>
      <c r="J88" s="152"/>
      <c r="K88" s="118"/>
      <c r="L88" s="118"/>
      <c r="M88" s="118"/>
      <c r="N88" s="118"/>
      <c r="O88" s="118"/>
      <c r="P88" s="118"/>
      <c r="Q88" s="118"/>
      <c r="R88" s="118"/>
      <c r="S88" s="118"/>
      <c r="T88" s="118"/>
      <c r="U88" s="118"/>
      <c r="V88" s="118"/>
      <c r="W88" s="118"/>
      <c r="X88" s="118"/>
      <c r="Y88" s="118"/>
      <c r="Z88" s="118"/>
      <c r="AA88" s="118"/>
      <c r="AB88" s="118"/>
      <c r="AC88" s="118"/>
      <c r="AD88" s="118"/>
      <c r="AE88" s="118"/>
      <c r="AF88" s="118"/>
      <c r="AG88" s="118"/>
      <c r="AH88" s="118"/>
    </row>
    <row r="89">
      <c r="A89" s="169" t="s">
        <v>8780</v>
      </c>
      <c r="B89" s="169" t="s">
        <v>8781</v>
      </c>
      <c r="C89" s="169" t="s">
        <v>8782</v>
      </c>
      <c r="D89" s="169" t="s">
        <v>8783</v>
      </c>
      <c r="E89" s="173"/>
      <c r="F89" s="152"/>
      <c r="G89" s="152"/>
      <c r="H89" s="152"/>
      <c r="I89" s="152"/>
      <c r="J89" s="152"/>
      <c r="K89" s="118"/>
      <c r="L89" s="118"/>
      <c r="M89" s="118"/>
      <c r="N89" s="118"/>
      <c r="O89" s="118"/>
      <c r="P89" s="118"/>
      <c r="Q89" s="118"/>
      <c r="R89" s="118"/>
      <c r="S89" s="118"/>
      <c r="T89" s="118"/>
      <c r="U89" s="118"/>
      <c r="V89" s="118"/>
      <c r="W89" s="118"/>
      <c r="X89" s="118"/>
      <c r="Y89" s="118"/>
      <c r="Z89" s="118"/>
      <c r="AA89" s="118"/>
      <c r="AB89" s="118"/>
      <c r="AC89" s="118"/>
      <c r="AD89" s="118"/>
      <c r="AE89" s="118"/>
      <c r="AF89" s="118"/>
      <c r="AG89" s="118"/>
      <c r="AH89" s="118"/>
    </row>
    <row r="90">
      <c r="A90" s="169" t="s">
        <v>8788</v>
      </c>
      <c r="B90" s="169" t="s">
        <v>8789</v>
      </c>
      <c r="C90" s="169" t="s">
        <v>8790</v>
      </c>
      <c r="D90" s="169" t="s">
        <v>8791</v>
      </c>
      <c r="E90" s="169" t="s">
        <v>41</v>
      </c>
      <c r="F90" s="152"/>
      <c r="G90" s="152"/>
      <c r="H90" s="152"/>
      <c r="I90" s="152"/>
      <c r="J90" s="152"/>
      <c r="K90" s="118"/>
      <c r="L90" s="118"/>
      <c r="M90" s="118"/>
      <c r="N90" s="118"/>
      <c r="O90" s="118"/>
      <c r="P90" s="118"/>
      <c r="Q90" s="118"/>
      <c r="R90" s="118"/>
      <c r="S90" s="118"/>
      <c r="T90" s="118"/>
      <c r="U90" s="118"/>
      <c r="V90" s="118"/>
      <c r="W90" s="118"/>
      <c r="X90" s="118"/>
      <c r="Y90" s="118"/>
      <c r="Z90" s="118"/>
      <c r="AA90" s="118"/>
      <c r="AB90" s="118"/>
      <c r="AC90" s="118"/>
      <c r="AD90" s="118"/>
      <c r="AE90" s="118"/>
      <c r="AF90" s="118"/>
      <c r="AG90" s="118"/>
      <c r="AH90" s="118"/>
    </row>
    <row r="91">
      <c r="A91" s="169" t="s">
        <v>8795</v>
      </c>
      <c r="B91" s="169" t="s">
        <v>8796</v>
      </c>
      <c r="C91" s="169" t="s">
        <v>8797</v>
      </c>
      <c r="D91" s="169" t="s">
        <v>8798</v>
      </c>
      <c r="E91" s="173" t="s">
        <v>238</v>
      </c>
      <c r="F91" s="152"/>
      <c r="G91" s="152"/>
      <c r="H91" s="152"/>
      <c r="I91" s="152"/>
      <c r="J91" s="152"/>
      <c r="K91" s="118"/>
      <c r="L91" s="118"/>
      <c r="M91" s="118"/>
      <c r="N91" s="118"/>
      <c r="O91" s="118"/>
      <c r="P91" s="118"/>
      <c r="Q91" s="118"/>
      <c r="R91" s="118"/>
      <c r="S91" s="118"/>
      <c r="T91" s="118"/>
      <c r="U91" s="118"/>
      <c r="V91" s="118"/>
      <c r="W91" s="118"/>
      <c r="X91" s="118"/>
      <c r="Y91" s="118"/>
      <c r="Z91" s="118"/>
      <c r="AA91" s="118"/>
      <c r="AB91" s="118"/>
      <c r="AC91" s="118"/>
      <c r="AD91" s="118"/>
      <c r="AE91" s="118"/>
      <c r="AF91" s="118"/>
      <c r="AG91" s="118"/>
      <c r="AH91" s="118"/>
    </row>
    <row r="92">
      <c r="A92" s="169" t="s">
        <v>8803</v>
      </c>
      <c r="B92" s="169" t="s">
        <v>8804</v>
      </c>
      <c r="C92" s="169" t="s">
        <v>8805</v>
      </c>
      <c r="D92" s="169" t="s">
        <v>8806</v>
      </c>
      <c r="E92" s="173"/>
      <c r="F92" s="152"/>
      <c r="G92" s="152"/>
      <c r="H92" s="152"/>
      <c r="I92" s="152"/>
      <c r="J92" s="152"/>
      <c r="K92" s="118"/>
      <c r="L92" s="118"/>
      <c r="M92" s="118"/>
      <c r="N92" s="118"/>
      <c r="O92" s="118"/>
      <c r="P92" s="118"/>
      <c r="Q92" s="118"/>
      <c r="R92" s="118"/>
      <c r="S92" s="118"/>
      <c r="T92" s="118"/>
      <c r="U92" s="118"/>
      <c r="V92" s="118"/>
      <c r="W92" s="118"/>
      <c r="X92" s="118"/>
      <c r="Y92" s="118"/>
      <c r="Z92" s="118"/>
      <c r="AA92" s="118"/>
      <c r="AB92" s="118"/>
      <c r="AC92" s="118"/>
      <c r="AD92" s="118"/>
      <c r="AE92" s="118"/>
      <c r="AF92" s="118"/>
      <c r="AG92" s="118"/>
      <c r="AH92" s="118"/>
    </row>
    <row r="93">
      <c r="A93" s="169" t="s">
        <v>8811</v>
      </c>
      <c r="B93" s="169" t="s">
        <v>8813</v>
      </c>
      <c r="C93" s="169" t="s">
        <v>8814</v>
      </c>
      <c r="D93" s="169" t="s">
        <v>8816</v>
      </c>
      <c r="E93" s="173"/>
      <c r="F93" s="152"/>
      <c r="G93" s="152"/>
      <c r="H93" s="152"/>
      <c r="I93" s="152"/>
      <c r="J93" s="152"/>
      <c r="K93" s="118"/>
      <c r="L93" s="118"/>
      <c r="M93" s="118"/>
      <c r="N93" s="118"/>
      <c r="O93" s="118"/>
      <c r="P93" s="118"/>
      <c r="Q93" s="118"/>
      <c r="R93" s="118"/>
      <c r="S93" s="118"/>
      <c r="T93" s="118"/>
      <c r="U93" s="118"/>
      <c r="V93" s="118"/>
      <c r="W93" s="118"/>
      <c r="X93" s="118"/>
      <c r="Y93" s="118"/>
      <c r="Z93" s="118"/>
      <c r="AA93" s="118"/>
      <c r="AB93" s="118"/>
      <c r="AC93" s="118"/>
      <c r="AD93" s="118"/>
      <c r="AE93" s="118"/>
      <c r="AF93" s="118"/>
      <c r="AG93" s="118"/>
      <c r="AH93" s="118"/>
    </row>
    <row r="94">
      <c r="A94" s="169" t="s">
        <v>8819</v>
      </c>
      <c r="B94" s="169" t="s">
        <v>8820</v>
      </c>
      <c r="C94" s="169" t="s">
        <v>8821</v>
      </c>
      <c r="D94" s="169" t="s">
        <v>8822</v>
      </c>
      <c r="E94" s="169" t="s">
        <v>41</v>
      </c>
      <c r="F94" s="152"/>
      <c r="G94" s="152"/>
      <c r="H94" s="152"/>
      <c r="I94" s="152"/>
      <c r="J94" s="152"/>
      <c r="K94" s="118"/>
      <c r="L94" s="118"/>
      <c r="M94" s="118"/>
      <c r="N94" s="118"/>
      <c r="O94" s="118"/>
      <c r="P94" s="118"/>
      <c r="Q94" s="118"/>
      <c r="R94" s="118"/>
      <c r="S94" s="118"/>
      <c r="T94" s="118"/>
      <c r="U94" s="118"/>
      <c r="V94" s="118"/>
      <c r="W94" s="118"/>
      <c r="X94" s="118"/>
      <c r="Y94" s="118"/>
      <c r="Z94" s="118"/>
      <c r="AA94" s="118"/>
      <c r="AB94" s="118"/>
      <c r="AC94" s="118"/>
      <c r="AD94" s="118"/>
      <c r="AE94" s="118"/>
      <c r="AF94" s="118"/>
      <c r="AG94" s="118"/>
      <c r="AH94" s="118"/>
    </row>
    <row r="95">
      <c r="A95" s="169" t="s">
        <v>8827</v>
      </c>
      <c r="B95" s="169" t="s">
        <v>8829</v>
      </c>
      <c r="C95" s="169" t="s">
        <v>8831</v>
      </c>
      <c r="D95" s="169" t="s">
        <v>8833</v>
      </c>
      <c r="E95" s="173"/>
      <c r="F95" s="152"/>
      <c r="G95" s="152"/>
      <c r="H95" s="152"/>
      <c r="I95" s="152"/>
      <c r="J95" s="152"/>
      <c r="K95" s="118"/>
      <c r="L95" s="118"/>
      <c r="M95" s="118"/>
      <c r="N95" s="118"/>
      <c r="O95" s="118"/>
      <c r="P95" s="118"/>
      <c r="Q95" s="118"/>
      <c r="R95" s="118"/>
      <c r="S95" s="118"/>
      <c r="T95" s="118"/>
      <c r="U95" s="118"/>
      <c r="V95" s="118"/>
      <c r="W95" s="118"/>
      <c r="X95" s="118"/>
      <c r="Y95" s="118"/>
      <c r="Z95" s="118"/>
      <c r="AA95" s="118"/>
      <c r="AB95" s="118"/>
      <c r="AC95" s="118"/>
      <c r="AD95" s="118"/>
      <c r="AE95" s="118"/>
      <c r="AF95" s="118"/>
      <c r="AG95" s="118"/>
      <c r="AH95" s="118"/>
    </row>
    <row r="96">
      <c r="A96" s="169" t="s">
        <v>8836</v>
      </c>
      <c r="B96" s="169" t="s">
        <v>8837</v>
      </c>
      <c r="C96" s="169" t="s">
        <v>8839</v>
      </c>
      <c r="D96" s="169" t="s">
        <v>8841</v>
      </c>
      <c r="E96" s="169" t="s">
        <v>8216</v>
      </c>
      <c r="F96" s="152"/>
      <c r="G96" s="152"/>
      <c r="H96" s="152"/>
      <c r="I96" s="152"/>
      <c r="J96" s="152"/>
      <c r="K96" s="118"/>
      <c r="L96" s="118"/>
      <c r="M96" s="118"/>
      <c r="N96" s="118"/>
      <c r="O96" s="118"/>
      <c r="P96" s="118"/>
      <c r="Q96" s="118"/>
      <c r="R96" s="118"/>
      <c r="S96" s="118"/>
      <c r="T96" s="118"/>
      <c r="U96" s="118"/>
      <c r="V96" s="118"/>
      <c r="W96" s="118"/>
      <c r="X96" s="118"/>
      <c r="Y96" s="118"/>
      <c r="Z96" s="118"/>
      <c r="AA96" s="118"/>
      <c r="AB96" s="118"/>
      <c r="AC96" s="118"/>
      <c r="AD96" s="118"/>
      <c r="AE96" s="118"/>
      <c r="AF96" s="118"/>
      <c r="AG96" s="118"/>
      <c r="AH96" s="118"/>
    </row>
    <row r="97">
      <c r="A97" s="169" t="s">
        <v>8849</v>
      </c>
      <c r="B97" s="169" t="s">
        <v>8850</v>
      </c>
      <c r="C97" s="169" t="s">
        <v>8851</v>
      </c>
      <c r="D97" s="169" t="s">
        <v>8852</v>
      </c>
      <c r="E97" s="169" t="s">
        <v>8371</v>
      </c>
      <c r="F97" s="152"/>
      <c r="G97" s="152"/>
      <c r="H97" s="152"/>
      <c r="I97" s="152"/>
      <c r="J97" s="152"/>
      <c r="K97" s="118"/>
      <c r="L97" s="118"/>
      <c r="M97" s="118"/>
      <c r="N97" s="118"/>
      <c r="O97" s="118"/>
      <c r="P97" s="118"/>
      <c r="Q97" s="118"/>
      <c r="R97" s="118"/>
      <c r="S97" s="118"/>
      <c r="T97" s="118"/>
      <c r="U97" s="118"/>
      <c r="V97" s="118"/>
      <c r="W97" s="118"/>
      <c r="X97" s="118"/>
      <c r="Y97" s="118"/>
      <c r="Z97" s="118"/>
      <c r="AA97" s="118"/>
      <c r="AB97" s="118"/>
      <c r="AC97" s="118"/>
      <c r="AD97" s="118"/>
      <c r="AE97" s="118"/>
      <c r="AF97" s="118"/>
      <c r="AG97" s="118"/>
      <c r="AH97" s="118"/>
    </row>
    <row r="98">
      <c r="A98" s="169" t="s">
        <v>8857</v>
      </c>
      <c r="B98" s="169" t="s">
        <v>8858</v>
      </c>
      <c r="C98" s="169" t="s">
        <v>8859</v>
      </c>
      <c r="D98" s="169" t="s">
        <v>8860</v>
      </c>
      <c r="E98" s="169" t="s">
        <v>8335</v>
      </c>
      <c r="F98" s="152"/>
      <c r="G98" s="152"/>
      <c r="H98" s="152"/>
      <c r="I98" s="152"/>
      <c r="J98" s="152"/>
      <c r="K98" s="118"/>
      <c r="L98" s="118"/>
      <c r="M98" s="118"/>
      <c r="N98" s="118"/>
      <c r="O98" s="118"/>
      <c r="P98" s="118"/>
      <c r="Q98" s="118"/>
      <c r="R98" s="118"/>
      <c r="S98" s="118"/>
      <c r="T98" s="118"/>
      <c r="U98" s="118"/>
      <c r="V98" s="118"/>
      <c r="W98" s="118"/>
      <c r="X98" s="118"/>
      <c r="Y98" s="118"/>
      <c r="Z98" s="118"/>
      <c r="AA98" s="118"/>
      <c r="AB98" s="118"/>
      <c r="AC98" s="118"/>
      <c r="AD98" s="118"/>
      <c r="AE98" s="118"/>
      <c r="AF98" s="118"/>
      <c r="AG98" s="118"/>
      <c r="AH98" s="118"/>
    </row>
    <row r="99">
      <c r="A99" s="169" t="s">
        <v>8865</v>
      </c>
      <c r="B99" s="169" t="s">
        <v>8866</v>
      </c>
      <c r="C99" s="169" t="s">
        <v>8868</v>
      </c>
      <c r="D99" s="169" t="s">
        <v>8871</v>
      </c>
      <c r="E99" s="169" t="s">
        <v>322</v>
      </c>
      <c r="F99" s="152"/>
      <c r="G99" s="152"/>
      <c r="H99" s="152"/>
      <c r="I99" s="152"/>
      <c r="J99" s="152"/>
      <c r="K99" s="118"/>
      <c r="L99" s="118"/>
      <c r="M99" s="118"/>
      <c r="N99" s="118"/>
      <c r="O99" s="118"/>
      <c r="P99" s="118"/>
      <c r="Q99" s="118"/>
      <c r="R99" s="118"/>
      <c r="S99" s="118"/>
      <c r="T99" s="118"/>
      <c r="U99" s="118"/>
      <c r="V99" s="118"/>
      <c r="W99" s="118"/>
      <c r="X99" s="118"/>
      <c r="Y99" s="118"/>
      <c r="Z99" s="118"/>
      <c r="AA99" s="118"/>
      <c r="AB99" s="118"/>
      <c r="AC99" s="118"/>
      <c r="AD99" s="118"/>
      <c r="AE99" s="118"/>
      <c r="AF99" s="118"/>
      <c r="AG99" s="118"/>
      <c r="AH99" s="118"/>
    </row>
    <row r="100">
      <c r="A100" s="173" t="s">
        <v>8877</v>
      </c>
      <c r="B100" s="173" t="s">
        <v>8878</v>
      </c>
      <c r="C100" s="173" t="s">
        <v>8879</v>
      </c>
      <c r="D100" s="169" t="s">
        <v>8880</v>
      </c>
      <c r="E100" s="173" t="s">
        <v>8353</v>
      </c>
      <c r="F100" s="152"/>
      <c r="G100" s="152"/>
      <c r="H100" s="152"/>
      <c r="I100" s="152"/>
      <c r="J100" s="152"/>
      <c r="K100" s="118"/>
      <c r="L100" s="118"/>
      <c r="M100" s="118"/>
      <c r="N100" s="118"/>
      <c r="O100" s="118"/>
      <c r="P100" s="118"/>
      <c r="Q100" s="118"/>
      <c r="R100" s="118"/>
      <c r="S100" s="118"/>
      <c r="T100" s="118"/>
      <c r="U100" s="118"/>
      <c r="V100" s="118"/>
      <c r="W100" s="118"/>
      <c r="X100" s="118"/>
      <c r="Y100" s="118"/>
      <c r="Z100" s="118"/>
      <c r="AA100" s="118"/>
      <c r="AB100" s="118"/>
      <c r="AC100" s="118"/>
      <c r="AD100" s="118"/>
      <c r="AE100" s="118"/>
      <c r="AF100" s="118"/>
      <c r="AG100" s="118"/>
      <c r="AH100" s="118"/>
    </row>
    <row r="101">
      <c r="A101" s="169" t="s">
        <v>8885</v>
      </c>
      <c r="B101" s="169" t="s">
        <v>8886</v>
      </c>
      <c r="C101" s="173" t="s">
        <v>8887</v>
      </c>
      <c r="D101" s="169" t="s">
        <v>8888</v>
      </c>
      <c r="E101" s="169" t="s">
        <v>8362</v>
      </c>
      <c r="F101" s="152"/>
      <c r="G101" s="152"/>
      <c r="H101" s="152"/>
      <c r="I101" s="152"/>
      <c r="J101" s="152"/>
      <c r="K101" s="118"/>
      <c r="L101" s="118"/>
      <c r="M101" s="118"/>
      <c r="N101" s="118"/>
      <c r="O101" s="118"/>
      <c r="P101" s="118"/>
      <c r="Q101" s="118"/>
      <c r="R101" s="118"/>
      <c r="S101" s="118"/>
      <c r="T101" s="118"/>
      <c r="U101" s="118"/>
      <c r="V101" s="118"/>
      <c r="W101" s="118"/>
      <c r="X101" s="118"/>
      <c r="Y101" s="118"/>
      <c r="Z101" s="118"/>
      <c r="AA101" s="118"/>
      <c r="AB101" s="118"/>
      <c r="AC101" s="118"/>
      <c r="AD101" s="118"/>
      <c r="AE101" s="118"/>
      <c r="AF101" s="118"/>
      <c r="AG101" s="118"/>
      <c r="AH101" s="118"/>
    </row>
    <row r="102">
      <c r="A102" s="169" t="s">
        <v>8892</v>
      </c>
      <c r="B102" s="169" t="s">
        <v>8894</v>
      </c>
      <c r="C102" s="169" t="s">
        <v>8342</v>
      </c>
      <c r="D102" s="169" t="s">
        <v>8896</v>
      </c>
      <c r="E102" s="169" t="s">
        <v>8344</v>
      </c>
      <c r="F102" s="152"/>
      <c r="G102" s="152"/>
      <c r="H102" s="152"/>
      <c r="I102" s="152"/>
      <c r="J102" s="152"/>
      <c r="K102" s="118"/>
      <c r="L102" s="118"/>
      <c r="M102" s="118"/>
      <c r="N102" s="118"/>
      <c r="O102" s="118"/>
      <c r="P102" s="118"/>
      <c r="Q102" s="118"/>
      <c r="R102" s="118"/>
      <c r="S102" s="118"/>
      <c r="T102" s="118"/>
      <c r="U102" s="118"/>
      <c r="V102" s="118"/>
      <c r="W102" s="118"/>
      <c r="X102" s="118"/>
      <c r="Y102" s="118"/>
      <c r="Z102" s="118"/>
      <c r="AA102" s="118"/>
      <c r="AB102" s="118"/>
      <c r="AC102" s="118"/>
      <c r="AD102" s="118"/>
      <c r="AE102" s="118"/>
      <c r="AF102" s="118"/>
      <c r="AG102" s="118"/>
      <c r="AH102" s="118"/>
    </row>
    <row r="103">
      <c r="A103" s="169" t="s">
        <v>8903</v>
      </c>
      <c r="B103" s="169" t="s">
        <v>8905</v>
      </c>
      <c r="C103" s="169" t="s">
        <v>8907</v>
      </c>
      <c r="D103" s="169" t="s">
        <v>8908</v>
      </c>
      <c r="E103" s="169" t="s">
        <v>8415</v>
      </c>
      <c r="F103" s="152"/>
      <c r="G103" s="152"/>
      <c r="H103" s="152"/>
      <c r="I103" s="152"/>
      <c r="J103" s="152"/>
      <c r="K103" s="118"/>
      <c r="L103" s="118"/>
      <c r="M103" s="118"/>
      <c r="N103" s="118"/>
      <c r="O103" s="118"/>
      <c r="P103" s="118"/>
      <c r="Q103" s="118"/>
      <c r="R103" s="118"/>
      <c r="S103" s="118"/>
      <c r="T103" s="118"/>
      <c r="U103" s="118"/>
      <c r="V103" s="118"/>
      <c r="W103" s="118"/>
      <c r="X103" s="118"/>
      <c r="Y103" s="118"/>
      <c r="Z103" s="118"/>
      <c r="AA103" s="118"/>
      <c r="AB103" s="118"/>
      <c r="AC103" s="118"/>
      <c r="AD103" s="118"/>
      <c r="AE103" s="118"/>
      <c r="AF103" s="118"/>
      <c r="AG103" s="118"/>
      <c r="AH103" s="118"/>
    </row>
    <row r="104">
      <c r="A104" s="173" t="s">
        <v>8910</v>
      </c>
      <c r="B104" s="173" t="s">
        <v>8911</v>
      </c>
      <c r="C104" s="173" t="s">
        <v>8912</v>
      </c>
      <c r="D104" s="169" t="s">
        <v>8914</v>
      </c>
      <c r="E104" s="173" t="s">
        <v>8916</v>
      </c>
      <c r="F104" s="152"/>
      <c r="G104" s="152"/>
      <c r="H104" s="152"/>
      <c r="I104" s="152"/>
      <c r="J104" s="152"/>
      <c r="K104" s="118"/>
      <c r="L104" s="118"/>
      <c r="M104" s="118"/>
      <c r="N104" s="118"/>
      <c r="O104" s="118"/>
      <c r="P104" s="118"/>
      <c r="Q104" s="118"/>
      <c r="R104" s="118"/>
      <c r="S104" s="118"/>
      <c r="T104" s="118"/>
      <c r="U104" s="118"/>
      <c r="V104" s="118"/>
      <c r="W104" s="118"/>
      <c r="X104" s="118"/>
      <c r="Y104" s="118"/>
      <c r="Z104" s="118"/>
      <c r="AA104" s="118"/>
      <c r="AB104" s="118"/>
      <c r="AC104" s="118"/>
      <c r="AD104" s="118"/>
      <c r="AE104" s="118"/>
      <c r="AF104" s="118"/>
      <c r="AG104" s="118"/>
      <c r="AH104" s="118"/>
    </row>
    <row r="105">
      <c r="A105" s="169" t="s">
        <v>8921</v>
      </c>
      <c r="B105" s="169" t="s">
        <v>8923</v>
      </c>
      <c r="C105" s="173" t="s">
        <v>8924</v>
      </c>
      <c r="D105" s="169" t="s">
        <v>8926</v>
      </c>
      <c r="E105" s="169" t="s">
        <v>8462</v>
      </c>
      <c r="F105" s="152"/>
      <c r="G105" s="152"/>
      <c r="H105" s="152"/>
      <c r="I105" s="152"/>
      <c r="J105" s="152"/>
      <c r="K105" s="118"/>
      <c r="L105" s="118"/>
      <c r="M105" s="118"/>
      <c r="N105" s="118"/>
      <c r="O105" s="118"/>
      <c r="P105" s="118"/>
      <c r="Q105" s="118"/>
      <c r="R105" s="118"/>
      <c r="S105" s="118"/>
      <c r="T105" s="118"/>
      <c r="U105" s="118"/>
      <c r="V105" s="118"/>
      <c r="W105" s="118"/>
      <c r="X105" s="118"/>
      <c r="Y105" s="118"/>
      <c r="Z105" s="118"/>
      <c r="AA105" s="118"/>
      <c r="AB105" s="118"/>
      <c r="AC105" s="118"/>
      <c r="AD105" s="118"/>
      <c r="AE105" s="118"/>
      <c r="AF105" s="118"/>
      <c r="AG105" s="118"/>
      <c r="AH105" s="118"/>
    </row>
    <row r="106">
      <c r="A106" s="169" t="s">
        <v>8931</v>
      </c>
      <c r="B106" s="169" t="s">
        <v>8932</v>
      </c>
      <c r="C106" s="169" t="s">
        <v>8933</v>
      </c>
      <c r="D106" s="169" t="s">
        <v>8934</v>
      </c>
      <c r="E106" s="169" t="s">
        <v>8935</v>
      </c>
      <c r="F106" s="152"/>
      <c r="G106" s="152"/>
      <c r="H106" s="152"/>
      <c r="I106" s="152"/>
      <c r="J106" s="152"/>
      <c r="K106" s="118"/>
      <c r="L106" s="118"/>
      <c r="M106" s="118"/>
      <c r="N106" s="118"/>
      <c r="O106" s="118"/>
      <c r="P106" s="118"/>
      <c r="Q106" s="118"/>
      <c r="R106" s="118"/>
      <c r="S106" s="118"/>
      <c r="T106" s="118"/>
      <c r="U106" s="118"/>
      <c r="V106" s="118"/>
      <c r="W106" s="118"/>
      <c r="X106" s="118"/>
      <c r="Y106" s="118"/>
      <c r="Z106" s="118"/>
      <c r="AA106" s="118"/>
      <c r="AB106" s="118"/>
      <c r="AC106" s="118"/>
      <c r="AD106" s="118"/>
      <c r="AE106" s="118"/>
      <c r="AF106" s="118"/>
      <c r="AG106" s="118"/>
      <c r="AH106" s="118"/>
    </row>
    <row r="107">
      <c r="A107" s="169" t="s">
        <v>8941</v>
      </c>
      <c r="B107" s="169" t="s">
        <v>8942</v>
      </c>
      <c r="C107" s="169" t="s">
        <v>8943</v>
      </c>
      <c r="D107" s="169" t="s">
        <v>8944</v>
      </c>
      <c r="E107" s="169" t="s">
        <v>8945</v>
      </c>
      <c r="F107" s="152"/>
      <c r="G107" s="152"/>
      <c r="H107" s="152"/>
      <c r="I107" s="152"/>
      <c r="J107" s="152"/>
      <c r="K107" s="118"/>
      <c r="L107" s="118"/>
      <c r="M107" s="118"/>
      <c r="N107" s="118"/>
      <c r="O107" s="118"/>
      <c r="P107" s="118"/>
      <c r="Q107" s="118"/>
      <c r="R107" s="118"/>
      <c r="S107" s="118"/>
      <c r="T107" s="118"/>
      <c r="U107" s="118"/>
      <c r="V107" s="118"/>
      <c r="W107" s="118"/>
      <c r="X107" s="118"/>
      <c r="Y107" s="118"/>
      <c r="Z107" s="118"/>
      <c r="AA107" s="118"/>
      <c r="AB107" s="118"/>
      <c r="AC107" s="118"/>
      <c r="AD107" s="118"/>
      <c r="AE107" s="118"/>
      <c r="AF107" s="118"/>
      <c r="AG107" s="118"/>
      <c r="AH107" s="118"/>
    </row>
    <row r="108">
      <c r="A108" s="173" t="s">
        <v>8950</v>
      </c>
      <c r="B108" s="173" t="s">
        <v>8951</v>
      </c>
      <c r="C108" s="173" t="s">
        <v>8952</v>
      </c>
      <c r="D108" s="169" t="s">
        <v>8953</v>
      </c>
      <c r="E108" s="173"/>
      <c r="F108" s="152"/>
      <c r="G108" s="152"/>
      <c r="H108" s="152"/>
      <c r="I108" s="152"/>
      <c r="J108" s="152"/>
      <c r="K108" s="118"/>
      <c r="L108" s="118"/>
      <c r="M108" s="118"/>
      <c r="N108" s="118"/>
      <c r="O108" s="118"/>
      <c r="P108" s="118"/>
      <c r="Q108" s="118"/>
      <c r="R108" s="118"/>
      <c r="S108" s="118"/>
      <c r="T108" s="118"/>
      <c r="U108" s="118"/>
      <c r="V108" s="118"/>
      <c r="W108" s="118"/>
      <c r="X108" s="118"/>
      <c r="Y108" s="118"/>
      <c r="Z108" s="118"/>
      <c r="AA108" s="118"/>
      <c r="AB108" s="118"/>
      <c r="AC108" s="118"/>
      <c r="AD108" s="118"/>
      <c r="AE108" s="118"/>
      <c r="AF108" s="118"/>
      <c r="AG108" s="118"/>
      <c r="AH108" s="118"/>
    </row>
    <row r="109">
      <c r="A109" s="173" t="s">
        <v>8954</v>
      </c>
      <c r="B109" s="173" t="s">
        <v>8955</v>
      </c>
      <c r="C109" s="173" t="s">
        <v>8957</v>
      </c>
      <c r="D109" s="169" t="s">
        <v>8959</v>
      </c>
      <c r="E109" s="173"/>
      <c r="F109" s="152"/>
      <c r="G109" s="152"/>
      <c r="H109" s="152"/>
      <c r="I109" s="152"/>
      <c r="J109" s="152"/>
      <c r="K109" s="118"/>
      <c r="L109" s="118"/>
      <c r="M109" s="118"/>
      <c r="N109" s="118"/>
      <c r="O109" s="118"/>
      <c r="P109" s="118"/>
      <c r="Q109" s="118"/>
      <c r="R109" s="118"/>
      <c r="S109" s="118"/>
      <c r="T109" s="118"/>
      <c r="U109" s="118"/>
      <c r="V109" s="118"/>
      <c r="W109" s="118"/>
      <c r="X109" s="118"/>
      <c r="Y109" s="118"/>
      <c r="Z109" s="118"/>
      <c r="AA109" s="118"/>
      <c r="AB109" s="118"/>
      <c r="AC109" s="118"/>
      <c r="AD109" s="118"/>
      <c r="AE109" s="118"/>
      <c r="AF109" s="118"/>
      <c r="AG109" s="118"/>
      <c r="AH109" s="118"/>
    </row>
    <row r="110">
      <c r="A110" s="173" t="s">
        <v>8966</v>
      </c>
      <c r="B110" s="173" t="s">
        <v>8967</v>
      </c>
      <c r="C110" s="173" t="s">
        <v>8969</v>
      </c>
      <c r="D110" s="169" t="s">
        <v>8971</v>
      </c>
      <c r="E110" s="173"/>
      <c r="F110" s="152"/>
      <c r="G110" s="152"/>
      <c r="H110" s="152"/>
      <c r="I110" s="152"/>
      <c r="J110" s="152"/>
      <c r="K110" s="118"/>
      <c r="L110" s="118"/>
      <c r="M110" s="118"/>
      <c r="N110" s="118"/>
      <c r="O110" s="118"/>
      <c r="P110" s="118"/>
      <c r="Q110" s="118"/>
      <c r="R110" s="118"/>
      <c r="S110" s="118"/>
      <c r="T110" s="118"/>
      <c r="U110" s="118"/>
      <c r="V110" s="118"/>
      <c r="W110" s="118"/>
      <c r="X110" s="118"/>
      <c r="Y110" s="118"/>
      <c r="Z110" s="118"/>
      <c r="AA110" s="118"/>
      <c r="AB110" s="118"/>
      <c r="AC110" s="118"/>
      <c r="AD110" s="118"/>
      <c r="AE110" s="118"/>
      <c r="AF110" s="118"/>
      <c r="AG110" s="118"/>
      <c r="AH110" s="118"/>
    </row>
    <row r="111">
      <c r="A111" s="173" t="s">
        <v>8977</v>
      </c>
      <c r="B111" s="173" t="s">
        <v>8978</v>
      </c>
      <c r="C111" s="173" t="s">
        <v>8979</v>
      </c>
      <c r="D111" s="169" t="s">
        <v>8980</v>
      </c>
      <c r="E111" s="173"/>
      <c r="F111" s="152"/>
      <c r="G111" s="152"/>
      <c r="H111" s="152"/>
      <c r="I111" s="152"/>
      <c r="J111" s="152"/>
      <c r="K111" s="118"/>
      <c r="L111" s="118"/>
      <c r="M111" s="118"/>
      <c r="N111" s="118"/>
      <c r="O111" s="118"/>
      <c r="P111" s="118"/>
      <c r="Q111" s="118"/>
      <c r="R111" s="118"/>
      <c r="S111" s="118"/>
      <c r="T111" s="118"/>
      <c r="U111" s="118"/>
      <c r="V111" s="118"/>
      <c r="W111" s="118"/>
      <c r="X111" s="118"/>
      <c r="Y111" s="118"/>
      <c r="Z111" s="118"/>
      <c r="AA111" s="118"/>
      <c r="AB111" s="118"/>
      <c r="AC111" s="118"/>
      <c r="AD111" s="118"/>
      <c r="AE111" s="118"/>
      <c r="AF111" s="118"/>
      <c r="AG111" s="118"/>
      <c r="AH111" s="118"/>
    </row>
    <row r="112">
      <c r="A112" s="173" t="s">
        <v>8986</v>
      </c>
      <c r="B112" s="173" t="s">
        <v>8987</v>
      </c>
      <c r="C112" s="173" t="s">
        <v>8988</v>
      </c>
      <c r="D112" s="169" t="s">
        <v>8989</v>
      </c>
      <c r="E112" s="173"/>
      <c r="F112" s="152"/>
      <c r="G112" s="152"/>
      <c r="H112" s="152"/>
      <c r="I112" s="152"/>
      <c r="J112" s="152"/>
      <c r="K112" s="118"/>
      <c r="L112" s="118"/>
      <c r="M112" s="118"/>
      <c r="N112" s="118"/>
      <c r="O112" s="118"/>
      <c r="P112" s="118"/>
      <c r="Q112" s="118"/>
      <c r="R112" s="118"/>
      <c r="S112" s="118"/>
      <c r="T112" s="118"/>
      <c r="U112" s="118"/>
      <c r="V112" s="118"/>
      <c r="W112" s="118"/>
      <c r="X112" s="118"/>
      <c r="Y112" s="118"/>
      <c r="Z112" s="118"/>
      <c r="AA112" s="118"/>
      <c r="AB112" s="118"/>
      <c r="AC112" s="118"/>
      <c r="AD112" s="118"/>
      <c r="AE112" s="118"/>
      <c r="AF112" s="118"/>
      <c r="AG112" s="118"/>
      <c r="AH112" s="118"/>
    </row>
    <row r="113">
      <c r="A113" s="169" t="s">
        <v>8995</v>
      </c>
      <c r="B113" s="169" t="s">
        <v>8996</v>
      </c>
      <c r="C113" s="169" t="s">
        <v>8997</v>
      </c>
      <c r="D113" s="169" t="s">
        <v>8998</v>
      </c>
      <c r="E113" s="173"/>
      <c r="F113" s="152"/>
      <c r="G113" s="152"/>
      <c r="H113" s="152"/>
      <c r="I113" s="152"/>
      <c r="J113" s="152"/>
      <c r="K113" s="118"/>
      <c r="L113" s="118"/>
      <c r="M113" s="118"/>
      <c r="N113" s="118"/>
      <c r="O113" s="118"/>
      <c r="P113" s="118"/>
      <c r="Q113" s="118"/>
      <c r="R113" s="118"/>
      <c r="S113" s="118"/>
      <c r="T113" s="118"/>
      <c r="U113" s="118"/>
      <c r="V113" s="118"/>
      <c r="W113" s="118"/>
      <c r="X113" s="118"/>
      <c r="Y113" s="118"/>
      <c r="Z113" s="118"/>
      <c r="AA113" s="118"/>
      <c r="AB113" s="118"/>
      <c r="AC113" s="118"/>
      <c r="AD113" s="118"/>
      <c r="AE113" s="118"/>
      <c r="AF113" s="118"/>
      <c r="AG113" s="118"/>
      <c r="AH113" s="118"/>
    </row>
    <row r="114">
      <c r="A114" s="173" t="s">
        <v>9004</v>
      </c>
      <c r="B114" s="173" t="s">
        <v>9005</v>
      </c>
      <c r="C114" s="173" t="s">
        <v>9006</v>
      </c>
      <c r="D114" s="169" t="s">
        <v>9007</v>
      </c>
      <c r="E114" s="173"/>
      <c r="F114" s="152"/>
      <c r="G114" s="152"/>
      <c r="H114" s="152"/>
      <c r="I114" s="152"/>
      <c r="J114" s="152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  <c r="AA114" s="118"/>
      <c r="AB114" s="118"/>
      <c r="AC114" s="118"/>
      <c r="AD114" s="118"/>
      <c r="AE114" s="118"/>
      <c r="AF114" s="118"/>
      <c r="AG114" s="118"/>
      <c r="AH114" s="118"/>
    </row>
    <row r="115">
      <c r="A115" s="169" t="s">
        <v>9012</v>
      </c>
      <c r="B115" s="169" t="s">
        <v>9013</v>
      </c>
      <c r="C115" s="169" t="s">
        <v>9014</v>
      </c>
      <c r="D115" s="169" t="s">
        <v>9015</v>
      </c>
      <c r="E115" s="173"/>
      <c r="F115" s="152"/>
      <c r="G115" s="152"/>
      <c r="H115" s="152"/>
      <c r="I115" s="152"/>
      <c r="J115" s="152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  <c r="AA115" s="118"/>
      <c r="AB115" s="118"/>
      <c r="AC115" s="118"/>
      <c r="AD115" s="118"/>
      <c r="AE115" s="118"/>
      <c r="AF115" s="118"/>
      <c r="AG115" s="118"/>
      <c r="AH115" s="118"/>
    </row>
    <row r="116">
      <c r="A116" s="173" t="s">
        <v>9020</v>
      </c>
      <c r="B116" s="173" t="s">
        <v>9021</v>
      </c>
      <c r="C116" s="173" t="s">
        <v>9022</v>
      </c>
      <c r="D116" s="169" t="s">
        <v>9023</v>
      </c>
      <c r="E116" s="173"/>
      <c r="F116" s="152"/>
      <c r="G116" s="152"/>
      <c r="H116" s="152"/>
      <c r="I116" s="152"/>
      <c r="J116" s="152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  <c r="AA116" s="118"/>
      <c r="AB116" s="118"/>
      <c r="AC116" s="118"/>
      <c r="AD116" s="118"/>
      <c r="AE116" s="118"/>
      <c r="AF116" s="118"/>
      <c r="AG116" s="118"/>
      <c r="AH116" s="118"/>
    </row>
    <row r="117">
      <c r="A117" s="173" t="s">
        <v>9024</v>
      </c>
      <c r="B117" s="173" t="s">
        <v>9025</v>
      </c>
      <c r="C117" s="173" t="s">
        <v>9026</v>
      </c>
      <c r="D117" s="169" t="s">
        <v>9027</v>
      </c>
      <c r="E117" s="173"/>
      <c r="F117" s="152"/>
      <c r="G117" s="152"/>
      <c r="H117" s="152"/>
      <c r="I117" s="152"/>
      <c r="J117" s="152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  <c r="AA117" s="118"/>
      <c r="AB117" s="118"/>
      <c r="AC117" s="118"/>
      <c r="AD117" s="118"/>
      <c r="AE117" s="118"/>
      <c r="AF117" s="118"/>
      <c r="AG117" s="118"/>
      <c r="AH117" s="118"/>
    </row>
    <row r="118">
      <c r="A118" s="173" t="s">
        <v>9028</v>
      </c>
      <c r="B118" s="173" t="s">
        <v>9029</v>
      </c>
      <c r="C118" s="173" t="s">
        <v>9031</v>
      </c>
      <c r="D118" s="169" t="s">
        <v>9033</v>
      </c>
      <c r="E118" s="173"/>
      <c r="F118" s="152"/>
      <c r="G118" s="152"/>
      <c r="H118" s="152"/>
      <c r="I118" s="152"/>
      <c r="J118" s="152"/>
      <c r="K118" s="118"/>
      <c r="L118" s="118"/>
      <c r="M118" s="118"/>
      <c r="N118" s="118"/>
      <c r="O118" s="118"/>
      <c r="P118" s="118"/>
      <c r="Q118" s="118"/>
      <c r="R118" s="118"/>
      <c r="S118" s="118"/>
      <c r="T118" s="118"/>
      <c r="U118" s="118"/>
      <c r="V118" s="118"/>
      <c r="W118" s="118"/>
      <c r="X118" s="118"/>
      <c r="Y118" s="118"/>
      <c r="Z118" s="118"/>
      <c r="AA118" s="118"/>
      <c r="AB118" s="118"/>
      <c r="AC118" s="118"/>
      <c r="AD118" s="118"/>
      <c r="AE118" s="118"/>
      <c r="AF118" s="118"/>
      <c r="AG118" s="118"/>
      <c r="AH118" s="118"/>
    </row>
    <row r="119">
      <c r="A119" s="173" t="s">
        <v>9037</v>
      </c>
      <c r="B119" s="173" t="s">
        <v>9038</v>
      </c>
      <c r="C119" s="173" t="s">
        <v>8660</v>
      </c>
      <c r="D119" s="169" t="s">
        <v>9041</v>
      </c>
      <c r="E119" s="173"/>
      <c r="F119" s="152"/>
      <c r="G119" s="152"/>
      <c r="H119" s="152"/>
      <c r="I119" s="152"/>
      <c r="J119" s="152"/>
      <c r="K119" s="118"/>
      <c r="L119" s="118"/>
      <c r="M119" s="118"/>
      <c r="N119" s="118"/>
      <c r="O119" s="118"/>
      <c r="P119" s="118"/>
      <c r="Q119" s="118"/>
      <c r="R119" s="118"/>
      <c r="S119" s="118"/>
      <c r="T119" s="118"/>
      <c r="U119" s="118"/>
      <c r="V119" s="118"/>
      <c r="W119" s="118"/>
      <c r="X119" s="118"/>
      <c r="Y119" s="118"/>
      <c r="Z119" s="118"/>
      <c r="AA119" s="118"/>
      <c r="AB119" s="118"/>
      <c r="AC119" s="118"/>
      <c r="AD119" s="118"/>
      <c r="AE119" s="118"/>
      <c r="AF119" s="118"/>
      <c r="AG119" s="118"/>
      <c r="AH119" s="118"/>
    </row>
    <row r="120">
      <c r="A120" s="173" t="s">
        <v>9044</v>
      </c>
      <c r="B120" s="169" t="s">
        <v>9045</v>
      </c>
      <c r="C120" s="173" t="s">
        <v>9046</v>
      </c>
      <c r="D120" s="169" t="s">
        <v>9048</v>
      </c>
      <c r="E120" s="173"/>
      <c r="F120" s="152"/>
      <c r="G120" s="152"/>
      <c r="H120" s="152"/>
      <c r="I120" s="152"/>
      <c r="J120" s="152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  <c r="AA120" s="118"/>
      <c r="AB120" s="118"/>
      <c r="AC120" s="118"/>
      <c r="AD120" s="118"/>
      <c r="AE120" s="118"/>
      <c r="AF120" s="118"/>
      <c r="AG120" s="118"/>
      <c r="AH120" s="118"/>
    </row>
    <row r="121">
      <c r="A121" s="169" t="s">
        <v>9052</v>
      </c>
      <c r="B121" s="169" t="s">
        <v>9053</v>
      </c>
      <c r="C121" s="169" t="s">
        <v>9055</v>
      </c>
      <c r="D121" s="169" t="s">
        <v>9058</v>
      </c>
      <c r="E121" s="169" t="s">
        <v>254</v>
      </c>
      <c r="F121" s="152"/>
      <c r="G121" s="152"/>
      <c r="H121" s="152"/>
      <c r="I121" s="152"/>
      <c r="J121" s="152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8"/>
      <c r="V121" s="118"/>
      <c r="W121" s="118"/>
      <c r="X121" s="118"/>
      <c r="Y121" s="118"/>
      <c r="Z121" s="118"/>
      <c r="AA121" s="118"/>
      <c r="AB121" s="118"/>
      <c r="AC121" s="118"/>
      <c r="AD121" s="118"/>
      <c r="AE121" s="118"/>
      <c r="AF121" s="118"/>
      <c r="AG121" s="118"/>
      <c r="AH121" s="118"/>
    </row>
    <row r="122">
      <c r="A122" s="172" t="s">
        <v>9063</v>
      </c>
      <c r="B122" s="172" t="s">
        <v>9065</v>
      </c>
      <c r="C122" s="172" t="s">
        <v>9067</v>
      </c>
      <c r="D122" s="169" t="s">
        <v>9069</v>
      </c>
      <c r="E122" s="169" t="s">
        <v>308</v>
      </c>
      <c r="F122" s="152"/>
      <c r="G122" s="152"/>
      <c r="H122" s="152"/>
      <c r="I122" s="152"/>
      <c r="J122" s="152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8"/>
      <c r="V122" s="118"/>
      <c r="W122" s="118"/>
      <c r="X122" s="118"/>
      <c r="Y122" s="118"/>
      <c r="Z122" s="118"/>
      <c r="AA122" s="118"/>
      <c r="AB122" s="118"/>
      <c r="AC122" s="118"/>
      <c r="AD122" s="118"/>
      <c r="AE122" s="118"/>
      <c r="AF122" s="118"/>
      <c r="AG122" s="118"/>
      <c r="AH122" s="118"/>
    </row>
    <row r="123">
      <c r="A123" s="169" t="s">
        <v>9074</v>
      </c>
      <c r="B123" s="169" t="s">
        <v>9075</v>
      </c>
      <c r="C123" s="169" t="s">
        <v>9076</v>
      </c>
      <c r="D123" s="169" t="s">
        <v>9077</v>
      </c>
      <c r="E123" s="169" t="s">
        <v>1350</v>
      </c>
      <c r="F123" s="152"/>
      <c r="G123" s="152"/>
      <c r="H123" s="152"/>
      <c r="I123" s="152"/>
      <c r="J123" s="152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8"/>
      <c r="V123" s="118"/>
      <c r="W123" s="118"/>
      <c r="X123" s="118"/>
      <c r="Y123" s="118"/>
      <c r="Z123" s="118"/>
      <c r="AA123" s="118"/>
      <c r="AB123" s="118"/>
      <c r="AC123" s="118"/>
      <c r="AD123" s="118"/>
      <c r="AE123" s="118"/>
      <c r="AF123" s="118"/>
      <c r="AG123" s="118"/>
      <c r="AH123" s="118"/>
    </row>
    <row r="124">
      <c r="A124" s="172" t="s">
        <v>9082</v>
      </c>
      <c r="B124" s="172" t="s">
        <v>9083</v>
      </c>
      <c r="C124" s="172" t="s">
        <v>9084</v>
      </c>
      <c r="D124" s="169" t="s">
        <v>9085</v>
      </c>
      <c r="E124" s="169" t="s">
        <v>9086</v>
      </c>
      <c r="F124" s="152"/>
      <c r="G124" s="152"/>
      <c r="H124" s="152"/>
      <c r="I124" s="152"/>
      <c r="J124" s="152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8"/>
      <c r="V124" s="118"/>
      <c r="W124" s="118"/>
      <c r="X124" s="118"/>
      <c r="Y124" s="118"/>
      <c r="Z124" s="118"/>
      <c r="AA124" s="118"/>
      <c r="AB124" s="118"/>
      <c r="AC124" s="118"/>
      <c r="AD124" s="118"/>
      <c r="AE124" s="118"/>
      <c r="AF124" s="118"/>
      <c r="AG124" s="118"/>
      <c r="AH124" s="118"/>
    </row>
    <row r="125">
      <c r="A125" s="172" t="s">
        <v>9091</v>
      </c>
      <c r="B125" s="172" t="s">
        <v>9092</v>
      </c>
      <c r="C125" s="172" t="s">
        <v>9093</v>
      </c>
      <c r="D125" s="169" t="s">
        <v>9094</v>
      </c>
      <c r="E125" s="169" t="s">
        <v>9095</v>
      </c>
      <c r="F125" s="152"/>
      <c r="G125" s="152"/>
      <c r="H125" s="152"/>
      <c r="I125" s="152"/>
      <c r="J125" s="152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  <c r="AA125" s="118"/>
      <c r="AB125" s="118"/>
      <c r="AC125" s="118"/>
      <c r="AD125" s="118"/>
      <c r="AE125" s="118"/>
      <c r="AF125" s="118"/>
      <c r="AG125" s="118"/>
      <c r="AH125" s="118"/>
    </row>
    <row r="126">
      <c r="A126" s="169" t="s">
        <v>9101</v>
      </c>
      <c r="B126" s="169" t="s">
        <v>9102</v>
      </c>
      <c r="C126" s="169" t="s">
        <v>9103</v>
      </c>
      <c r="D126" s="169" t="s">
        <v>9104</v>
      </c>
      <c r="E126" s="169" t="s">
        <v>9105</v>
      </c>
      <c r="F126" s="152"/>
      <c r="G126" s="152"/>
      <c r="H126" s="152"/>
      <c r="I126" s="152"/>
      <c r="J126" s="152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  <c r="AA126" s="118"/>
      <c r="AB126" s="118"/>
      <c r="AC126" s="118"/>
      <c r="AD126" s="118"/>
      <c r="AE126" s="118"/>
      <c r="AF126" s="118"/>
      <c r="AG126" s="118"/>
      <c r="AH126" s="118"/>
    </row>
    <row r="127">
      <c r="A127" s="177" t="s">
        <v>9111</v>
      </c>
      <c r="B127" s="177" t="s">
        <v>9116</v>
      </c>
      <c r="C127" s="177" t="s">
        <v>9117</v>
      </c>
      <c r="D127" s="177" t="s">
        <v>9118</v>
      </c>
      <c r="E127" s="178"/>
      <c r="F127" s="179"/>
      <c r="G127" s="179"/>
      <c r="H127" s="179"/>
      <c r="I127" s="179"/>
      <c r="J127" s="179"/>
      <c r="K127" s="179"/>
      <c r="L127" s="179"/>
      <c r="M127" s="179"/>
      <c r="N127" s="179"/>
      <c r="O127" s="179"/>
      <c r="P127" s="179"/>
      <c r="Q127" s="179"/>
      <c r="R127" s="179"/>
      <c r="S127" s="179"/>
      <c r="T127" s="179"/>
      <c r="U127" s="179"/>
      <c r="V127" s="179"/>
      <c r="W127" s="179"/>
      <c r="X127" s="179"/>
      <c r="Y127" s="179"/>
      <c r="Z127" s="179"/>
      <c r="AA127" s="179"/>
      <c r="AB127" s="179"/>
      <c r="AC127" s="179"/>
      <c r="AD127" s="179"/>
      <c r="AE127" s="179"/>
      <c r="AF127" s="179"/>
      <c r="AG127" s="179"/>
      <c r="AH127" s="179"/>
    </row>
    <row r="128">
      <c r="A128" s="177" t="s">
        <v>9124</v>
      </c>
      <c r="B128" s="177" t="s">
        <v>9125</v>
      </c>
      <c r="C128" s="177" t="s">
        <v>9126</v>
      </c>
      <c r="D128" s="177" t="s">
        <v>9127</v>
      </c>
      <c r="E128" s="178"/>
      <c r="F128" s="179"/>
      <c r="G128" s="179"/>
      <c r="H128" s="179"/>
      <c r="I128" s="179"/>
      <c r="J128" s="179"/>
      <c r="K128" s="179"/>
      <c r="L128" s="179"/>
      <c r="M128" s="179"/>
      <c r="N128" s="179"/>
      <c r="O128" s="179"/>
      <c r="P128" s="179"/>
      <c r="Q128" s="179"/>
      <c r="R128" s="179"/>
      <c r="S128" s="179"/>
      <c r="T128" s="179"/>
      <c r="U128" s="179"/>
      <c r="V128" s="179"/>
      <c r="W128" s="179"/>
      <c r="X128" s="179"/>
      <c r="Y128" s="179"/>
      <c r="Z128" s="179"/>
      <c r="AA128" s="179"/>
      <c r="AB128" s="179"/>
      <c r="AC128" s="179"/>
      <c r="AD128" s="179"/>
      <c r="AE128" s="179"/>
      <c r="AF128" s="179"/>
      <c r="AG128" s="179"/>
      <c r="AH128" s="179"/>
    </row>
    <row r="129">
      <c r="A129" s="177" t="s">
        <v>9131</v>
      </c>
      <c r="B129" s="177" t="s">
        <v>9131</v>
      </c>
      <c r="C129" s="177" t="s">
        <v>9133</v>
      </c>
      <c r="D129" s="177" t="s">
        <v>9134</v>
      </c>
      <c r="E129" s="178"/>
      <c r="F129" s="179"/>
      <c r="G129" s="179"/>
      <c r="H129" s="179"/>
      <c r="I129" s="179"/>
      <c r="J129" s="179"/>
      <c r="K129" s="179"/>
      <c r="L129" s="179"/>
      <c r="M129" s="179"/>
      <c r="N129" s="179"/>
      <c r="O129" s="179"/>
      <c r="P129" s="179"/>
      <c r="Q129" s="179"/>
      <c r="R129" s="179"/>
      <c r="S129" s="179"/>
      <c r="T129" s="179"/>
      <c r="U129" s="179"/>
      <c r="V129" s="179"/>
      <c r="W129" s="179"/>
      <c r="X129" s="179"/>
      <c r="Y129" s="179"/>
      <c r="Z129" s="179"/>
      <c r="AA129" s="179"/>
      <c r="AB129" s="179"/>
      <c r="AC129" s="179"/>
      <c r="AD129" s="179"/>
      <c r="AE129" s="179"/>
      <c r="AF129" s="179"/>
      <c r="AG129" s="179"/>
      <c r="AH129" s="179"/>
    </row>
    <row r="130">
      <c r="A130" s="177" t="s">
        <v>9135</v>
      </c>
      <c r="B130" s="180" t="s">
        <v>9136</v>
      </c>
      <c r="C130" s="177" t="s">
        <v>9140</v>
      </c>
      <c r="D130" s="177" t="s">
        <v>9141</v>
      </c>
      <c r="E130" s="178"/>
      <c r="F130" s="179"/>
      <c r="G130" s="179"/>
      <c r="H130" s="179"/>
      <c r="I130" s="179"/>
      <c r="J130" s="179"/>
      <c r="K130" s="179"/>
      <c r="L130" s="179"/>
      <c r="M130" s="179"/>
      <c r="N130" s="179"/>
      <c r="O130" s="179"/>
      <c r="P130" s="179"/>
      <c r="Q130" s="179"/>
      <c r="R130" s="179"/>
      <c r="S130" s="179"/>
      <c r="T130" s="179"/>
      <c r="U130" s="179"/>
      <c r="V130" s="179"/>
      <c r="W130" s="179"/>
      <c r="X130" s="179"/>
      <c r="Y130" s="179"/>
      <c r="Z130" s="179"/>
      <c r="AA130" s="179"/>
      <c r="AB130" s="179"/>
      <c r="AC130" s="179"/>
      <c r="AD130" s="179"/>
      <c r="AE130" s="179"/>
      <c r="AF130" s="179"/>
      <c r="AG130" s="179"/>
      <c r="AH130" s="179"/>
    </row>
    <row r="131">
      <c r="A131" s="177" t="s">
        <v>9143</v>
      </c>
      <c r="B131" s="180" t="s">
        <v>9143</v>
      </c>
      <c r="C131" s="177" t="s">
        <v>9144</v>
      </c>
      <c r="D131" s="177" t="s">
        <v>9145</v>
      </c>
      <c r="E131" s="178"/>
      <c r="F131" s="179"/>
      <c r="G131" s="179"/>
      <c r="H131" s="179"/>
      <c r="I131" s="179"/>
      <c r="J131" s="179"/>
      <c r="K131" s="179"/>
      <c r="L131" s="179"/>
      <c r="M131" s="179"/>
      <c r="N131" s="179"/>
      <c r="O131" s="179"/>
      <c r="P131" s="179"/>
      <c r="Q131" s="179"/>
      <c r="R131" s="179"/>
      <c r="S131" s="179"/>
      <c r="T131" s="179"/>
      <c r="U131" s="179"/>
      <c r="V131" s="179"/>
      <c r="W131" s="179"/>
      <c r="X131" s="179"/>
      <c r="Y131" s="179"/>
      <c r="Z131" s="179"/>
      <c r="AA131" s="179"/>
      <c r="AB131" s="179"/>
      <c r="AC131" s="179"/>
      <c r="AD131" s="179"/>
      <c r="AE131" s="179"/>
      <c r="AF131" s="179"/>
      <c r="AG131" s="179"/>
      <c r="AH131" s="179"/>
    </row>
    <row r="132">
      <c r="A132" s="180" t="s">
        <v>9151</v>
      </c>
      <c r="B132" s="180" t="s">
        <v>9151</v>
      </c>
      <c r="C132" s="177" t="s">
        <v>9152</v>
      </c>
      <c r="D132" s="177" t="s">
        <v>9153</v>
      </c>
      <c r="E132" s="178"/>
      <c r="F132" s="179"/>
      <c r="G132" s="179"/>
      <c r="H132" s="179"/>
      <c r="I132" s="179"/>
      <c r="J132" s="179"/>
      <c r="K132" s="179"/>
      <c r="L132" s="179"/>
      <c r="M132" s="179"/>
      <c r="N132" s="179"/>
      <c r="O132" s="179"/>
      <c r="P132" s="179"/>
      <c r="Q132" s="179"/>
      <c r="R132" s="179"/>
      <c r="S132" s="179"/>
      <c r="T132" s="179"/>
      <c r="U132" s="179"/>
      <c r="V132" s="179"/>
      <c r="W132" s="179"/>
      <c r="X132" s="179"/>
      <c r="Y132" s="179"/>
      <c r="Z132" s="179"/>
      <c r="AA132" s="179"/>
      <c r="AB132" s="179"/>
      <c r="AC132" s="179"/>
      <c r="AD132" s="179"/>
      <c r="AE132" s="179"/>
      <c r="AF132" s="179"/>
      <c r="AG132" s="179"/>
      <c r="AH132" s="179"/>
    </row>
    <row r="133">
      <c r="A133" s="180" t="s">
        <v>9158</v>
      </c>
      <c r="B133" s="180" t="s">
        <v>9158</v>
      </c>
      <c r="C133" s="177" t="s">
        <v>9159</v>
      </c>
      <c r="D133" s="177" t="s">
        <v>9160</v>
      </c>
      <c r="E133" s="178"/>
      <c r="F133" s="179"/>
      <c r="G133" s="179"/>
      <c r="H133" s="179"/>
      <c r="I133" s="179"/>
      <c r="J133" s="179"/>
      <c r="K133" s="179"/>
      <c r="L133" s="179"/>
      <c r="M133" s="179"/>
      <c r="N133" s="179"/>
      <c r="O133" s="179"/>
      <c r="P133" s="179"/>
      <c r="Q133" s="179"/>
      <c r="R133" s="179"/>
      <c r="S133" s="179"/>
      <c r="T133" s="179"/>
      <c r="U133" s="179"/>
      <c r="V133" s="179"/>
      <c r="W133" s="179"/>
      <c r="X133" s="179"/>
      <c r="Y133" s="179"/>
      <c r="Z133" s="179"/>
      <c r="AA133" s="179"/>
      <c r="AB133" s="179"/>
      <c r="AC133" s="179"/>
      <c r="AD133" s="179"/>
      <c r="AE133" s="179"/>
      <c r="AF133" s="179"/>
      <c r="AG133" s="179"/>
      <c r="AH133" s="179"/>
    </row>
    <row r="134">
      <c r="A134" s="93" t="s">
        <v>9165</v>
      </c>
      <c r="B134" s="38" t="s">
        <v>9165</v>
      </c>
      <c r="C134" s="93" t="s">
        <v>9166</v>
      </c>
      <c r="D134" s="38" t="s">
        <v>9167</v>
      </c>
      <c r="E134" s="118"/>
      <c r="F134" s="152"/>
      <c r="G134" s="152"/>
      <c r="H134" s="152"/>
      <c r="I134" s="152"/>
      <c r="J134" s="152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  <c r="AA134" s="118"/>
      <c r="AB134" s="118"/>
      <c r="AC134" s="118"/>
      <c r="AD134" s="118"/>
      <c r="AE134" s="118"/>
      <c r="AF134" s="118"/>
      <c r="AG134" s="118"/>
      <c r="AH134" s="118"/>
    </row>
    <row r="135">
      <c r="A135" s="118"/>
      <c r="B135" s="52"/>
      <c r="C135" s="118"/>
      <c r="D135" s="52"/>
      <c r="E135" s="118"/>
      <c r="F135" s="152"/>
      <c r="G135" s="152"/>
      <c r="H135" s="152"/>
      <c r="I135" s="152"/>
      <c r="J135" s="152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  <c r="AA135" s="118"/>
      <c r="AB135" s="118"/>
      <c r="AC135" s="118"/>
      <c r="AD135" s="118"/>
      <c r="AE135" s="118"/>
      <c r="AF135" s="118"/>
      <c r="AG135" s="118"/>
      <c r="AH135" s="118"/>
    </row>
    <row r="136">
      <c r="A136" s="118"/>
      <c r="B136" s="52"/>
      <c r="C136" s="118"/>
      <c r="D136" s="52"/>
      <c r="E136" s="118"/>
      <c r="F136" s="152"/>
      <c r="G136" s="152"/>
      <c r="H136" s="152"/>
      <c r="I136" s="152"/>
      <c r="J136" s="152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  <c r="AA136" s="118"/>
      <c r="AB136" s="118"/>
      <c r="AC136" s="118"/>
      <c r="AD136" s="118"/>
      <c r="AE136" s="118"/>
      <c r="AF136" s="118"/>
      <c r="AG136" s="118"/>
      <c r="AH136" s="118"/>
    </row>
    <row r="137">
      <c r="A137" s="118"/>
      <c r="B137" s="52"/>
      <c r="C137" s="118"/>
      <c r="D137" s="52"/>
      <c r="E137" s="118"/>
      <c r="F137" s="152"/>
      <c r="G137" s="152"/>
      <c r="H137" s="152"/>
      <c r="I137" s="152"/>
      <c r="J137" s="152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  <c r="AA137" s="118"/>
      <c r="AB137" s="118"/>
      <c r="AC137" s="118"/>
      <c r="AD137" s="118"/>
      <c r="AE137" s="118"/>
      <c r="AF137" s="118"/>
      <c r="AG137" s="118"/>
      <c r="AH137" s="118"/>
    </row>
    <row r="138">
      <c r="A138" s="118"/>
      <c r="B138" s="52"/>
      <c r="C138" s="118"/>
      <c r="D138" s="52"/>
      <c r="E138" s="118"/>
      <c r="F138" s="152"/>
      <c r="G138" s="152"/>
      <c r="H138" s="152"/>
      <c r="I138" s="152"/>
      <c r="J138" s="152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  <c r="AA138" s="118"/>
      <c r="AB138" s="118"/>
      <c r="AC138" s="118"/>
      <c r="AD138" s="118"/>
      <c r="AE138" s="118"/>
      <c r="AF138" s="118"/>
      <c r="AG138" s="118"/>
      <c r="AH138" s="118"/>
    </row>
    <row r="139">
      <c r="A139" s="118"/>
      <c r="B139" s="52"/>
      <c r="C139" s="118"/>
      <c r="D139" s="52"/>
      <c r="E139" s="118"/>
      <c r="F139" s="152"/>
      <c r="G139" s="152"/>
      <c r="H139" s="152"/>
      <c r="I139" s="152"/>
      <c r="J139" s="152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  <c r="AA139" s="118"/>
      <c r="AB139" s="118"/>
      <c r="AC139" s="118"/>
      <c r="AD139" s="118"/>
      <c r="AE139" s="118"/>
      <c r="AF139" s="118"/>
      <c r="AG139" s="118"/>
      <c r="AH139" s="118"/>
    </row>
    <row r="140">
      <c r="A140" s="118"/>
      <c r="B140" s="52"/>
      <c r="C140" s="118"/>
      <c r="D140" s="52"/>
      <c r="E140" s="118"/>
      <c r="F140" s="152"/>
      <c r="G140" s="152"/>
      <c r="H140" s="152"/>
      <c r="I140" s="152"/>
      <c r="J140" s="152"/>
      <c r="K140" s="118"/>
      <c r="L140" s="118"/>
      <c r="M140" s="118"/>
      <c r="N140" s="118"/>
      <c r="O140" s="118"/>
      <c r="P140" s="118"/>
      <c r="Q140" s="118"/>
      <c r="R140" s="118"/>
      <c r="S140" s="118"/>
      <c r="T140" s="118"/>
      <c r="U140" s="118"/>
      <c r="V140" s="118"/>
      <c r="W140" s="118"/>
      <c r="X140" s="118"/>
      <c r="Y140" s="118"/>
      <c r="Z140" s="118"/>
      <c r="AA140" s="118"/>
      <c r="AB140" s="118"/>
      <c r="AC140" s="118"/>
      <c r="AD140" s="118"/>
      <c r="AE140" s="118"/>
      <c r="AF140" s="118"/>
      <c r="AG140" s="118"/>
      <c r="AH140" s="118"/>
    </row>
    <row r="141">
      <c r="A141" s="118"/>
      <c r="B141" s="52"/>
      <c r="C141" s="118"/>
      <c r="D141" s="52"/>
      <c r="E141" s="118"/>
      <c r="F141" s="152"/>
      <c r="G141" s="152"/>
      <c r="H141" s="152"/>
      <c r="I141" s="152"/>
      <c r="J141" s="152"/>
      <c r="K141" s="118"/>
      <c r="L141" s="118"/>
      <c r="M141" s="118"/>
      <c r="N141" s="118"/>
      <c r="O141" s="118"/>
      <c r="P141" s="118"/>
      <c r="Q141" s="118"/>
      <c r="R141" s="118"/>
      <c r="S141" s="118"/>
      <c r="T141" s="118"/>
      <c r="U141" s="118"/>
      <c r="V141" s="118"/>
      <c r="W141" s="118"/>
      <c r="X141" s="118"/>
      <c r="Y141" s="118"/>
      <c r="Z141" s="118"/>
      <c r="AA141" s="118"/>
      <c r="AB141" s="118"/>
      <c r="AC141" s="118"/>
      <c r="AD141" s="118"/>
      <c r="AE141" s="118"/>
      <c r="AF141" s="118"/>
      <c r="AG141" s="118"/>
      <c r="AH141" s="118"/>
    </row>
    <row r="142">
      <c r="A142" s="118"/>
      <c r="B142" s="52"/>
      <c r="C142" s="118"/>
      <c r="D142" s="52"/>
      <c r="E142" s="118"/>
      <c r="F142" s="152"/>
      <c r="G142" s="152"/>
      <c r="H142" s="152"/>
      <c r="I142" s="152"/>
      <c r="J142" s="152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  <c r="AA142" s="118"/>
      <c r="AB142" s="118"/>
      <c r="AC142" s="118"/>
      <c r="AD142" s="118"/>
      <c r="AE142" s="118"/>
      <c r="AF142" s="118"/>
      <c r="AG142" s="118"/>
      <c r="AH142" s="118"/>
    </row>
    <row r="143">
      <c r="A143" s="118"/>
      <c r="B143" s="52"/>
      <c r="C143" s="118"/>
      <c r="D143" s="52"/>
      <c r="E143" s="118"/>
      <c r="F143" s="152"/>
      <c r="G143" s="152"/>
      <c r="H143" s="152"/>
      <c r="I143" s="152"/>
      <c r="J143" s="152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  <c r="AA143" s="118"/>
      <c r="AB143" s="118"/>
      <c r="AC143" s="118"/>
      <c r="AD143" s="118"/>
      <c r="AE143" s="118"/>
      <c r="AF143" s="118"/>
      <c r="AG143" s="118"/>
      <c r="AH143" s="118"/>
    </row>
    <row r="144">
      <c r="A144" s="118"/>
      <c r="B144" s="52"/>
      <c r="C144" s="118"/>
      <c r="D144" s="52"/>
      <c r="E144" s="118"/>
      <c r="F144" s="152"/>
      <c r="G144" s="152"/>
      <c r="H144" s="152"/>
      <c r="I144" s="152"/>
      <c r="J144" s="152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  <c r="AA144" s="118"/>
      <c r="AB144" s="118"/>
      <c r="AC144" s="118"/>
      <c r="AD144" s="118"/>
      <c r="AE144" s="118"/>
      <c r="AF144" s="118"/>
      <c r="AG144" s="118"/>
      <c r="AH144" s="118"/>
    </row>
    <row r="145">
      <c r="A145" s="118"/>
      <c r="B145" s="52"/>
      <c r="C145" s="118"/>
      <c r="D145" s="52"/>
      <c r="E145" s="118"/>
      <c r="F145" s="152"/>
      <c r="G145" s="152"/>
      <c r="H145" s="152"/>
      <c r="I145" s="152"/>
      <c r="J145" s="152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  <c r="AA145" s="118"/>
      <c r="AB145" s="118"/>
      <c r="AC145" s="118"/>
      <c r="AD145" s="118"/>
      <c r="AE145" s="118"/>
      <c r="AF145" s="118"/>
      <c r="AG145" s="118"/>
      <c r="AH145" s="118"/>
    </row>
    <row r="146">
      <c r="A146" s="118"/>
      <c r="B146" s="52"/>
      <c r="C146" s="118"/>
      <c r="D146" s="52"/>
      <c r="E146" s="118"/>
      <c r="F146" s="152"/>
      <c r="G146" s="152"/>
      <c r="H146" s="152"/>
      <c r="I146" s="152"/>
      <c r="J146" s="152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  <c r="AA146" s="118"/>
      <c r="AB146" s="118"/>
      <c r="AC146" s="118"/>
      <c r="AD146" s="118"/>
      <c r="AE146" s="118"/>
      <c r="AF146" s="118"/>
      <c r="AG146" s="118"/>
      <c r="AH146" s="118"/>
    </row>
    <row r="147">
      <c r="A147" s="118"/>
      <c r="B147" s="52"/>
      <c r="C147" s="118"/>
      <c r="D147" s="52"/>
      <c r="E147" s="118"/>
      <c r="F147" s="152"/>
      <c r="G147" s="152"/>
      <c r="H147" s="152"/>
      <c r="I147" s="152"/>
      <c r="J147" s="152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  <c r="AA147" s="118"/>
      <c r="AB147" s="118"/>
      <c r="AC147" s="118"/>
      <c r="AD147" s="118"/>
      <c r="AE147" s="118"/>
      <c r="AF147" s="118"/>
      <c r="AG147" s="118"/>
      <c r="AH147" s="118"/>
    </row>
    <row r="148">
      <c r="A148" s="118"/>
      <c r="B148" s="52"/>
      <c r="C148" s="118"/>
      <c r="D148" s="52"/>
      <c r="E148" s="118"/>
      <c r="F148" s="152"/>
      <c r="G148" s="152"/>
      <c r="H148" s="152"/>
      <c r="I148" s="152"/>
      <c r="J148" s="152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  <c r="AA148" s="118"/>
      <c r="AB148" s="118"/>
      <c r="AC148" s="118"/>
      <c r="AD148" s="118"/>
      <c r="AE148" s="118"/>
      <c r="AF148" s="118"/>
      <c r="AG148" s="118"/>
      <c r="AH148" s="118"/>
    </row>
    <row r="149">
      <c r="A149" s="118"/>
      <c r="B149" s="52"/>
      <c r="C149" s="118"/>
      <c r="D149" s="52"/>
      <c r="E149" s="118"/>
      <c r="F149" s="152"/>
      <c r="G149" s="152"/>
      <c r="H149" s="152"/>
      <c r="I149" s="152"/>
      <c r="J149" s="152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  <c r="AA149" s="118"/>
      <c r="AB149" s="118"/>
      <c r="AC149" s="118"/>
      <c r="AD149" s="118"/>
      <c r="AE149" s="118"/>
      <c r="AF149" s="118"/>
      <c r="AG149" s="118"/>
      <c r="AH149" s="118"/>
    </row>
    <row r="150">
      <c r="A150" s="118"/>
      <c r="B150" s="52"/>
      <c r="C150" s="118"/>
      <c r="D150" s="52"/>
      <c r="E150" s="118"/>
      <c r="F150" s="152"/>
      <c r="G150" s="152"/>
      <c r="H150" s="152"/>
      <c r="I150" s="152"/>
      <c r="J150" s="152"/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  <c r="AA150" s="118"/>
      <c r="AB150" s="118"/>
      <c r="AC150" s="118"/>
      <c r="AD150" s="118"/>
      <c r="AE150" s="118"/>
      <c r="AF150" s="118"/>
      <c r="AG150" s="118"/>
      <c r="AH150" s="118"/>
    </row>
    <row r="151">
      <c r="A151" s="118"/>
      <c r="B151" s="52"/>
      <c r="C151" s="118"/>
      <c r="D151" s="52"/>
      <c r="E151" s="118"/>
      <c r="F151" s="152"/>
      <c r="G151" s="152"/>
      <c r="H151" s="152"/>
      <c r="I151" s="152"/>
      <c r="J151" s="152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  <c r="AA151" s="118"/>
      <c r="AB151" s="118"/>
      <c r="AC151" s="118"/>
      <c r="AD151" s="118"/>
      <c r="AE151" s="118"/>
      <c r="AF151" s="118"/>
      <c r="AG151" s="118"/>
      <c r="AH151" s="118"/>
    </row>
    <row r="152">
      <c r="A152" s="118"/>
      <c r="B152" s="52"/>
      <c r="C152" s="118"/>
      <c r="D152" s="52"/>
      <c r="E152" s="118"/>
      <c r="F152" s="152"/>
      <c r="G152" s="152"/>
      <c r="H152" s="152"/>
      <c r="I152" s="152"/>
      <c r="J152" s="152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  <c r="AA152" s="118"/>
      <c r="AB152" s="118"/>
      <c r="AC152" s="118"/>
      <c r="AD152" s="118"/>
      <c r="AE152" s="118"/>
      <c r="AF152" s="118"/>
      <c r="AG152" s="118"/>
      <c r="AH152" s="118"/>
    </row>
    <row r="153">
      <c r="A153" s="118"/>
      <c r="B153" s="52"/>
      <c r="C153" s="118"/>
      <c r="D153" s="52"/>
      <c r="E153" s="118"/>
      <c r="F153" s="152"/>
      <c r="G153" s="152"/>
      <c r="H153" s="152"/>
      <c r="I153" s="152"/>
      <c r="J153" s="152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8"/>
      <c r="V153" s="118"/>
      <c r="W153" s="118"/>
      <c r="X153" s="118"/>
      <c r="Y153" s="118"/>
      <c r="Z153" s="118"/>
      <c r="AA153" s="118"/>
      <c r="AB153" s="118"/>
      <c r="AC153" s="118"/>
      <c r="AD153" s="118"/>
      <c r="AE153" s="118"/>
      <c r="AF153" s="118"/>
      <c r="AG153" s="118"/>
      <c r="AH153" s="118"/>
    </row>
    <row r="154">
      <c r="A154" s="118"/>
      <c r="B154" s="52"/>
      <c r="C154" s="118"/>
      <c r="D154" s="52"/>
      <c r="E154" s="118"/>
      <c r="F154" s="152"/>
      <c r="G154" s="152"/>
      <c r="H154" s="152"/>
      <c r="I154" s="152"/>
      <c r="J154" s="152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8"/>
      <c r="V154" s="118"/>
      <c r="W154" s="118"/>
      <c r="X154" s="118"/>
      <c r="Y154" s="118"/>
      <c r="Z154" s="118"/>
      <c r="AA154" s="118"/>
      <c r="AB154" s="118"/>
      <c r="AC154" s="118"/>
      <c r="AD154" s="118"/>
      <c r="AE154" s="118"/>
      <c r="AF154" s="118"/>
      <c r="AG154" s="118"/>
      <c r="AH154" s="118"/>
    </row>
    <row r="155">
      <c r="A155" s="118"/>
      <c r="B155" s="52"/>
      <c r="C155" s="118"/>
      <c r="D155" s="52"/>
      <c r="E155" s="118"/>
      <c r="F155" s="152"/>
      <c r="G155" s="152"/>
      <c r="H155" s="152"/>
      <c r="I155" s="152"/>
      <c r="J155" s="152"/>
      <c r="K155" s="118"/>
      <c r="L155" s="118"/>
      <c r="M155" s="118"/>
      <c r="N155" s="118"/>
      <c r="O155" s="118"/>
      <c r="P155" s="118"/>
      <c r="Q155" s="118"/>
      <c r="R155" s="118"/>
      <c r="S155" s="118"/>
      <c r="T155" s="118"/>
      <c r="U155" s="118"/>
      <c r="V155" s="118"/>
      <c r="W155" s="118"/>
      <c r="X155" s="118"/>
      <c r="Y155" s="118"/>
      <c r="Z155" s="118"/>
      <c r="AA155" s="118"/>
      <c r="AB155" s="118"/>
      <c r="AC155" s="118"/>
      <c r="AD155" s="118"/>
      <c r="AE155" s="118"/>
      <c r="AF155" s="118"/>
      <c r="AG155" s="118"/>
      <c r="AH155" s="118"/>
    </row>
    <row r="156">
      <c r="A156" s="118"/>
      <c r="B156" s="52"/>
      <c r="C156" s="118"/>
      <c r="D156" s="52"/>
      <c r="E156" s="118"/>
      <c r="F156" s="152"/>
      <c r="G156" s="152"/>
      <c r="H156" s="152"/>
      <c r="I156" s="152"/>
      <c r="J156" s="152"/>
      <c r="K156" s="118"/>
      <c r="L156" s="118"/>
      <c r="M156" s="118"/>
      <c r="N156" s="118"/>
      <c r="O156" s="118"/>
      <c r="P156" s="118"/>
      <c r="Q156" s="118"/>
      <c r="R156" s="118"/>
      <c r="S156" s="118"/>
      <c r="T156" s="118"/>
      <c r="U156" s="118"/>
      <c r="V156" s="118"/>
      <c r="W156" s="118"/>
      <c r="X156" s="118"/>
      <c r="Y156" s="118"/>
      <c r="Z156" s="118"/>
      <c r="AA156" s="118"/>
      <c r="AB156" s="118"/>
      <c r="AC156" s="118"/>
      <c r="AD156" s="118"/>
      <c r="AE156" s="118"/>
      <c r="AF156" s="118"/>
      <c r="AG156" s="118"/>
      <c r="AH156" s="118"/>
    </row>
    <row r="157">
      <c r="A157" s="118"/>
      <c r="B157" s="52"/>
      <c r="C157" s="118"/>
      <c r="D157" s="52"/>
      <c r="E157" s="118"/>
      <c r="F157" s="152"/>
      <c r="G157" s="152"/>
      <c r="H157" s="152"/>
      <c r="I157" s="152"/>
      <c r="J157" s="152"/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8"/>
      <c r="V157" s="118"/>
      <c r="W157" s="118"/>
      <c r="X157" s="118"/>
      <c r="Y157" s="118"/>
      <c r="Z157" s="118"/>
      <c r="AA157" s="118"/>
      <c r="AB157" s="118"/>
      <c r="AC157" s="118"/>
      <c r="AD157" s="118"/>
      <c r="AE157" s="118"/>
      <c r="AF157" s="118"/>
      <c r="AG157" s="118"/>
      <c r="AH157" s="118"/>
    </row>
    <row r="158">
      <c r="A158" s="118"/>
      <c r="B158" s="52"/>
      <c r="C158" s="118"/>
      <c r="D158" s="52"/>
      <c r="E158" s="118"/>
      <c r="F158" s="152"/>
      <c r="G158" s="152"/>
      <c r="H158" s="152"/>
      <c r="I158" s="152"/>
      <c r="J158" s="152"/>
      <c r="K158" s="118"/>
      <c r="L158" s="118"/>
      <c r="M158" s="118"/>
      <c r="N158" s="118"/>
      <c r="O158" s="118"/>
      <c r="P158" s="118"/>
      <c r="Q158" s="118"/>
      <c r="R158" s="118"/>
      <c r="S158" s="118"/>
      <c r="T158" s="118"/>
      <c r="U158" s="118"/>
      <c r="V158" s="118"/>
      <c r="W158" s="118"/>
      <c r="X158" s="118"/>
      <c r="Y158" s="118"/>
      <c r="Z158" s="118"/>
      <c r="AA158" s="118"/>
      <c r="AB158" s="118"/>
      <c r="AC158" s="118"/>
      <c r="AD158" s="118"/>
      <c r="AE158" s="118"/>
      <c r="AF158" s="118"/>
      <c r="AG158" s="118"/>
      <c r="AH158" s="118"/>
    </row>
    <row r="159">
      <c r="A159" s="118"/>
      <c r="B159" s="52"/>
      <c r="C159" s="118"/>
      <c r="D159" s="52"/>
      <c r="E159" s="118"/>
      <c r="F159" s="152"/>
      <c r="G159" s="152"/>
      <c r="H159" s="152"/>
      <c r="I159" s="152"/>
      <c r="J159" s="152"/>
      <c r="K159" s="118"/>
      <c r="L159" s="118"/>
      <c r="M159" s="118"/>
      <c r="N159" s="118"/>
      <c r="O159" s="118"/>
      <c r="P159" s="118"/>
      <c r="Q159" s="118"/>
      <c r="R159" s="118"/>
      <c r="S159" s="118"/>
      <c r="T159" s="118"/>
      <c r="U159" s="118"/>
      <c r="V159" s="118"/>
      <c r="W159" s="118"/>
      <c r="X159" s="118"/>
      <c r="Y159" s="118"/>
      <c r="Z159" s="118"/>
      <c r="AA159" s="118"/>
      <c r="AB159" s="118"/>
      <c r="AC159" s="118"/>
      <c r="AD159" s="118"/>
      <c r="AE159" s="118"/>
      <c r="AF159" s="118"/>
      <c r="AG159" s="118"/>
      <c r="AH159" s="118"/>
    </row>
    <row r="160">
      <c r="A160" s="118"/>
      <c r="B160" s="52"/>
      <c r="C160" s="118"/>
      <c r="D160" s="52"/>
      <c r="E160" s="118"/>
      <c r="F160" s="152"/>
      <c r="G160" s="152"/>
      <c r="H160" s="152"/>
      <c r="I160" s="152"/>
      <c r="J160" s="152"/>
      <c r="K160" s="118"/>
      <c r="L160" s="118"/>
      <c r="M160" s="118"/>
      <c r="N160" s="118"/>
      <c r="O160" s="118"/>
      <c r="P160" s="118"/>
      <c r="Q160" s="118"/>
      <c r="R160" s="118"/>
      <c r="S160" s="118"/>
      <c r="T160" s="118"/>
      <c r="U160" s="118"/>
      <c r="V160" s="118"/>
      <c r="W160" s="118"/>
      <c r="X160" s="118"/>
      <c r="Y160" s="118"/>
      <c r="Z160" s="118"/>
      <c r="AA160" s="118"/>
      <c r="AB160" s="118"/>
      <c r="AC160" s="118"/>
      <c r="AD160" s="118"/>
      <c r="AE160" s="118"/>
      <c r="AF160" s="118"/>
      <c r="AG160" s="118"/>
      <c r="AH160" s="118"/>
    </row>
    <row r="161">
      <c r="A161" s="118"/>
      <c r="B161" s="52"/>
      <c r="C161" s="118"/>
      <c r="D161" s="52"/>
      <c r="E161" s="118"/>
      <c r="F161" s="152"/>
      <c r="G161" s="152"/>
      <c r="H161" s="152"/>
      <c r="I161" s="152"/>
      <c r="J161" s="152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  <c r="AA161" s="118"/>
      <c r="AB161" s="118"/>
      <c r="AC161" s="118"/>
      <c r="AD161" s="118"/>
      <c r="AE161" s="118"/>
      <c r="AF161" s="118"/>
      <c r="AG161" s="118"/>
      <c r="AH161" s="118"/>
    </row>
    <row r="162">
      <c r="A162" s="118"/>
      <c r="B162" s="52"/>
      <c r="C162" s="118"/>
      <c r="D162" s="52"/>
      <c r="E162" s="118"/>
      <c r="F162" s="152"/>
      <c r="G162" s="152"/>
      <c r="H162" s="152"/>
      <c r="I162" s="152"/>
      <c r="J162" s="152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  <c r="AA162" s="118"/>
      <c r="AB162" s="118"/>
      <c r="AC162" s="118"/>
      <c r="AD162" s="118"/>
      <c r="AE162" s="118"/>
      <c r="AF162" s="118"/>
      <c r="AG162" s="118"/>
      <c r="AH162" s="118"/>
    </row>
    <row r="163">
      <c r="A163" s="118"/>
      <c r="B163" s="52"/>
      <c r="C163" s="118"/>
      <c r="D163" s="52"/>
      <c r="E163" s="118"/>
      <c r="F163" s="152"/>
      <c r="G163" s="152"/>
      <c r="H163" s="152"/>
      <c r="I163" s="152"/>
      <c r="J163" s="152"/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8"/>
      <c r="V163" s="118"/>
      <c r="W163" s="118"/>
      <c r="X163" s="118"/>
      <c r="Y163" s="118"/>
      <c r="Z163" s="118"/>
      <c r="AA163" s="118"/>
      <c r="AB163" s="118"/>
      <c r="AC163" s="118"/>
      <c r="AD163" s="118"/>
      <c r="AE163" s="118"/>
      <c r="AF163" s="118"/>
      <c r="AG163" s="118"/>
      <c r="AH163" s="118"/>
    </row>
    <row r="164">
      <c r="A164" s="118"/>
      <c r="B164" s="52"/>
      <c r="C164" s="118"/>
      <c r="D164" s="52"/>
      <c r="E164" s="118"/>
      <c r="F164" s="152"/>
      <c r="G164" s="152"/>
      <c r="H164" s="152"/>
      <c r="I164" s="152"/>
      <c r="J164" s="152"/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8"/>
      <c r="V164" s="118"/>
      <c r="W164" s="118"/>
      <c r="X164" s="118"/>
      <c r="Y164" s="118"/>
      <c r="Z164" s="118"/>
      <c r="AA164" s="118"/>
      <c r="AB164" s="118"/>
      <c r="AC164" s="118"/>
      <c r="AD164" s="118"/>
      <c r="AE164" s="118"/>
      <c r="AF164" s="118"/>
      <c r="AG164" s="118"/>
      <c r="AH164" s="118"/>
    </row>
    <row r="165">
      <c r="A165" s="118"/>
      <c r="B165" s="52"/>
      <c r="C165" s="118"/>
      <c r="D165" s="52"/>
      <c r="E165" s="118"/>
      <c r="F165" s="152"/>
      <c r="G165" s="152"/>
      <c r="H165" s="152"/>
      <c r="I165" s="152"/>
      <c r="J165" s="152"/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  <c r="AA165" s="118"/>
      <c r="AB165" s="118"/>
      <c r="AC165" s="118"/>
      <c r="AD165" s="118"/>
      <c r="AE165" s="118"/>
      <c r="AF165" s="118"/>
      <c r="AG165" s="118"/>
      <c r="AH165" s="118"/>
    </row>
    <row r="166">
      <c r="A166" s="118"/>
      <c r="B166" s="52"/>
      <c r="C166" s="118"/>
      <c r="D166" s="52"/>
      <c r="E166" s="118"/>
      <c r="F166" s="152"/>
      <c r="G166" s="152"/>
      <c r="H166" s="152"/>
      <c r="I166" s="152"/>
      <c r="J166" s="152"/>
      <c r="K166" s="118"/>
      <c r="L166" s="118"/>
      <c r="M166" s="118"/>
      <c r="N166" s="118"/>
      <c r="O166" s="118"/>
      <c r="P166" s="118"/>
      <c r="Q166" s="118"/>
      <c r="R166" s="118"/>
      <c r="S166" s="118"/>
      <c r="T166" s="118"/>
      <c r="U166" s="118"/>
      <c r="V166" s="118"/>
      <c r="W166" s="118"/>
      <c r="X166" s="118"/>
      <c r="Y166" s="118"/>
      <c r="Z166" s="118"/>
      <c r="AA166" s="118"/>
      <c r="AB166" s="118"/>
      <c r="AC166" s="118"/>
      <c r="AD166" s="118"/>
      <c r="AE166" s="118"/>
      <c r="AF166" s="118"/>
      <c r="AG166" s="118"/>
      <c r="AH166" s="118"/>
    </row>
    <row r="167">
      <c r="A167" s="118"/>
      <c r="B167" s="52"/>
      <c r="C167" s="118"/>
      <c r="D167" s="52"/>
      <c r="E167" s="118"/>
      <c r="F167" s="152"/>
      <c r="G167" s="152"/>
      <c r="H167" s="152"/>
      <c r="I167" s="152"/>
      <c r="J167" s="152"/>
      <c r="K167" s="118"/>
      <c r="L167" s="118"/>
      <c r="M167" s="118"/>
      <c r="N167" s="118"/>
      <c r="O167" s="118"/>
      <c r="P167" s="118"/>
      <c r="Q167" s="118"/>
      <c r="R167" s="118"/>
      <c r="S167" s="118"/>
      <c r="T167" s="118"/>
      <c r="U167" s="118"/>
      <c r="V167" s="118"/>
      <c r="W167" s="118"/>
      <c r="X167" s="118"/>
      <c r="Y167" s="118"/>
      <c r="Z167" s="118"/>
      <c r="AA167" s="118"/>
      <c r="AB167" s="118"/>
      <c r="AC167" s="118"/>
      <c r="AD167" s="118"/>
      <c r="AE167" s="118"/>
      <c r="AF167" s="118"/>
      <c r="AG167" s="118"/>
      <c r="AH167" s="118"/>
    </row>
    <row r="168">
      <c r="A168" s="118"/>
      <c r="B168" s="52"/>
      <c r="C168" s="118"/>
      <c r="D168" s="52"/>
      <c r="E168" s="118"/>
      <c r="F168" s="152"/>
      <c r="G168" s="152"/>
      <c r="H168" s="152"/>
      <c r="I168" s="152"/>
      <c r="J168" s="152"/>
      <c r="K168" s="118"/>
      <c r="L168" s="118"/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  <c r="AA168" s="118"/>
      <c r="AB168" s="118"/>
      <c r="AC168" s="118"/>
      <c r="AD168" s="118"/>
      <c r="AE168" s="118"/>
      <c r="AF168" s="118"/>
      <c r="AG168" s="118"/>
      <c r="AH168" s="118"/>
    </row>
    <row r="169">
      <c r="A169" s="118"/>
      <c r="B169" s="52"/>
      <c r="C169" s="118"/>
      <c r="D169" s="52"/>
      <c r="E169" s="118"/>
      <c r="F169" s="152"/>
      <c r="G169" s="152"/>
      <c r="H169" s="152"/>
      <c r="I169" s="152"/>
      <c r="J169" s="152"/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  <c r="AA169" s="118"/>
      <c r="AB169" s="118"/>
      <c r="AC169" s="118"/>
      <c r="AD169" s="118"/>
      <c r="AE169" s="118"/>
      <c r="AF169" s="118"/>
      <c r="AG169" s="118"/>
      <c r="AH169" s="118"/>
    </row>
    <row r="170">
      <c r="A170" s="118"/>
      <c r="B170" s="52"/>
      <c r="C170" s="118"/>
      <c r="D170" s="52"/>
      <c r="E170" s="118"/>
      <c r="F170" s="152"/>
      <c r="G170" s="152"/>
      <c r="H170" s="152"/>
      <c r="I170" s="152"/>
      <c r="J170" s="152"/>
      <c r="K170" s="118"/>
      <c r="L170" s="118"/>
      <c r="M170" s="118"/>
      <c r="N170" s="118"/>
      <c r="O170" s="118"/>
      <c r="P170" s="118"/>
      <c r="Q170" s="118"/>
      <c r="R170" s="118"/>
      <c r="S170" s="118"/>
      <c r="T170" s="118"/>
      <c r="U170" s="118"/>
      <c r="V170" s="118"/>
      <c r="W170" s="118"/>
      <c r="X170" s="118"/>
      <c r="Y170" s="118"/>
      <c r="Z170" s="118"/>
      <c r="AA170" s="118"/>
      <c r="AB170" s="118"/>
      <c r="AC170" s="118"/>
      <c r="AD170" s="118"/>
      <c r="AE170" s="118"/>
      <c r="AF170" s="118"/>
      <c r="AG170" s="118"/>
      <c r="AH170" s="118"/>
    </row>
    <row r="171">
      <c r="A171" s="118"/>
      <c r="B171" s="52"/>
      <c r="C171" s="118"/>
      <c r="D171" s="52"/>
      <c r="E171" s="118"/>
      <c r="F171" s="152"/>
      <c r="G171" s="152"/>
      <c r="H171" s="152"/>
      <c r="I171" s="152"/>
      <c r="J171" s="152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  <c r="AA171" s="118"/>
      <c r="AB171" s="118"/>
      <c r="AC171" s="118"/>
      <c r="AD171" s="118"/>
      <c r="AE171" s="118"/>
      <c r="AF171" s="118"/>
      <c r="AG171" s="118"/>
      <c r="AH171" s="118"/>
    </row>
    <row r="172">
      <c r="A172" s="118"/>
      <c r="B172" s="52"/>
      <c r="C172" s="118"/>
      <c r="D172" s="52"/>
      <c r="E172" s="118"/>
      <c r="F172" s="152"/>
      <c r="G172" s="152"/>
      <c r="H172" s="152"/>
      <c r="I172" s="152"/>
      <c r="J172" s="152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  <c r="AA172" s="118"/>
      <c r="AB172" s="118"/>
      <c r="AC172" s="118"/>
      <c r="AD172" s="118"/>
      <c r="AE172" s="118"/>
      <c r="AF172" s="118"/>
      <c r="AG172" s="118"/>
      <c r="AH172" s="118"/>
    </row>
    <row r="173">
      <c r="A173" s="118"/>
      <c r="B173" s="52"/>
      <c r="C173" s="118"/>
      <c r="D173" s="52"/>
      <c r="E173" s="118"/>
      <c r="F173" s="152"/>
      <c r="G173" s="152"/>
      <c r="H173" s="152"/>
      <c r="I173" s="152"/>
      <c r="J173" s="152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  <c r="AA173" s="118"/>
      <c r="AB173" s="118"/>
      <c r="AC173" s="118"/>
      <c r="AD173" s="118"/>
      <c r="AE173" s="118"/>
      <c r="AF173" s="118"/>
      <c r="AG173" s="118"/>
      <c r="AH173" s="118"/>
    </row>
    <row r="174">
      <c r="A174" s="118"/>
      <c r="B174" s="52"/>
      <c r="C174" s="118"/>
      <c r="D174" s="52"/>
      <c r="E174" s="118"/>
      <c r="F174" s="152"/>
      <c r="G174" s="152"/>
      <c r="H174" s="152"/>
      <c r="I174" s="152"/>
      <c r="J174" s="152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  <c r="AA174" s="118"/>
      <c r="AB174" s="118"/>
      <c r="AC174" s="118"/>
      <c r="AD174" s="118"/>
      <c r="AE174" s="118"/>
      <c r="AF174" s="118"/>
      <c r="AG174" s="118"/>
      <c r="AH174" s="118"/>
    </row>
    <row r="175">
      <c r="A175" s="118"/>
      <c r="B175" s="52"/>
      <c r="C175" s="118"/>
      <c r="D175" s="52"/>
      <c r="E175" s="118"/>
      <c r="F175" s="152"/>
      <c r="G175" s="152"/>
      <c r="H175" s="152"/>
      <c r="I175" s="152"/>
      <c r="J175" s="152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  <c r="AA175" s="118"/>
      <c r="AB175" s="118"/>
      <c r="AC175" s="118"/>
      <c r="AD175" s="118"/>
      <c r="AE175" s="118"/>
      <c r="AF175" s="118"/>
      <c r="AG175" s="118"/>
      <c r="AH175" s="118"/>
    </row>
    <row r="176">
      <c r="A176" s="118"/>
      <c r="B176" s="52"/>
      <c r="C176" s="118"/>
      <c r="D176" s="52"/>
      <c r="E176" s="118"/>
      <c r="F176" s="152"/>
      <c r="G176" s="152"/>
      <c r="H176" s="152"/>
      <c r="I176" s="152"/>
      <c r="J176" s="152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  <c r="AA176" s="118"/>
      <c r="AB176" s="118"/>
      <c r="AC176" s="118"/>
      <c r="AD176" s="118"/>
      <c r="AE176" s="118"/>
      <c r="AF176" s="118"/>
      <c r="AG176" s="118"/>
      <c r="AH176" s="118"/>
    </row>
    <row r="177">
      <c r="A177" s="118"/>
      <c r="B177" s="52"/>
      <c r="C177" s="118"/>
      <c r="D177" s="52"/>
      <c r="E177" s="118"/>
      <c r="F177" s="152"/>
      <c r="G177" s="152"/>
      <c r="H177" s="152"/>
      <c r="I177" s="152"/>
      <c r="J177" s="152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  <c r="AA177" s="118"/>
      <c r="AB177" s="118"/>
      <c r="AC177" s="118"/>
      <c r="AD177" s="118"/>
      <c r="AE177" s="118"/>
      <c r="AF177" s="118"/>
      <c r="AG177" s="118"/>
      <c r="AH177" s="118"/>
    </row>
    <row r="178">
      <c r="A178" s="118"/>
      <c r="B178" s="52"/>
      <c r="C178" s="118"/>
      <c r="D178" s="52"/>
      <c r="E178" s="118"/>
      <c r="F178" s="152"/>
      <c r="G178" s="152"/>
      <c r="H178" s="152"/>
      <c r="I178" s="152"/>
      <c r="J178" s="152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  <c r="AA178" s="118"/>
      <c r="AB178" s="118"/>
      <c r="AC178" s="118"/>
      <c r="AD178" s="118"/>
      <c r="AE178" s="118"/>
      <c r="AF178" s="118"/>
      <c r="AG178" s="118"/>
      <c r="AH178" s="118"/>
    </row>
    <row r="179">
      <c r="A179" s="118"/>
      <c r="B179" s="52"/>
      <c r="C179" s="118"/>
      <c r="D179" s="52"/>
      <c r="E179" s="118"/>
      <c r="F179" s="152"/>
      <c r="G179" s="152"/>
      <c r="H179" s="152"/>
      <c r="I179" s="152"/>
      <c r="J179" s="152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  <c r="AA179" s="118"/>
      <c r="AB179" s="118"/>
      <c r="AC179" s="118"/>
      <c r="AD179" s="118"/>
      <c r="AE179" s="118"/>
      <c r="AF179" s="118"/>
      <c r="AG179" s="118"/>
      <c r="AH179" s="118"/>
    </row>
    <row r="180">
      <c r="A180" s="118"/>
      <c r="B180" s="52"/>
      <c r="C180" s="118"/>
      <c r="D180" s="52"/>
      <c r="E180" s="118"/>
      <c r="F180" s="152"/>
      <c r="G180" s="152"/>
      <c r="H180" s="152"/>
      <c r="I180" s="152"/>
      <c r="J180" s="152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  <c r="AA180" s="118"/>
      <c r="AB180" s="118"/>
      <c r="AC180" s="118"/>
      <c r="AD180" s="118"/>
      <c r="AE180" s="118"/>
      <c r="AF180" s="118"/>
      <c r="AG180" s="118"/>
      <c r="AH180" s="118"/>
    </row>
    <row r="181">
      <c r="A181" s="118"/>
      <c r="B181" s="52"/>
      <c r="C181" s="118"/>
      <c r="D181" s="52"/>
      <c r="E181" s="118"/>
      <c r="F181" s="152"/>
      <c r="G181" s="152"/>
      <c r="H181" s="152"/>
      <c r="I181" s="152"/>
      <c r="J181" s="152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  <c r="AA181" s="118"/>
      <c r="AB181" s="118"/>
      <c r="AC181" s="118"/>
      <c r="AD181" s="118"/>
      <c r="AE181" s="118"/>
      <c r="AF181" s="118"/>
      <c r="AG181" s="118"/>
      <c r="AH181" s="118"/>
    </row>
    <row r="182">
      <c r="A182" s="118"/>
      <c r="B182" s="52"/>
      <c r="C182" s="118"/>
      <c r="D182" s="52"/>
      <c r="E182" s="118"/>
      <c r="F182" s="152"/>
      <c r="G182" s="152"/>
      <c r="H182" s="152"/>
      <c r="I182" s="152"/>
      <c r="J182" s="152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  <c r="AA182" s="118"/>
      <c r="AB182" s="118"/>
      <c r="AC182" s="118"/>
      <c r="AD182" s="118"/>
      <c r="AE182" s="118"/>
      <c r="AF182" s="118"/>
      <c r="AG182" s="118"/>
      <c r="AH182" s="118"/>
    </row>
    <row r="183">
      <c r="A183" s="118"/>
      <c r="B183" s="52"/>
      <c r="C183" s="118"/>
      <c r="D183" s="52"/>
      <c r="E183" s="118"/>
      <c r="F183" s="152"/>
      <c r="G183" s="152"/>
      <c r="H183" s="152"/>
      <c r="I183" s="152"/>
      <c r="J183" s="152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  <c r="AA183" s="118"/>
      <c r="AB183" s="118"/>
      <c r="AC183" s="118"/>
      <c r="AD183" s="118"/>
      <c r="AE183" s="118"/>
      <c r="AF183" s="118"/>
      <c r="AG183" s="118"/>
      <c r="AH183" s="118"/>
    </row>
    <row r="184">
      <c r="A184" s="118"/>
      <c r="B184" s="52"/>
      <c r="C184" s="118"/>
      <c r="D184" s="52"/>
      <c r="E184" s="118"/>
      <c r="F184" s="152"/>
      <c r="G184" s="152"/>
      <c r="H184" s="152"/>
      <c r="I184" s="152"/>
      <c r="J184" s="152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  <c r="AA184" s="118"/>
      <c r="AB184" s="118"/>
      <c r="AC184" s="118"/>
      <c r="AD184" s="118"/>
      <c r="AE184" s="118"/>
      <c r="AF184" s="118"/>
      <c r="AG184" s="118"/>
      <c r="AH184" s="118"/>
    </row>
    <row r="185">
      <c r="A185" s="118"/>
      <c r="B185" s="52"/>
      <c r="C185" s="118"/>
      <c r="D185" s="52"/>
      <c r="E185" s="118"/>
      <c r="F185" s="152"/>
      <c r="G185" s="152"/>
      <c r="H185" s="152"/>
      <c r="I185" s="152"/>
      <c r="J185" s="152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  <c r="AA185" s="118"/>
      <c r="AB185" s="118"/>
      <c r="AC185" s="118"/>
      <c r="AD185" s="118"/>
      <c r="AE185" s="118"/>
      <c r="AF185" s="118"/>
      <c r="AG185" s="118"/>
      <c r="AH185" s="118"/>
    </row>
    <row r="186">
      <c r="A186" s="118"/>
      <c r="B186" s="52"/>
      <c r="C186" s="118"/>
      <c r="D186" s="52"/>
      <c r="E186" s="118"/>
      <c r="F186" s="152"/>
      <c r="G186" s="152"/>
      <c r="H186" s="152"/>
      <c r="I186" s="152"/>
      <c r="J186" s="152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  <c r="AA186" s="118"/>
      <c r="AB186" s="118"/>
      <c r="AC186" s="118"/>
      <c r="AD186" s="118"/>
      <c r="AE186" s="118"/>
      <c r="AF186" s="118"/>
      <c r="AG186" s="118"/>
      <c r="AH186" s="118"/>
    </row>
    <row r="187">
      <c r="A187" s="118"/>
      <c r="B187" s="52"/>
      <c r="C187" s="118"/>
      <c r="D187" s="52"/>
      <c r="E187" s="118"/>
      <c r="F187" s="152"/>
      <c r="G187" s="152"/>
      <c r="H187" s="152"/>
      <c r="I187" s="152"/>
      <c r="J187" s="152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  <c r="AA187" s="118"/>
      <c r="AB187" s="118"/>
      <c r="AC187" s="118"/>
      <c r="AD187" s="118"/>
      <c r="AE187" s="118"/>
      <c r="AF187" s="118"/>
      <c r="AG187" s="118"/>
      <c r="AH187" s="118"/>
    </row>
    <row r="188">
      <c r="A188" s="118"/>
      <c r="B188" s="52"/>
      <c r="C188" s="118"/>
      <c r="D188" s="52"/>
      <c r="E188" s="118"/>
      <c r="F188" s="152"/>
      <c r="G188" s="152"/>
      <c r="H188" s="152"/>
      <c r="I188" s="152"/>
      <c r="J188" s="152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  <c r="AA188" s="118"/>
      <c r="AB188" s="118"/>
      <c r="AC188" s="118"/>
      <c r="AD188" s="118"/>
      <c r="AE188" s="118"/>
      <c r="AF188" s="118"/>
      <c r="AG188" s="118"/>
      <c r="AH188" s="118"/>
    </row>
    <row r="189">
      <c r="A189" s="118"/>
      <c r="B189" s="52"/>
      <c r="C189" s="118"/>
      <c r="D189" s="52"/>
      <c r="E189" s="118"/>
      <c r="F189" s="152"/>
      <c r="G189" s="152"/>
      <c r="H189" s="152"/>
      <c r="I189" s="152"/>
      <c r="J189" s="152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  <c r="AA189" s="118"/>
      <c r="AB189" s="118"/>
      <c r="AC189" s="118"/>
      <c r="AD189" s="118"/>
      <c r="AE189" s="118"/>
      <c r="AF189" s="118"/>
      <c r="AG189" s="118"/>
      <c r="AH189" s="118"/>
    </row>
    <row r="190">
      <c r="A190" s="118"/>
      <c r="B190" s="52"/>
      <c r="C190" s="118"/>
      <c r="D190" s="52"/>
      <c r="E190" s="118"/>
      <c r="F190" s="152"/>
      <c r="G190" s="152"/>
      <c r="H190" s="152"/>
      <c r="I190" s="152"/>
      <c r="J190" s="152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  <c r="AA190" s="118"/>
      <c r="AB190" s="118"/>
      <c r="AC190" s="118"/>
      <c r="AD190" s="118"/>
      <c r="AE190" s="118"/>
      <c r="AF190" s="118"/>
      <c r="AG190" s="118"/>
      <c r="AH190" s="118"/>
    </row>
    <row r="191">
      <c r="A191" s="118"/>
      <c r="B191" s="52"/>
      <c r="C191" s="118"/>
      <c r="D191" s="52"/>
      <c r="E191" s="118"/>
      <c r="F191" s="152"/>
      <c r="G191" s="152"/>
      <c r="H191" s="152"/>
      <c r="I191" s="152"/>
      <c r="J191" s="152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  <c r="AA191" s="118"/>
      <c r="AB191" s="118"/>
      <c r="AC191" s="118"/>
      <c r="AD191" s="118"/>
      <c r="AE191" s="118"/>
      <c r="AF191" s="118"/>
      <c r="AG191" s="118"/>
      <c r="AH191" s="118"/>
    </row>
    <row r="192">
      <c r="A192" s="118"/>
      <c r="B192" s="52"/>
      <c r="C192" s="118"/>
      <c r="D192" s="52"/>
      <c r="E192" s="118"/>
      <c r="F192" s="152"/>
      <c r="G192" s="152"/>
      <c r="H192" s="152"/>
      <c r="I192" s="152"/>
      <c r="J192" s="152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  <c r="AA192" s="118"/>
      <c r="AB192" s="118"/>
      <c r="AC192" s="118"/>
      <c r="AD192" s="118"/>
      <c r="AE192" s="118"/>
      <c r="AF192" s="118"/>
      <c r="AG192" s="118"/>
      <c r="AH192" s="118"/>
    </row>
    <row r="193">
      <c r="A193" s="118"/>
      <c r="B193" s="52"/>
      <c r="C193" s="118"/>
      <c r="D193" s="52"/>
      <c r="E193" s="118"/>
      <c r="F193" s="152"/>
      <c r="G193" s="152"/>
      <c r="H193" s="152"/>
      <c r="I193" s="152"/>
      <c r="J193" s="152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  <c r="AA193" s="118"/>
      <c r="AB193" s="118"/>
      <c r="AC193" s="118"/>
      <c r="AD193" s="118"/>
      <c r="AE193" s="118"/>
      <c r="AF193" s="118"/>
      <c r="AG193" s="118"/>
      <c r="AH193" s="118"/>
    </row>
    <row r="194">
      <c r="A194" s="118"/>
      <c r="B194" s="52"/>
      <c r="C194" s="118"/>
      <c r="D194" s="52"/>
      <c r="E194" s="118"/>
      <c r="F194" s="152"/>
      <c r="G194" s="152"/>
      <c r="H194" s="152"/>
      <c r="I194" s="152"/>
      <c r="J194" s="152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  <c r="AA194" s="118"/>
      <c r="AB194" s="118"/>
      <c r="AC194" s="118"/>
      <c r="AD194" s="118"/>
      <c r="AE194" s="118"/>
      <c r="AF194" s="118"/>
      <c r="AG194" s="118"/>
      <c r="AH194" s="118"/>
    </row>
    <row r="195">
      <c r="A195" s="118"/>
      <c r="B195" s="52"/>
      <c r="C195" s="118"/>
      <c r="D195" s="52"/>
      <c r="E195" s="118"/>
      <c r="F195" s="152"/>
      <c r="G195" s="152"/>
      <c r="H195" s="152"/>
      <c r="I195" s="152"/>
      <c r="J195" s="152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  <c r="AA195" s="118"/>
      <c r="AB195" s="118"/>
      <c r="AC195" s="118"/>
      <c r="AD195" s="118"/>
      <c r="AE195" s="118"/>
      <c r="AF195" s="118"/>
      <c r="AG195" s="118"/>
      <c r="AH195" s="118"/>
    </row>
    <row r="196">
      <c r="A196" s="118"/>
      <c r="B196" s="52"/>
      <c r="C196" s="118"/>
      <c r="D196" s="52"/>
      <c r="E196" s="118"/>
      <c r="F196" s="152"/>
      <c r="G196" s="152"/>
      <c r="H196" s="152"/>
      <c r="I196" s="152"/>
      <c r="J196" s="152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  <c r="AA196" s="118"/>
      <c r="AB196" s="118"/>
      <c r="AC196" s="118"/>
      <c r="AD196" s="118"/>
      <c r="AE196" s="118"/>
      <c r="AF196" s="118"/>
      <c r="AG196" s="118"/>
      <c r="AH196" s="118"/>
    </row>
    <row r="197">
      <c r="A197" s="118"/>
      <c r="B197" s="52"/>
      <c r="C197" s="118"/>
      <c r="D197" s="52"/>
      <c r="E197" s="118"/>
      <c r="F197" s="152"/>
      <c r="G197" s="152"/>
      <c r="H197" s="152"/>
      <c r="I197" s="152"/>
      <c r="J197" s="152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  <c r="AA197" s="118"/>
      <c r="AB197" s="118"/>
      <c r="AC197" s="118"/>
      <c r="AD197" s="118"/>
      <c r="AE197" s="118"/>
      <c r="AF197" s="118"/>
      <c r="AG197" s="118"/>
      <c r="AH197" s="118"/>
    </row>
    <row r="198">
      <c r="A198" s="118"/>
      <c r="B198" s="52"/>
      <c r="C198" s="118"/>
      <c r="D198" s="52"/>
      <c r="E198" s="118"/>
      <c r="F198" s="152"/>
      <c r="G198" s="152"/>
      <c r="H198" s="152"/>
      <c r="I198" s="152"/>
      <c r="J198" s="152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  <c r="AA198" s="118"/>
      <c r="AB198" s="118"/>
      <c r="AC198" s="118"/>
      <c r="AD198" s="118"/>
      <c r="AE198" s="118"/>
      <c r="AF198" s="118"/>
      <c r="AG198" s="118"/>
      <c r="AH198" s="118"/>
    </row>
    <row r="199">
      <c r="A199" s="118"/>
      <c r="B199" s="52"/>
      <c r="C199" s="118"/>
      <c r="D199" s="52"/>
      <c r="E199" s="118"/>
      <c r="F199" s="152"/>
      <c r="G199" s="152"/>
      <c r="H199" s="152"/>
      <c r="I199" s="152"/>
      <c r="J199" s="152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  <c r="AA199" s="118"/>
      <c r="AB199" s="118"/>
      <c r="AC199" s="118"/>
      <c r="AD199" s="118"/>
      <c r="AE199" s="118"/>
      <c r="AF199" s="118"/>
      <c r="AG199" s="118"/>
      <c r="AH199" s="118"/>
    </row>
    <row r="200">
      <c r="A200" s="118"/>
      <c r="B200" s="52"/>
      <c r="C200" s="118"/>
      <c r="D200" s="52"/>
      <c r="E200" s="118"/>
      <c r="F200" s="152"/>
      <c r="G200" s="152"/>
      <c r="H200" s="152"/>
      <c r="I200" s="152"/>
      <c r="J200" s="152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  <c r="AA200" s="118"/>
      <c r="AB200" s="118"/>
      <c r="AC200" s="118"/>
      <c r="AD200" s="118"/>
      <c r="AE200" s="118"/>
      <c r="AF200" s="118"/>
      <c r="AG200" s="118"/>
      <c r="AH200" s="118"/>
    </row>
    <row r="201">
      <c r="A201" s="118"/>
      <c r="B201" s="52"/>
      <c r="C201" s="118"/>
      <c r="D201" s="52"/>
      <c r="E201" s="118"/>
      <c r="F201" s="152"/>
      <c r="G201" s="152"/>
      <c r="H201" s="152"/>
      <c r="I201" s="152"/>
      <c r="J201" s="152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  <c r="AA201" s="118"/>
      <c r="AB201" s="118"/>
      <c r="AC201" s="118"/>
      <c r="AD201" s="118"/>
      <c r="AE201" s="118"/>
      <c r="AF201" s="118"/>
      <c r="AG201" s="118"/>
      <c r="AH201" s="118"/>
    </row>
    <row r="202">
      <c r="A202" s="118"/>
      <c r="B202" s="52"/>
      <c r="C202" s="118"/>
      <c r="D202" s="52"/>
      <c r="E202" s="118"/>
      <c r="F202" s="152"/>
      <c r="G202" s="152"/>
      <c r="H202" s="152"/>
      <c r="I202" s="152"/>
      <c r="J202" s="152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  <c r="AA202" s="118"/>
      <c r="AB202" s="118"/>
      <c r="AC202" s="118"/>
      <c r="AD202" s="118"/>
      <c r="AE202" s="118"/>
      <c r="AF202" s="118"/>
      <c r="AG202" s="118"/>
      <c r="AH202" s="118"/>
    </row>
    <row r="203">
      <c r="A203" s="118"/>
      <c r="B203" s="52"/>
      <c r="C203" s="118"/>
      <c r="D203" s="52"/>
      <c r="E203" s="118"/>
      <c r="F203" s="152"/>
      <c r="G203" s="152"/>
      <c r="H203" s="152"/>
      <c r="I203" s="152"/>
      <c r="J203" s="152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  <c r="AA203" s="118"/>
      <c r="AB203" s="118"/>
      <c r="AC203" s="118"/>
      <c r="AD203" s="118"/>
      <c r="AE203" s="118"/>
      <c r="AF203" s="118"/>
      <c r="AG203" s="118"/>
      <c r="AH203" s="118"/>
    </row>
    <row r="204">
      <c r="A204" s="118"/>
      <c r="B204" s="52"/>
      <c r="C204" s="118"/>
      <c r="D204" s="52"/>
      <c r="E204" s="118"/>
      <c r="F204" s="152"/>
      <c r="G204" s="152"/>
      <c r="H204" s="152"/>
      <c r="I204" s="152"/>
      <c r="J204" s="152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  <c r="AA204" s="118"/>
      <c r="AB204" s="118"/>
      <c r="AC204" s="118"/>
      <c r="AD204" s="118"/>
      <c r="AE204" s="118"/>
      <c r="AF204" s="118"/>
      <c r="AG204" s="118"/>
      <c r="AH204" s="118"/>
    </row>
    <row r="205">
      <c r="A205" s="118"/>
      <c r="B205" s="52"/>
      <c r="C205" s="118"/>
      <c r="D205" s="52"/>
      <c r="E205" s="118"/>
      <c r="F205" s="152"/>
      <c r="G205" s="152"/>
      <c r="H205" s="152"/>
      <c r="I205" s="152"/>
      <c r="J205" s="152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  <c r="AA205" s="118"/>
      <c r="AB205" s="118"/>
      <c r="AC205" s="118"/>
      <c r="AD205" s="118"/>
      <c r="AE205" s="118"/>
      <c r="AF205" s="118"/>
      <c r="AG205" s="118"/>
      <c r="AH205" s="118"/>
    </row>
    <row r="206">
      <c r="A206" s="118"/>
      <c r="B206" s="52"/>
      <c r="C206" s="118"/>
      <c r="D206" s="52"/>
      <c r="E206" s="118"/>
      <c r="F206" s="152"/>
      <c r="G206" s="152"/>
      <c r="H206" s="152"/>
      <c r="I206" s="152"/>
      <c r="J206" s="152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  <c r="AA206" s="118"/>
      <c r="AB206" s="118"/>
      <c r="AC206" s="118"/>
      <c r="AD206" s="118"/>
      <c r="AE206" s="118"/>
      <c r="AF206" s="118"/>
      <c r="AG206" s="118"/>
      <c r="AH206" s="118"/>
    </row>
    <row r="207">
      <c r="A207" s="118"/>
      <c r="B207" s="52"/>
      <c r="C207" s="118"/>
      <c r="D207" s="52"/>
      <c r="E207" s="118"/>
      <c r="F207" s="152"/>
      <c r="G207" s="152"/>
      <c r="H207" s="152"/>
      <c r="I207" s="152"/>
      <c r="J207" s="152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  <c r="AA207" s="118"/>
      <c r="AB207" s="118"/>
      <c r="AC207" s="118"/>
      <c r="AD207" s="118"/>
      <c r="AE207" s="118"/>
      <c r="AF207" s="118"/>
      <c r="AG207" s="118"/>
      <c r="AH207" s="118"/>
    </row>
    <row r="208">
      <c r="A208" s="118"/>
      <c r="B208" s="52"/>
      <c r="C208" s="118"/>
      <c r="D208" s="52"/>
      <c r="E208" s="118"/>
      <c r="F208" s="152"/>
      <c r="G208" s="152"/>
      <c r="H208" s="152"/>
      <c r="I208" s="152"/>
      <c r="J208" s="152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  <c r="AA208" s="118"/>
      <c r="AB208" s="118"/>
      <c r="AC208" s="118"/>
      <c r="AD208" s="118"/>
      <c r="AE208" s="118"/>
      <c r="AF208" s="118"/>
      <c r="AG208" s="118"/>
      <c r="AH208" s="118"/>
    </row>
    <row r="209">
      <c r="A209" s="118"/>
      <c r="B209" s="52"/>
      <c r="C209" s="118"/>
      <c r="D209" s="52"/>
      <c r="E209" s="118"/>
      <c r="F209" s="152"/>
      <c r="G209" s="152"/>
      <c r="H209" s="152"/>
      <c r="I209" s="152"/>
      <c r="J209" s="152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  <c r="AA209" s="118"/>
      <c r="AB209" s="118"/>
      <c r="AC209" s="118"/>
      <c r="AD209" s="118"/>
      <c r="AE209" s="118"/>
      <c r="AF209" s="118"/>
      <c r="AG209" s="118"/>
      <c r="AH209" s="118"/>
    </row>
    <row r="210">
      <c r="A210" s="118"/>
      <c r="B210" s="52"/>
      <c r="C210" s="118"/>
      <c r="D210" s="52"/>
      <c r="E210" s="118"/>
      <c r="F210" s="152"/>
      <c r="G210" s="152"/>
      <c r="H210" s="152"/>
      <c r="I210" s="152"/>
      <c r="J210" s="152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  <c r="AA210" s="118"/>
      <c r="AB210" s="118"/>
      <c r="AC210" s="118"/>
      <c r="AD210" s="118"/>
      <c r="AE210" s="118"/>
      <c r="AF210" s="118"/>
      <c r="AG210" s="118"/>
      <c r="AH210" s="118"/>
    </row>
    <row r="211">
      <c r="A211" s="118"/>
      <c r="B211" s="52"/>
      <c r="C211" s="118"/>
      <c r="D211" s="52"/>
      <c r="E211" s="118"/>
      <c r="F211" s="152"/>
      <c r="G211" s="152"/>
      <c r="H211" s="152"/>
      <c r="I211" s="152"/>
      <c r="J211" s="152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  <c r="AA211" s="118"/>
      <c r="AB211" s="118"/>
      <c r="AC211" s="118"/>
      <c r="AD211" s="118"/>
      <c r="AE211" s="118"/>
      <c r="AF211" s="118"/>
      <c r="AG211" s="118"/>
      <c r="AH211" s="118"/>
    </row>
    <row r="212">
      <c r="A212" s="118"/>
      <c r="B212" s="52"/>
      <c r="C212" s="118"/>
      <c r="D212" s="52"/>
      <c r="E212" s="118"/>
      <c r="F212" s="152"/>
      <c r="G212" s="152"/>
      <c r="H212" s="152"/>
      <c r="I212" s="152"/>
      <c r="J212" s="152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  <c r="AA212" s="118"/>
      <c r="AB212" s="118"/>
      <c r="AC212" s="118"/>
      <c r="AD212" s="118"/>
      <c r="AE212" s="118"/>
      <c r="AF212" s="118"/>
      <c r="AG212" s="118"/>
      <c r="AH212" s="118"/>
    </row>
    <row r="213">
      <c r="A213" s="118"/>
      <c r="B213" s="52"/>
      <c r="C213" s="118"/>
      <c r="D213" s="52"/>
      <c r="E213" s="118"/>
      <c r="F213" s="152"/>
      <c r="G213" s="152"/>
      <c r="H213" s="152"/>
      <c r="I213" s="152"/>
      <c r="J213" s="152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  <c r="AA213" s="118"/>
      <c r="AB213" s="118"/>
      <c r="AC213" s="118"/>
      <c r="AD213" s="118"/>
      <c r="AE213" s="118"/>
      <c r="AF213" s="118"/>
      <c r="AG213" s="118"/>
      <c r="AH213" s="118"/>
    </row>
    <row r="214">
      <c r="A214" s="118"/>
      <c r="B214" s="52"/>
      <c r="C214" s="118"/>
      <c r="D214" s="52"/>
      <c r="E214" s="118"/>
      <c r="F214" s="152"/>
      <c r="G214" s="152"/>
      <c r="H214" s="152"/>
      <c r="I214" s="152"/>
      <c r="J214" s="152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  <c r="AA214" s="118"/>
      <c r="AB214" s="118"/>
      <c r="AC214" s="118"/>
      <c r="AD214" s="118"/>
      <c r="AE214" s="118"/>
      <c r="AF214" s="118"/>
      <c r="AG214" s="118"/>
      <c r="AH214" s="118"/>
    </row>
    <row r="215">
      <c r="A215" s="118"/>
      <c r="B215" s="52"/>
      <c r="C215" s="118"/>
      <c r="D215" s="52"/>
      <c r="E215" s="118"/>
      <c r="F215" s="152"/>
      <c r="G215" s="152"/>
      <c r="H215" s="152"/>
      <c r="I215" s="152"/>
      <c r="J215" s="152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  <c r="AA215" s="118"/>
      <c r="AB215" s="118"/>
      <c r="AC215" s="118"/>
      <c r="AD215" s="118"/>
      <c r="AE215" s="118"/>
      <c r="AF215" s="118"/>
      <c r="AG215" s="118"/>
      <c r="AH215" s="118"/>
    </row>
    <row r="216">
      <c r="A216" s="118"/>
      <c r="B216" s="52"/>
      <c r="C216" s="118"/>
      <c r="D216" s="52"/>
      <c r="E216" s="118"/>
      <c r="F216" s="152"/>
      <c r="G216" s="152"/>
      <c r="H216" s="152"/>
      <c r="I216" s="152"/>
      <c r="J216" s="152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  <c r="AA216" s="118"/>
      <c r="AB216" s="118"/>
      <c r="AC216" s="118"/>
      <c r="AD216" s="118"/>
      <c r="AE216" s="118"/>
      <c r="AF216" s="118"/>
      <c r="AG216" s="118"/>
      <c r="AH216" s="118"/>
    </row>
    <row r="217">
      <c r="A217" s="118"/>
      <c r="B217" s="52"/>
      <c r="C217" s="118"/>
      <c r="D217" s="52"/>
      <c r="E217" s="118"/>
      <c r="F217" s="152"/>
      <c r="G217" s="152"/>
      <c r="H217" s="152"/>
      <c r="I217" s="152"/>
      <c r="J217" s="152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  <c r="AA217" s="118"/>
      <c r="AB217" s="118"/>
      <c r="AC217" s="118"/>
      <c r="AD217" s="118"/>
      <c r="AE217" s="118"/>
      <c r="AF217" s="118"/>
      <c r="AG217" s="118"/>
      <c r="AH217" s="118"/>
    </row>
    <row r="218">
      <c r="A218" s="118"/>
      <c r="B218" s="52"/>
      <c r="C218" s="118"/>
      <c r="D218" s="52"/>
      <c r="E218" s="118"/>
      <c r="F218" s="152"/>
      <c r="G218" s="152"/>
      <c r="H218" s="152"/>
      <c r="I218" s="152"/>
      <c r="J218" s="152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  <c r="AA218" s="118"/>
      <c r="AB218" s="118"/>
      <c r="AC218" s="118"/>
      <c r="AD218" s="118"/>
      <c r="AE218" s="118"/>
      <c r="AF218" s="118"/>
      <c r="AG218" s="118"/>
      <c r="AH218" s="118"/>
    </row>
    <row r="219">
      <c r="A219" s="118"/>
      <c r="B219" s="52"/>
      <c r="C219" s="118"/>
      <c r="D219" s="52"/>
      <c r="E219" s="118"/>
      <c r="F219" s="152"/>
      <c r="G219" s="152"/>
      <c r="H219" s="152"/>
      <c r="I219" s="152"/>
      <c r="J219" s="152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  <c r="AA219" s="118"/>
      <c r="AB219" s="118"/>
      <c r="AC219" s="118"/>
      <c r="AD219" s="118"/>
      <c r="AE219" s="118"/>
      <c r="AF219" s="118"/>
      <c r="AG219" s="118"/>
      <c r="AH219" s="118"/>
    </row>
    <row r="220">
      <c r="A220" s="118"/>
      <c r="B220" s="52"/>
      <c r="C220" s="118"/>
      <c r="D220" s="52"/>
      <c r="E220" s="118"/>
      <c r="F220" s="152"/>
      <c r="G220" s="152"/>
      <c r="H220" s="152"/>
      <c r="I220" s="152"/>
      <c r="J220" s="152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  <c r="AA220" s="118"/>
      <c r="AB220" s="118"/>
      <c r="AC220" s="118"/>
      <c r="AD220" s="118"/>
      <c r="AE220" s="118"/>
      <c r="AF220" s="118"/>
      <c r="AG220" s="118"/>
      <c r="AH220" s="118"/>
    </row>
    <row r="221">
      <c r="A221" s="118"/>
      <c r="B221" s="52"/>
      <c r="C221" s="118"/>
      <c r="D221" s="52"/>
      <c r="E221" s="118"/>
      <c r="F221" s="152"/>
      <c r="G221" s="152"/>
      <c r="H221" s="152"/>
      <c r="I221" s="152"/>
      <c r="J221" s="152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  <c r="AA221" s="118"/>
      <c r="AB221" s="118"/>
      <c r="AC221" s="118"/>
      <c r="AD221" s="118"/>
      <c r="AE221" s="118"/>
      <c r="AF221" s="118"/>
      <c r="AG221" s="118"/>
      <c r="AH221" s="118"/>
    </row>
    <row r="222">
      <c r="A222" s="118"/>
      <c r="B222" s="52"/>
      <c r="C222" s="118"/>
      <c r="D222" s="52"/>
      <c r="E222" s="118"/>
      <c r="F222" s="152"/>
      <c r="G222" s="152"/>
      <c r="H222" s="152"/>
      <c r="I222" s="152"/>
      <c r="J222" s="152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  <c r="AA222" s="118"/>
      <c r="AB222" s="118"/>
      <c r="AC222" s="118"/>
      <c r="AD222" s="118"/>
      <c r="AE222" s="118"/>
      <c r="AF222" s="118"/>
      <c r="AG222" s="118"/>
      <c r="AH222" s="118"/>
    </row>
    <row r="223">
      <c r="A223" s="118"/>
      <c r="B223" s="52"/>
      <c r="C223" s="118"/>
      <c r="D223" s="52"/>
      <c r="E223" s="118"/>
      <c r="F223" s="152"/>
      <c r="G223" s="152"/>
      <c r="H223" s="152"/>
      <c r="I223" s="152"/>
      <c r="J223" s="152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  <c r="AA223" s="118"/>
      <c r="AB223" s="118"/>
      <c r="AC223" s="118"/>
      <c r="AD223" s="118"/>
      <c r="AE223" s="118"/>
      <c r="AF223" s="118"/>
      <c r="AG223" s="118"/>
      <c r="AH223" s="118"/>
    </row>
    <row r="224">
      <c r="A224" s="118"/>
      <c r="B224" s="52"/>
      <c r="C224" s="118"/>
      <c r="D224" s="52"/>
      <c r="E224" s="118"/>
      <c r="F224" s="152"/>
      <c r="G224" s="152"/>
      <c r="H224" s="152"/>
      <c r="I224" s="152"/>
      <c r="J224" s="152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  <c r="AA224" s="118"/>
      <c r="AB224" s="118"/>
      <c r="AC224" s="118"/>
      <c r="AD224" s="118"/>
      <c r="AE224" s="118"/>
      <c r="AF224" s="118"/>
      <c r="AG224" s="118"/>
      <c r="AH224" s="118"/>
    </row>
    <row r="225">
      <c r="A225" s="118"/>
      <c r="B225" s="52"/>
      <c r="C225" s="118"/>
      <c r="D225" s="52"/>
      <c r="E225" s="118"/>
      <c r="F225" s="152"/>
      <c r="G225" s="152"/>
      <c r="H225" s="152"/>
      <c r="I225" s="152"/>
      <c r="J225" s="152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  <c r="AA225" s="118"/>
      <c r="AB225" s="118"/>
      <c r="AC225" s="118"/>
      <c r="AD225" s="118"/>
      <c r="AE225" s="118"/>
      <c r="AF225" s="118"/>
      <c r="AG225" s="118"/>
      <c r="AH225" s="118"/>
    </row>
    <row r="226">
      <c r="A226" s="118"/>
      <c r="B226" s="52"/>
      <c r="C226" s="118"/>
      <c r="D226" s="52"/>
      <c r="E226" s="118"/>
      <c r="F226" s="152"/>
      <c r="G226" s="152"/>
      <c r="H226" s="152"/>
      <c r="I226" s="152"/>
      <c r="J226" s="152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  <c r="AA226" s="118"/>
      <c r="AB226" s="118"/>
      <c r="AC226" s="118"/>
      <c r="AD226" s="118"/>
      <c r="AE226" s="118"/>
      <c r="AF226" s="118"/>
      <c r="AG226" s="118"/>
      <c r="AH226" s="118"/>
    </row>
    <row r="227">
      <c r="A227" s="118"/>
      <c r="B227" s="52"/>
      <c r="C227" s="118"/>
      <c r="D227" s="52"/>
      <c r="E227" s="118"/>
      <c r="F227" s="152"/>
      <c r="G227" s="152"/>
      <c r="H227" s="152"/>
      <c r="I227" s="152"/>
      <c r="J227" s="152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  <c r="AA227" s="118"/>
      <c r="AB227" s="118"/>
      <c r="AC227" s="118"/>
      <c r="AD227" s="118"/>
      <c r="AE227" s="118"/>
      <c r="AF227" s="118"/>
      <c r="AG227" s="118"/>
      <c r="AH227" s="118"/>
    </row>
    <row r="228">
      <c r="A228" s="118"/>
      <c r="B228" s="52"/>
      <c r="C228" s="118"/>
      <c r="D228" s="52"/>
      <c r="E228" s="118"/>
      <c r="F228" s="152"/>
      <c r="G228" s="152"/>
      <c r="H228" s="152"/>
      <c r="I228" s="152"/>
      <c r="J228" s="152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  <c r="AA228" s="118"/>
      <c r="AB228" s="118"/>
      <c r="AC228" s="118"/>
      <c r="AD228" s="118"/>
      <c r="AE228" s="118"/>
      <c r="AF228" s="118"/>
      <c r="AG228" s="118"/>
      <c r="AH228" s="118"/>
    </row>
    <row r="229">
      <c r="A229" s="118"/>
      <c r="B229" s="52"/>
      <c r="C229" s="118"/>
      <c r="D229" s="52"/>
      <c r="E229" s="118"/>
      <c r="F229" s="152"/>
      <c r="G229" s="152"/>
      <c r="H229" s="152"/>
      <c r="I229" s="152"/>
      <c r="J229" s="152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  <c r="AA229" s="118"/>
      <c r="AB229" s="118"/>
      <c r="AC229" s="118"/>
      <c r="AD229" s="118"/>
      <c r="AE229" s="118"/>
      <c r="AF229" s="118"/>
      <c r="AG229" s="118"/>
      <c r="AH229" s="118"/>
    </row>
    <row r="230">
      <c r="A230" s="118"/>
      <c r="B230" s="52"/>
      <c r="C230" s="118"/>
      <c r="D230" s="52"/>
      <c r="E230" s="118"/>
      <c r="F230" s="152"/>
      <c r="G230" s="152"/>
      <c r="H230" s="152"/>
      <c r="I230" s="152"/>
      <c r="J230" s="152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  <c r="AA230" s="118"/>
      <c r="AB230" s="118"/>
      <c r="AC230" s="118"/>
      <c r="AD230" s="118"/>
      <c r="AE230" s="118"/>
      <c r="AF230" s="118"/>
      <c r="AG230" s="118"/>
      <c r="AH230" s="118"/>
    </row>
    <row r="231">
      <c r="A231" s="118"/>
      <c r="B231" s="52"/>
      <c r="C231" s="118"/>
      <c r="D231" s="52"/>
      <c r="E231" s="118"/>
      <c r="F231" s="152"/>
      <c r="G231" s="152"/>
      <c r="H231" s="152"/>
      <c r="I231" s="152"/>
      <c r="J231" s="152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  <c r="AA231" s="118"/>
      <c r="AB231" s="118"/>
      <c r="AC231" s="118"/>
      <c r="AD231" s="118"/>
      <c r="AE231" s="118"/>
      <c r="AF231" s="118"/>
      <c r="AG231" s="118"/>
      <c r="AH231" s="118"/>
    </row>
    <row r="232">
      <c r="A232" s="118"/>
      <c r="B232" s="52"/>
      <c r="C232" s="118"/>
      <c r="D232" s="52"/>
      <c r="E232" s="118"/>
      <c r="F232" s="152"/>
      <c r="G232" s="152"/>
      <c r="H232" s="152"/>
      <c r="I232" s="152"/>
      <c r="J232" s="152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  <c r="AA232" s="118"/>
      <c r="AB232" s="118"/>
      <c r="AC232" s="118"/>
      <c r="AD232" s="118"/>
      <c r="AE232" s="118"/>
      <c r="AF232" s="118"/>
      <c r="AG232" s="118"/>
      <c r="AH232" s="118"/>
    </row>
    <row r="233">
      <c r="A233" s="118"/>
      <c r="B233" s="52"/>
      <c r="C233" s="118"/>
      <c r="D233" s="52"/>
      <c r="E233" s="118"/>
      <c r="F233" s="152"/>
      <c r="G233" s="152"/>
      <c r="H233" s="152"/>
      <c r="I233" s="152"/>
      <c r="J233" s="152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  <c r="AA233" s="118"/>
      <c r="AB233" s="118"/>
      <c r="AC233" s="118"/>
      <c r="AD233" s="118"/>
      <c r="AE233" s="118"/>
      <c r="AF233" s="118"/>
      <c r="AG233" s="118"/>
      <c r="AH233" s="118"/>
    </row>
    <row r="234">
      <c r="A234" s="118"/>
      <c r="B234" s="52"/>
      <c r="C234" s="118"/>
      <c r="D234" s="52"/>
      <c r="E234" s="118"/>
      <c r="F234" s="152"/>
      <c r="G234" s="152"/>
      <c r="H234" s="152"/>
      <c r="I234" s="152"/>
      <c r="J234" s="152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  <c r="AA234" s="118"/>
      <c r="AB234" s="118"/>
      <c r="AC234" s="118"/>
      <c r="AD234" s="118"/>
      <c r="AE234" s="118"/>
      <c r="AF234" s="118"/>
      <c r="AG234" s="118"/>
      <c r="AH234" s="118"/>
    </row>
    <row r="235">
      <c r="A235" s="118"/>
      <c r="B235" s="52"/>
      <c r="C235" s="118"/>
      <c r="D235" s="52"/>
      <c r="E235" s="118"/>
      <c r="F235" s="152"/>
      <c r="G235" s="152"/>
      <c r="H235" s="152"/>
      <c r="I235" s="152"/>
      <c r="J235" s="152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  <c r="AA235" s="118"/>
      <c r="AB235" s="118"/>
      <c r="AC235" s="118"/>
      <c r="AD235" s="118"/>
      <c r="AE235" s="118"/>
      <c r="AF235" s="118"/>
      <c r="AG235" s="118"/>
      <c r="AH235" s="118"/>
    </row>
    <row r="236">
      <c r="A236" s="118"/>
      <c r="B236" s="52"/>
      <c r="C236" s="118"/>
      <c r="D236" s="52"/>
      <c r="E236" s="118"/>
      <c r="F236" s="152"/>
      <c r="G236" s="152"/>
      <c r="H236" s="152"/>
      <c r="I236" s="152"/>
      <c r="J236" s="152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  <c r="AA236" s="118"/>
      <c r="AB236" s="118"/>
      <c r="AC236" s="118"/>
      <c r="AD236" s="118"/>
      <c r="AE236" s="118"/>
      <c r="AF236" s="118"/>
      <c r="AG236" s="118"/>
      <c r="AH236" s="118"/>
    </row>
    <row r="237">
      <c r="A237" s="118"/>
      <c r="B237" s="52"/>
      <c r="C237" s="118"/>
      <c r="D237" s="52"/>
      <c r="E237" s="118"/>
      <c r="F237" s="152"/>
      <c r="G237" s="152"/>
      <c r="H237" s="152"/>
      <c r="I237" s="152"/>
      <c r="J237" s="152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  <c r="AA237" s="118"/>
      <c r="AB237" s="118"/>
      <c r="AC237" s="118"/>
      <c r="AD237" s="118"/>
      <c r="AE237" s="118"/>
      <c r="AF237" s="118"/>
      <c r="AG237" s="118"/>
      <c r="AH237" s="118"/>
    </row>
    <row r="238">
      <c r="A238" s="118"/>
      <c r="B238" s="52"/>
      <c r="C238" s="118"/>
      <c r="D238" s="52"/>
      <c r="E238" s="118"/>
      <c r="F238" s="152"/>
      <c r="G238" s="152"/>
      <c r="H238" s="152"/>
      <c r="I238" s="152"/>
      <c r="J238" s="152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  <c r="AA238" s="118"/>
      <c r="AB238" s="118"/>
      <c r="AC238" s="118"/>
      <c r="AD238" s="118"/>
      <c r="AE238" s="118"/>
      <c r="AF238" s="118"/>
      <c r="AG238" s="118"/>
      <c r="AH238" s="118"/>
    </row>
    <row r="239">
      <c r="A239" s="118"/>
      <c r="B239" s="52"/>
      <c r="C239" s="118"/>
      <c r="D239" s="52"/>
      <c r="E239" s="118"/>
      <c r="F239" s="152"/>
      <c r="G239" s="152"/>
      <c r="H239" s="152"/>
      <c r="I239" s="152"/>
      <c r="J239" s="152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  <c r="AA239" s="118"/>
      <c r="AB239" s="118"/>
      <c r="AC239" s="118"/>
      <c r="AD239" s="118"/>
      <c r="AE239" s="118"/>
      <c r="AF239" s="118"/>
      <c r="AG239" s="118"/>
      <c r="AH239" s="118"/>
    </row>
    <row r="240">
      <c r="A240" s="118"/>
      <c r="B240" s="52"/>
      <c r="C240" s="118"/>
      <c r="D240" s="52"/>
      <c r="E240" s="118"/>
      <c r="F240" s="152"/>
      <c r="G240" s="152"/>
      <c r="H240" s="152"/>
      <c r="I240" s="152"/>
      <c r="J240" s="152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  <c r="AA240" s="118"/>
      <c r="AB240" s="118"/>
      <c r="AC240" s="118"/>
      <c r="AD240" s="118"/>
      <c r="AE240" s="118"/>
      <c r="AF240" s="118"/>
      <c r="AG240" s="118"/>
      <c r="AH240" s="118"/>
    </row>
    <row r="241">
      <c r="A241" s="118"/>
      <c r="B241" s="52"/>
      <c r="C241" s="118"/>
      <c r="D241" s="52"/>
      <c r="E241" s="118"/>
      <c r="F241" s="152"/>
      <c r="G241" s="152"/>
      <c r="H241" s="152"/>
      <c r="I241" s="152"/>
      <c r="J241" s="152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  <c r="AA241" s="118"/>
      <c r="AB241" s="118"/>
      <c r="AC241" s="118"/>
      <c r="AD241" s="118"/>
      <c r="AE241" s="118"/>
      <c r="AF241" s="118"/>
      <c r="AG241" s="118"/>
      <c r="AH241" s="118"/>
    </row>
    <row r="242">
      <c r="A242" s="118"/>
      <c r="B242" s="52"/>
      <c r="C242" s="118"/>
      <c r="D242" s="52"/>
      <c r="E242" s="118"/>
      <c r="F242" s="152"/>
      <c r="G242" s="152"/>
      <c r="H242" s="152"/>
      <c r="I242" s="152"/>
      <c r="J242" s="152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  <c r="AA242" s="118"/>
      <c r="AB242" s="118"/>
      <c r="AC242" s="118"/>
      <c r="AD242" s="118"/>
      <c r="AE242" s="118"/>
      <c r="AF242" s="118"/>
      <c r="AG242" s="118"/>
      <c r="AH242" s="118"/>
    </row>
    <row r="243">
      <c r="A243" s="118"/>
      <c r="B243" s="52"/>
      <c r="C243" s="118"/>
      <c r="D243" s="52"/>
      <c r="E243" s="118"/>
      <c r="F243" s="152"/>
      <c r="G243" s="152"/>
      <c r="H243" s="152"/>
      <c r="I243" s="152"/>
      <c r="J243" s="152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  <c r="AA243" s="118"/>
      <c r="AB243" s="118"/>
      <c r="AC243" s="118"/>
      <c r="AD243" s="118"/>
      <c r="AE243" s="118"/>
      <c r="AF243" s="118"/>
      <c r="AG243" s="118"/>
      <c r="AH243" s="118"/>
    </row>
    <row r="244">
      <c r="A244" s="118"/>
      <c r="B244" s="52"/>
      <c r="C244" s="118"/>
      <c r="D244" s="52"/>
      <c r="E244" s="118"/>
      <c r="F244" s="152"/>
      <c r="G244" s="152"/>
      <c r="H244" s="152"/>
      <c r="I244" s="152"/>
      <c r="J244" s="152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  <c r="AA244" s="118"/>
      <c r="AB244" s="118"/>
      <c r="AC244" s="118"/>
      <c r="AD244" s="118"/>
      <c r="AE244" s="118"/>
      <c r="AF244" s="118"/>
      <c r="AG244" s="118"/>
      <c r="AH244" s="118"/>
    </row>
    <row r="245">
      <c r="A245" s="118"/>
      <c r="B245" s="52"/>
      <c r="C245" s="118"/>
      <c r="D245" s="52"/>
      <c r="E245" s="118"/>
      <c r="F245" s="152"/>
      <c r="G245" s="152"/>
      <c r="H245" s="152"/>
      <c r="I245" s="152"/>
      <c r="J245" s="152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  <c r="AA245" s="118"/>
      <c r="AB245" s="118"/>
      <c r="AC245" s="118"/>
      <c r="AD245" s="118"/>
      <c r="AE245" s="118"/>
      <c r="AF245" s="118"/>
      <c r="AG245" s="118"/>
      <c r="AH245" s="118"/>
    </row>
    <row r="246">
      <c r="A246" s="118"/>
      <c r="B246" s="52"/>
      <c r="C246" s="118"/>
      <c r="D246" s="52"/>
      <c r="E246" s="118"/>
      <c r="F246" s="152"/>
      <c r="G246" s="152"/>
      <c r="H246" s="152"/>
      <c r="I246" s="152"/>
      <c r="J246" s="152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  <c r="AA246" s="118"/>
      <c r="AB246" s="118"/>
      <c r="AC246" s="118"/>
      <c r="AD246" s="118"/>
      <c r="AE246" s="118"/>
      <c r="AF246" s="118"/>
      <c r="AG246" s="118"/>
      <c r="AH246" s="118"/>
    </row>
    <row r="247">
      <c r="A247" s="118"/>
      <c r="B247" s="52"/>
      <c r="C247" s="118"/>
      <c r="D247" s="52"/>
      <c r="E247" s="118"/>
      <c r="F247" s="152"/>
      <c r="G247" s="152"/>
      <c r="H247" s="152"/>
      <c r="I247" s="152"/>
      <c r="J247" s="152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  <c r="AA247" s="118"/>
      <c r="AB247" s="118"/>
      <c r="AC247" s="118"/>
      <c r="AD247" s="118"/>
      <c r="AE247" s="118"/>
      <c r="AF247" s="118"/>
      <c r="AG247" s="118"/>
      <c r="AH247" s="118"/>
    </row>
    <row r="248">
      <c r="A248" s="118"/>
      <c r="B248" s="52"/>
      <c r="C248" s="118"/>
      <c r="D248" s="52"/>
      <c r="E248" s="118"/>
      <c r="F248" s="152"/>
      <c r="G248" s="152"/>
      <c r="H248" s="152"/>
      <c r="I248" s="152"/>
      <c r="J248" s="152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  <c r="AA248" s="118"/>
      <c r="AB248" s="118"/>
      <c r="AC248" s="118"/>
      <c r="AD248" s="118"/>
      <c r="AE248" s="118"/>
      <c r="AF248" s="118"/>
      <c r="AG248" s="118"/>
      <c r="AH248" s="118"/>
    </row>
    <row r="249">
      <c r="A249" s="118"/>
      <c r="B249" s="52"/>
      <c r="C249" s="118"/>
      <c r="D249" s="52"/>
      <c r="E249" s="118"/>
      <c r="F249" s="152"/>
      <c r="G249" s="152"/>
      <c r="H249" s="152"/>
      <c r="I249" s="152"/>
      <c r="J249" s="152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  <c r="AA249" s="118"/>
      <c r="AB249" s="118"/>
      <c r="AC249" s="118"/>
      <c r="AD249" s="118"/>
      <c r="AE249" s="118"/>
      <c r="AF249" s="118"/>
      <c r="AG249" s="118"/>
      <c r="AH249" s="118"/>
    </row>
    <row r="250">
      <c r="A250" s="118"/>
      <c r="B250" s="52"/>
      <c r="C250" s="118"/>
      <c r="D250" s="52"/>
      <c r="E250" s="118"/>
      <c r="F250" s="152"/>
      <c r="G250" s="152"/>
      <c r="H250" s="152"/>
      <c r="I250" s="152"/>
      <c r="J250" s="152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  <c r="AA250" s="118"/>
      <c r="AB250" s="118"/>
      <c r="AC250" s="118"/>
      <c r="AD250" s="118"/>
      <c r="AE250" s="118"/>
      <c r="AF250" s="118"/>
      <c r="AG250" s="118"/>
      <c r="AH250" s="118"/>
    </row>
    <row r="251">
      <c r="A251" s="118"/>
      <c r="B251" s="52"/>
      <c r="C251" s="118"/>
      <c r="D251" s="52"/>
      <c r="E251" s="118"/>
      <c r="F251" s="152"/>
      <c r="G251" s="152"/>
      <c r="H251" s="152"/>
      <c r="I251" s="152"/>
      <c r="J251" s="152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  <c r="AA251" s="118"/>
      <c r="AB251" s="118"/>
      <c r="AC251" s="118"/>
      <c r="AD251" s="118"/>
      <c r="AE251" s="118"/>
      <c r="AF251" s="118"/>
      <c r="AG251" s="118"/>
      <c r="AH251" s="118"/>
    </row>
    <row r="252">
      <c r="A252" s="118"/>
      <c r="B252" s="52"/>
      <c r="C252" s="118"/>
      <c r="D252" s="52"/>
      <c r="E252" s="118"/>
      <c r="F252" s="152"/>
      <c r="G252" s="152"/>
      <c r="H252" s="152"/>
      <c r="I252" s="152"/>
      <c r="J252" s="152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  <c r="AA252" s="118"/>
      <c r="AB252" s="118"/>
      <c r="AC252" s="118"/>
      <c r="AD252" s="118"/>
      <c r="AE252" s="118"/>
      <c r="AF252" s="118"/>
      <c r="AG252" s="118"/>
      <c r="AH252" s="118"/>
    </row>
    <row r="253">
      <c r="A253" s="118"/>
      <c r="B253" s="52"/>
      <c r="C253" s="118"/>
      <c r="D253" s="52"/>
      <c r="E253" s="118"/>
      <c r="F253" s="152"/>
      <c r="G253" s="152"/>
      <c r="H253" s="152"/>
      <c r="I253" s="152"/>
      <c r="J253" s="152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  <c r="AA253" s="118"/>
      <c r="AB253" s="118"/>
      <c r="AC253" s="118"/>
      <c r="AD253" s="118"/>
      <c r="AE253" s="118"/>
      <c r="AF253" s="118"/>
      <c r="AG253" s="118"/>
      <c r="AH253" s="118"/>
    </row>
    <row r="254">
      <c r="A254" s="118"/>
      <c r="B254" s="52"/>
      <c r="C254" s="118"/>
      <c r="D254" s="52"/>
      <c r="E254" s="118"/>
      <c r="F254" s="152"/>
      <c r="G254" s="152"/>
      <c r="H254" s="152"/>
      <c r="I254" s="152"/>
      <c r="J254" s="152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  <c r="AA254" s="118"/>
      <c r="AB254" s="118"/>
      <c r="AC254" s="118"/>
      <c r="AD254" s="118"/>
      <c r="AE254" s="118"/>
      <c r="AF254" s="118"/>
      <c r="AG254" s="118"/>
      <c r="AH254" s="118"/>
    </row>
    <row r="255">
      <c r="A255" s="118"/>
      <c r="B255" s="52"/>
      <c r="C255" s="118"/>
      <c r="D255" s="52"/>
      <c r="E255" s="118"/>
      <c r="F255" s="152"/>
      <c r="G255" s="152"/>
      <c r="H255" s="152"/>
      <c r="I255" s="152"/>
      <c r="J255" s="152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  <c r="AA255" s="118"/>
      <c r="AB255" s="118"/>
      <c r="AC255" s="118"/>
      <c r="AD255" s="118"/>
      <c r="AE255" s="118"/>
      <c r="AF255" s="118"/>
      <c r="AG255" s="118"/>
      <c r="AH255" s="118"/>
    </row>
    <row r="256">
      <c r="A256" s="118"/>
      <c r="B256" s="52"/>
      <c r="C256" s="118"/>
      <c r="D256" s="52"/>
      <c r="E256" s="118"/>
      <c r="F256" s="152"/>
      <c r="G256" s="152"/>
      <c r="H256" s="152"/>
      <c r="I256" s="152"/>
      <c r="J256" s="152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  <c r="AA256" s="118"/>
      <c r="AB256" s="118"/>
      <c r="AC256" s="118"/>
      <c r="AD256" s="118"/>
      <c r="AE256" s="118"/>
      <c r="AF256" s="118"/>
      <c r="AG256" s="118"/>
      <c r="AH256" s="118"/>
    </row>
    <row r="257">
      <c r="A257" s="118"/>
      <c r="B257" s="52"/>
      <c r="C257" s="118"/>
      <c r="D257" s="52"/>
      <c r="E257" s="118"/>
      <c r="F257" s="152"/>
      <c r="G257" s="152"/>
      <c r="H257" s="152"/>
      <c r="I257" s="152"/>
      <c r="J257" s="152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  <c r="AA257" s="118"/>
      <c r="AB257" s="118"/>
      <c r="AC257" s="118"/>
      <c r="AD257" s="118"/>
      <c r="AE257" s="118"/>
      <c r="AF257" s="118"/>
      <c r="AG257" s="118"/>
      <c r="AH257" s="118"/>
    </row>
    <row r="258">
      <c r="A258" s="118"/>
      <c r="B258" s="52"/>
      <c r="C258" s="118"/>
      <c r="D258" s="52"/>
      <c r="E258" s="118"/>
      <c r="F258" s="152"/>
      <c r="G258" s="152"/>
      <c r="H258" s="152"/>
      <c r="I258" s="152"/>
      <c r="J258" s="152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  <c r="AA258" s="118"/>
      <c r="AB258" s="118"/>
      <c r="AC258" s="118"/>
      <c r="AD258" s="118"/>
      <c r="AE258" s="118"/>
      <c r="AF258" s="118"/>
      <c r="AG258" s="118"/>
      <c r="AH258" s="118"/>
    </row>
    <row r="259">
      <c r="A259" s="118"/>
      <c r="B259" s="52"/>
      <c r="C259" s="118"/>
      <c r="D259" s="52"/>
      <c r="E259" s="118"/>
      <c r="F259" s="152"/>
      <c r="G259" s="152"/>
      <c r="H259" s="152"/>
      <c r="I259" s="152"/>
      <c r="J259" s="152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  <c r="AA259" s="118"/>
      <c r="AB259" s="118"/>
      <c r="AC259" s="118"/>
      <c r="AD259" s="118"/>
      <c r="AE259" s="118"/>
      <c r="AF259" s="118"/>
      <c r="AG259" s="118"/>
      <c r="AH259" s="118"/>
    </row>
    <row r="260">
      <c r="A260" s="118"/>
      <c r="B260" s="52"/>
      <c r="C260" s="118"/>
      <c r="D260" s="52"/>
      <c r="E260" s="118"/>
      <c r="F260" s="152"/>
      <c r="G260" s="152"/>
      <c r="H260" s="152"/>
      <c r="I260" s="152"/>
      <c r="J260" s="152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  <c r="AA260" s="118"/>
      <c r="AB260" s="118"/>
      <c r="AC260" s="118"/>
      <c r="AD260" s="118"/>
      <c r="AE260" s="118"/>
      <c r="AF260" s="118"/>
      <c r="AG260" s="118"/>
      <c r="AH260" s="118"/>
    </row>
    <row r="261">
      <c r="A261" s="118"/>
      <c r="B261" s="52"/>
      <c r="C261" s="118"/>
      <c r="D261" s="52"/>
      <c r="E261" s="118"/>
      <c r="F261" s="152"/>
      <c r="G261" s="152"/>
      <c r="H261" s="152"/>
      <c r="I261" s="152"/>
      <c r="J261" s="152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  <c r="AA261" s="118"/>
      <c r="AB261" s="118"/>
      <c r="AC261" s="118"/>
      <c r="AD261" s="118"/>
      <c r="AE261" s="118"/>
      <c r="AF261" s="118"/>
      <c r="AG261" s="118"/>
      <c r="AH261" s="118"/>
    </row>
    <row r="262">
      <c r="A262" s="118"/>
      <c r="B262" s="52"/>
      <c r="C262" s="118"/>
      <c r="D262" s="52"/>
      <c r="E262" s="118"/>
      <c r="F262" s="152"/>
      <c r="G262" s="152"/>
      <c r="H262" s="152"/>
      <c r="I262" s="152"/>
      <c r="J262" s="152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  <c r="AA262" s="118"/>
      <c r="AB262" s="118"/>
      <c r="AC262" s="118"/>
      <c r="AD262" s="118"/>
      <c r="AE262" s="118"/>
      <c r="AF262" s="118"/>
      <c r="AG262" s="118"/>
      <c r="AH262" s="118"/>
    </row>
    <row r="263">
      <c r="A263" s="118"/>
      <c r="B263" s="52"/>
      <c r="C263" s="118"/>
      <c r="D263" s="52"/>
      <c r="E263" s="118"/>
      <c r="F263" s="152"/>
      <c r="G263" s="152"/>
      <c r="H263" s="152"/>
      <c r="I263" s="152"/>
      <c r="J263" s="152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  <c r="AA263" s="118"/>
      <c r="AB263" s="118"/>
      <c r="AC263" s="118"/>
      <c r="AD263" s="118"/>
      <c r="AE263" s="118"/>
      <c r="AF263" s="118"/>
      <c r="AG263" s="118"/>
      <c r="AH263" s="118"/>
    </row>
    <row r="264">
      <c r="A264" s="118"/>
      <c r="B264" s="52"/>
      <c r="C264" s="118"/>
      <c r="D264" s="52"/>
      <c r="E264" s="118"/>
      <c r="F264" s="152"/>
      <c r="G264" s="152"/>
      <c r="H264" s="152"/>
      <c r="I264" s="152"/>
      <c r="J264" s="152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  <c r="AA264" s="118"/>
      <c r="AB264" s="118"/>
      <c r="AC264" s="118"/>
      <c r="AD264" s="118"/>
      <c r="AE264" s="118"/>
      <c r="AF264" s="118"/>
      <c r="AG264" s="118"/>
      <c r="AH264" s="118"/>
    </row>
    <row r="265">
      <c r="A265" s="118"/>
      <c r="B265" s="52"/>
      <c r="C265" s="118"/>
      <c r="D265" s="52"/>
      <c r="E265" s="118"/>
      <c r="F265" s="152"/>
      <c r="G265" s="152"/>
      <c r="H265" s="152"/>
      <c r="I265" s="152"/>
      <c r="J265" s="152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  <c r="AA265" s="118"/>
      <c r="AB265" s="118"/>
      <c r="AC265" s="118"/>
      <c r="AD265" s="118"/>
      <c r="AE265" s="118"/>
      <c r="AF265" s="118"/>
      <c r="AG265" s="118"/>
      <c r="AH265" s="118"/>
    </row>
    <row r="266">
      <c r="A266" s="118"/>
      <c r="B266" s="52"/>
      <c r="C266" s="118"/>
      <c r="D266" s="52"/>
      <c r="E266" s="118"/>
      <c r="F266" s="152"/>
      <c r="G266" s="152"/>
      <c r="H266" s="152"/>
      <c r="I266" s="152"/>
      <c r="J266" s="152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  <c r="AA266" s="118"/>
      <c r="AB266" s="118"/>
      <c r="AC266" s="118"/>
      <c r="AD266" s="118"/>
      <c r="AE266" s="118"/>
      <c r="AF266" s="118"/>
      <c r="AG266" s="118"/>
      <c r="AH266" s="118"/>
    </row>
    <row r="267">
      <c r="A267" s="118"/>
      <c r="B267" s="52"/>
      <c r="C267" s="118"/>
      <c r="D267" s="52"/>
      <c r="E267" s="118"/>
      <c r="F267" s="152"/>
      <c r="G267" s="152"/>
      <c r="H267" s="152"/>
      <c r="I267" s="152"/>
      <c r="J267" s="152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  <c r="AA267" s="118"/>
      <c r="AB267" s="118"/>
      <c r="AC267" s="118"/>
      <c r="AD267" s="118"/>
      <c r="AE267" s="118"/>
      <c r="AF267" s="118"/>
      <c r="AG267" s="118"/>
      <c r="AH267" s="118"/>
    </row>
    <row r="268">
      <c r="A268" s="118"/>
      <c r="B268" s="52"/>
      <c r="C268" s="118"/>
      <c r="D268" s="52"/>
      <c r="E268" s="118"/>
      <c r="F268" s="152"/>
      <c r="G268" s="152"/>
      <c r="H268" s="152"/>
      <c r="I268" s="152"/>
      <c r="J268" s="152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  <c r="AA268" s="118"/>
      <c r="AB268" s="118"/>
      <c r="AC268" s="118"/>
      <c r="AD268" s="118"/>
      <c r="AE268" s="118"/>
      <c r="AF268" s="118"/>
      <c r="AG268" s="118"/>
      <c r="AH268" s="118"/>
    </row>
    <row r="269">
      <c r="A269" s="118"/>
      <c r="B269" s="52"/>
      <c r="C269" s="118"/>
      <c r="D269" s="52"/>
      <c r="E269" s="118"/>
      <c r="F269" s="152"/>
      <c r="G269" s="152"/>
      <c r="H269" s="152"/>
      <c r="I269" s="152"/>
      <c r="J269" s="152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  <c r="AA269" s="118"/>
      <c r="AB269" s="118"/>
      <c r="AC269" s="118"/>
      <c r="AD269" s="118"/>
      <c r="AE269" s="118"/>
      <c r="AF269" s="118"/>
      <c r="AG269" s="118"/>
      <c r="AH269" s="118"/>
    </row>
    <row r="270">
      <c r="A270" s="118"/>
      <c r="B270" s="52"/>
      <c r="C270" s="118"/>
      <c r="D270" s="52"/>
      <c r="E270" s="118"/>
      <c r="F270" s="152"/>
      <c r="G270" s="152"/>
      <c r="H270" s="152"/>
      <c r="I270" s="152"/>
      <c r="J270" s="152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  <c r="AA270" s="118"/>
      <c r="AB270" s="118"/>
      <c r="AC270" s="118"/>
      <c r="AD270" s="118"/>
      <c r="AE270" s="118"/>
      <c r="AF270" s="118"/>
      <c r="AG270" s="118"/>
      <c r="AH270" s="118"/>
    </row>
    <row r="271">
      <c r="A271" s="118"/>
      <c r="B271" s="52"/>
      <c r="C271" s="118"/>
      <c r="D271" s="52"/>
      <c r="E271" s="118"/>
      <c r="F271" s="152"/>
      <c r="G271" s="152"/>
      <c r="H271" s="152"/>
      <c r="I271" s="152"/>
      <c r="J271" s="152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  <c r="AA271" s="118"/>
      <c r="AB271" s="118"/>
      <c r="AC271" s="118"/>
      <c r="AD271" s="118"/>
      <c r="AE271" s="118"/>
      <c r="AF271" s="118"/>
      <c r="AG271" s="118"/>
      <c r="AH271" s="118"/>
    </row>
    <row r="272">
      <c r="A272" s="118"/>
      <c r="B272" s="52"/>
      <c r="C272" s="118"/>
      <c r="D272" s="52"/>
      <c r="E272" s="118"/>
      <c r="F272" s="152"/>
      <c r="G272" s="152"/>
      <c r="H272" s="152"/>
      <c r="I272" s="152"/>
      <c r="J272" s="152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  <c r="AA272" s="118"/>
      <c r="AB272" s="118"/>
      <c r="AC272" s="118"/>
      <c r="AD272" s="118"/>
      <c r="AE272" s="118"/>
      <c r="AF272" s="118"/>
      <c r="AG272" s="118"/>
      <c r="AH272" s="118"/>
    </row>
    <row r="273">
      <c r="A273" s="118"/>
      <c r="B273" s="52"/>
      <c r="C273" s="118"/>
      <c r="D273" s="52"/>
      <c r="E273" s="118"/>
      <c r="F273" s="152"/>
      <c r="G273" s="152"/>
      <c r="H273" s="152"/>
      <c r="I273" s="152"/>
      <c r="J273" s="152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  <c r="AA273" s="118"/>
      <c r="AB273" s="118"/>
      <c r="AC273" s="118"/>
      <c r="AD273" s="118"/>
      <c r="AE273" s="118"/>
      <c r="AF273" s="118"/>
      <c r="AG273" s="118"/>
      <c r="AH273" s="118"/>
    </row>
    <row r="274">
      <c r="A274" s="118"/>
      <c r="B274" s="52"/>
      <c r="C274" s="118"/>
      <c r="D274" s="52"/>
      <c r="E274" s="118"/>
      <c r="F274" s="152"/>
      <c r="G274" s="152"/>
      <c r="H274" s="152"/>
      <c r="I274" s="152"/>
      <c r="J274" s="152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  <c r="AA274" s="118"/>
      <c r="AB274" s="118"/>
      <c r="AC274" s="118"/>
      <c r="AD274" s="118"/>
      <c r="AE274" s="118"/>
      <c r="AF274" s="118"/>
      <c r="AG274" s="118"/>
      <c r="AH274" s="118"/>
    </row>
    <row r="275">
      <c r="A275" s="118"/>
      <c r="B275" s="52"/>
      <c r="C275" s="118"/>
      <c r="D275" s="52"/>
      <c r="E275" s="118"/>
      <c r="F275" s="152"/>
      <c r="G275" s="152"/>
      <c r="H275" s="152"/>
      <c r="I275" s="152"/>
      <c r="J275" s="152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  <c r="AA275" s="118"/>
      <c r="AB275" s="118"/>
      <c r="AC275" s="118"/>
      <c r="AD275" s="118"/>
      <c r="AE275" s="118"/>
      <c r="AF275" s="118"/>
      <c r="AG275" s="118"/>
      <c r="AH275" s="118"/>
    </row>
    <row r="276">
      <c r="A276" s="118"/>
      <c r="B276" s="52"/>
      <c r="C276" s="118"/>
      <c r="D276" s="52"/>
      <c r="E276" s="118"/>
      <c r="F276" s="152"/>
      <c r="G276" s="152"/>
      <c r="H276" s="152"/>
      <c r="I276" s="152"/>
      <c r="J276" s="152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  <c r="AA276" s="118"/>
      <c r="AB276" s="118"/>
      <c r="AC276" s="118"/>
      <c r="AD276" s="118"/>
      <c r="AE276" s="118"/>
      <c r="AF276" s="118"/>
      <c r="AG276" s="118"/>
      <c r="AH276" s="118"/>
    </row>
    <row r="277">
      <c r="A277" s="118"/>
      <c r="B277" s="52"/>
      <c r="C277" s="118"/>
      <c r="D277" s="52"/>
      <c r="E277" s="118"/>
      <c r="F277" s="152"/>
      <c r="G277" s="152"/>
      <c r="H277" s="152"/>
      <c r="I277" s="152"/>
      <c r="J277" s="152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  <c r="AA277" s="118"/>
      <c r="AB277" s="118"/>
      <c r="AC277" s="118"/>
      <c r="AD277" s="118"/>
      <c r="AE277" s="118"/>
      <c r="AF277" s="118"/>
      <c r="AG277" s="118"/>
      <c r="AH277" s="118"/>
    </row>
    <row r="278">
      <c r="A278" s="118"/>
      <c r="B278" s="52"/>
      <c r="C278" s="118"/>
      <c r="D278" s="52"/>
      <c r="E278" s="118"/>
      <c r="F278" s="152"/>
      <c r="G278" s="152"/>
      <c r="H278" s="152"/>
      <c r="I278" s="152"/>
      <c r="J278" s="152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  <c r="AA278" s="118"/>
      <c r="AB278" s="118"/>
      <c r="AC278" s="118"/>
      <c r="AD278" s="118"/>
      <c r="AE278" s="118"/>
      <c r="AF278" s="118"/>
      <c r="AG278" s="118"/>
      <c r="AH278" s="118"/>
    </row>
    <row r="279">
      <c r="A279" s="118"/>
      <c r="B279" s="52"/>
      <c r="C279" s="118"/>
      <c r="D279" s="52"/>
      <c r="E279" s="118"/>
      <c r="F279" s="152"/>
      <c r="G279" s="152"/>
      <c r="H279" s="152"/>
      <c r="I279" s="152"/>
      <c r="J279" s="152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  <c r="AA279" s="118"/>
      <c r="AB279" s="118"/>
      <c r="AC279" s="118"/>
      <c r="AD279" s="118"/>
      <c r="AE279" s="118"/>
      <c r="AF279" s="118"/>
      <c r="AG279" s="118"/>
      <c r="AH279" s="118"/>
    </row>
    <row r="280">
      <c r="A280" s="118"/>
      <c r="B280" s="52"/>
      <c r="C280" s="118"/>
      <c r="D280" s="52"/>
      <c r="E280" s="118"/>
      <c r="F280" s="152"/>
      <c r="G280" s="152"/>
      <c r="H280" s="152"/>
      <c r="I280" s="152"/>
      <c r="J280" s="152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  <c r="AA280" s="118"/>
      <c r="AB280" s="118"/>
      <c r="AC280" s="118"/>
      <c r="AD280" s="118"/>
      <c r="AE280" s="118"/>
      <c r="AF280" s="118"/>
      <c r="AG280" s="118"/>
      <c r="AH280" s="118"/>
    </row>
    <row r="281">
      <c r="A281" s="118"/>
      <c r="B281" s="52"/>
      <c r="C281" s="118"/>
      <c r="D281" s="52"/>
      <c r="E281" s="118"/>
      <c r="F281" s="152"/>
      <c r="G281" s="152"/>
      <c r="H281" s="152"/>
      <c r="I281" s="152"/>
      <c r="J281" s="152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  <c r="AA281" s="118"/>
      <c r="AB281" s="118"/>
      <c r="AC281" s="118"/>
      <c r="AD281" s="118"/>
      <c r="AE281" s="118"/>
      <c r="AF281" s="118"/>
      <c r="AG281" s="118"/>
      <c r="AH281" s="118"/>
    </row>
    <row r="282">
      <c r="A282" s="118"/>
      <c r="B282" s="52"/>
      <c r="C282" s="118"/>
      <c r="D282" s="52"/>
      <c r="E282" s="118"/>
      <c r="F282" s="152"/>
      <c r="G282" s="152"/>
      <c r="H282" s="152"/>
      <c r="I282" s="152"/>
      <c r="J282" s="152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  <c r="AA282" s="118"/>
      <c r="AB282" s="118"/>
      <c r="AC282" s="118"/>
      <c r="AD282" s="118"/>
      <c r="AE282" s="118"/>
      <c r="AF282" s="118"/>
      <c r="AG282" s="118"/>
      <c r="AH282" s="118"/>
    </row>
    <row r="283">
      <c r="A283" s="118"/>
      <c r="B283" s="52"/>
      <c r="C283" s="118"/>
      <c r="D283" s="52"/>
      <c r="E283" s="118"/>
      <c r="F283" s="152"/>
      <c r="G283" s="152"/>
      <c r="H283" s="152"/>
      <c r="I283" s="152"/>
      <c r="J283" s="152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  <c r="AA283" s="118"/>
      <c r="AB283" s="118"/>
      <c r="AC283" s="118"/>
      <c r="AD283" s="118"/>
      <c r="AE283" s="118"/>
      <c r="AF283" s="118"/>
      <c r="AG283" s="118"/>
      <c r="AH283" s="118"/>
    </row>
    <row r="284">
      <c r="A284" s="118"/>
      <c r="B284" s="52"/>
      <c r="C284" s="118"/>
      <c r="D284" s="52"/>
      <c r="E284" s="118"/>
      <c r="F284" s="152"/>
      <c r="G284" s="152"/>
      <c r="H284" s="152"/>
      <c r="I284" s="152"/>
      <c r="J284" s="152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  <c r="AA284" s="118"/>
      <c r="AB284" s="118"/>
      <c r="AC284" s="118"/>
      <c r="AD284" s="118"/>
      <c r="AE284" s="118"/>
      <c r="AF284" s="118"/>
      <c r="AG284" s="118"/>
      <c r="AH284" s="118"/>
    </row>
    <row r="285">
      <c r="A285" s="118"/>
      <c r="B285" s="52"/>
      <c r="C285" s="118"/>
      <c r="D285" s="52"/>
      <c r="E285" s="118"/>
      <c r="F285" s="152"/>
      <c r="G285" s="152"/>
      <c r="H285" s="152"/>
      <c r="I285" s="152"/>
      <c r="J285" s="152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  <c r="AA285" s="118"/>
      <c r="AB285" s="118"/>
      <c r="AC285" s="118"/>
      <c r="AD285" s="118"/>
      <c r="AE285" s="118"/>
      <c r="AF285" s="118"/>
      <c r="AG285" s="118"/>
      <c r="AH285" s="118"/>
    </row>
    <row r="286">
      <c r="A286" s="118"/>
      <c r="B286" s="52"/>
      <c r="C286" s="118"/>
      <c r="D286" s="52"/>
      <c r="E286" s="118"/>
      <c r="F286" s="152"/>
      <c r="G286" s="152"/>
      <c r="H286" s="152"/>
      <c r="I286" s="152"/>
      <c r="J286" s="152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  <c r="AA286" s="118"/>
      <c r="AB286" s="118"/>
      <c r="AC286" s="118"/>
      <c r="AD286" s="118"/>
      <c r="AE286" s="118"/>
      <c r="AF286" s="118"/>
      <c r="AG286" s="118"/>
      <c r="AH286" s="118"/>
    </row>
    <row r="287">
      <c r="A287" s="118"/>
      <c r="B287" s="52"/>
      <c r="C287" s="118"/>
      <c r="D287" s="52"/>
      <c r="E287" s="118"/>
      <c r="F287" s="152"/>
      <c r="G287" s="152"/>
      <c r="H287" s="152"/>
      <c r="I287" s="152"/>
      <c r="J287" s="152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  <c r="AA287" s="118"/>
      <c r="AB287" s="118"/>
      <c r="AC287" s="118"/>
      <c r="AD287" s="118"/>
      <c r="AE287" s="118"/>
      <c r="AF287" s="118"/>
      <c r="AG287" s="118"/>
      <c r="AH287" s="118"/>
    </row>
    <row r="288">
      <c r="A288" s="118"/>
      <c r="B288" s="52"/>
      <c r="C288" s="118"/>
      <c r="D288" s="52"/>
      <c r="E288" s="118"/>
      <c r="F288" s="152"/>
      <c r="G288" s="152"/>
      <c r="H288" s="152"/>
      <c r="I288" s="152"/>
      <c r="J288" s="152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  <c r="AA288" s="118"/>
      <c r="AB288" s="118"/>
      <c r="AC288" s="118"/>
      <c r="AD288" s="118"/>
      <c r="AE288" s="118"/>
      <c r="AF288" s="118"/>
      <c r="AG288" s="118"/>
      <c r="AH288" s="118"/>
    </row>
    <row r="289">
      <c r="A289" s="118"/>
      <c r="B289" s="52"/>
      <c r="C289" s="118"/>
      <c r="D289" s="52"/>
      <c r="E289" s="118"/>
      <c r="F289" s="152"/>
      <c r="G289" s="152"/>
      <c r="H289" s="152"/>
      <c r="I289" s="152"/>
      <c r="J289" s="152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  <c r="AA289" s="118"/>
      <c r="AB289" s="118"/>
      <c r="AC289" s="118"/>
      <c r="AD289" s="118"/>
      <c r="AE289" s="118"/>
      <c r="AF289" s="118"/>
      <c r="AG289" s="118"/>
      <c r="AH289" s="118"/>
    </row>
    <row r="290">
      <c r="A290" s="118"/>
      <c r="B290" s="52"/>
      <c r="C290" s="118"/>
      <c r="D290" s="52"/>
      <c r="E290" s="118"/>
      <c r="F290" s="152"/>
      <c r="G290" s="152"/>
      <c r="H290" s="152"/>
      <c r="I290" s="152"/>
      <c r="J290" s="152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  <c r="AA290" s="118"/>
      <c r="AB290" s="118"/>
      <c r="AC290" s="118"/>
      <c r="AD290" s="118"/>
      <c r="AE290" s="118"/>
      <c r="AF290" s="118"/>
      <c r="AG290" s="118"/>
      <c r="AH290" s="118"/>
    </row>
    <row r="291">
      <c r="A291" s="118"/>
      <c r="B291" s="52"/>
      <c r="C291" s="118"/>
      <c r="D291" s="52"/>
      <c r="E291" s="118"/>
      <c r="F291" s="152"/>
      <c r="G291" s="152"/>
      <c r="H291" s="152"/>
      <c r="I291" s="152"/>
      <c r="J291" s="152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  <c r="AA291" s="118"/>
      <c r="AB291" s="118"/>
      <c r="AC291" s="118"/>
      <c r="AD291" s="118"/>
      <c r="AE291" s="118"/>
      <c r="AF291" s="118"/>
      <c r="AG291" s="118"/>
      <c r="AH291" s="118"/>
    </row>
    <row r="292">
      <c r="A292" s="118"/>
      <c r="B292" s="52"/>
      <c r="C292" s="118"/>
      <c r="D292" s="52"/>
      <c r="E292" s="118"/>
      <c r="F292" s="152"/>
      <c r="G292" s="152"/>
      <c r="H292" s="152"/>
      <c r="I292" s="152"/>
      <c r="J292" s="152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  <c r="AA292" s="118"/>
      <c r="AB292" s="118"/>
      <c r="AC292" s="118"/>
      <c r="AD292" s="118"/>
      <c r="AE292" s="118"/>
      <c r="AF292" s="118"/>
      <c r="AG292" s="118"/>
      <c r="AH292" s="118"/>
    </row>
    <row r="293">
      <c r="A293" s="118"/>
      <c r="B293" s="52"/>
      <c r="C293" s="118"/>
      <c r="D293" s="52"/>
      <c r="E293" s="118"/>
      <c r="F293" s="152"/>
      <c r="G293" s="152"/>
      <c r="H293" s="152"/>
      <c r="I293" s="152"/>
      <c r="J293" s="152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  <c r="AA293" s="118"/>
      <c r="AB293" s="118"/>
      <c r="AC293" s="118"/>
      <c r="AD293" s="118"/>
      <c r="AE293" s="118"/>
      <c r="AF293" s="118"/>
      <c r="AG293" s="118"/>
      <c r="AH293" s="118"/>
    </row>
    <row r="294">
      <c r="A294" s="118"/>
      <c r="B294" s="52"/>
      <c r="C294" s="118"/>
      <c r="D294" s="52"/>
      <c r="E294" s="118"/>
      <c r="F294" s="152"/>
      <c r="G294" s="152"/>
      <c r="H294" s="152"/>
      <c r="I294" s="152"/>
      <c r="J294" s="152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  <c r="AA294" s="118"/>
      <c r="AB294" s="118"/>
      <c r="AC294" s="118"/>
      <c r="AD294" s="118"/>
      <c r="AE294" s="118"/>
      <c r="AF294" s="118"/>
      <c r="AG294" s="118"/>
      <c r="AH294" s="118"/>
    </row>
    <row r="295">
      <c r="A295" s="118"/>
      <c r="B295" s="52"/>
      <c r="C295" s="118"/>
      <c r="D295" s="52"/>
      <c r="E295" s="118"/>
      <c r="F295" s="152"/>
      <c r="G295" s="152"/>
      <c r="H295" s="152"/>
      <c r="I295" s="152"/>
      <c r="J295" s="152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  <c r="AA295" s="118"/>
      <c r="AB295" s="118"/>
      <c r="AC295" s="118"/>
      <c r="AD295" s="118"/>
      <c r="AE295" s="118"/>
      <c r="AF295" s="118"/>
      <c r="AG295" s="118"/>
      <c r="AH295" s="118"/>
    </row>
    <row r="296">
      <c r="A296" s="118"/>
      <c r="B296" s="52"/>
      <c r="C296" s="118"/>
      <c r="D296" s="52"/>
      <c r="E296" s="118"/>
      <c r="F296" s="152"/>
      <c r="G296" s="152"/>
      <c r="H296" s="152"/>
      <c r="I296" s="152"/>
      <c r="J296" s="152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  <c r="AA296" s="118"/>
      <c r="AB296" s="118"/>
      <c r="AC296" s="118"/>
      <c r="AD296" s="118"/>
      <c r="AE296" s="118"/>
      <c r="AF296" s="118"/>
      <c r="AG296" s="118"/>
      <c r="AH296" s="118"/>
    </row>
    <row r="297">
      <c r="A297" s="118"/>
      <c r="B297" s="52"/>
      <c r="C297" s="118"/>
      <c r="D297" s="52"/>
      <c r="E297" s="118"/>
      <c r="F297" s="152"/>
      <c r="G297" s="152"/>
      <c r="H297" s="152"/>
      <c r="I297" s="152"/>
      <c r="J297" s="152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  <c r="AA297" s="118"/>
      <c r="AB297" s="118"/>
      <c r="AC297" s="118"/>
      <c r="AD297" s="118"/>
      <c r="AE297" s="118"/>
      <c r="AF297" s="118"/>
      <c r="AG297" s="118"/>
      <c r="AH297" s="118"/>
    </row>
    <row r="298">
      <c r="A298" s="118"/>
      <c r="B298" s="52"/>
      <c r="C298" s="118"/>
      <c r="D298" s="52"/>
      <c r="E298" s="118"/>
      <c r="F298" s="152"/>
      <c r="G298" s="152"/>
      <c r="H298" s="152"/>
      <c r="I298" s="152"/>
      <c r="J298" s="152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  <c r="AA298" s="118"/>
      <c r="AB298" s="118"/>
      <c r="AC298" s="118"/>
      <c r="AD298" s="118"/>
      <c r="AE298" s="118"/>
      <c r="AF298" s="118"/>
      <c r="AG298" s="118"/>
      <c r="AH298" s="118"/>
    </row>
    <row r="299">
      <c r="A299" s="118"/>
      <c r="B299" s="52"/>
      <c r="C299" s="118"/>
      <c r="D299" s="52"/>
      <c r="E299" s="118"/>
      <c r="F299" s="152"/>
      <c r="G299" s="152"/>
      <c r="H299" s="152"/>
      <c r="I299" s="152"/>
      <c r="J299" s="152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  <c r="AA299" s="118"/>
      <c r="AB299" s="118"/>
      <c r="AC299" s="118"/>
      <c r="AD299" s="118"/>
      <c r="AE299" s="118"/>
      <c r="AF299" s="118"/>
      <c r="AG299" s="118"/>
      <c r="AH299" s="118"/>
    </row>
    <row r="300">
      <c r="A300" s="118"/>
      <c r="B300" s="52"/>
      <c r="C300" s="118"/>
      <c r="D300" s="52"/>
      <c r="E300" s="118"/>
      <c r="F300" s="152"/>
      <c r="G300" s="152"/>
      <c r="H300" s="152"/>
      <c r="I300" s="152"/>
      <c r="J300" s="152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  <c r="AA300" s="118"/>
      <c r="AB300" s="118"/>
      <c r="AC300" s="118"/>
      <c r="AD300" s="118"/>
      <c r="AE300" s="118"/>
      <c r="AF300" s="118"/>
      <c r="AG300" s="118"/>
      <c r="AH300" s="118"/>
    </row>
    <row r="301">
      <c r="A301" s="118"/>
      <c r="B301" s="52"/>
      <c r="C301" s="118"/>
      <c r="D301" s="52"/>
      <c r="E301" s="118"/>
      <c r="F301" s="152"/>
      <c r="G301" s="152"/>
      <c r="H301" s="152"/>
      <c r="I301" s="152"/>
      <c r="J301" s="152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  <c r="AA301" s="118"/>
      <c r="AB301" s="118"/>
      <c r="AC301" s="118"/>
      <c r="AD301" s="118"/>
      <c r="AE301" s="118"/>
      <c r="AF301" s="118"/>
      <c r="AG301" s="118"/>
      <c r="AH301" s="118"/>
    </row>
    <row r="302">
      <c r="A302" s="118"/>
      <c r="B302" s="52"/>
      <c r="C302" s="118"/>
      <c r="D302" s="52"/>
      <c r="E302" s="118"/>
      <c r="F302" s="152"/>
      <c r="G302" s="152"/>
      <c r="H302" s="152"/>
      <c r="I302" s="152"/>
      <c r="J302" s="152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  <c r="AA302" s="118"/>
      <c r="AB302" s="118"/>
      <c r="AC302" s="118"/>
      <c r="AD302" s="118"/>
      <c r="AE302" s="118"/>
      <c r="AF302" s="118"/>
      <c r="AG302" s="118"/>
      <c r="AH302" s="118"/>
    </row>
    <row r="303">
      <c r="A303" s="118"/>
      <c r="B303" s="52"/>
      <c r="C303" s="118"/>
      <c r="D303" s="52"/>
      <c r="E303" s="118"/>
      <c r="F303" s="152"/>
      <c r="G303" s="152"/>
      <c r="H303" s="152"/>
      <c r="I303" s="152"/>
      <c r="J303" s="152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  <c r="AA303" s="118"/>
      <c r="AB303" s="118"/>
      <c r="AC303" s="118"/>
      <c r="AD303" s="118"/>
      <c r="AE303" s="118"/>
      <c r="AF303" s="118"/>
      <c r="AG303" s="118"/>
      <c r="AH303" s="118"/>
    </row>
    <row r="304">
      <c r="A304" s="118"/>
      <c r="B304" s="52"/>
      <c r="C304" s="118"/>
      <c r="D304" s="52"/>
      <c r="E304" s="118"/>
      <c r="F304" s="152"/>
      <c r="G304" s="152"/>
      <c r="H304" s="152"/>
      <c r="I304" s="152"/>
      <c r="J304" s="152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  <c r="AA304" s="118"/>
      <c r="AB304" s="118"/>
      <c r="AC304" s="118"/>
      <c r="AD304" s="118"/>
      <c r="AE304" s="118"/>
      <c r="AF304" s="118"/>
      <c r="AG304" s="118"/>
      <c r="AH304" s="118"/>
    </row>
    <row r="305">
      <c r="A305" s="118"/>
      <c r="B305" s="52"/>
      <c r="C305" s="118"/>
      <c r="D305" s="52"/>
      <c r="E305" s="118"/>
      <c r="F305" s="152"/>
      <c r="G305" s="152"/>
      <c r="H305" s="152"/>
      <c r="I305" s="152"/>
      <c r="J305" s="152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  <c r="AA305" s="118"/>
      <c r="AB305" s="118"/>
      <c r="AC305" s="118"/>
      <c r="AD305" s="118"/>
      <c r="AE305" s="118"/>
      <c r="AF305" s="118"/>
      <c r="AG305" s="118"/>
      <c r="AH305" s="118"/>
    </row>
    <row r="306">
      <c r="A306" s="118"/>
      <c r="B306" s="52"/>
      <c r="C306" s="118"/>
      <c r="D306" s="52"/>
      <c r="E306" s="118"/>
      <c r="F306" s="152"/>
      <c r="G306" s="152"/>
      <c r="H306" s="152"/>
      <c r="I306" s="152"/>
      <c r="J306" s="152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  <c r="AA306" s="118"/>
      <c r="AB306" s="118"/>
      <c r="AC306" s="118"/>
      <c r="AD306" s="118"/>
      <c r="AE306" s="118"/>
      <c r="AF306" s="118"/>
      <c r="AG306" s="118"/>
      <c r="AH306" s="118"/>
    </row>
    <row r="307">
      <c r="A307" s="118"/>
      <c r="B307" s="52"/>
      <c r="C307" s="118"/>
      <c r="D307" s="52"/>
      <c r="E307" s="118"/>
      <c r="F307" s="152"/>
      <c r="G307" s="152"/>
      <c r="H307" s="152"/>
      <c r="I307" s="152"/>
      <c r="J307" s="152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  <c r="AA307" s="118"/>
      <c r="AB307" s="118"/>
      <c r="AC307" s="118"/>
      <c r="AD307" s="118"/>
      <c r="AE307" s="118"/>
      <c r="AF307" s="118"/>
      <c r="AG307" s="118"/>
      <c r="AH307" s="118"/>
    </row>
    <row r="308">
      <c r="A308" s="118"/>
      <c r="B308" s="52"/>
      <c r="C308" s="118"/>
      <c r="D308" s="52"/>
      <c r="E308" s="118"/>
      <c r="F308" s="152"/>
      <c r="G308" s="152"/>
      <c r="H308" s="152"/>
      <c r="I308" s="152"/>
      <c r="J308" s="152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  <c r="AA308" s="118"/>
      <c r="AB308" s="118"/>
      <c r="AC308" s="118"/>
      <c r="AD308" s="118"/>
      <c r="AE308" s="118"/>
      <c r="AF308" s="118"/>
      <c r="AG308" s="118"/>
      <c r="AH308" s="118"/>
    </row>
    <row r="309">
      <c r="A309" s="118"/>
      <c r="B309" s="52"/>
      <c r="C309" s="118"/>
      <c r="D309" s="52"/>
      <c r="E309" s="118"/>
      <c r="F309" s="152"/>
      <c r="G309" s="152"/>
      <c r="H309" s="152"/>
      <c r="I309" s="152"/>
      <c r="J309" s="152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  <c r="AA309" s="118"/>
      <c r="AB309" s="118"/>
      <c r="AC309" s="118"/>
      <c r="AD309" s="118"/>
      <c r="AE309" s="118"/>
      <c r="AF309" s="118"/>
      <c r="AG309" s="118"/>
      <c r="AH309" s="118"/>
    </row>
    <row r="310">
      <c r="A310" s="118"/>
      <c r="B310" s="52"/>
      <c r="C310" s="118"/>
      <c r="D310" s="52"/>
      <c r="E310" s="118"/>
      <c r="F310" s="152"/>
      <c r="G310" s="152"/>
      <c r="H310" s="152"/>
      <c r="I310" s="152"/>
      <c r="J310" s="152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  <c r="AA310" s="118"/>
      <c r="AB310" s="118"/>
      <c r="AC310" s="118"/>
      <c r="AD310" s="118"/>
      <c r="AE310" s="118"/>
      <c r="AF310" s="118"/>
      <c r="AG310" s="118"/>
      <c r="AH310" s="118"/>
    </row>
    <row r="311">
      <c r="A311" s="118"/>
      <c r="B311" s="52"/>
      <c r="C311" s="118"/>
      <c r="D311" s="52"/>
      <c r="E311" s="118"/>
      <c r="F311" s="152"/>
      <c r="G311" s="152"/>
      <c r="H311" s="152"/>
      <c r="I311" s="152"/>
      <c r="J311" s="152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  <c r="AA311" s="118"/>
      <c r="AB311" s="118"/>
      <c r="AC311" s="118"/>
      <c r="AD311" s="118"/>
      <c r="AE311" s="118"/>
      <c r="AF311" s="118"/>
      <c r="AG311" s="118"/>
      <c r="AH311" s="118"/>
    </row>
    <row r="312">
      <c r="A312" s="118"/>
      <c r="B312" s="52"/>
      <c r="C312" s="118"/>
      <c r="D312" s="52"/>
      <c r="E312" s="118"/>
      <c r="F312" s="152"/>
      <c r="G312" s="152"/>
      <c r="H312" s="152"/>
      <c r="I312" s="152"/>
      <c r="J312" s="152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  <c r="AA312" s="118"/>
      <c r="AB312" s="118"/>
      <c r="AC312" s="118"/>
      <c r="AD312" s="118"/>
      <c r="AE312" s="118"/>
      <c r="AF312" s="118"/>
      <c r="AG312" s="118"/>
      <c r="AH312" s="118"/>
    </row>
    <row r="313">
      <c r="A313" s="118"/>
      <c r="B313" s="52"/>
      <c r="C313" s="118"/>
      <c r="D313" s="52"/>
      <c r="E313" s="118"/>
      <c r="F313" s="152"/>
      <c r="G313" s="152"/>
      <c r="H313" s="152"/>
      <c r="I313" s="152"/>
      <c r="J313" s="152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  <c r="AA313" s="118"/>
      <c r="AB313" s="118"/>
      <c r="AC313" s="118"/>
      <c r="AD313" s="118"/>
      <c r="AE313" s="118"/>
      <c r="AF313" s="118"/>
      <c r="AG313" s="118"/>
      <c r="AH313" s="118"/>
    </row>
    <row r="314">
      <c r="A314" s="118"/>
      <c r="B314" s="52"/>
      <c r="C314" s="118"/>
      <c r="D314" s="52"/>
      <c r="E314" s="118"/>
      <c r="F314" s="152"/>
      <c r="G314" s="152"/>
      <c r="H314" s="152"/>
      <c r="I314" s="152"/>
      <c r="J314" s="152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  <c r="AA314" s="118"/>
      <c r="AB314" s="118"/>
      <c r="AC314" s="118"/>
      <c r="AD314" s="118"/>
      <c r="AE314" s="118"/>
      <c r="AF314" s="118"/>
      <c r="AG314" s="118"/>
      <c r="AH314" s="118"/>
    </row>
    <row r="315">
      <c r="A315" s="118"/>
      <c r="B315" s="52"/>
      <c r="C315" s="118"/>
      <c r="D315" s="52"/>
      <c r="E315" s="118"/>
      <c r="F315" s="152"/>
      <c r="G315" s="152"/>
      <c r="H315" s="152"/>
      <c r="I315" s="152"/>
      <c r="J315" s="152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  <c r="AA315" s="118"/>
      <c r="AB315" s="118"/>
      <c r="AC315" s="118"/>
      <c r="AD315" s="118"/>
      <c r="AE315" s="118"/>
      <c r="AF315" s="118"/>
      <c r="AG315" s="118"/>
      <c r="AH315" s="118"/>
    </row>
    <row r="316">
      <c r="A316" s="118"/>
      <c r="B316" s="52"/>
      <c r="C316" s="118"/>
      <c r="D316" s="52"/>
      <c r="E316" s="118"/>
      <c r="F316" s="152"/>
      <c r="G316" s="152"/>
      <c r="H316" s="152"/>
      <c r="I316" s="152"/>
      <c r="J316" s="152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  <c r="AA316" s="118"/>
      <c r="AB316" s="118"/>
      <c r="AC316" s="118"/>
      <c r="AD316" s="118"/>
      <c r="AE316" s="118"/>
      <c r="AF316" s="118"/>
      <c r="AG316" s="118"/>
      <c r="AH316" s="118"/>
    </row>
    <row r="317">
      <c r="A317" s="118"/>
      <c r="B317" s="52"/>
      <c r="C317" s="118"/>
      <c r="D317" s="52"/>
      <c r="E317" s="118"/>
      <c r="F317" s="152"/>
      <c r="G317" s="152"/>
      <c r="H317" s="152"/>
      <c r="I317" s="152"/>
      <c r="J317" s="152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  <c r="AA317" s="118"/>
      <c r="AB317" s="118"/>
      <c r="AC317" s="118"/>
      <c r="AD317" s="118"/>
      <c r="AE317" s="118"/>
      <c r="AF317" s="118"/>
      <c r="AG317" s="118"/>
      <c r="AH317" s="118"/>
    </row>
    <row r="318">
      <c r="A318" s="118"/>
      <c r="B318" s="52"/>
      <c r="C318" s="118"/>
      <c r="D318" s="52"/>
      <c r="E318" s="118"/>
      <c r="F318" s="152"/>
      <c r="G318" s="152"/>
      <c r="H318" s="152"/>
      <c r="I318" s="152"/>
      <c r="J318" s="152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  <c r="AA318" s="118"/>
      <c r="AB318" s="118"/>
      <c r="AC318" s="118"/>
      <c r="AD318" s="118"/>
      <c r="AE318" s="118"/>
      <c r="AF318" s="118"/>
      <c r="AG318" s="118"/>
      <c r="AH318" s="118"/>
    </row>
    <row r="319">
      <c r="A319" s="118"/>
      <c r="B319" s="52"/>
      <c r="C319" s="118"/>
      <c r="D319" s="52"/>
      <c r="E319" s="118"/>
      <c r="F319" s="152"/>
      <c r="G319" s="152"/>
      <c r="H319" s="152"/>
      <c r="I319" s="152"/>
      <c r="J319" s="152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  <c r="AA319" s="118"/>
      <c r="AB319" s="118"/>
      <c r="AC319" s="118"/>
      <c r="AD319" s="118"/>
      <c r="AE319" s="118"/>
      <c r="AF319" s="118"/>
      <c r="AG319" s="118"/>
      <c r="AH319" s="118"/>
    </row>
    <row r="320">
      <c r="A320" s="118"/>
      <c r="B320" s="52"/>
      <c r="C320" s="118"/>
      <c r="D320" s="52"/>
      <c r="E320" s="118"/>
      <c r="F320" s="152"/>
      <c r="G320" s="152"/>
      <c r="H320" s="152"/>
      <c r="I320" s="152"/>
      <c r="J320" s="152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  <c r="AA320" s="118"/>
      <c r="AB320" s="118"/>
      <c r="AC320" s="118"/>
      <c r="AD320" s="118"/>
      <c r="AE320" s="118"/>
      <c r="AF320" s="118"/>
      <c r="AG320" s="118"/>
      <c r="AH320" s="118"/>
    </row>
    <row r="321">
      <c r="A321" s="118"/>
      <c r="B321" s="52"/>
      <c r="C321" s="118"/>
      <c r="D321" s="52"/>
      <c r="E321" s="118"/>
      <c r="F321" s="152"/>
      <c r="G321" s="152"/>
      <c r="H321" s="152"/>
      <c r="I321" s="152"/>
      <c r="J321" s="152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  <c r="AA321" s="118"/>
      <c r="AB321" s="118"/>
      <c r="AC321" s="118"/>
      <c r="AD321" s="118"/>
      <c r="AE321" s="118"/>
      <c r="AF321" s="118"/>
      <c r="AG321" s="118"/>
      <c r="AH321" s="118"/>
    </row>
    <row r="322">
      <c r="A322" s="118"/>
      <c r="B322" s="52"/>
      <c r="C322" s="118"/>
      <c r="D322" s="52"/>
      <c r="E322" s="118"/>
      <c r="F322" s="152"/>
      <c r="G322" s="152"/>
      <c r="H322" s="152"/>
      <c r="I322" s="152"/>
      <c r="J322" s="152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  <c r="AA322" s="118"/>
      <c r="AB322" s="118"/>
      <c r="AC322" s="118"/>
      <c r="AD322" s="118"/>
      <c r="AE322" s="118"/>
      <c r="AF322" s="118"/>
      <c r="AG322" s="118"/>
      <c r="AH322" s="118"/>
    </row>
    <row r="323">
      <c r="A323" s="118"/>
      <c r="B323" s="52"/>
      <c r="C323" s="118"/>
      <c r="D323" s="52"/>
      <c r="E323" s="118"/>
      <c r="F323" s="152"/>
      <c r="G323" s="152"/>
      <c r="H323" s="152"/>
      <c r="I323" s="152"/>
      <c r="J323" s="152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  <c r="AA323" s="118"/>
      <c r="AB323" s="118"/>
      <c r="AC323" s="118"/>
      <c r="AD323" s="118"/>
      <c r="AE323" s="118"/>
      <c r="AF323" s="118"/>
      <c r="AG323" s="118"/>
      <c r="AH323" s="118"/>
    </row>
    <row r="324">
      <c r="A324" s="118"/>
      <c r="B324" s="52"/>
      <c r="C324" s="118"/>
      <c r="D324" s="52"/>
      <c r="E324" s="118"/>
      <c r="F324" s="152"/>
      <c r="G324" s="152"/>
      <c r="H324" s="152"/>
      <c r="I324" s="152"/>
      <c r="J324" s="152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  <c r="AA324" s="118"/>
      <c r="AB324" s="118"/>
      <c r="AC324" s="118"/>
      <c r="AD324" s="118"/>
      <c r="AE324" s="118"/>
      <c r="AF324" s="118"/>
      <c r="AG324" s="118"/>
      <c r="AH324" s="118"/>
    </row>
    <row r="325">
      <c r="A325" s="118"/>
      <c r="B325" s="52"/>
      <c r="C325" s="118"/>
      <c r="D325" s="52"/>
      <c r="E325" s="118"/>
      <c r="F325" s="152"/>
      <c r="G325" s="152"/>
      <c r="H325" s="152"/>
      <c r="I325" s="152"/>
      <c r="J325" s="152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  <c r="AA325" s="118"/>
      <c r="AB325" s="118"/>
      <c r="AC325" s="118"/>
      <c r="AD325" s="118"/>
      <c r="AE325" s="118"/>
      <c r="AF325" s="118"/>
      <c r="AG325" s="118"/>
      <c r="AH325" s="118"/>
    </row>
    <row r="326">
      <c r="A326" s="118"/>
      <c r="B326" s="52"/>
      <c r="C326" s="118"/>
      <c r="D326" s="52"/>
      <c r="E326" s="118"/>
      <c r="F326" s="152"/>
      <c r="G326" s="152"/>
      <c r="H326" s="152"/>
      <c r="I326" s="152"/>
      <c r="J326" s="152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  <c r="AA326" s="118"/>
      <c r="AB326" s="118"/>
      <c r="AC326" s="118"/>
      <c r="AD326" s="118"/>
      <c r="AE326" s="118"/>
      <c r="AF326" s="118"/>
      <c r="AG326" s="118"/>
      <c r="AH326" s="118"/>
    </row>
    <row r="327">
      <c r="A327" s="118"/>
      <c r="B327" s="52"/>
      <c r="C327" s="118"/>
      <c r="D327" s="52"/>
      <c r="E327" s="118"/>
      <c r="F327" s="152"/>
      <c r="G327" s="152"/>
      <c r="H327" s="152"/>
      <c r="I327" s="152"/>
      <c r="J327" s="152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  <c r="AA327" s="118"/>
      <c r="AB327" s="118"/>
      <c r="AC327" s="118"/>
      <c r="AD327" s="118"/>
      <c r="AE327" s="118"/>
      <c r="AF327" s="118"/>
      <c r="AG327" s="118"/>
      <c r="AH327" s="118"/>
    </row>
    <row r="328">
      <c r="A328" s="118"/>
      <c r="B328" s="52"/>
      <c r="C328" s="118"/>
      <c r="D328" s="52"/>
      <c r="E328" s="118"/>
      <c r="F328" s="152"/>
      <c r="G328" s="152"/>
      <c r="H328" s="152"/>
      <c r="I328" s="152"/>
      <c r="J328" s="152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  <c r="AA328" s="118"/>
      <c r="AB328" s="118"/>
      <c r="AC328" s="118"/>
      <c r="AD328" s="118"/>
      <c r="AE328" s="118"/>
      <c r="AF328" s="118"/>
      <c r="AG328" s="118"/>
      <c r="AH328" s="118"/>
    </row>
    <row r="329">
      <c r="A329" s="118"/>
      <c r="B329" s="52"/>
      <c r="C329" s="118"/>
      <c r="D329" s="52"/>
      <c r="E329" s="118"/>
      <c r="F329" s="152"/>
      <c r="G329" s="152"/>
      <c r="H329" s="152"/>
      <c r="I329" s="152"/>
      <c r="J329" s="152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  <c r="AA329" s="118"/>
      <c r="AB329" s="118"/>
      <c r="AC329" s="118"/>
      <c r="AD329" s="118"/>
      <c r="AE329" s="118"/>
      <c r="AF329" s="118"/>
      <c r="AG329" s="118"/>
      <c r="AH329" s="118"/>
    </row>
    <row r="330">
      <c r="A330" s="118"/>
      <c r="B330" s="52"/>
      <c r="C330" s="118"/>
      <c r="D330" s="52"/>
      <c r="E330" s="118"/>
      <c r="F330" s="152"/>
      <c r="G330" s="152"/>
      <c r="H330" s="152"/>
      <c r="I330" s="152"/>
      <c r="J330" s="152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  <c r="AA330" s="118"/>
      <c r="AB330" s="118"/>
      <c r="AC330" s="118"/>
      <c r="AD330" s="118"/>
      <c r="AE330" s="118"/>
      <c r="AF330" s="118"/>
      <c r="AG330" s="118"/>
      <c r="AH330" s="118"/>
    </row>
    <row r="331">
      <c r="A331" s="118"/>
      <c r="B331" s="52"/>
      <c r="C331" s="118"/>
      <c r="D331" s="52"/>
      <c r="E331" s="118"/>
      <c r="F331" s="152"/>
      <c r="G331" s="152"/>
      <c r="H331" s="152"/>
      <c r="I331" s="152"/>
      <c r="J331" s="152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  <c r="AA331" s="118"/>
      <c r="AB331" s="118"/>
      <c r="AC331" s="118"/>
      <c r="AD331" s="118"/>
      <c r="AE331" s="118"/>
      <c r="AF331" s="118"/>
      <c r="AG331" s="118"/>
      <c r="AH331" s="118"/>
    </row>
    <row r="332">
      <c r="A332" s="118"/>
      <c r="B332" s="52"/>
      <c r="C332" s="118"/>
      <c r="D332" s="52"/>
      <c r="E332" s="118"/>
      <c r="F332" s="152"/>
      <c r="G332" s="152"/>
      <c r="H332" s="152"/>
      <c r="I332" s="152"/>
      <c r="J332" s="152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  <c r="AA332" s="118"/>
      <c r="AB332" s="118"/>
      <c r="AC332" s="118"/>
      <c r="AD332" s="118"/>
      <c r="AE332" s="118"/>
      <c r="AF332" s="118"/>
      <c r="AG332" s="118"/>
      <c r="AH332" s="118"/>
    </row>
    <row r="333">
      <c r="A333" s="118"/>
      <c r="B333" s="52"/>
      <c r="C333" s="118"/>
      <c r="D333" s="52"/>
      <c r="E333" s="118"/>
      <c r="F333" s="152"/>
      <c r="G333" s="152"/>
      <c r="H333" s="152"/>
      <c r="I333" s="152"/>
      <c r="J333" s="152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  <c r="AA333" s="118"/>
      <c r="AB333" s="118"/>
      <c r="AC333" s="118"/>
      <c r="AD333" s="118"/>
      <c r="AE333" s="118"/>
      <c r="AF333" s="118"/>
      <c r="AG333" s="118"/>
      <c r="AH333" s="118"/>
    </row>
    <row r="334">
      <c r="A334" s="118"/>
      <c r="B334" s="52"/>
      <c r="C334" s="118"/>
      <c r="D334" s="52"/>
      <c r="E334" s="118"/>
      <c r="F334" s="152"/>
      <c r="G334" s="152"/>
      <c r="H334" s="152"/>
      <c r="I334" s="152"/>
      <c r="J334" s="152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  <c r="AA334" s="118"/>
      <c r="AB334" s="118"/>
      <c r="AC334" s="118"/>
      <c r="AD334" s="118"/>
      <c r="AE334" s="118"/>
      <c r="AF334" s="118"/>
      <c r="AG334" s="118"/>
      <c r="AH334" s="118"/>
    </row>
    <row r="335">
      <c r="A335" s="118"/>
      <c r="B335" s="52"/>
      <c r="C335" s="118"/>
      <c r="D335" s="52"/>
      <c r="E335" s="118"/>
      <c r="F335" s="152"/>
      <c r="G335" s="152"/>
      <c r="H335" s="152"/>
      <c r="I335" s="152"/>
      <c r="J335" s="152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  <c r="AA335" s="118"/>
      <c r="AB335" s="118"/>
      <c r="AC335" s="118"/>
      <c r="AD335" s="118"/>
      <c r="AE335" s="118"/>
      <c r="AF335" s="118"/>
      <c r="AG335" s="118"/>
      <c r="AH335" s="118"/>
    </row>
    <row r="336">
      <c r="A336" s="118"/>
      <c r="B336" s="52"/>
      <c r="C336" s="118"/>
      <c r="D336" s="52"/>
      <c r="E336" s="118"/>
      <c r="F336" s="152"/>
      <c r="G336" s="152"/>
      <c r="H336" s="152"/>
      <c r="I336" s="152"/>
      <c r="J336" s="152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  <c r="AA336" s="118"/>
      <c r="AB336" s="118"/>
      <c r="AC336" s="118"/>
      <c r="AD336" s="118"/>
      <c r="AE336" s="118"/>
      <c r="AF336" s="118"/>
      <c r="AG336" s="118"/>
      <c r="AH336" s="118"/>
    </row>
    <row r="337">
      <c r="A337" s="118"/>
      <c r="B337" s="52"/>
      <c r="C337" s="118"/>
      <c r="D337" s="52"/>
      <c r="E337" s="118"/>
      <c r="F337" s="152"/>
      <c r="G337" s="152"/>
      <c r="H337" s="152"/>
      <c r="I337" s="152"/>
      <c r="J337" s="152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  <c r="AA337" s="118"/>
      <c r="AB337" s="118"/>
      <c r="AC337" s="118"/>
      <c r="AD337" s="118"/>
      <c r="AE337" s="118"/>
      <c r="AF337" s="118"/>
      <c r="AG337" s="118"/>
      <c r="AH337" s="118"/>
    </row>
    <row r="338">
      <c r="A338" s="118"/>
      <c r="B338" s="52"/>
      <c r="C338" s="118"/>
      <c r="D338" s="52"/>
      <c r="E338" s="118"/>
      <c r="F338" s="152"/>
      <c r="G338" s="152"/>
      <c r="H338" s="152"/>
      <c r="I338" s="152"/>
      <c r="J338" s="152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  <c r="AA338" s="118"/>
      <c r="AB338" s="118"/>
      <c r="AC338" s="118"/>
      <c r="AD338" s="118"/>
      <c r="AE338" s="118"/>
      <c r="AF338" s="118"/>
      <c r="AG338" s="118"/>
      <c r="AH338" s="118"/>
    </row>
    <row r="339">
      <c r="A339" s="118"/>
      <c r="B339" s="52"/>
      <c r="C339" s="118"/>
      <c r="D339" s="52"/>
      <c r="E339" s="118"/>
      <c r="F339" s="152"/>
      <c r="G339" s="152"/>
      <c r="H339" s="152"/>
      <c r="I339" s="152"/>
      <c r="J339" s="152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  <c r="AA339" s="118"/>
      <c r="AB339" s="118"/>
      <c r="AC339" s="118"/>
      <c r="AD339" s="118"/>
      <c r="AE339" s="118"/>
      <c r="AF339" s="118"/>
      <c r="AG339" s="118"/>
      <c r="AH339" s="118"/>
    </row>
    <row r="340">
      <c r="A340" s="118"/>
      <c r="B340" s="52"/>
      <c r="C340" s="118"/>
      <c r="D340" s="52"/>
      <c r="E340" s="118"/>
      <c r="F340" s="152"/>
      <c r="G340" s="152"/>
      <c r="H340" s="152"/>
      <c r="I340" s="152"/>
      <c r="J340" s="152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  <c r="AA340" s="118"/>
      <c r="AB340" s="118"/>
      <c r="AC340" s="118"/>
      <c r="AD340" s="118"/>
      <c r="AE340" s="118"/>
      <c r="AF340" s="118"/>
      <c r="AG340" s="118"/>
      <c r="AH340" s="118"/>
    </row>
    <row r="341">
      <c r="A341" s="118"/>
      <c r="B341" s="52"/>
      <c r="C341" s="118"/>
      <c r="D341" s="52"/>
      <c r="E341" s="118"/>
      <c r="F341" s="152"/>
      <c r="G341" s="152"/>
      <c r="H341" s="152"/>
      <c r="I341" s="152"/>
      <c r="J341" s="152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  <c r="AA341" s="118"/>
      <c r="AB341" s="118"/>
      <c r="AC341" s="118"/>
      <c r="AD341" s="118"/>
      <c r="AE341" s="118"/>
      <c r="AF341" s="118"/>
      <c r="AG341" s="118"/>
      <c r="AH341" s="118"/>
    </row>
    <row r="342">
      <c r="A342" s="118"/>
      <c r="B342" s="52"/>
      <c r="C342" s="118"/>
      <c r="D342" s="52"/>
      <c r="E342" s="118"/>
      <c r="F342" s="152"/>
      <c r="G342" s="152"/>
      <c r="H342" s="152"/>
      <c r="I342" s="152"/>
      <c r="J342" s="152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  <c r="AA342" s="118"/>
      <c r="AB342" s="118"/>
      <c r="AC342" s="118"/>
      <c r="AD342" s="118"/>
      <c r="AE342" s="118"/>
      <c r="AF342" s="118"/>
      <c r="AG342" s="118"/>
      <c r="AH342" s="118"/>
    </row>
    <row r="343">
      <c r="A343" s="118"/>
      <c r="B343" s="52"/>
      <c r="C343" s="118"/>
      <c r="D343" s="52"/>
      <c r="E343" s="118"/>
      <c r="F343" s="152"/>
      <c r="G343" s="152"/>
      <c r="H343" s="152"/>
      <c r="I343" s="152"/>
      <c r="J343" s="152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  <c r="AA343" s="118"/>
      <c r="AB343" s="118"/>
      <c r="AC343" s="118"/>
      <c r="AD343" s="118"/>
      <c r="AE343" s="118"/>
      <c r="AF343" s="118"/>
      <c r="AG343" s="118"/>
      <c r="AH343" s="118"/>
    </row>
    <row r="344">
      <c r="A344" s="118"/>
      <c r="B344" s="52"/>
      <c r="C344" s="118"/>
      <c r="D344" s="52"/>
      <c r="E344" s="118"/>
      <c r="F344" s="152"/>
      <c r="G344" s="152"/>
      <c r="H344" s="152"/>
      <c r="I344" s="152"/>
      <c r="J344" s="152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  <c r="AA344" s="118"/>
      <c r="AB344" s="118"/>
      <c r="AC344" s="118"/>
      <c r="AD344" s="118"/>
      <c r="AE344" s="118"/>
      <c r="AF344" s="118"/>
      <c r="AG344" s="118"/>
      <c r="AH344" s="118"/>
    </row>
    <row r="345">
      <c r="A345" s="118"/>
      <c r="B345" s="52"/>
      <c r="C345" s="118"/>
      <c r="D345" s="52"/>
      <c r="E345" s="118"/>
      <c r="F345" s="152"/>
      <c r="G345" s="152"/>
      <c r="H345" s="152"/>
      <c r="I345" s="152"/>
      <c r="J345" s="152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  <c r="AA345" s="118"/>
      <c r="AB345" s="118"/>
      <c r="AC345" s="118"/>
      <c r="AD345" s="118"/>
      <c r="AE345" s="118"/>
      <c r="AF345" s="118"/>
      <c r="AG345" s="118"/>
      <c r="AH345" s="118"/>
    </row>
    <row r="346">
      <c r="A346" s="118"/>
      <c r="B346" s="52"/>
      <c r="C346" s="118"/>
      <c r="D346" s="52"/>
      <c r="E346" s="118"/>
      <c r="F346" s="152"/>
      <c r="G346" s="152"/>
      <c r="H346" s="152"/>
      <c r="I346" s="152"/>
      <c r="J346" s="152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  <c r="AA346" s="118"/>
      <c r="AB346" s="118"/>
      <c r="AC346" s="118"/>
      <c r="AD346" s="118"/>
      <c r="AE346" s="118"/>
      <c r="AF346" s="118"/>
      <c r="AG346" s="118"/>
      <c r="AH346" s="118"/>
    </row>
    <row r="347">
      <c r="A347" s="118"/>
      <c r="B347" s="52"/>
      <c r="C347" s="118"/>
      <c r="D347" s="52"/>
      <c r="E347" s="118"/>
      <c r="F347" s="152"/>
      <c r="G347" s="152"/>
      <c r="H347" s="152"/>
      <c r="I347" s="152"/>
      <c r="J347" s="152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  <c r="AA347" s="118"/>
      <c r="AB347" s="118"/>
      <c r="AC347" s="118"/>
      <c r="AD347" s="118"/>
      <c r="AE347" s="118"/>
      <c r="AF347" s="118"/>
      <c r="AG347" s="118"/>
      <c r="AH347" s="118"/>
    </row>
    <row r="348">
      <c r="A348" s="118"/>
      <c r="B348" s="52"/>
      <c r="C348" s="118"/>
      <c r="D348" s="52"/>
      <c r="E348" s="118"/>
      <c r="F348" s="152"/>
      <c r="G348" s="152"/>
      <c r="H348" s="152"/>
      <c r="I348" s="152"/>
      <c r="J348" s="152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  <c r="AA348" s="118"/>
      <c r="AB348" s="118"/>
      <c r="AC348" s="118"/>
      <c r="AD348" s="118"/>
      <c r="AE348" s="118"/>
      <c r="AF348" s="118"/>
      <c r="AG348" s="118"/>
      <c r="AH348" s="118"/>
    </row>
    <row r="349">
      <c r="A349" s="118"/>
      <c r="B349" s="52"/>
      <c r="C349" s="118"/>
      <c r="D349" s="52"/>
      <c r="E349" s="118"/>
      <c r="F349" s="152"/>
      <c r="G349" s="152"/>
      <c r="H349" s="152"/>
      <c r="I349" s="152"/>
      <c r="J349" s="152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  <c r="AA349" s="118"/>
      <c r="AB349" s="118"/>
      <c r="AC349" s="118"/>
      <c r="AD349" s="118"/>
      <c r="AE349" s="118"/>
      <c r="AF349" s="118"/>
      <c r="AG349" s="118"/>
      <c r="AH349" s="118"/>
    </row>
    <row r="350">
      <c r="A350" s="118"/>
      <c r="B350" s="52"/>
      <c r="C350" s="118"/>
      <c r="D350" s="52"/>
      <c r="E350" s="118"/>
      <c r="F350" s="152"/>
      <c r="G350" s="152"/>
      <c r="H350" s="152"/>
      <c r="I350" s="152"/>
      <c r="J350" s="152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  <c r="AA350" s="118"/>
      <c r="AB350" s="118"/>
      <c r="AC350" s="118"/>
      <c r="AD350" s="118"/>
      <c r="AE350" s="118"/>
      <c r="AF350" s="118"/>
      <c r="AG350" s="118"/>
      <c r="AH350" s="118"/>
    </row>
    <row r="351">
      <c r="A351" s="118"/>
      <c r="B351" s="52"/>
      <c r="C351" s="118"/>
      <c r="D351" s="52"/>
      <c r="E351" s="118"/>
      <c r="F351" s="152"/>
      <c r="G351" s="152"/>
      <c r="H351" s="152"/>
      <c r="I351" s="152"/>
      <c r="J351" s="152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  <c r="AA351" s="118"/>
      <c r="AB351" s="118"/>
      <c r="AC351" s="118"/>
      <c r="AD351" s="118"/>
      <c r="AE351" s="118"/>
      <c r="AF351" s="118"/>
      <c r="AG351" s="118"/>
      <c r="AH351" s="118"/>
    </row>
    <row r="352">
      <c r="A352" s="118"/>
      <c r="B352" s="52"/>
      <c r="C352" s="118"/>
      <c r="D352" s="52"/>
      <c r="E352" s="118"/>
      <c r="F352" s="152"/>
      <c r="G352" s="152"/>
      <c r="H352" s="152"/>
      <c r="I352" s="152"/>
      <c r="J352" s="152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  <c r="AA352" s="118"/>
      <c r="AB352" s="118"/>
      <c r="AC352" s="118"/>
      <c r="AD352" s="118"/>
      <c r="AE352" s="118"/>
      <c r="AF352" s="118"/>
      <c r="AG352" s="118"/>
      <c r="AH352" s="118"/>
    </row>
    <row r="353">
      <c r="A353" s="118"/>
      <c r="B353" s="52"/>
      <c r="C353" s="118"/>
      <c r="D353" s="52"/>
      <c r="E353" s="118"/>
      <c r="F353" s="152"/>
      <c r="G353" s="152"/>
      <c r="H353" s="152"/>
      <c r="I353" s="152"/>
      <c r="J353" s="152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  <c r="AA353" s="118"/>
      <c r="AB353" s="118"/>
      <c r="AC353" s="118"/>
      <c r="AD353" s="118"/>
      <c r="AE353" s="118"/>
      <c r="AF353" s="118"/>
      <c r="AG353" s="118"/>
      <c r="AH353" s="118"/>
    </row>
    <row r="354">
      <c r="A354" s="118"/>
      <c r="B354" s="52"/>
      <c r="C354" s="118"/>
      <c r="D354" s="52"/>
      <c r="E354" s="118"/>
      <c r="F354" s="152"/>
      <c r="G354" s="152"/>
      <c r="H354" s="152"/>
      <c r="I354" s="152"/>
      <c r="J354" s="152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  <c r="AA354" s="118"/>
      <c r="AB354" s="118"/>
      <c r="AC354" s="118"/>
      <c r="AD354" s="118"/>
      <c r="AE354" s="118"/>
      <c r="AF354" s="118"/>
      <c r="AG354" s="118"/>
      <c r="AH354" s="118"/>
    </row>
    <row r="355">
      <c r="A355" s="118"/>
      <c r="B355" s="52"/>
      <c r="C355" s="118"/>
      <c r="D355" s="52"/>
      <c r="E355" s="118"/>
      <c r="F355" s="152"/>
      <c r="G355" s="152"/>
      <c r="H355" s="152"/>
      <c r="I355" s="152"/>
      <c r="J355" s="152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  <c r="AA355" s="118"/>
      <c r="AB355" s="118"/>
      <c r="AC355" s="118"/>
      <c r="AD355" s="118"/>
      <c r="AE355" s="118"/>
      <c r="AF355" s="118"/>
      <c r="AG355" s="118"/>
      <c r="AH355" s="118"/>
    </row>
    <row r="356">
      <c r="A356" s="118"/>
      <c r="B356" s="52"/>
      <c r="C356" s="118"/>
      <c r="D356" s="52"/>
      <c r="E356" s="118"/>
      <c r="F356" s="152"/>
      <c r="G356" s="152"/>
      <c r="H356" s="152"/>
      <c r="I356" s="152"/>
      <c r="J356" s="152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  <c r="AA356" s="118"/>
      <c r="AB356" s="118"/>
      <c r="AC356" s="118"/>
      <c r="AD356" s="118"/>
      <c r="AE356" s="118"/>
      <c r="AF356" s="118"/>
      <c r="AG356" s="118"/>
      <c r="AH356" s="118"/>
    </row>
    <row r="357">
      <c r="A357" s="118"/>
      <c r="B357" s="52"/>
      <c r="C357" s="118"/>
      <c r="D357" s="52"/>
      <c r="E357" s="118"/>
      <c r="F357" s="152"/>
      <c r="G357" s="152"/>
      <c r="H357" s="152"/>
      <c r="I357" s="152"/>
      <c r="J357" s="152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  <c r="AA357" s="118"/>
      <c r="AB357" s="118"/>
      <c r="AC357" s="118"/>
      <c r="AD357" s="118"/>
      <c r="AE357" s="118"/>
      <c r="AF357" s="118"/>
      <c r="AG357" s="118"/>
      <c r="AH357" s="118"/>
    </row>
    <row r="358">
      <c r="A358" s="118"/>
      <c r="B358" s="52"/>
      <c r="C358" s="118"/>
      <c r="D358" s="52"/>
      <c r="E358" s="118"/>
      <c r="F358" s="152"/>
      <c r="G358" s="152"/>
      <c r="H358" s="152"/>
      <c r="I358" s="152"/>
      <c r="J358" s="152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  <c r="AA358" s="118"/>
      <c r="AB358" s="118"/>
      <c r="AC358" s="118"/>
      <c r="AD358" s="118"/>
      <c r="AE358" s="118"/>
      <c r="AF358" s="118"/>
      <c r="AG358" s="118"/>
      <c r="AH358" s="118"/>
    </row>
    <row r="359">
      <c r="A359" s="118"/>
      <c r="B359" s="52"/>
      <c r="C359" s="118"/>
      <c r="D359" s="52"/>
      <c r="E359" s="118"/>
      <c r="F359" s="152"/>
      <c r="G359" s="152"/>
      <c r="H359" s="152"/>
      <c r="I359" s="152"/>
      <c r="J359" s="152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  <c r="AA359" s="118"/>
      <c r="AB359" s="118"/>
      <c r="AC359" s="118"/>
      <c r="AD359" s="118"/>
      <c r="AE359" s="118"/>
      <c r="AF359" s="118"/>
      <c r="AG359" s="118"/>
      <c r="AH359" s="118"/>
    </row>
    <row r="360">
      <c r="A360" s="118"/>
      <c r="B360" s="52"/>
      <c r="C360" s="118"/>
      <c r="D360" s="52"/>
      <c r="E360" s="118"/>
      <c r="F360" s="152"/>
      <c r="G360" s="152"/>
      <c r="H360" s="152"/>
      <c r="I360" s="152"/>
      <c r="J360" s="152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  <c r="AA360" s="118"/>
      <c r="AB360" s="118"/>
      <c r="AC360" s="118"/>
      <c r="AD360" s="118"/>
      <c r="AE360" s="118"/>
      <c r="AF360" s="118"/>
      <c r="AG360" s="118"/>
      <c r="AH360" s="118"/>
    </row>
    <row r="361">
      <c r="A361" s="118"/>
      <c r="B361" s="52"/>
      <c r="C361" s="118"/>
      <c r="D361" s="52"/>
      <c r="E361" s="118"/>
      <c r="F361" s="152"/>
      <c r="G361" s="152"/>
      <c r="H361" s="152"/>
      <c r="I361" s="152"/>
      <c r="J361" s="152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  <c r="AA361" s="118"/>
      <c r="AB361" s="118"/>
      <c r="AC361" s="118"/>
      <c r="AD361" s="118"/>
      <c r="AE361" s="118"/>
      <c r="AF361" s="118"/>
      <c r="AG361" s="118"/>
      <c r="AH361" s="118"/>
    </row>
    <row r="362">
      <c r="A362" s="118"/>
      <c r="B362" s="52"/>
      <c r="C362" s="118"/>
      <c r="D362" s="52"/>
      <c r="E362" s="118"/>
      <c r="F362" s="152"/>
      <c r="G362" s="152"/>
      <c r="H362" s="152"/>
      <c r="I362" s="152"/>
      <c r="J362" s="152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  <c r="AA362" s="118"/>
      <c r="AB362" s="118"/>
      <c r="AC362" s="118"/>
      <c r="AD362" s="118"/>
      <c r="AE362" s="118"/>
      <c r="AF362" s="118"/>
      <c r="AG362" s="118"/>
      <c r="AH362" s="118"/>
    </row>
    <row r="363">
      <c r="A363" s="118"/>
      <c r="B363" s="52"/>
      <c r="C363" s="118"/>
      <c r="D363" s="52"/>
      <c r="E363" s="118"/>
      <c r="F363" s="152"/>
      <c r="G363" s="152"/>
      <c r="H363" s="152"/>
      <c r="I363" s="152"/>
      <c r="J363" s="152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  <c r="AA363" s="118"/>
      <c r="AB363" s="118"/>
      <c r="AC363" s="118"/>
      <c r="AD363" s="118"/>
      <c r="AE363" s="118"/>
      <c r="AF363" s="118"/>
      <c r="AG363" s="118"/>
      <c r="AH363" s="118"/>
    </row>
    <row r="364">
      <c r="A364" s="118"/>
      <c r="B364" s="52"/>
      <c r="C364" s="118"/>
      <c r="D364" s="52"/>
      <c r="E364" s="118"/>
      <c r="F364" s="152"/>
      <c r="G364" s="152"/>
      <c r="H364" s="152"/>
      <c r="I364" s="152"/>
      <c r="J364" s="152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  <c r="AA364" s="118"/>
      <c r="AB364" s="118"/>
      <c r="AC364" s="118"/>
      <c r="AD364" s="118"/>
      <c r="AE364" s="118"/>
      <c r="AF364" s="118"/>
      <c r="AG364" s="118"/>
      <c r="AH364" s="118"/>
    </row>
    <row r="365">
      <c r="A365" s="118"/>
      <c r="B365" s="52"/>
      <c r="C365" s="118"/>
      <c r="D365" s="52"/>
      <c r="E365" s="118"/>
      <c r="F365" s="152"/>
      <c r="G365" s="152"/>
      <c r="H365" s="152"/>
      <c r="I365" s="152"/>
      <c r="J365" s="152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  <c r="AA365" s="118"/>
      <c r="AB365" s="118"/>
      <c r="AC365" s="118"/>
      <c r="AD365" s="118"/>
      <c r="AE365" s="118"/>
      <c r="AF365" s="118"/>
      <c r="AG365" s="118"/>
      <c r="AH365" s="118"/>
    </row>
    <row r="366">
      <c r="A366" s="118"/>
      <c r="B366" s="52"/>
      <c r="C366" s="118"/>
      <c r="D366" s="52"/>
      <c r="E366" s="118"/>
      <c r="F366" s="152"/>
      <c r="G366" s="152"/>
      <c r="H366" s="152"/>
      <c r="I366" s="152"/>
      <c r="J366" s="152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  <c r="AA366" s="118"/>
      <c r="AB366" s="118"/>
      <c r="AC366" s="118"/>
      <c r="AD366" s="118"/>
      <c r="AE366" s="118"/>
      <c r="AF366" s="118"/>
      <c r="AG366" s="118"/>
      <c r="AH366" s="118"/>
    </row>
    <row r="367">
      <c r="A367" s="118"/>
      <c r="B367" s="52"/>
      <c r="C367" s="118"/>
      <c r="D367" s="52"/>
      <c r="E367" s="118"/>
      <c r="F367" s="152"/>
      <c r="G367" s="152"/>
      <c r="H367" s="152"/>
      <c r="I367" s="152"/>
      <c r="J367" s="152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  <c r="AA367" s="118"/>
      <c r="AB367" s="118"/>
      <c r="AC367" s="118"/>
      <c r="AD367" s="118"/>
      <c r="AE367" s="118"/>
      <c r="AF367" s="118"/>
      <c r="AG367" s="118"/>
      <c r="AH367" s="118"/>
    </row>
    <row r="368">
      <c r="A368" s="118"/>
      <c r="B368" s="52"/>
      <c r="C368" s="118"/>
      <c r="D368" s="52"/>
      <c r="E368" s="118"/>
      <c r="F368" s="152"/>
      <c r="G368" s="152"/>
      <c r="H368" s="152"/>
      <c r="I368" s="152"/>
      <c r="J368" s="152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  <c r="AA368" s="118"/>
      <c r="AB368" s="118"/>
      <c r="AC368" s="118"/>
      <c r="AD368" s="118"/>
      <c r="AE368" s="118"/>
      <c r="AF368" s="118"/>
      <c r="AG368" s="118"/>
      <c r="AH368" s="118"/>
    </row>
    <row r="369">
      <c r="A369" s="118"/>
      <c r="B369" s="52"/>
      <c r="C369" s="118"/>
      <c r="D369" s="52"/>
      <c r="E369" s="118"/>
      <c r="F369" s="152"/>
      <c r="G369" s="152"/>
      <c r="H369" s="152"/>
      <c r="I369" s="152"/>
      <c r="J369" s="152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  <c r="AA369" s="118"/>
      <c r="AB369" s="118"/>
      <c r="AC369" s="118"/>
      <c r="AD369" s="118"/>
      <c r="AE369" s="118"/>
      <c r="AF369" s="118"/>
      <c r="AG369" s="118"/>
      <c r="AH369" s="118"/>
    </row>
    <row r="370">
      <c r="A370" s="118"/>
      <c r="B370" s="52"/>
      <c r="C370" s="118"/>
      <c r="D370" s="52"/>
      <c r="E370" s="118"/>
      <c r="F370" s="152"/>
      <c r="G370" s="152"/>
      <c r="H370" s="152"/>
      <c r="I370" s="152"/>
      <c r="J370" s="152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  <c r="AA370" s="118"/>
      <c r="AB370" s="118"/>
      <c r="AC370" s="118"/>
      <c r="AD370" s="118"/>
      <c r="AE370" s="118"/>
      <c r="AF370" s="118"/>
      <c r="AG370" s="118"/>
      <c r="AH370" s="118"/>
    </row>
    <row r="371">
      <c r="A371" s="118"/>
      <c r="B371" s="52"/>
      <c r="C371" s="118"/>
      <c r="D371" s="52"/>
      <c r="E371" s="118"/>
      <c r="F371" s="152"/>
      <c r="G371" s="152"/>
      <c r="H371" s="152"/>
      <c r="I371" s="152"/>
      <c r="J371" s="152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  <c r="AA371" s="118"/>
      <c r="AB371" s="118"/>
      <c r="AC371" s="118"/>
      <c r="AD371" s="118"/>
      <c r="AE371" s="118"/>
      <c r="AF371" s="118"/>
      <c r="AG371" s="118"/>
      <c r="AH371" s="118"/>
    </row>
    <row r="372">
      <c r="A372" s="118"/>
      <c r="B372" s="52"/>
      <c r="C372" s="118"/>
      <c r="D372" s="52"/>
      <c r="E372" s="118"/>
      <c r="F372" s="152"/>
      <c r="G372" s="152"/>
      <c r="H372" s="152"/>
      <c r="I372" s="152"/>
      <c r="J372" s="152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  <c r="AA372" s="118"/>
      <c r="AB372" s="118"/>
      <c r="AC372" s="118"/>
      <c r="AD372" s="118"/>
      <c r="AE372" s="118"/>
      <c r="AF372" s="118"/>
      <c r="AG372" s="118"/>
      <c r="AH372" s="118"/>
    </row>
    <row r="373">
      <c r="A373" s="118"/>
      <c r="B373" s="52"/>
      <c r="C373" s="118"/>
      <c r="D373" s="52"/>
      <c r="E373" s="118"/>
      <c r="F373" s="152"/>
      <c r="G373" s="152"/>
      <c r="H373" s="152"/>
      <c r="I373" s="152"/>
      <c r="J373" s="152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  <c r="AA373" s="118"/>
      <c r="AB373" s="118"/>
      <c r="AC373" s="118"/>
      <c r="AD373" s="118"/>
      <c r="AE373" s="118"/>
      <c r="AF373" s="118"/>
      <c r="AG373" s="118"/>
      <c r="AH373" s="118"/>
    </row>
    <row r="374">
      <c r="A374" s="118"/>
      <c r="B374" s="52"/>
      <c r="C374" s="118"/>
      <c r="D374" s="52"/>
      <c r="E374" s="118"/>
      <c r="F374" s="152"/>
      <c r="G374" s="152"/>
      <c r="H374" s="152"/>
      <c r="I374" s="152"/>
      <c r="J374" s="152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  <c r="AA374" s="118"/>
      <c r="AB374" s="118"/>
      <c r="AC374" s="118"/>
      <c r="AD374" s="118"/>
      <c r="AE374" s="118"/>
      <c r="AF374" s="118"/>
      <c r="AG374" s="118"/>
      <c r="AH374" s="118"/>
    </row>
    <row r="375">
      <c r="A375" s="118"/>
      <c r="B375" s="52"/>
      <c r="C375" s="118"/>
      <c r="D375" s="52"/>
      <c r="E375" s="118"/>
      <c r="F375" s="152"/>
      <c r="G375" s="152"/>
      <c r="H375" s="152"/>
      <c r="I375" s="152"/>
      <c r="J375" s="152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  <c r="AA375" s="118"/>
      <c r="AB375" s="118"/>
      <c r="AC375" s="118"/>
      <c r="AD375" s="118"/>
      <c r="AE375" s="118"/>
      <c r="AF375" s="118"/>
      <c r="AG375" s="118"/>
      <c r="AH375" s="118"/>
    </row>
    <row r="376">
      <c r="A376" s="118"/>
      <c r="B376" s="52"/>
      <c r="C376" s="118"/>
      <c r="D376" s="52"/>
      <c r="E376" s="118"/>
      <c r="F376" s="152"/>
      <c r="G376" s="152"/>
      <c r="H376" s="152"/>
      <c r="I376" s="152"/>
      <c r="J376" s="152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  <c r="AA376" s="118"/>
      <c r="AB376" s="118"/>
      <c r="AC376" s="118"/>
      <c r="AD376" s="118"/>
      <c r="AE376" s="118"/>
      <c r="AF376" s="118"/>
      <c r="AG376" s="118"/>
      <c r="AH376" s="118"/>
    </row>
    <row r="377">
      <c r="A377" s="118"/>
      <c r="B377" s="52"/>
      <c r="C377" s="118"/>
      <c r="D377" s="52"/>
      <c r="E377" s="118"/>
      <c r="F377" s="152"/>
      <c r="G377" s="152"/>
      <c r="H377" s="152"/>
      <c r="I377" s="152"/>
      <c r="J377" s="152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  <c r="AA377" s="118"/>
      <c r="AB377" s="118"/>
      <c r="AC377" s="118"/>
      <c r="AD377" s="118"/>
      <c r="AE377" s="118"/>
      <c r="AF377" s="118"/>
      <c r="AG377" s="118"/>
      <c r="AH377" s="118"/>
    </row>
    <row r="378">
      <c r="A378" s="118"/>
      <c r="B378" s="52"/>
      <c r="C378" s="118"/>
      <c r="D378" s="52"/>
      <c r="E378" s="118"/>
      <c r="F378" s="152"/>
      <c r="G378" s="152"/>
      <c r="H378" s="152"/>
      <c r="I378" s="152"/>
      <c r="J378" s="152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  <c r="AA378" s="118"/>
      <c r="AB378" s="118"/>
      <c r="AC378" s="118"/>
      <c r="AD378" s="118"/>
      <c r="AE378" s="118"/>
      <c r="AF378" s="118"/>
      <c r="AG378" s="118"/>
      <c r="AH378" s="118"/>
    </row>
    <row r="379">
      <c r="A379" s="118"/>
      <c r="B379" s="52"/>
      <c r="C379" s="118"/>
      <c r="D379" s="52"/>
      <c r="E379" s="118"/>
      <c r="F379" s="152"/>
      <c r="G379" s="152"/>
      <c r="H379" s="152"/>
      <c r="I379" s="152"/>
      <c r="J379" s="152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  <c r="AA379" s="118"/>
      <c r="AB379" s="118"/>
      <c r="AC379" s="118"/>
      <c r="AD379" s="118"/>
      <c r="AE379" s="118"/>
      <c r="AF379" s="118"/>
      <c r="AG379" s="118"/>
      <c r="AH379" s="118"/>
    </row>
    <row r="380">
      <c r="A380" s="118"/>
      <c r="B380" s="52"/>
      <c r="C380" s="118"/>
      <c r="D380" s="52"/>
      <c r="E380" s="118"/>
      <c r="F380" s="152"/>
      <c r="G380" s="152"/>
      <c r="H380" s="152"/>
      <c r="I380" s="152"/>
      <c r="J380" s="152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  <c r="AA380" s="118"/>
      <c r="AB380" s="118"/>
      <c r="AC380" s="118"/>
      <c r="AD380" s="118"/>
      <c r="AE380" s="118"/>
      <c r="AF380" s="118"/>
      <c r="AG380" s="118"/>
      <c r="AH380" s="118"/>
    </row>
    <row r="381">
      <c r="A381" s="118"/>
      <c r="B381" s="52"/>
      <c r="C381" s="118"/>
      <c r="D381" s="52"/>
      <c r="E381" s="118"/>
      <c r="F381" s="152"/>
      <c r="G381" s="152"/>
      <c r="H381" s="152"/>
      <c r="I381" s="152"/>
      <c r="J381" s="152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  <c r="AA381" s="118"/>
      <c r="AB381" s="118"/>
      <c r="AC381" s="118"/>
      <c r="AD381" s="118"/>
      <c r="AE381" s="118"/>
      <c r="AF381" s="118"/>
      <c r="AG381" s="118"/>
      <c r="AH381" s="118"/>
    </row>
    <row r="382">
      <c r="A382" s="118"/>
      <c r="B382" s="52"/>
      <c r="C382" s="118"/>
      <c r="D382" s="52"/>
      <c r="E382" s="118"/>
      <c r="F382" s="152"/>
      <c r="G382" s="152"/>
      <c r="H382" s="152"/>
      <c r="I382" s="152"/>
      <c r="J382" s="152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  <c r="AA382" s="118"/>
      <c r="AB382" s="118"/>
      <c r="AC382" s="118"/>
      <c r="AD382" s="118"/>
      <c r="AE382" s="118"/>
      <c r="AF382" s="118"/>
      <c r="AG382" s="118"/>
      <c r="AH382" s="118"/>
    </row>
    <row r="383">
      <c r="A383" s="118"/>
      <c r="B383" s="52"/>
      <c r="C383" s="118"/>
      <c r="D383" s="52"/>
      <c r="E383" s="118"/>
      <c r="F383" s="152"/>
      <c r="G383" s="152"/>
      <c r="H383" s="152"/>
      <c r="I383" s="152"/>
      <c r="J383" s="152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  <c r="AA383" s="118"/>
      <c r="AB383" s="118"/>
      <c r="AC383" s="118"/>
      <c r="AD383" s="118"/>
      <c r="AE383" s="118"/>
      <c r="AF383" s="118"/>
      <c r="AG383" s="118"/>
      <c r="AH383" s="118"/>
    </row>
    <row r="384">
      <c r="A384" s="118"/>
      <c r="B384" s="52"/>
      <c r="C384" s="118"/>
      <c r="D384" s="52"/>
      <c r="E384" s="118"/>
      <c r="F384" s="152"/>
      <c r="G384" s="152"/>
      <c r="H384" s="152"/>
      <c r="I384" s="152"/>
      <c r="J384" s="152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  <c r="AA384" s="118"/>
      <c r="AB384" s="118"/>
      <c r="AC384" s="118"/>
      <c r="AD384" s="118"/>
      <c r="AE384" s="118"/>
      <c r="AF384" s="118"/>
      <c r="AG384" s="118"/>
      <c r="AH384" s="118"/>
    </row>
    <row r="385">
      <c r="A385" s="118"/>
      <c r="B385" s="52"/>
      <c r="C385" s="118"/>
      <c r="D385" s="52"/>
      <c r="E385" s="118"/>
      <c r="F385" s="152"/>
      <c r="G385" s="152"/>
      <c r="H385" s="152"/>
      <c r="I385" s="152"/>
      <c r="J385" s="152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  <c r="AA385" s="118"/>
      <c r="AB385" s="118"/>
      <c r="AC385" s="118"/>
      <c r="AD385" s="118"/>
      <c r="AE385" s="118"/>
      <c r="AF385" s="118"/>
      <c r="AG385" s="118"/>
      <c r="AH385" s="118"/>
    </row>
    <row r="386">
      <c r="A386" s="118"/>
      <c r="B386" s="52"/>
      <c r="C386" s="118"/>
      <c r="D386" s="52"/>
      <c r="E386" s="118"/>
      <c r="F386" s="152"/>
      <c r="G386" s="152"/>
      <c r="H386" s="152"/>
      <c r="I386" s="152"/>
      <c r="J386" s="152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  <c r="AA386" s="118"/>
      <c r="AB386" s="118"/>
      <c r="AC386" s="118"/>
      <c r="AD386" s="118"/>
      <c r="AE386" s="118"/>
      <c r="AF386" s="118"/>
      <c r="AG386" s="118"/>
      <c r="AH386" s="118"/>
    </row>
    <row r="387">
      <c r="A387" s="118"/>
      <c r="B387" s="52"/>
      <c r="C387" s="118"/>
      <c r="D387" s="52"/>
      <c r="E387" s="118"/>
      <c r="F387" s="152"/>
      <c r="G387" s="152"/>
      <c r="H387" s="152"/>
      <c r="I387" s="152"/>
      <c r="J387" s="152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  <c r="AA387" s="118"/>
      <c r="AB387" s="118"/>
      <c r="AC387" s="118"/>
      <c r="AD387" s="118"/>
      <c r="AE387" s="118"/>
      <c r="AF387" s="118"/>
      <c r="AG387" s="118"/>
      <c r="AH387" s="118"/>
    </row>
    <row r="388">
      <c r="A388" s="118"/>
      <c r="B388" s="52"/>
      <c r="C388" s="118"/>
      <c r="D388" s="52"/>
      <c r="E388" s="118"/>
      <c r="F388" s="152"/>
      <c r="G388" s="152"/>
      <c r="H388" s="152"/>
      <c r="I388" s="152"/>
      <c r="J388" s="152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  <c r="AA388" s="118"/>
      <c r="AB388" s="118"/>
      <c r="AC388" s="118"/>
      <c r="AD388" s="118"/>
      <c r="AE388" s="118"/>
      <c r="AF388" s="118"/>
      <c r="AG388" s="118"/>
      <c r="AH388" s="118"/>
    </row>
    <row r="389">
      <c r="A389" s="118"/>
      <c r="B389" s="52"/>
      <c r="C389" s="118"/>
      <c r="D389" s="52"/>
      <c r="E389" s="118"/>
      <c r="F389" s="152"/>
      <c r="G389" s="152"/>
      <c r="H389" s="152"/>
      <c r="I389" s="152"/>
      <c r="J389" s="152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  <c r="AA389" s="118"/>
      <c r="AB389" s="118"/>
      <c r="AC389" s="118"/>
      <c r="AD389" s="118"/>
      <c r="AE389" s="118"/>
      <c r="AF389" s="118"/>
      <c r="AG389" s="118"/>
      <c r="AH389" s="118"/>
    </row>
    <row r="390">
      <c r="A390" s="118"/>
      <c r="B390" s="52"/>
      <c r="C390" s="118"/>
      <c r="D390" s="52"/>
      <c r="E390" s="118"/>
      <c r="F390" s="152"/>
      <c r="G390" s="152"/>
      <c r="H390" s="152"/>
      <c r="I390" s="152"/>
      <c r="J390" s="152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  <c r="AA390" s="118"/>
      <c r="AB390" s="118"/>
      <c r="AC390" s="118"/>
      <c r="AD390" s="118"/>
      <c r="AE390" s="118"/>
      <c r="AF390" s="118"/>
      <c r="AG390" s="118"/>
      <c r="AH390" s="118"/>
    </row>
    <row r="391">
      <c r="A391" s="118"/>
      <c r="B391" s="52"/>
      <c r="C391" s="118"/>
      <c r="D391" s="52"/>
      <c r="E391" s="118"/>
      <c r="F391" s="152"/>
      <c r="G391" s="152"/>
      <c r="H391" s="152"/>
      <c r="I391" s="152"/>
      <c r="J391" s="152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  <c r="AA391" s="118"/>
      <c r="AB391" s="118"/>
      <c r="AC391" s="118"/>
      <c r="AD391" s="118"/>
      <c r="AE391" s="118"/>
      <c r="AF391" s="118"/>
      <c r="AG391" s="118"/>
      <c r="AH391" s="118"/>
    </row>
    <row r="392">
      <c r="A392" s="118"/>
      <c r="B392" s="52"/>
      <c r="C392" s="118"/>
      <c r="D392" s="52"/>
      <c r="E392" s="118"/>
      <c r="F392" s="152"/>
      <c r="G392" s="152"/>
      <c r="H392" s="152"/>
      <c r="I392" s="152"/>
      <c r="J392" s="152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  <c r="AA392" s="118"/>
      <c r="AB392" s="118"/>
      <c r="AC392" s="118"/>
      <c r="AD392" s="118"/>
      <c r="AE392" s="118"/>
      <c r="AF392" s="118"/>
      <c r="AG392" s="118"/>
      <c r="AH392" s="118"/>
    </row>
    <row r="393">
      <c r="A393" s="118"/>
      <c r="B393" s="52"/>
      <c r="C393" s="118"/>
      <c r="D393" s="52"/>
      <c r="E393" s="118"/>
      <c r="F393" s="152"/>
      <c r="G393" s="152"/>
      <c r="H393" s="152"/>
      <c r="I393" s="152"/>
      <c r="J393" s="152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  <c r="AA393" s="118"/>
      <c r="AB393" s="118"/>
      <c r="AC393" s="118"/>
      <c r="AD393" s="118"/>
      <c r="AE393" s="118"/>
      <c r="AF393" s="118"/>
      <c r="AG393" s="118"/>
      <c r="AH393" s="118"/>
    </row>
    <row r="394">
      <c r="A394" s="118"/>
      <c r="B394" s="52"/>
      <c r="C394" s="118"/>
      <c r="D394" s="52"/>
      <c r="E394" s="118"/>
      <c r="F394" s="152"/>
      <c r="G394" s="152"/>
      <c r="H394" s="152"/>
      <c r="I394" s="152"/>
      <c r="J394" s="152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  <c r="AA394" s="118"/>
      <c r="AB394" s="118"/>
      <c r="AC394" s="118"/>
      <c r="AD394" s="118"/>
      <c r="AE394" s="118"/>
      <c r="AF394" s="118"/>
      <c r="AG394" s="118"/>
      <c r="AH394" s="118"/>
    </row>
    <row r="395">
      <c r="A395" s="118"/>
      <c r="B395" s="52"/>
      <c r="C395" s="118"/>
      <c r="D395" s="52"/>
      <c r="E395" s="118"/>
      <c r="F395" s="152"/>
      <c r="G395" s="152"/>
      <c r="H395" s="152"/>
      <c r="I395" s="152"/>
      <c r="J395" s="152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  <c r="AA395" s="118"/>
      <c r="AB395" s="118"/>
      <c r="AC395" s="118"/>
      <c r="AD395" s="118"/>
      <c r="AE395" s="118"/>
      <c r="AF395" s="118"/>
      <c r="AG395" s="118"/>
      <c r="AH395" s="118"/>
    </row>
    <row r="396">
      <c r="A396" s="118"/>
      <c r="B396" s="52"/>
      <c r="C396" s="118"/>
      <c r="D396" s="52"/>
      <c r="E396" s="118"/>
      <c r="F396" s="152"/>
      <c r="G396" s="152"/>
      <c r="H396" s="152"/>
      <c r="I396" s="152"/>
      <c r="J396" s="152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  <c r="AA396" s="118"/>
      <c r="AB396" s="118"/>
      <c r="AC396" s="118"/>
      <c r="AD396" s="118"/>
      <c r="AE396" s="118"/>
      <c r="AF396" s="118"/>
      <c r="AG396" s="118"/>
      <c r="AH396" s="118"/>
    </row>
    <row r="397">
      <c r="A397" s="118"/>
      <c r="B397" s="52"/>
      <c r="C397" s="118"/>
      <c r="D397" s="52"/>
      <c r="E397" s="118"/>
      <c r="F397" s="152"/>
      <c r="G397" s="152"/>
      <c r="H397" s="152"/>
      <c r="I397" s="152"/>
      <c r="J397" s="152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  <c r="AA397" s="118"/>
      <c r="AB397" s="118"/>
      <c r="AC397" s="118"/>
      <c r="AD397" s="118"/>
      <c r="AE397" s="118"/>
      <c r="AF397" s="118"/>
      <c r="AG397" s="118"/>
      <c r="AH397" s="118"/>
    </row>
    <row r="398">
      <c r="A398" s="118"/>
      <c r="B398" s="52"/>
      <c r="C398" s="118"/>
      <c r="D398" s="52"/>
      <c r="E398" s="118"/>
      <c r="F398" s="152"/>
      <c r="G398" s="152"/>
      <c r="H398" s="152"/>
      <c r="I398" s="152"/>
      <c r="J398" s="152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  <c r="AA398" s="118"/>
      <c r="AB398" s="118"/>
      <c r="AC398" s="118"/>
      <c r="AD398" s="118"/>
      <c r="AE398" s="118"/>
      <c r="AF398" s="118"/>
      <c r="AG398" s="118"/>
      <c r="AH398" s="118"/>
    </row>
    <row r="399">
      <c r="A399" s="118"/>
      <c r="B399" s="52"/>
      <c r="C399" s="118"/>
      <c r="D399" s="52"/>
      <c r="E399" s="118"/>
      <c r="F399" s="152"/>
      <c r="G399" s="152"/>
      <c r="H399" s="152"/>
      <c r="I399" s="152"/>
      <c r="J399" s="152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  <c r="AA399" s="118"/>
      <c r="AB399" s="118"/>
      <c r="AC399" s="118"/>
      <c r="AD399" s="118"/>
      <c r="AE399" s="118"/>
      <c r="AF399" s="118"/>
      <c r="AG399" s="118"/>
      <c r="AH399" s="118"/>
    </row>
    <row r="400">
      <c r="A400" s="118"/>
      <c r="B400" s="52"/>
      <c r="C400" s="118"/>
      <c r="D400" s="52"/>
      <c r="E400" s="118"/>
      <c r="F400" s="152"/>
      <c r="G400" s="152"/>
      <c r="H400" s="152"/>
      <c r="I400" s="152"/>
      <c r="J400" s="152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  <c r="AA400" s="118"/>
      <c r="AB400" s="118"/>
      <c r="AC400" s="118"/>
      <c r="AD400" s="118"/>
      <c r="AE400" s="118"/>
      <c r="AF400" s="118"/>
      <c r="AG400" s="118"/>
      <c r="AH400" s="118"/>
    </row>
    <row r="401">
      <c r="A401" s="118"/>
      <c r="B401" s="52"/>
      <c r="C401" s="118"/>
      <c r="D401" s="52"/>
      <c r="E401" s="118"/>
      <c r="F401" s="152"/>
      <c r="G401" s="152"/>
      <c r="H401" s="152"/>
      <c r="I401" s="152"/>
      <c r="J401" s="152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  <c r="AA401" s="118"/>
      <c r="AB401" s="118"/>
      <c r="AC401" s="118"/>
      <c r="AD401" s="118"/>
      <c r="AE401" s="118"/>
      <c r="AF401" s="118"/>
      <c r="AG401" s="118"/>
      <c r="AH401" s="118"/>
    </row>
    <row r="402">
      <c r="A402" s="118"/>
      <c r="B402" s="52"/>
      <c r="C402" s="118"/>
      <c r="D402" s="52"/>
      <c r="E402" s="118"/>
      <c r="F402" s="152"/>
      <c r="G402" s="152"/>
      <c r="H402" s="152"/>
      <c r="I402" s="152"/>
      <c r="J402" s="152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  <c r="AA402" s="118"/>
      <c r="AB402" s="118"/>
      <c r="AC402" s="118"/>
      <c r="AD402" s="118"/>
      <c r="AE402" s="118"/>
      <c r="AF402" s="118"/>
      <c r="AG402" s="118"/>
      <c r="AH402" s="118"/>
    </row>
    <row r="403">
      <c r="A403" s="118"/>
      <c r="B403" s="52"/>
      <c r="C403" s="118"/>
      <c r="D403" s="52"/>
      <c r="E403" s="118"/>
      <c r="F403" s="152"/>
      <c r="G403" s="152"/>
      <c r="H403" s="152"/>
      <c r="I403" s="152"/>
      <c r="J403" s="152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  <c r="AA403" s="118"/>
      <c r="AB403" s="118"/>
      <c r="AC403" s="118"/>
      <c r="AD403" s="118"/>
      <c r="AE403" s="118"/>
      <c r="AF403" s="118"/>
      <c r="AG403" s="118"/>
      <c r="AH403" s="118"/>
    </row>
    <row r="404">
      <c r="A404" s="118"/>
      <c r="B404" s="52"/>
      <c r="C404" s="118"/>
      <c r="D404" s="52"/>
      <c r="E404" s="118"/>
      <c r="F404" s="152"/>
      <c r="G404" s="152"/>
      <c r="H404" s="152"/>
      <c r="I404" s="152"/>
      <c r="J404" s="152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  <c r="AA404" s="118"/>
      <c r="AB404" s="118"/>
      <c r="AC404" s="118"/>
      <c r="AD404" s="118"/>
      <c r="AE404" s="118"/>
      <c r="AF404" s="118"/>
      <c r="AG404" s="118"/>
      <c r="AH404" s="118"/>
    </row>
    <row r="405">
      <c r="A405" s="118"/>
      <c r="B405" s="52"/>
      <c r="C405" s="118"/>
      <c r="D405" s="52"/>
      <c r="E405" s="118"/>
      <c r="F405" s="152"/>
      <c r="G405" s="152"/>
      <c r="H405" s="152"/>
      <c r="I405" s="152"/>
      <c r="J405" s="152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  <c r="AA405" s="118"/>
      <c r="AB405" s="118"/>
      <c r="AC405" s="118"/>
      <c r="AD405" s="118"/>
      <c r="AE405" s="118"/>
      <c r="AF405" s="118"/>
      <c r="AG405" s="118"/>
      <c r="AH405" s="118"/>
    </row>
    <row r="406">
      <c r="A406" s="118"/>
      <c r="B406" s="52"/>
      <c r="C406" s="118"/>
      <c r="D406" s="52"/>
      <c r="E406" s="118"/>
      <c r="F406" s="152"/>
      <c r="G406" s="152"/>
      <c r="H406" s="152"/>
      <c r="I406" s="152"/>
      <c r="J406" s="152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  <c r="AA406" s="118"/>
      <c r="AB406" s="118"/>
      <c r="AC406" s="118"/>
      <c r="AD406" s="118"/>
      <c r="AE406" s="118"/>
      <c r="AF406" s="118"/>
      <c r="AG406" s="118"/>
      <c r="AH406" s="118"/>
    </row>
    <row r="407">
      <c r="A407" s="118"/>
      <c r="B407" s="52"/>
      <c r="C407" s="118"/>
      <c r="D407" s="52"/>
      <c r="E407" s="118"/>
      <c r="F407" s="152"/>
      <c r="G407" s="152"/>
      <c r="H407" s="152"/>
      <c r="I407" s="152"/>
      <c r="J407" s="152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  <c r="AA407" s="118"/>
      <c r="AB407" s="118"/>
      <c r="AC407" s="118"/>
      <c r="AD407" s="118"/>
      <c r="AE407" s="118"/>
      <c r="AF407" s="118"/>
      <c r="AG407" s="118"/>
      <c r="AH407" s="118"/>
    </row>
    <row r="408">
      <c r="A408" s="118"/>
      <c r="B408" s="52"/>
      <c r="C408" s="118"/>
      <c r="D408" s="52"/>
      <c r="E408" s="118"/>
      <c r="F408" s="152"/>
      <c r="G408" s="152"/>
      <c r="H408" s="152"/>
      <c r="I408" s="152"/>
      <c r="J408" s="152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  <c r="AA408" s="118"/>
      <c r="AB408" s="118"/>
      <c r="AC408" s="118"/>
      <c r="AD408" s="118"/>
      <c r="AE408" s="118"/>
      <c r="AF408" s="118"/>
      <c r="AG408" s="118"/>
      <c r="AH408" s="118"/>
    </row>
    <row r="409">
      <c r="A409" s="118"/>
      <c r="B409" s="52"/>
      <c r="C409" s="118"/>
      <c r="D409" s="52"/>
      <c r="E409" s="118"/>
      <c r="F409" s="152"/>
      <c r="G409" s="152"/>
      <c r="H409" s="152"/>
      <c r="I409" s="152"/>
      <c r="J409" s="152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  <c r="AA409" s="118"/>
      <c r="AB409" s="118"/>
      <c r="AC409" s="118"/>
      <c r="AD409" s="118"/>
      <c r="AE409" s="118"/>
      <c r="AF409" s="118"/>
      <c r="AG409" s="118"/>
      <c r="AH409" s="118"/>
    </row>
    <row r="410">
      <c r="A410" s="118"/>
      <c r="B410" s="52"/>
      <c r="C410" s="118"/>
      <c r="D410" s="52"/>
      <c r="E410" s="118"/>
      <c r="F410" s="152"/>
      <c r="G410" s="152"/>
      <c r="H410" s="152"/>
      <c r="I410" s="152"/>
      <c r="J410" s="152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  <c r="AA410" s="118"/>
      <c r="AB410" s="118"/>
      <c r="AC410" s="118"/>
      <c r="AD410" s="118"/>
      <c r="AE410" s="118"/>
      <c r="AF410" s="118"/>
      <c r="AG410" s="118"/>
      <c r="AH410" s="118"/>
    </row>
    <row r="411">
      <c r="A411" s="118"/>
      <c r="B411" s="52"/>
      <c r="C411" s="118"/>
      <c r="D411" s="52"/>
      <c r="E411" s="118"/>
      <c r="F411" s="152"/>
      <c r="G411" s="152"/>
      <c r="H411" s="152"/>
      <c r="I411" s="152"/>
      <c r="J411" s="152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  <c r="AA411" s="118"/>
      <c r="AB411" s="118"/>
      <c r="AC411" s="118"/>
      <c r="AD411" s="118"/>
      <c r="AE411" s="118"/>
      <c r="AF411" s="118"/>
      <c r="AG411" s="118"/>
      <c r="AH411" s="118"/>
    </row>
    <row r="412">
      <c r="A412" s="118"/>
      <c r="B412" s="52"/>
      <c r="C412" s="118"/>
      <c r="D412" s="52"/>
      <c r="E412" s="118"/>
      <c r="F412" s="152"/>
      <c r="G412" s="152"/>
      <c r="H412" s="152"/>
      <c r="I412" s="152"/>
      <c r="J412" s="152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  <c r="AA412" s="118"/>
      <c r="AB412" s="118"/>
      <c r="AC412" s="118"/>
      <c r="AD412" s="118"/>
      <c r="AE412" s="118"/>
      <c r="AF412" s="118"/>
      <c r="AG412" s="118"/>
      <c r="AH412" s="118"/>
    </row>
    <row r="413">
      <c r="A413" s="118"/>
      <c r="B413" s="52"/>
      <c r="C413" s="118"/>
      <c r="D413" s="52"/>
      <c r="E413" s="118"/>
      <c r="F413" s="152"/>
      <c r="G413" s="152"/>
      <c r="H413" s="152"/>
      <c r="I413" s="152"/>
      <c r="J413" s="152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  <c r="AA413" s="118"/>
      <c r="AB413" s="118"/>
      <c r="AC413" s="118"/>
      <c r="AD413" s="118"/>
      <c r="AE413" s="118"/>
      <c r="AF413" s="118"/>
      <c r="AG413" s="118"/>
      <c r="AH413" s="118"/>
    </row>
    <row r="414">
      <c r="A414" s="118"/>
      <c r="B414" s="52"/>
      <c r="C414" s="118"/>
      <c r="D414" s="52"/>
      <c r="E414" s="118"/>
      <c r="F414" s="152"/>
      <c r="G414" s="152"/>
      <c r="H414" s="152"/>
      <c r="I414" s="152"/>
      <c r="J414" s="152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  <c r="AA414" s="118"/>
      <c r="AB414" s="118"/>
      <c r="AC414" s="118"/>
      <c r="AD414" s="118"/>
      <c r="AE414" s="118"/>
      <c r="AF414" s="118"/>
      <c r="AG414" s="118"/>
      <c r="AH414" s="118"/>
    </row>
    <row r="415">
      <c r="A415" s="118"/>
      <c r="B415" s="52"/>
      <c r="C415" s="118"/>
      <c r="D415" s="52"/>
      <c r="E415" s="118"/>
      <c r="F415" s="152"/>
      <c r="G415" s="152"/>
      <c r="H415" s="152"/>
      <c r="I415" s="152"/>
      <c r="J415" s="152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  <c r="AA415" s="118"/>
      <c r="AB415" s="118"/>
      <c r="AC415" s="118"/>
      <c r="AD415" s="118"/>
      <c r="AE415" s="118"/>
      <c r="AF415" s="118"/>
      <c r="AG415" s="118"/>
      <c r="AH415" s="118"/>
    </row>
    <row r="416">
      <c r="A416" s="118"/>
      <c r="B416" s="52"/>
      <c r="C416" s="118"/>
      <c r="D416" s="52"/>
      <c r="E416" s="118"/>
      <c r="F416" s="152"/>
      <c r="G416" s="152"/>
      <c r="H416" s="152"/>
      <c r="I416" s="152"/>
      <c r="J416" s="152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  <c r="AA416" s="118"/>
      <c r="AB416" s="118"/>
      <c r="AC416" s="118"/>
      <c r="AD416" s="118"/>
      <c r="AE416" s="118"/>
      <c r="AF416" s="118"/>
      <c r="AG416" s="118"/>
      <c r="AH416" s="118"/>
    </row>
    <row r="417">
      <c r="A417" s="118"/>
      <c r="B417" s="52"/>
      <c r="C417" s="118"/>
      <c r="D417" s="52"/>
      <c r="E417" s="118"/>
      <c r="F417" s="152"/>
      <c r="G417" s="152"/>
      <c r="H417" s="152"/>
      <c r="I417" s="152"/>
      <c r="J417" s="152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  <c r="AA417" s="118"/>
      <c r="AB417" s="118"/>
      <c r="AC417" s="118"/>
      <c r="AD417" s="118"/>
      <c r="AE417" s="118"/>
      <c r="AF417" s="118"/>
      <c r="AG417" s="118"/>
      <c r="AH417" s="118"/>
    </row>
    <row r="418">
      <c r="A418" s="118"/>
      <c r="B418" s="52"/>
      <c r="C418" s="118"/>
      <c r="D418" s="52"/>
      <c r="E418" s="118"/>
      <c r="F418" s="152"/>
      <c r="G418" s="152"/>
      <c r="H418" s="152"/>
      <c r="I418" s="152"/>
      <c r="J418" s="152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  <c r="AA418" s="118"/>
      <c r="AB418" s="118"/>
      <c r="AC418" s="118"/>
      <c r="AD418" s="118"/>
      <c r="AE418" s="118"/>
      <c r="AF418" s="118"/>
      <c r="AG418" s="118"/>
      <c r="AH418" s="118"/>
    </row>
    <row r="419">
      <c r="A419" s="118"/>
      <c r="B419" s="52"/>
      <c r="C419" s="118"/>
      <c r="D419" s="52"/>
      <c r="E419" s="118"/>
      <c r="F419" s="152"/>
      <c r="G419" s="152"/>
      <c r="H419" s="152"/>
      <c r="I419" s="152"/>
      <c r="J419" s="152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  <c r="AA419" s="118"/>
      <c r="AB419" s="118"/>
      <c r="AC419" s="118"/>
      <c r="AD419" s="118"/>
      <c r="AE419" s="118"/>
      <c r="AF419" s="118"/>
      <c r="AG419" s="118"/>
      <c r="AH419" s="118"/>
    </row>
    <row r="420">
      <c r="A420" s="118"/>
      <c r="B420" s="52"/>
      <c r="C420" s="118"/>
      <c r="D420" s="52"/>
      <c r="E420" s="118"/>
      <c r="F420" s="152"/>
      <c r="G420" s="152"/>
      <c r="H420" s="152"/>
      <c r="I420" s="152"/>
      <c r="J420" s="152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  <c r="AA420" s="118"/>
      <c r="AB420" s="118"/>
      <c r="AC420" s="118"/>
      <c r="AD420" s="118"/>
      <c r="AE420" s="118"/>
      <c r="AF420" s="118"/>
      <c r="AG420" s="118"/>
      <c r="AH420" s="118"/>
    </row>
    <row r="421">
      <c r="A421" s="118"/>
      <c r="B421" s="52"/>
      <c r="C421" s="118"/>
      <c r="D421" s="52"/>
      <c r="E421" s="118"/>
      <c r="F421" s="152"/>
      <c r="G421" s="152"/>
      <c r="H421" s="152"/>
      <c r="I421" s="152"/>
      <c r="J421" s="152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  <c r="AA421" s="118"/>
      <c r="AB421" s="118"/>
      <c r="AC421" s="118"/>
      <c r="AD421" s="118"/>
      <c r="AE421" s="118"/>
      <c r="AF421" s="118"/>
      <c r="AG421" s="118"/>
      <c r="AH421" s="118"/>
    </row>
    <row r="422">
      <c r="A422" s="118"/>
      <c r="B422" s="52"/>
      <c r="C422" s="118"/>
      <c r="D422" s="52"/>
      <c r="E422" s="118"/>
      <c r="F422" s="152"/>
      <c r="G422" s="152"/>
      <c r="H422" s="152"/>
      <c r="I422" s="152"/>
      <c r="J422" s="152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  <c r="AA422" s="118"/>
      <c r="AB422" s="118"/>
      <c r="AC422" s="118"/>
      <c r="AD422" s="118"/>
      <c r="AE422" s="118"/>
      <c r="AF422" s="118"/>
      <c r="AG422" s="118"/>
      <c r="AH422" s="118"/>
    </row>
    <row r="423">
      <c r="A423" s="118"/>
      <c r="B423" s="52"/>
      <c r="C423" s="118"/>
      <c r="D423" s="52"/>
      <c r="E423" s="118"/>
      <c r="F423" s="152"/>
      <c r="G423" s="152"/>
      <c r="H423" s="152"/>
      <c r="I423" s="152"/>
      <c r="J423" s="152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  <c r="AA423" s="118"/>
      <c r="AB423" s="118"/>
      <c r="AC423" s="118"/>
      <c r="AD423" s="118"/>
      <c r="AE423" s="118"/>
      <c r="AF423" s="118"/>
      <c r="AG423" s="118"/>
      <c r="AH423" s="118"/>
    </row>
    <row r="424">
      <c r="A424" s="118"/>
      <c r="B424" s="52"/>
      <c r="C424" s="118"/>
      <c r="D424" s="52"/>
      <c r="E424" s="118"/>
      <c r="F424" s="152"/>
      <c r="G424" s="152"/>
      <c r="H424" s="152"/>
      <c r="I424" s="152"/>
      <c r="J424" s="152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  <c r="AA424" s="118"/>
      <c r="AB424" s="118"/>
      <c r="AC424" s="118"/>
      <c r="AD424" s="118"/>
      <c r="AE424" s="118"/>
      <c r="AF424" s="118"/>
      <c r="AG424" s="118"/>
      <c r="AH424" s="118"/>
    </row>
    <row r="425">
      <c r="A425" s="118"/>
      <c r="B425" s="52"/>
      <c r="C425" s="118"/>
      <c r="D425" s="52"/>
      <c r="E425" s="118"/>
      <c r="F425" s="152"/>
      <c r="G425" s="152"/>
      <c r="H425" s="152"/>
      <c r="I425" s="152"/>
      <c r="J425" s="152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  <c r="AA425" s="118"/>
      <c r="AB425" s="118"/>
      <c r="AC425" s="118"/>
      <c r="AD425" s="118"/>
      <c r="AE425" s="118"/>
      <c r="AF425" s="118"/>
      <c r="AG425" s="118"/>
      <c r="AH425" s="118"/>
    </row>
    <row r="426">
      <c r="A426" s="118"/>
      <c r="B426" s="52"/>
      <c r="C426" s="118"/>
      <c r="D426" s="52"/>
      <c r="E426" s="118"/>
      <c r="F426" s="152"/>
      <c r="G426" s="152"/>
      <c r="H426" s="152"/>
      <c r="I426" s="152"/>
      <c r="J426" s="152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  <c r="AA426" s="118"/>
      <c r="AB426" s="118"/>
      <c r="AC426" s="118"/>
      <c r="AD426" s="118"/>
      <c r="AE426" s="118"/>
      <c r="AF426" s="118"/>
      <c r="AG426" s="118"/>
      <c r="AH426" s="118"/>
    </row>
    <row r="427">
      <c r="A427" s="118"/>
      <c r="B427" s="52"/>
      <c r="C427" s="118"/>
      <c r="D427" s="52"/>
      <c r="E427" s="118"/>
      <c r="F427" s="152"/>
      <c r="G427" s="152"/>
      <c r="H427" s="152"/>
      <c r="I427" s="152"/>
      <c r="J427" s="152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  <c r="AA427" s="118"/>
      <c r="AB427" s="118"/>
      <c r="AC427" s="118"/>
      <c r="AD427" s="118"/>
      <c r="AE427" s="118"/>
      <c r="AF427" s="118"/>
      <c r="AG427" s="118"/>
      <c r="AH427" s="118"/>
    </row>
    <row r="428">
      <c r="A428" s="118"/>
      <c r="B428" s="52"/>
      <c r="C428" s="118"/>
      <c r="D428" s="52"/>
      <c r="E428" s="118"/>
      <c r="F428" s="152"/>
      <c r="G428" s="152"/>
      <c r="H428" s="152"/>
      <c r="I428" s="152"/>
      <c r="J428" s="152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  <c r="AA428" s="118"/>
      <c r="AB428" s="118"/>
      <c r="AC428" s="118"/>
      <c r="AD428" s="118"/>
      <c r="AE428" s="118"/>
      <c r="AF428" s="118"/>
      <c r="AG428" s="118"/>
      <c r="AH428" s="118"/>
    </row>
    <row r="429">
      <c r="A429" s="118"/>
      <c r="B429" s="52"/>
      <c r="C429" s="118"/>
      <c r="D429" s="52"/>
      <c r="E429" s="118"/>
      <c r="F429" s="152"/>
      <c r="G429" s="152"/>
      <c r="H429" s="152"/>
      <c r="I429" s="152"/>
      <c r="J429" s="152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  <c r="AA429" s="118"/>
      <c r="AB429" s="118"/>
      <c r="AC429" s="118"/>
      <c r="AD429" s="118"/>
      <c r="AE429" s="118"/>
      <c r="AF429" s="118"/>
      <c r="AG429" s="118"/>
      <c r="AH429" s="118"/>
    </row>
    <row r="430">
      <c r="A430" s="118"/>
      <c r="B430" s="52"/>
      <c r="C430" s="118"/>
      <c r="D430" s="52"/>
      <c r="E430" s="118"/>
      <c r="F430" s="152"/>
      <c r="G430" s="152"/>
      <c r="H430" s="152"/>
      <c r="I430" s="152"/>
      <c r="J430" s="152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  <c r="AA430" s="118"/>
      <c r="AB430" s="118"/>
      <c r="AC430" s="118"/>
      <c r="AD430" s="118"/>
      <c r="AE430" s="118"/>
      <c r="AF430" s="118"/>
      <c r="AG430" s="118"/>
      <c r="AH430" s="118"/>
    </row>
    <row r="431">
      <c r="A431" s="118"/>
      <c r="B431" s="52"/>
      <c r="C431" s="118"/>
      <c r="D431" s="52"/>
      <c r="E431" s="118"/>
      <c r="F431" s="152"/>
      <c r="G431" s="152"/>
      <c r="H431" s="152"/>
      <c r="I431" s="152"/>
      <c r="J431" s="152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  <c r="AA431" s="118"/>
      <c r="AB431" s="118"/>
      <c r="AC431" s="118"/>
      <c r="AD431" s="118"/>
      <c r="AE431" s="118"/>
      <c r="AF431" s="118"/>
      <c r="AG431" s="118"/>
      <c r="AH431" s="118"/>
    </row>
    <row r="432">
      <c r="A432" s="118"/>
      <c r="B432" s="52"/>
      <c r="C432" s="118"/>
      <c r="D432" s="52"/>
      <c r="E432" s="118"/>
      <c r="F432" s="152"/>
      <c r="G432" s="152"/>
      <c r="H432" s="152"/>
      <c r="I432" s="152"/>
      <c r="J432" s="152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  <c r="AA432" s="118"/>
      <c r="AB432" s="118"/>
      <c r="AC432" s="118"/>
      <c r="AD432" s="118"/>
      <c r="AE432" s="118"/>
      <c r="AF432" s="118"/>
      <c r="AG432" s="118"/>
      <c r="AH432" s="118"/>
    </row>
    <row r="433">
      <c r="A433" s="118"/>
      <c r="B433" s="52"/>
      <c r="C433" s="118"/>
      <c r="D433" s="52"/>
      <c r="E433" s="118"/>
      <c r="F433" s="152"/>
      <c r="G433" s="152"/>
      <c r="H433" s="152"/>
      <c r="I433" s="152"/>
      <c r="J433" s="152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  <c r="AA433" s="118"/>
      <c r="AB433" s="118"/>
      <c r="AC433" s="118"/>
      <c r="AD433" s="118"/>
      <c r="AE433" s="118"/>
      <c r="AF433" s="118"/>
      <c r="AG433" s="118"/>
      <c r="AH433" s="118"/>
    </row>
    <row r="434">
      <c r="A434" s="118"/>
      <c r="B434" s="52"/>
      <c r="C434" s="118"/>
      <c r="D434" s="52"/>
      <c r="E434" s="118"/>
      <c r="F434" s="152"/>
      <c r="G434" s="152"/>
      <c r="H434" s="152"/>
      <c r="I434" s="152"/>
      <c r="J434" s="152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  <c r="AA434" s="118"/>
      <c r="AB434" s="118"/>
      <c r="AC434" s="118"/>
      <c r="AD434" s="118"/>
      <c r="AE434" s="118"/>
      <c r="AF434" s="118"/>
      <c r="AG434" s="118"/>
      <c r="AH434" s="118"/>
    </row>
    <row r="435">
      <c r="A435" s="118"/>
      <c r="B435" s="52"/>
      <c r="C435" s="118"/>
      <c r="D435" s="52"/>
      <c r="E435" s="118"/>
      <c r="F435" s="152"/>
      <c r="G435" s="152"/>
      <c r="H435" s="152"/>
      <c r="I435" s="152"/>
      <c r="J435" s="152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  <c r="AA435" s="118"/>
      <c r="AB435" s="118"/>
      <c r="AC435" s="118"/>
      <c r="AD435" s="118"/>
      <c r="AE435" s="118"/>
      <c r="AF435" s="118"/>
      <c r="AG435" s="118"/>
      <c r="AH435" s="118"/>
    </row>
    <row r="436">
      <c r="A436" s="118"/>
      <c r="B436" s="52"/>
      <c r="C436" s="118"/>
      <c r="D436" s="52"/>
      <c r="E436" s="118"/>
      <c r="F436" s="152"/>
      <c r="G436" s="152"/>
      <c r="H436" s="152"/>
      <c r="I436" s="152"/>
      <c r="J436" s="152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  <c r="AA436" s="118"/>
      <c r="AB436" s="118"/>
      <c r="AC436" s="118"/>
      <c r="AD436" s="118"/>
      <c r="AE436" s="118"/>
      <c r="AF436" s="118"/>
      <c r="AG436" s="118"/>
      <c r="AH436" s="118"/>
    </row>
    <row r="437">
      <c r="A437" s="118"/>
      <c r="B437" s="52"/>
      <c r="C437" s="118"/>
      <c r="D437" s="52"/>
      <c r="E437" s="118"/>
      <c r="F437" s="152"/>
      <c r="G437" s="152"/>
      <c r="H437" s="152"/>
      <c r="I437" s="152"/>
      <c r="J437" s="152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  <c r="AA437" s="118"/>
      <c r="AB437" s="118"/>
      <c r="AC437" s="118"/>
      <c r="AD437" s="118"/>
      <c r="AE437" s="118"/>
      <c r="AF437" s="118"/>
      <c r="AG437" s="118"/>
      <c r="AH437" s="118"/>
    </row>
    <row r="438">
      <c r="A438" s="118"/>
      <c r="B438" s="52"/>
      <c r="C438" s="118"/>
      <c r="D438" s="52"/>
      <c r="E438" s="118"/>
      <c r="F438" s="152"/>
      <c r="G438" s="152"/>
      <c r="H438" s="152"/>
      <c r="I438" s="152"/>
      <c r="J438" s="152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  <c r="AA438" s="118"/>
      <c r="AB438" s="118"/>
      <c r="AC438" s="118"/>
      <c r="AD438" s="118"/>
      <c r="AE438" s="118"/>
      <c r="AF438" s="118"/>
      <c r="AG438" s="118"/>
      <c r="AH438" s="118"/>
    </row>
    <row r="439">
      <c r="A439" s="118"/>
      <c r="B439" s="52"/>
      <c r="C439" s="118"/>
      <c r="D439" s="52"/>
      <c r="E439" s="118"/>
      <c r="F439" s="152"/>
      <c r="G439" s="152"/>
      <c r="H439" s="152"/>
      <c r="I439" s="152"/>
      <c r="J439" s="152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  <c r="AA439" s="118"/>
      <c r="AB439" s="118"/>
      <c r="AC439" s="118"/>
      <c r="AD439" s="118"/>
      <c r="AE439" s="118"/>
      <c r="AF439" s="118"/>
      <c r="AG439" s="118"/>
      <c r="AH439" s="118"/>
    </row>
    <row r="440">
      <c r="A440" s="118"/>
      <c r="B440" s="52"/>
      <c r="C440" s="118"/>
      <c r="D440" s="52"/>
      <c r="E440" s="118"/>
      <c r="F440" s="152"/>
      <c r="G440" s="152"/>
      <c r="H440" s="152"/>
      <c r="I440" s="152"/>
      <c r="J440" s="152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  <c r="AA440" s="118"/>
      <c r="AB440" s="118"/>
      <c r="AC440" s="118"/>
      <c r="AD440" s="118"/>
      <c r="AE440" s="118"/>
      <c r="AF440" s="118"/>
      <c r="AG440" s="118"/>
      <c r="AH440" s="118"/>
    </row>
    <row r="441">
      <c r="A441" s="118"/>
      <c r="B441" s="52"/>
      <c r="C441" s="118"/>
      <c r="D441" s="52"/>
      <c r="E441" s="118"/>
      <c r="F441" s="152"/>
      <c r="G441" s="152"/>
      <c r="H441" s="152"/>
      <c r="I441" s="152"/>
      <c r="J441" s="152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  <c r="AA441" s="118"/>
      <c r="AB441" s="118"/>
      <c r="AC441" s="118"/>
      <c r="AD441" s="118"/>
      <c r="AE441" s="118"/>
      <c r="AF441" s="118"/>
      <c r="AG441" s="118"/>
      <c r="AH441" s="118"/>
    </row>
    <row r="442">
      <c r="A442" s="118"/>
      <c r="B442" s="52"/>
      <c r="C442" s="118"/>
      <c r="D442" s="52"/>
      <c r="E442" s="118"/>
      <c r="F442" s="152"/>
      <c r="G442" s="152"/>
      <c r="H442" s="152"/>
      <c r="I442" s="152"/>
      <c r="J442" s="152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  <c r="AA442" s="118"/>
      <c r="AB442" s="118"/>
      <c r="AC442" s="118"/>
      <c r="AD442" s="118"/>
      <c r="AE442" s="118"/>
      <c r="AF442" s="118"/>
      <c r="AG442" s="118"/>
      <c r="AH442" s="118"/>
    </row>
    <row r="443">
      <c r="A443" s="118"/>
      <c r="B443" s="52"/>
      <c r="C443" s="118"/>
      <c r="D443" s="52"/>
      <c r="E443" s="118"/>
      <c r="F443" s="152"/>
      <c r="G443" s="152"/>
      <c r="H443" s="152"/>
      <c r="I443" s="152"/>
      <c r="J443" s="152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  <c r="AA443" s="118"/>
      <c r="AB443" s="118"/>
      <c r="AC443" s="118"/>
      <c r="AD443" s="118"/>
      <c r="AE443" s="118"/>
      <c r="AF443" s="118"/>
      <c r="AG443" s="118"/>
      <c r="AH443" s="118"/>
    </row>
    <row r="444">
      <c r="A444" s="118"/>
      <c r="B444" s="52"/>
      <c r="C444" s="118"/>
      <c r="D444" s="52"/>
      <c r="E444" s="118"/>
      <c r="F444" s="152"/>
      <c r="G444" s="152"/>
      <c r="H444" s="152"/>
      <c r="I444" s="152"/>
      <c r="J444" s="152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  <c r="AA444" s="118"/>
      <c r="AB444" s="118"/>
      <c r="AC444" s="118"/>
      <c r="AD444" s="118"/>
      <c r="AE444" s="118"/>
      <c r="AF444" s="118"/>
      <c r="AG444" s="118"/>
      <c r="AH444" s="118"/>
    </row>
    <row r="445">
      <c r="A445" s="118"/>
      <c r="B445" s="52"/>
      <c r="C445" s="118"/>
      <c r="D445" s="52"/>
      <c r="E445" s="118"/>
      <c r="F445" s="152"/>
      <c r="G445" s="152"/>
      <c r="H445" s="152"/>
      <c r="I445" s="152"/>
      <c r="J445" s="152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  <c r="AA445" s="118"/>
      <c r="AB445" s="118"/>
      <c r="AC445" s="118"/>
      <c r="AD445" s="118"/>
      <c r="AE445" s="118"/>
      <c r="AF445" s="118"/>
      <c r="AG445" s="118"/>
      <c r="AH445" s="118"/>
    </row>
    <row r="446">
      <c r="A446" s="118"/>
      <c r="B446" s="52"/>
      <c r="C446" s="118"/>
      <c r="D446" s="52"/>
      <c r="E446" s="118"/>
      <c r="F446" s="152"/>
      <c r="G446" s="152"/>
      <c r="H446" s="152"/>
      <c r="I446" s="152"/>
      <c r="J446" s="152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  <c r="AA446" s="118"/>
      <c r="AB446" s="118"/>
      <c r="AC446" s="118"/>
      <c r="AD446" s="118"/>
      <c r="AE446" s="118"/>
      <c r="AF446" s="118"/>
      <c r="AG446" s="118"/>
      <c r="AH446" s="118"/>
    </row>
    <row r="447">
      <c r="A447" s="118"/>
      <c r="B447" s="52"/>
      <c r="C447" s="118"/>
      <c r="D447" s="52"/>
      <c r="E447" s="118"/>
      <c r="F447" s="152"/>
      <c r="G447" s="152"/>
      <c r="H447" s="152"/>
      <c r="I447" s="152"/>
      <c r="J447" s="152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  <c r="AA447" s="118"/>
      <c r="AB447" s="118"/>
      <c r="AC447" s="118"/>
      <c r="AD447" s="118"/>
      <c r="AE447" s="118"/>
      <c r="AF447" s="118"/>
      <c r="AG447" s="118"/>
      <c r="AH447" s="118"/>
    </row>
    <row r="448">
      <c r="A448" s="118"/>
      <c r="B448" s="52"/>
      <c r="C448" s="118"/>
      <c r="D448" s="52"/>
      <c r="E448" s="118"/>
      <c r="F448" s="152"/>
      <c r="G448" s="152"/>
      <c r="H448" s="152"/>
      <c r="I448" s="152"/>
      <c r="J448" s="152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  <c r="AA448" s="118"/>
      <c r="AB448" s="118"/>
      <c r="AC448" s="118"/>
      <c r="AD448" s="118"/>
      <c r="AE448" s="118"/>
      <c r="AF448" s="118"/>
      <c r="AG448" s="118"/>
      <c r="AH448" s="118"/>
    </row>
    <row r="449">
      <c r="A449" s="118"/>
      <c r="B449" s="52"/>
      <c r="C449" s="118"/>
      <c r="D449" s="52"/>
      <c r="E449" s="118"/>
      <c r="F449" s="152"/>
      <c r="G449" s="152"/>
      <c r="H449" s="152"/>
      <c r="I449" s="152"/>
      <c r="J449" s="152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  <c r="AA449" s="118"/>
      <c r="AB449" s="118"/>
      <c r="AC449" s="118"/>
      <c r="AD449" s="118"/>
      <c r="AE449" s="118"/>
      <c r="AF449" s="118"/>
      <c r="AG449" s="118"/>
      <c r="AH449" s="118"/>
    </row>
    <row r="450">
      <c r="A450" s="118"/>
      <c r="B450" s="52"/>
      <c r="C450" s="118"/>
      <c r="D450" s="52"/>
      <c r="E450" s="118"/>
      <c r="F450" s="152"/>
      <c r="G450" s="152"/>
      <c r="H450" s="152"/>
      <c r="I450" s="152"/>
      <c r="J450" s="152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  <c r="AA450" s="118"/>
      <c r="AB450" s="118"/>
      <c r="AC450" s="118"/>
      <c r="AD450" s="118"/>
      <c r="AE450" s="118"/>
      <c r="AF450" s="118"/>
      <c r="AG450" s="118"/>
      <c r="AH450" s="118"/>
    </row>
    <row r="451">
      <c r="A451" s="118"/>
      <c r="B451" s="52"/>
      <c r="C451" s="118"/>
      <c r="D451" s="52"/>
      <c r="E451" s="118"/>
      <c r="F451" s="152"/>
      <c r="G451" s="152"/>
      <c r="H451" s="152"/>
      <c r="I451" s="152"/>
      <c r="J451" s="152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  <c r="AA451" s="118"/>
      <c r="AB451" s="118"/>
      <c r="AC451" s="118"/>
      <c r="AD451" s="118"/>
      <c r="AE451" s="118"/>
      <c r="AF451" s="118"/>
      <c r="AG451" s="118"/>
      <c r="AH451" s="118"/>
    </row>
    <row r="452">
      <c r="A452" s="118"/>
      <c r="B452" s="52"/>
      <c r="C452" s="118"/>
      <c r="D452" s="52"/>
      <c r="E452" s="118"/>
      <c r="F452" s="152"/>
      <c r="G452" s="152"/>
      <c r="H452" s="152"/>
      <c r="I452" s="152"/>
      <c r="J452" s="152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  <c r="AA452" s="118"/>
      <c r="AB452" s="118"/>
      <c r="AC452" s="118"/>
      <c r="AD452" s="118"/>
      <c r="AE452" s="118"/>
      <c r="AF452" s="118"/>
      <c r="AG452" s="118"/>
      <c r="AH452" s="118"/>
    </row>
    <row r="453">
      <c r="A453" s="118"/>
      <c r="B453" s="52"/>
      <c r="C453" s="118"/>
      <c r="D453" s="52"/>
      <c r="E453" s="118"/>
      <c r="F453" s="152"/>
      <c r="G453" s="152"/>
      <c r="H453" s="152"/>
      <c r="I453" s="152"/>
      <c r="J453" s="152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  <c r="AA453" s="118"/>
      <c r="AB453" s="118"/>
      <c r="AC453" s="118"/>
      <c r="AD453" s="118"/>
      <c r="AE453" s="118"/>
      <c r="AF453" s="118"/>
      <c r="AG453" s="118"/>
      <c r="AH453" s="118"/>
    </row>
    <row r="454">
      <c r="A454" s="118"/>
      <c r="B454" s="52"/>
      <c r="C454" s="118"/>
      <c r="D454" s="52"/>
      <c r="E454" s="118"/>
      <c r="F454" s="152"/>
      <c r="G454" s="152"/>
      <c r="H454" s="152"/>
      <c r="I454" s="152"/>
      <c r="J454" s="152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  <c r="AA454" s="118"/>
      <c r="AB454" s="118"/>
      <c r="AC454" s="118"/>
      <c r="AD454" s="118"/>
      <c r="AE454" s="118"/>
      <c r="AF454" s="118"/>
      <c r="AG454" s="118"/>
      <c r="AH454" s="118"/>
    </row>
    <row r="455">
      <c r="A455" s="118"/>
      <c r="B455" s="52"/>
      <c r="C455" s="118"/>
      <c r="D455" s="52"/>
      <c r="E455" s="118"/>
      <c r="F455" s="152"/>
      <c r="G455" s="152"/>
      <c r="H455" s="152"/>
      <c r="I455" s="152"/>
      <c r="J455" s="152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  <c r="AA455" s="118"/>
      <c r="AB455" s="118"/>
      <c r="AC455" s="118"/>
      <c r="AD455" s="118"/>
      <c r="AE455" s="118"/>
      <c r="AF455" s="118"/>
      <c r="AG455" s="118"/>
      <c r="AH455" s="118"/>
    </row>
    <row r="456">
      <c r="A456" s="118"/>
      <c r="B456" s="52"/>
      <c r="C456" s="118"/>
      <c r="D456" s="52"/>
      <c r="E456" s="118"/>
      <c r="F456" s="152"/>
      <c r="G456" s="152"/>
      <c r="H456" s="152"/>
      <c r="I456" s="152"/>
      <c r="J456" s="152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  <c r="AA456" s="118"/>
      <c r="AB456" s="118"/>
      <c r="AC456" s="118"/>
      <c r="AD456" s="118"/>
      <c r="AE456" s="118"/>
      <c r="AF456" s="118"/>
      <c r="AG456" s="118"/>
      <c r="AH456" s="118"/>
    </row>
    <row r="457">
      <c r="A457" s="118"/>
      <c r="B457" s="52"/>
      <c r="C457" s="118"/>
      <c r="D457" s="52"/>
      <c r="E457" s="118"/>
      <c r="F457" s="152"/>
      <c r="G457" s="152"/>
      <c r="H457" s="152"/>
      <c r="I457" s="152"/>
      <c r="J457" s="152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  <c r="AA457" s="118"/>
      <c r="AB457" s="118"/>
      <c r="AC457" s="118"/>
      <c r="AD457" s="118"/>
      <c r="AE457" s="118"/>
      <c r="AF457" s="118"/>
      <c r="AG457" s="118"/>
      <c r="AH457" s="118"/>
    </row>
    <row r="458">
      <c r="A458" s="118"/>
      <c r="B458" s="52"/>
      <c r="C458" s="118"/>
      <c r="D458" s="52"/>
      <c r="E458" s="118"/>
      <c r="F458" s="152"/>
      <c r="G458" s="152"/>
      <c r="H458" s="152"/>
      <c r="I458" s="152"/>
      <c r="J458" s="152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  <c r="AA458" s="118"/>
      <c r="AB458" s="118"/>
      <c r="AC458" s="118"/>
      <c r="AD458" s="118"/>
      <c r="AE458" s="118"/>
      <c r="AF458" s="118"/>
      <c r="AG458" s="118"/>
      <c r="AH458" s="118"/>
    </row>
    <row r="459">
      <c r="A459" s="118"/>
      <c r="B459" s="52"/>
      <c r="C459" s="118"/>
      <c r="D459" s="52"/>
      <c r="E459" s="118"/>
      <c r="F459" s="152"/>
      <c r="G459" s="152"/>
      <c r="H459" s="152"/>
      <c r="I459" s="152"/>
      <c r="J459" s="152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  <c r="AA459" s="118"/>
      <c r="AB459" s="118"/>
      <c r="AC459" s="118"/>
      <c r="AD459" s="118"/>
      <c r="AE459" s="118"/>
      <c r="AF459" s="118"/>
      <c r="AG459" s="118"/>
      <c r="AH459" s="118"/>
    </row>
    <row r="460">
      <c r="A460" s="118"/>
      <c r="B460" s="52"/>
      <c r="C460" s="118"/>
      <c r="D460" s="52"/>
      <c r="E460" s="118"/>
      <c r="F460" s="152"/>
      <c r="G460" s="152"/>
      <c r="H460" s="152"/>
      <c r="I460" s="152"/>
      <c r="J460" s="152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  <c r="AA460" s="118"/>
      <c r="AB460" s="118"/>
      <c r="AC460" s="118"/>
      <c r="AD460" s="118"/>
      <c r="AE460" s="118"/>
      <c r="AF460" s="118"/>
      <c r="AG460" s="118"/>
      <c r="AH460" s="118"/>
    </row>
    <row r="461">
      <c r="A461" s="118"/>
      <c r="B461" s="52"/>
      <c r="C461" s="118"/>
      <c r="D461" s="52"/>
      <c r="E461" s="118"/>
      <c r="F461" s="152"/>
      <c r="G461" s="152"/>
      <c r="H461" s="152"/>
      <c r="I461" s="152"/>
      <c r="J461" s="152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  <c r="AA461" s="118"/>
      <c r="AB461" s="118"/>
      <c r="AC461" s="118"/>
      <c r="AD461" s="118"/>
      <c r="AE461" s="118"/>
      <c r="AF461" s="118"/>
      <c r="AG461" s="118"/>
      <c r="AH461" s="118"/>
    </row>
    <row r="462">
      <c r="A462" s="118"/>
      <c r="B462" s="52"/>
      <c r="C462" s="118"/>
      <c r="D462" s="52"/>
      <c r="E462" s="118"/>
      <c r="F462" s="152"/>
      <c r="G462" s="152"/>
      <c r="H462" s="152"/>
      <c r="I462" s="152"/>
      <c r="J462" s="152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  <c r="AA462" s="118"/>
      <c r="AB462" s="118"/>
      <c r="AC462" s="118"/>
      <c r="AD462" s="118"/>
      <c r="AE462" s="118"/>
      <c r="AF462" s="118"/>
      <c r="AG462" s="118"/>
      <c r="AH462" s="118"/>
    </row>
    <row r="463">
      <c r="A463" s="118"/>
      <c r="B463" s="52"/>
      <c r="C463" s="118"/>
      <c r="D463" s="52"/>
      <c r="E463" s="118"/>
      <c r="F463" s="152"/>
      <c r="G463" s="152"/>
      <c r="H463" s="152"/>
      <c r="I463" s="152"/>
      <c r="J463" s="152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  <c r="AA463" s="118"/>
      <c r="AB463" s="118"/>
      <c r="AC463" s="118"/>
      <c r="AD463" s="118"/>
      <c r="AE463" s="118"/>
      <c r="AF463" s="118"/>
      <c r="AG463" s="118"/>
      <c r="AH463" s="118"/>
    </row>
    <row r="464">
      <c r="A464" s="118"/>
      <c r="B464" s="52"/>
      <c r="C464" s="118"/>
      <c r="D464" s="52"/>
      <c r="E464" s="118"/>
      <c r="F464" s="152"/>
      <c r="G464" s="152"/>
      <c r="H464" s="152"/>
      <c r="I464" s="152"/>
      <c r="J464" s="152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  <c r="AA464" s="118"/>
      <c r="AB464" s="118"/>
      <c r="AC464" s="118"/>
      <c r="AD464" s="118"/>
      <c r="AE464" s="118"/>
      <c r="AF464" s="118"/>
      <c r="AG464" s="118"/>
      <c r="AH464" s="118"/>
    </row>
    <row r="465">
      <c r="A465" s="118"/>
      <c r="B465" s="52"/>
      <c r="C465" s="118"/>
      <c r="D465" s="52"/>
      <c r="E465" s="118"/>
      <c r="F465" s="152"/>
      <c r="G465" s="152"/>
      <c r="H465" s="152"/>
      <c r="I465" s="152"/>
      <c r="J465" s="152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  <c r="AA465" s="118"/>
      <c r="AB465" s="118"/>
      <c r="AC465" s="118"/>
      <c r="AD465" s="118"/>
      <c r="AE465" s="118"/>
      <c r="AF465" s="118"/>
      <c r="AG465" s="118"/>
      <c r="AH465" s="118"/>
    </row>
    <row r="466">
      <c r="A466" s="118"/>
      <c r="B466" s="52"/>
      <c r="C466" s="118"/>
      <c r="D466" s="52"/>
      <c r="E466" s="118"/>
      <c r="F466" s="152"/>
      <c r="G466" s="152"/>
      <c r="H466" s="152"/>
      <c r="I466" s="152"/>
      <c r="J466" s="152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  <c r="AA466" s="118"/>
      <c r="AB466" s="118"/>
      <c r="AC466" s="118"/>
      <c r="AD466" s="118"/>
      <c r="AE466" s="118"/>
      <c r="AF466" s="118"/>
      <c r="AG466" s="118"/>
      <c r="AH466" s="118"/>
    </row>
    <row r="467">
      <c r="A467" s="118"/>
      <c r="B467" s="52"/>
      <c r="C467" s="118"/>
      <c r="D467" s="52"/>
      <c r="E467" s="118"/>
      <c r="F467" s="152"/>
      <c r="G467" s="152"/>
      <c r="H467" s="152"/>
      <c r="I467" s="152"/>
      <c r="J467" s="152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  <c r="AA467" s="118"/>
      <c r="AB467" s="118"/>
      <c r="AC467" s="118"/>
      <c r="AD467" s="118"/>
      <c r="AE467" s="118"/>
      <c r="AF467" s="118"/>
      <c r="AG467" s="118"/>
      <c r="AH467" s="118"/>
    </row>
    <row r="468">
      <c r="A468" s="118"/>
      <c r="B468" s="52"/>
      <c r="C468" s="118"/>
      <c r="D468" s="52"/>
      <c r="E468" s="118"/>
      <c r="F468" s="152"/>
      <c r="G468" s="152"/>
      <c r="H468" s="152"/>
      <c r="I468" s="152"/>
      <c r="J468" s="152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  <c r="AA468" s="118"/>
      <c r="AB468" s="118"/>
      <c r="AC468" s="118"/>
      <c r="AD468" s="118"/>
      <c r="AE468" s="118"/>
      <c r="AF468" s="118"/>
      <c r="AG468" s="118"/>
      <c r="AH468" s="118"/>
    </row>
    <row r="469">
      <c r="A469" s="118"/>
      <c r="B469" s="52"/>
      <c r="C469" s="118"/>
      <c r="D469" s="52"/>
      <c r="E469" s="118"/>
      <c r="F469" s="152"/>
      <c r="G469" s="152"/>
      <c r="H469" s="152"/>
      <c r="I469" s="152"/>
      <c r="J469" s="152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  <c r="AA469" s="118"/>
      <c r="AB469" s="118"/>
      <c r="AC469" s="118"/>
      <c r="AD469" s="118"/>
      <c r="AE469" s="118"/>
      <c r="AF469" s="118"/>
      <c r="AG469" s="118"/>
      <c r="AH469" s="118"/>
    </row>
    <row r="470">
      <c r="A470" s="118"/>
      <c r="B470" s="52"/>
      <c r="C470" s="118"/>
      <c r="D470" s="52"/>
      <c r="E470" s="118"/>
      <c r="F470" s="152"/>
      <c r="G470" s="152"/>
      <c r="H470" s="152"/>
      <c r="I470" s="152"/>
      <c r="J470" s="152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  <c r="AA470" s="118"/>
      <c r="AB470" s="118"/>
      <c r="AC470" s="118"/>
      <c r="AD470" s="118"/>
      <c r="AE470" s="118"/>
      <c r="AF470" s="118"/>
      <c r="AG470" s="118"/>
      <c r="AH470" s="118"/>
    </row>
    <row r="471">
      <c r="A471" s="118"/>
      <c r="B471" s="52"/>
      <c r="C471" s="118"/>
      <c r="D471" s="52"/>
      <c r="E471" s="118"/>
      <c r="F471" s="152"/>
      <c r="G471" s="152"/>
      <c r="H471" s="152"/>
      <c r="I471" s="152"/>
      <c r="J471" s="152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  <c r="AA471" s="118"/>
      <c r="AB471" s="118"/>
      <c r="AC471" s="118"/>
      <c r="AD471" s="118"/>
      <c r="AE471" s="118"/>
      <c r="AF471" s="118"/>
      <c r="AG471" s="118"/>
      <c r="AH471" s="118"/>
    </row>
    <row r="472">
      <c r="A472" s="118"/>
      <c r="B472" s="52"/>
      <c r="C472" s="118"/>
      <c r="D472" s="52"/>
      <c r="E472" s="118"/>
      <c r="F472" s="152"/>
      <c r="G472" s="152"/>
      <c r="H472" s="152"/>
      <c r="I472" s="152"/>
      <c r="J472" s="152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  <c r="AA472" s="118"/>
      <c r="AB472" s="118"/>
      <c r="AC472" s="118"/>
      <c r="AD472" s="118"/>
      <c r="AE472" s="118"/>
      <c r="AF472" s="118"/>
      <c r="AG472" s="118"/>
      <c r="AH472" s="118"/>
    </row>
    <row r="473">
      <c r="A473" s="118"/>
      <c r="B473" s="52"/>
      <c r="C473" s="118"/>
      <c r="D473" s="52"/>
      <c r="E473" s="118"/>
      <c r="F473" s="152"/>
      <c r="G473" s="152"/>
      <c r="H473" s="152"/>
      <c r="I473" s="152"/>
      <c r="J473" s="152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  <c r="AA473" s="118"/>
      <c r="AB473" s="118"/>
      <c r="AC473" s="118"/>
      <c r="AD473" s="118"/>
      <c r="AE473" s="118"/>
      <c r="AF473" s="118"/>
      <c r="AG473" s="118"/>
      <c r="AH473" s="118"/>
    </row>
    <row r="474">
      <c r="A474" s="118"/>
      <c r="B474" s="52"/>
      <c r="C474" s="118"/>
      <c r="D474" s="52"/>
      <c r="E474" s="118"/>
      <c r="F474" s="152"/>
      <c r="G474" s="152"/>
      <c r="H474" s="152"/>
      <c r="I474" s="152"/>
      <c r="J474" s="152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  <c r="AA474" s="118"/>
      <c r="AB474" s="118"/>
      <c r="AC474" s="118"/>
      <c r="AD474" s="118"/>
      <c r="AE474" s="118"/>
      <c r="AF474" s="118"/>
      <c r="AG474" s="118"/>
      <c r="AH474" s="118"/>
    </row>
    <row r="475">
      <c r="A475" s="118"/>
      <c r="B475" s="52"/>
      <c r="C475" s="118"/>
      <c r="D475" s="52"/>
      <c r="E475" s="118"/>
      <c r="F475" s="152"/>
      <c r="G475" s="152"/>
      <c r="H475" s="152"/>
      <c r="I475" s="152"/>
      <c r="J475" s="152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  <c r="AA475" s="118"/>
      <c r="AB475" s="118"/>
      <c r="AC475" s="118"/>
      <c r="AD475" s="118"/>
      <c r="AE475" s="118"/>
      <c r="AF475" s="118"/>
      <c r="AG475" s="118"/>
      <c r="AH475" s="118"/>
    </row>
    <row r="476">
      <c r="A476" s="118"/>
      <c r="B476" s="52"/>
      <c r="C476" s="118"/>
      <c r="D476" s="52"/>
      <c r="E476" s="118"/>
      <c r="F476" s="152"/>
      <c r="G476" s="152"/>
      <c r="H476" s="152"/>
      <c r="I476" s="152"/>
      <c r="J476" s="152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  <c r="AA476" s="118"/>
      <c r="AB476" s="118"/>
      <c r="AC476" s="118"/>
      <c r="AD476" s="118"/>
      <c r="AE476" s="118"/>
      <c r="AF476" s="118"/>
      <c r="AG476" s="118"/>
      <c r="AH476" s="118"/>
    </row>
    <row r="477">
      <c r="A477" s="118"/>
      <c r="B477" s="52"/>
      <c r="C477" s="118"/>
      <c r="D477" s="52"/>
      <c r="E477" s="118"/>
      <c r="F477" s="152"/>
      <c r="G477" s="152"/>
      <c r="H477" s="152"/>
      <c r="I477" s="152"/>
      <c r="J477" s="152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  <c r="AA477" s="118"/>
      <c r="AB477" s="118"/>
      <c r="AC477" s="118"/>
      <c r="AD477" s="118"/>
      <c r="AE477" s="118"/>
      <c r="AF477" s="118"/>
      <c r="AG477" s="118"/>
      <c r="AH477" s="118"/>
    </row>
    <row r="478">
      <c r="A478" s="118"/>
      <c r="B478" s="52"/>
      <c r="C478" s="118"/>
      <c r="D478" s="52"/>
      <c r="E478" s="118"/>
      <c r="F478" s="152"/>
      <c r="G478" s="152"/>
      <c r="H478" s="152"/>
      <c r="I478" s="152"/>
      <c r="J478" s="152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  <c r="AA478" s="118"/>
      <c r="AB478" s="118"/>
      <c r="AC478" s="118"/>
      <c r="AD478" s="118"/>
      <c r="AE478" s="118"/>
      <c r="AF478" s="118"/>
      <c r="AG478" s="118"/>
      <c r="AH478" s="118"/>
    </row>
    <row r="479">
      <c r="A479" s="118"/>
      <c r="B479" s="52"/>
      <c r="C479" s="118"/>
      <c r="D479" s="52"/>
      <c r="E479" s="118"/>
      <c r="F479" s="152"/>
      <c r="G479" s="152"/>
      <c r="H479" s="152"/>
      <c r="I479" s="152"/>
      <c r="J479" s="152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  <c r="AA479" s="118"/>
      <c r="AB479" s="118"/>
      <c r="AC479" s="118"/>
      <c r="AD479" s="118"/>
      <c r="AE479" s="118"/>
      <c r="AF479" s="118"/>
      <c r="AG479" s="118"/>
      <c r="AH479" s="118"/>
    </row>
    <row r="480">
      <c r="A480" s="118"/>
      <c r="B480" s="52"/>
      <c r="C480" s="118"/>
      <c r="D480" s="52"/>
      <c r="E480" s="118"/>
      <c r="F480" s="152"/>
      <c r="G480" s="152"/>
      <c r="H480" s="152"/>
      <c r="I480" s="152"/>
      <c r="J480" s="152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  <c r="AA480" s="118"/>
      <c r="AB480" s="118"/>
      <c r="AC480" s="118"/>
      <c r="AD480" s="118"/>
      <c r="AE480" s="118"/>
      <c r="AF480" s="118"/>
      <c r="AG480" s="118"/>
      <c r="AH480" s="118"/>
    </row>
    <row r="481">
      <c r="A481" s="118"/>
      <c r="B481" s="52"/>
      <c r="C481" s="118"/>
      <c r="D481" s="52"/>
      <c r="E481" s="118"/>
      <c r="F481" s="152"/>
      <c r="G481" s="152"/>
      <c r="H481" s="152"/>
      <c r="I481" s="152"/>
      <c r="J481" s="152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  <c r="AA481" s="118"/>
      <c r="AB481" s="118"/>
      <c r="AC481" s="118"/>
      <c r="AD481" s="118"/>
      <c r="AE481" s="118"/>
      <c r="AF481" s="118"/>
      <c r="AG481" s="118"/>
      <c r="AH481" s="118"/>
    </row>
    <row r="482">
      <c r="A482" s="118"/>
      <c r="B482" s="52"/>
      <c r="C482" s="118"/>
      <c r="D482" s="52"/>
      <c r="E482" s="118"/>
      <c r="F482" s="152"/>
      <c r="G482" s="152"/>
      <c r="H482" s="152"/>
      <c r="I482" s="152"/>
      <c r="J482" s="152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  <c r="AA482" s="118"/>
      <c r="AB482" s="118"/>
      <c r="AC482" s="118"/>
      <c r="AD482" s="118"/>
      <c r="AE482" s="118"/>
      <c r="AF482" s="118"/>
      <c r="AG482" s="118"/>
      <c r="AH482" s="118"/>
    </row>
    <row r="483">
      <c r="A483" s="118"/>
      <c r="B483" s="52"/>
      <c r="C483" s="118"/>
      <c r="D483" s="52"/>
      <c r="E483" s="118"/>
      <c r="F483" s="152"/>
      <c r="G483" s="152"/>
      <c r="H483" s="152"/>
      <c r="I483" s="152"/>
      <c r="J483" s="152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  <c r="AA483" s="118"/>
      <c r="AB483" s="118"/>
      <c r="AC483" s="118"/>
      <c r="AD483" s="118"/>
      <c r="AE483" s="118"/>
      <c r="AF483" s="118"/>
      <c r="AG483" s="118"/>
      <c r="AH483" s="118"/>
    </row>
    <row r="484">
      <c r="A484" s="118"/>
      <c r="B484" s="52"/>
      <c r="C484" s="118"/>
      <c r="D484" s="52"/>
      <c r="E484" s="118"/>
      <c r="F484" s="152"/>
      <c r="G484" s="152"/>
      <c r="H484" s="152"/>
      <c r="I484" s="152"/>
      <c r="J484" s="152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  <c r="AA484" s="118"/>
      <c r="AB484" s="118"/>
      <c r="AC484" s="118"/>
      <c r="AD484" s="118"/>
      <c r="AE484" s="118"/>
      <c r="AF484" s="118"/>
      <c r="AG484" s="118"/>
      <c r="AH484" s="118"/>
    </row>
    <row r="485">
      <c r="A485" s="118"/>
      <c r="B485" s="52"/>
      <c r="C485" s="118"/>
      <c r="D485" s="52"/>
      <c r="E485" s="118"/>
      <c r="F485" s="152"/>
      <c r="G485" s="152"/>
      <c r="H485" s="152"/>
      <c r="I485" s="152"/>
      <c r="J485" s="152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  <c r="AA485" s="118"/>
      <c r="AB485" s="118"/>
      <c r="AC485" s="118"/>
      <c r="AD485" s="118"/>
      <c r="AE485" s="118"/>
      <c r="AF485" s="118"/>
      <c r="AG485" s="118"/>
      <c r="AH485" s="118"/>
    </row>
    <row r="486">
      <c r="A486" s="118"/>
      <c r="B486" s="52"/>
      <c r="C486" s="118"/>
      <c r="D486" s="52"/>
      <c r="E486" s="118"/>
      <c r="F486" s="152"/>
      <c r="G486" s="152"/>
      <c r="H486" s="152"/>
      <c r="I486" s="152"/>
      <c r="J486" s="152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  <c r="AA486" s="118"/>
      <c r="AB486" s="118"/>
      <c r="AC486" s="118"/>
      <c r="AD486" s="118"/>
      <c r="AE486" s="118"/>
      <c r="AF486" s="118"/>
      <c r="AG486" s="118"/>
      <c r="AH486" s="118"/>
    </row>
    <row r="487">
      <c r="A487" s="118"/>
      <c r="B487" s="52"/>
      <c r="C487" s="118"/>
      <c r="D487" s="52"/>
      <c r="E487" s="118"/>
      <c r="F487" s="152"/>
      <c r="G487" s="152"/>
      <c r="H487" s="152"/>
      <c r="I487" s="152"/>
      <c r="J487" s="152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  <c r="AA487" s="118"/>
      <c r="AB487" s="118"/>
      <c r="AC487" s="118"/>
      <c r="AD487" s="118"/>
      <c r="AE487" s="118"/>
      <c r="AF487" s="118"/>
      <c r="AG487" s="118"/>
      <c r="AH487" s="118"/>
    </row>
    <row r="488">
      <c r="A488" s="118"/>
      <c r="B488" s="52"/>
      <c r="C488" s="118"/>
      <c r="D488" s="52"/>
      <c r="E488" s="118"/>
      <c r="F488" s="152"/>
      <c r="G488" s="152"/>
      <c r="H488" s="152"/>
      <c r="I488" s="152"/>
      <c r="J488" s="152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  <c r="AA488" s="118"/>
      <c r="AB488" s="118"/>
      <c r="AC488" s="118"/>
      <c r="AD488" s="118"/>
      <c r="AE488" s="118"/>
      <c r="AF488" s="118"/>
      <c r="AG488" s="118"/>
      <c r="AH488" s="118"/>
    </row>
    <row r="489">
      <c r="A489" s="118"/>
      <c r="B489" s="52"/>
      <c r="C489" s="118"/>
      <c r="D489" s="52"/>
      <c r="E489" s="118"/>
      <c r="F489" s="152"/>
      <c r="G489" s="152"/>
      <c r="H489" s="152"/>
      <c r="I489" s="152"/>
      <c r="J489" s="152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  <c r="AA489" s="118"/>
      <c r="AB489" s="118"/>
      <c r="AC489" s="118"/>
      <c r="AD489" s="118"/>
      <c r="AE489" s="118"/>
      <c r="AF489" s="118"/>
      <c r="AG489" s="118"/>
      <c r="AH489" s="118"/>
    </row>
    <row r="490">
      <c r="A490" s="118"/>
      <c r="B490" s="52"/>
      <c r="C490" s="118"/>
      <c r="D490" s="52"/>
      <c r="E490" s="118"/>
      <c r="F490" s="152"/>
      <c r="G490" s="152"/>
      <c r="H490" s="152"/>
      <c r="I490" s="152"/>
      <c r="J490" s="152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  <c r="AA490" s="118"/>
      <c r="AB490" s="118"/>
      <c r="AC490" s="118"/>
      <c r="AD490" s="118"/>
      <c r="AE490" s="118"/>
      <c r="AF490" s="118"/>
      <c r="AG490" s="118"/>
      <c r="AH490" s="118"/>
    </row>
    <row r="491">
      <c r="A491" s="118"/>
      <c r="B491" s="52"/>
      <c r="C491" s="118"/>
      <c r="D491" s="52"/>
      <c r="E491" s="118"/>
      <c r="F491" s="152"/>
      <c r="G491" s="152"/>
      <c r="H491" s="152"/>
      <c r="I491" s="152"/>
      <c r="J491" s="152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  <c r="AA491" s="118"/>
      <c r="AB491" s="118"/>
      <c r="AC491" s="118"/>
      <c r="AD491" s="118"/>
      <c r="AE491" s="118"/>
      <c r="AF491" s="118"/>
      <c r="AG491" s="118"/>
      <c r="AH491" s="118"/>
    </row>
    <row r="492">
      <c r="A492" s="118"/>
      <c r="B492" s="52"/>
      <c r="C492" s="118"/>
      <c r="D492" s="52"/>
      <c r="E492" s="118"/>
      <c r="F492" s="152"/>
      <c r="G492" s="152"/>
      <c r="H492" s="152"/>
      <c r="I492" s="152"/>
      <c r="J492" s="152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  <c r="AA492" s="118"/>
      <c r="AB492" s="118"/>
      <c r="AC492" s="118"/>
      <c r="AD492" s="118"/>
      <c r="AE492" s="118"/>
      <c r="AF492" s="118"/>
      <c r="AG492" s="118"/>
      <c r="AH492" s="118"/>
    </row>
    <row r="493">
      <c r="A493" s="118"/>
      <c r="B493" s="52"/>
      <c r="C493" s="118"/>
      <c r="D493" s="52"/>
      <c r="E493" s="118"/>
      <c r="F493" s="152"/>
      <c r="G493" s="152"/>
      <c r="H493" s="152"/>
      <c r="I493" s="152"/>
      <c r="J493" s="152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  <c r="AA493" s="118"/>
      <c r="AB493" s="118"/>
      <c r="AC493" s="118"/>
      <c r="AD493" s="118"/>
      <c r="AE493" s="118"/>
      <c r="AF493" s="118"/>
      <c r="AG493" s="118"/>
      <c r="AH493" s="118"/>
    </row>
    <row r="494">
      <c r="A494" s="118"/>
      <c r="B494" s="52"/>
      <c r="C494" s="118"/>
      <c r="D494" s="52"/>
      <c r="E494" s="118"/>
      <c r="F494" s="152"/>
      <c r="G494" s="152"/>
      <c r="H494" s="152"/>
      <c r="I494" s="152"/>
      <c r="J494" s="152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  <c r="AA494" s="118"/>
      <c r="AB494" s="118"/>
      <c r="AC494" s="118"/>
      <c r="AD494" s="118"/>
      <c r="AE494" s="118"/>
      <c r="AF494" s="118"/>
      <c r="AG494" s="118"/>
      <c r="AH494" s="118"/>
    </row>
    <row r="495">
      <c r="A495" s="118"/>
      <c r="B495" s="52"/>
      <c r="C495" s="118"/>
      <c r="D495" s="52"/>
      <c r="E495" s="118"/>
      <c r="F495" s="152"/>
      <c r="G495" s="152"/>
      <c r="H495" s="152"/>
      <c r="I495" s="152"/>
      <c r="J495" s="152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  <c r="AA495" s="118"/>
      <c r="AB495" s="118"/>
      <c r="AC495" s="118"/>
      <c r="AD495" s="118"/>
      <c r="AE495" s="118"/>
      <c r="AF495" s="118"/>
      <c r="AG495" s="118"/>
      <c r="AH495" s="118"/>
    </row>
    <row r="496">
      <c r="A496" s="118"/>
      <c r="B496" s="52"/>
      <c r="C496" s="118"/>
      <c r="D496" s="52"/>
      <c r="E496" s="118"/>
      <c r="F496" s="152"/>
      <c r="G496" s="152"/>
      <c r="H496" s="152"/>
      <c r="I496" s="152"/>
      <c r="J496" s="152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  <c r="AA496" s="118"/>
      <c r="AB496" s="118"/>
      <c r="AC496" s="118"/>
      <c r="AD496" s="118"/>
      <c r="AE496" s="118"/>
      <c r="AF496" s="118"/>
      <c r="AG496" s="118"/>
      <c r="AH496" s="118"/>
    </row>
    <row r="497">
      <c r="A497" s="118"/>
      <c r="B497" s="52"/>
      <c r="C497" s="118"/>
      <c r="D497" s="52"/>
      <c r="E497" s="118"/>
      <c r="F497" s="152"/>
      <c r="G497" s="152"/>
      <c r="H497" s="152"/>
      <c r="I497" s="152"/>
      <c r="J497" s="152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  <c r="AA497" s="118"/>
      <c r="AB497" s="118"/>
      <c r="AC497" s="118"/>
      <c r="AD497" s="118"/>
      <c r="AE497" s="118"/>
      <c r="AF497" s="118"/>
      <c r="AG497" s="118"/>
      <c r="AH497" s="118"/>
    </row>
    <row r="498">
      <c r="A498" s="118"/>
      <c r="B498" s="52"/>
      <c r="C498" s="118"/>
      <c r="D498" s="52"/>
      <c r="E498" s="118"/>
      <c r="F498" s="152"/>
      <c r="G498" s="152"/>
      <c r="H498" s="152"/>
      <c r="I498" s="152"/>
      <c r="J498" s="152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  <c r="AA498" s="118"/>
      <c r="AB498" s="118"/>
      <c r="AC498" s="118"/>
      <c r="AD498" s="118"/>
      <c r="AE498" s="118"/>
      <c r="AF498" s="118"/>
      <c r="AG498" s="118"/>
      <c r="AH498" s="118"/>
    </row>
    <row r="499">
      <c r="A499" s="118"/>
      <c r="B499" s="52"/>
      <c r="C499" s="118"/>
      <c r="D499" s="52"/>
      <c r="E499" s="118"/>
      <c r="F499" s="152"/>
      <c r="G499" s="152"/>
      <c r="H499" s="152"/>
      <c r="I499" s="152"/>
      <c r="J499" s="152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  <c r="AA499" s="118"/>
      <c r="AB499" s="118"/>
      <c r="AC499" s="118"/>
      <c r="AD499" s="118"/>
      <c r="AE499" s="118"/>
      <c r="AF499" s="118"/>
      <c r="AG499" s="118"/>
      <c r="AH499" s="118"/>
    </row>
    <row r="500">
      <c r="A500" s="118"/>
      <c r="B500" s="52"/>
      <c r="C500" s="118"/>
      <c r="D500" s="52"/>
      <c r="E500" s="118"/>
      <c r="F500" s="152"/>
      <c r="G500" s="152"/>
      <c r="H500" s="152"/>
      <c r="I500" s="152"/>
      <c r="J500" s="152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  <c r="AA500" s="118"/>
      <c r="AB500" s="118"/>
      <c r="AC500" s="118"/>
      <c r="AD500" s="118"/>
      <c r="AE500" s="118"/>
      <c r="AF500" s="118"/>
      <c r="AG500" s="118"/>
      <c r="AH500" s="118"/>
    </row>
    <row r="501">
      <c r="A501" s="118"/>
      <c r="B501" s="52"/>
      <c r="C501" s="118"/>
      <c r="D501" s="52"/>
      <c r="E501" s="118"/>
      <c r="F501" s="152"/>
      <c r="G501" s="152"/>
      <c r="H501" s="152"/>
      <c r="I501" s="152"/>
      <c r="J501" s="152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  <c r="AA501" s="118"/>
      <c r="AB501" s="118"/>
      <c r="AC501" s="118"/>
      <c r="AD501" s="118"/>
      <c r="AE501" s="118"/>
      <c r="AF501" s="118"/>
      <c r="AG501" s="118"/>
      <c r="AH501" s="118"/>
    </row>
    <row r="502">
      <c r="A502" s="118"/>
      <c r="B502" s="52"/>
      <c r="C502" s="118"/>
      <c r="D502" s="52"/>
      <c r="E502" s="118"/>
      <c r="F502" s="152"/>
      <c r="G502" s="152"/>
      <c r="H502" s="152"/>
      <c r="I502" s="152"/>
      <c r="J502" s="152"/>
      <c r="K502" s="118"/>
      <c r="L502" s="118"/>
      <c r="M502" s="118"/>
      <c r="N502" s="118"/>
      <c r="O502" s="118"/>
      <c r="P502" s="118"/>
      <c r="Q502" s="118"/>
      <c r="R502" s="118"/>
      <c r="S502" s="118"/>
      <c r="T502" s="118"/>
      <c r="U502" s="118"/>
      <c r="V502" s="118"/>
      <c r="W502" s="118"/>
      <c r="X502" s="118"/>
      <c r="Y502" s="118"/>
      <c r="Z502" s="118"/>
      <c r="AA502" s="118"/>
      <c r="AB502" s="118"/>
      <c r="AC502" s="118"/>
      <c r="AD502" s="118"/>
      <c r="AE502" s="118"/>
      <c r="AF502" s="118"/>
      <c r="AG502" s="118"/>
      <c r="AH502" s="118"/>
    </row>
    <row r="503">
      <c r="A503" s="118"/>
      <c r="B503" s="52"/>
      <c r="C503" s="118"/>
      <c r="D503" s="52"/>
      <c r="E503" s="118"/>
      <c r="F503" s="152"/>
      <c r="G503" s="152"/>
      <c r="H503" s="152"/>
      <c r="I503" s="152"/>
      <c r="J503" s="152"/>
      <c r="K503" s="118"/>
      <c r="L503" s="118"/>
      <c r="M503" s="118"/>
      <c r="N503" s="118"/>
      <c r="O503" s="118"/>
      <c r="P503" s="118"/>
      <c r="Q503" s="118"/>
      <c r="R503" s="118"/>
      <c r="S503" s="118"/>
      <c r="T503" s="118"/>
      <c r="U503" s="118"/>
      <c r="V503" s="118"/>
      <c r="W503" s="118"/>
      <c r="X503" s="118"/>
      <c r="Y503" s="118"/>
      <c r="Z503" s="118"/>
      <c r="AA503" s="118"/>
      <c r="AB503" s="118"/>
      <c r="AC503" s="118"/>
      <c r="AD503" s="118"/>
      <c r="AE503" s="118"/>
      <c r="AF503" s="118"/>
      <c r="AG503" s="118"/>
      <c r="AH503" s="118"/>
    </row>
    <row r="504">
      <c r="A504" s="118"/>
      <c r="B504" s="52"/>
      <c r="C504" s="118"/>
      <c r="D504" s="52"/>
      <c r="E504" s="118"/>
      <c r="F504" s="152"/>
      <c r="G504" s="152"/>
      <c r="H504" s="152"/>
      <c r="I504" s="152"/>
      <c r="J504" s="152"/>
      <c r="K504" s="118"/>
      <c r="L504" s="118"/>
      <c r="M504" s="118"/>
      <c r="N504" s="118"/>
      <c r="O504" s="118"/>
      <c r="P504" s="118"/>
      <c r="Q504" s="118"/>
      <c r="R504" s="118"/>
      <c r="S504" s="118"/>
      <c r="T504" s="118"/>
      <c r="U504" s="118"/>
      <c r="V504" s="118"/>
      <c r="W504" s="118"/>
      <c r="X504" s="118"/>
      <c r="Y504" s="118"/>
      <c r="Z504" s="118"/>
      <c r="AA504" s="118"/>
      <c r="AB504" s="118"/>
      <c r="AC504" s="118"/>
      <c r="AD504" s="118"/>
      <c r="AE504" s="118"/>
      <c r="AF504" s="118"/>
      <c r="AG504" s="118"/>
      <c r="AH504" s="118"/>
    </row>
    <row r="505">
      <c r="A505" s="118"/>
      <c r="B505" s="52"/>
      <c r="C505" s="118"/>
      <c r="D505" s="52"/>
      <c r="E505" s="118"/>
      <c r="F505" s="152"/>
      <c r="G505" s="152"/>
      <c r="H505" s="152"/>
      <c r="I505" s="152"/>
      <c r="J505" s="152"/>
      <c r="K505" s="118"/>
      <c r="L505" s="118"/>
      <c r="M505" s="118"/>
      <c r="N505" s="118"/>
      <c r="O505" s="118"/>
      <c r="P505" s="118"/>
      <c r="Q505" s="118"/>
      <c r="R505" s="118"/>
      <c r="S505" s="118"/>
      <c r="T505" s="118"/>
      <c r="U505" s="118"/>
      <c r="V505" s="118"/>
      <c r="W505" s="118"/>
      <c r="X505" s="118"/>
      <c r="Y505" s="118"/>
      <c r="Z505" s="118"/>
      <c r="AA505" s="118"/>
      <c r="AB505" s="118"/>
      <c r="AC505" s="118"/>
      <c r="AD505" s="118"/>
      <c r="AE505" s="118"/>
      <c r="AF505" s="118"/>
      <c r="AG505" s="118"/>
      <c r="AH505" s="118"/>
    </row>
    <row r="506">
      <c r="A506" s="118"/>
      <c r="B506" s="52"/>
      <c r="C506" s="118"/>
      <c r="D506" s="52"/>
      <c r="E506" s="118"/>
      <c r="F506" s="152"/>
      <c r="G506" s="152"/>
      <c r="H506" s="152"/>
      <c r="I506" s="152"/>
      <c r="J506" s="152"/>
      <c r="K506" s="118"/>
      <c r="L506" s="118"/>
      <c r="M506" s="118"/>
      <c r="N506" s="118"/>
      <c r="O506" s="118"/>
      <c r="P506" s="118"/>
      <c r="Q506" s="118"/>
      <c r="R506" s="118"/>
      <c r="S506" s="118"/>
      <c r="T506" s="118"/>
      <c r="U506" s="118"/>
      <c r="V506" s="118"/>
      <c r="W506" s="118"/>
      <c r="X506" s="118"/>
      <c r="Y506" s="118"/>
      <c r="Z506" s="118"/>
      <c r="AA506" s="118"/>
      <c r="AB506" s="118"/>
      <c r="AC506" s="118"/>
      <c r="AD506" s="118"/>
      <c r="AE506" s="118"/>
      <c r="AF506" s="118"/>
      <c r="AG506" s="118"/>
      <c r="AH506" s="118"/>
    </row>
    <row r="507">
      <c r="A507" s="118"/>
      <c r="B507" s="52"/>
      <c r="C507" s="118"/>
      <c r="D507" s="52"/>
      <c r="E507" s="118"/>
      <c r="F507" s="152"/>
      <c r="G507" s="152"/>
      <c r="H507" s="152"/>
      <c r="I507" s="152"/>
      <c r="J507" s="152"/>
      <c r="K507" s="118"/>
      <c r="L507" s="118"/>
      <c r="M507" s="118"/>
      <c r="N507" s="118"/>
      <c r="O507" s="118"/>
      <c r="P507" s="118"/>
      <c r="Q507" s="118"/>
      <c r="R507" s="118"/>
      <c r="S507" s="118"/>
      <c r="T507" s="118"/>
      <c r="U507" s="118"/>
      <c r="V507" s="118"/>
      <c r="W507" s="118"/>
      <c r="X507" s="118"/>
      <c r="Y507" s="118"/>
      <c r="Z507" s="118"/>
      <c r="AA507" s="118"/>
      <c r="AB507" s="118"/>
      <c r="AC507" s="118"/>
      <c r="AD507" s="118"/>
      <c r="AE507" s="118"/>
      <c r="AF507" s="118"/>
      <c r="AG507" s="118"/>
      <c r="AH507" s="118"/>
    </row>
    <row r="508">
      <c r="A508" s="118"/>
      <c r="B508" s="52"/>
      <c r="C508" s="118"/>
      <c r="D508" s="52"/>
      <c r="E508" s="118"/>
      <c r="F508" s="152"/>
      <c r="G508" s="152"/>
      <c r="H508" s="152"/>
      <c r="I508" s="152"/>
      <c r="J508" s="152"/>
      <c r="K508" s="118"/>
      <c r="L508" s="118"/>
      <c r="M508" s="118"/>
      <c r="N508" s="118"/>
      <c r="O508" s="118"/>
      <c r="P508" s="118"/>
      <c r="Q508" s="118"/>
      <c r="R508" s="118"/>
      <c r="S508" s="118"/>
      <c r="T508" s="118"/>
      <c r="U508" s="118"/>
      <c r="V508" s="118"/>
      <c r="W508" s="118"/>
      <c r="X508" s="118"/>
      <c r="Y508" s="118"/>
      <c r="Z508" s="118"/>
      <c r="AA508" s="118"/>
      <c r="AB508" s="118"/>
      <c r="AC508" s="118"/>
      <c r="AD508" s="118"/>
      <c r="AE508" s="118"/>
      <c r="AF508" s="118"/>
      <c r="AG508" s="118"/>
      <c r="AH508" s="118"/>
    </row>
    <row r="509">
      <c r="A509" s="118"/>
      <c r="B509" s="52"/>
      <c r="C509" s="118"/>
      <c r="D509" s="52"/>
      <c r="E509" s="118"/>
      <c r="F509" s="152"/>
      <c r="G509" s="152"/>
      <c r="H509" s="152"/>
      <c r="I509" s="152"/>
      <c r="J509" s="152"/>
      <c r="K509" s="118"/>
      <c r="L509" s="118"/>
      <c r="M509" s="118"/>
      <c r="N509" s="118"/>
      <c r="O509" s="118"/>
      <c r="P509" s="118"/>
      <c r="Q509" s="118"/>
      <c r="R509" s="118"/>
      <c r="S509" s="118"/>
      <c r="T509" s="118"/>
      <c r="U509" s="118"/>
      <c r="V509" s="118"/>
      <c r="W509" s="118"/>
      <c r="X509" s="118"/>
      <c r="Y509" s="118"/>
      <c r="Z509" s="118"/>
      <c r="AA509" s="118"/>
      <c r="AB509" s="118"/>
      <c r="AC509" s="118"/>
      <c r="AD509" s="118"/>
      <c r="AE509" s="118"/>
      <c r="AF509" s="118"/>
      <c r="AG509" s="118"/>
      <c r="AH509" s="118"/>
    </row>
    <row r="510">
      <c r="A510" s="118"/>
      <c r="B510" s="52"/>
      <c r="C510" s="118"/>
      <c r="D510" s="52"/>
      <c r="E510" s="118"/>
      <c r="F510" s="152"/>
      <c r="G510" s="152"/>
      <c r="H510" s="152"/>
      <c r="I510" s="152"/>
      <c r="J510" s="152"/>
      <c r="K510" s="118"/>
      <c r="L510" s="118"/>
      <c r="M510" s="118"/>
      <c r="N510" s="118"/>
      <c r="O510" s="118"/>
      <c r="P510" s="118"/>
      <c r="Q510" s="118"/>
      <c r="R510" s="118"/>
      <c r="S510" s="118"/>
      <c r="T510" s="118"/>
      <c r="U510" s="118"/>
      <c r="V510" s="118"/>
      <c r="W510" s="118"/>
      <c r="X510" s="118"/>
      <c r="Y510" s="118"/>
      <c r="Z510" s="118"/>
      <c r="AA510" s="118"/>
      <c r="AB510" s="118"/>
      <c r="AC510" s="118"/>
      <c r="AD510" s="118"/>
      <c r="AE510" s="118"/>
      <c r="AF510" s="118"/>
      <c r="AG510" s="118"/>
      <c r="AH510" s="118"/>
    </row>
    <row r="511">
      <c r="A511" s="118"/>
      <c r="B511" s="52"/>
      <c r="C511" s="118"/>
      <c r="D511" s="52"/>
      <c r="E511" s="118"/>
      <c r="F511" s="152"/>
      <c r="G511" s="152"/>
      <c r="H511" s="152"/>
      <c r="I511" s="152"/>
      <c r="J511" s="152"/>
      <c r="K511" s="118"/>
      <c r="L511" s="118"/>
      <c r="M511" s="118"/>
      <c r="N511" s="118"/>
      <c r="O511" s="118"/>
      <c r="P511" s="118"/>
      <c r="Q511" s="118"/>
      <c r="R511" s="118"/>
      <c r="S511" s="118"/>
      <c r="T511" s="118"/>
      <c r="U511" s="118"/>
      <c r="V511" s="118"/>
      <c r="W511" s="118"/>
      <c r="X511" s="118"/>
      <c r="Y511" s="118"/>
      <c r="Z511" s="118"/>
      <c r="AA511" s="118"/>
      <c r="AB511" s="118"/>
      <c r="AC511" s="118"/>
      <c r="AD511" s="118"/>
      <c r="AE511" s="118"/>
      <c r="AF511" s="118"/>
      <c r="AG511" s="118"/>
      <c r="AH511" s="118"/>
    </row>
    <row r="512">
      <c r="A512" s="118"/>
      <c r="B512" s="52"/>
      <c r="C512" s="118"/>
      <c r="D512" s="52"/>
      <c r="E512" s="118"/>
      <c r="F512" s="152"/>
      <c r="G512" s="152"/>
      <c r="H512" s="152"/>
      <c r="I512" s="152"/>
      <c r="J512" s="152"/>
      <c r="K512" s="118"/>
      <c r="L512" s="118"/>
      <c r="M512" s="118"/>
      <c r="N512" s="118"/>
      <c r="O512" s="118"/>
      <c r="P512" s="118"/>
      <c r="Q512" s="118"/>
      <c r="R512" s="118"/>
      <c r="S512" s="118"/>
      <c r="T512" s="118"/>
      <c r="U512" s="118"/>
      <c r="V512" s="118"/>
      <c r="W512" s="118"/>
      <c r="X512" s="118"/>
      <c r="Y512" s="118"/>
      <c r="Z512" s="118"/>
      <c r="AA512" s="118"/>
      <c r="AB512" s="118"/>
      <c r="AC512" s="118"/>
      <c r="AD512" s="118"/>
      <c r="AE512" s="118"/>
      <c r="AF512" s="118"/>
      <c r="AG512" s="118"/>
      <c r="AH512" s="118"/>
    </row>
    <row r="513">
      <c r="A513" s="118"/>
      <c r="B513" s="52"/>
      <c r="C513" s="118"/>
      <c r="D513" s="52"/>
      <c r="E513" s="118"/>
      <c r="F513" s="152"/>
      <c r="G513" s="152"/>
      <c r="H513" s="152"/>
      <c r="I513" s="152"/>
      <c r="J513" s="152"/>
      <c r="K513" s="118"/>
      <c r="L513" s="118"/>
      <c r="M513" s="118"/>
      <c r="N513" s="118"/>
      <c r="O513" s="118"/>
      <c r="P513" s="118"/>
      <c r="Q513" s="118"/>
      <c r="R513" s="118"/>
      <c r="S513" s="118"/>
      <c r="T513" s="118"/>
      <c r="U513" s="118"/>
      <c r="V513" s="118"/>
      <c r="W513" s="118"/>
      <c r="X513" s="118"/>
      <c r="Y513" s="118"/>
      <c r="Z513" s="118"/>
      <c r="AA513" s="118"/>
      <c r="AB513" s="118"/>
      <c r="AC513" s="118"/>
      <c r="AD513" s="118"/>
      <c r="AE513" s="118"/>
      <c r="AF513" s="118"/>
      <c r="AG513" s="118"/>
      <c r="AH513" s="118"/>
    </row>
    <row r="514">
      <c r="A514" s="118"/>
      <c r="B514" s="52"/>
      <c r="C514" s="118"/>
      <c r="D514" s="52"/>
      <c r="E514" s="118"/>
      <c r="F514" s="152"/>
      <c r="G514" s="152"/>
      <c r="H514" s="152"/>
      <c r="I514" s="152"/>
      <c r="J514" s="152"/>
      <c r="K514" s="118"/>
      <c r="L514" s="118"/>
      <c r="M514" s="118"/>
      <c r="N514" s="118"/>
      <c r="O514" s="118"/>
      <c r="P514" s="118"/>
      <c r="Q514" s="118"/>
      <c r="R514" s="118"/>
      <c r="S514" s="118"/>
      <c r="T514" s="118"/>
      <c r="U514" s="118"/>
      <c r="V514" s="118"/>
      <c r="W514" s="118"/>
      <c r="X514" s="118"/>
      <c r="Y514" s="118"/>
      <c r="Z514" s="118"/>
      <c r="AA514" s="118"/>
      <c r="AB514" s="118"/>
      <c r="AC514" s="118"/>
      <c r="AD514" s="118"/>
      <c r="AE514" s="118"/>
      <c r="AF514" s="118"/>
      <c r="AG514" s="118"/>
      <c r="AH514" s="118"/>
    </row>
    <row r="515">
      <c r="A515" s="118"/>
      <c r="B515" s="52"/>
      <c r="C515" s="118"/>
      <c r="D515" s="52"/>
      <c r="E515" s="118"/>
      <c r="F515" s="152"/>
      <c r="G515" s="152"/>
      <c r="H515" s="152"/>
      <c r="I515" s="152"/>
      <c r="J515" s="152"/>
      <c r="K515" s="118"/>
      <c r="L515" s="118"/>
      <c r="M515" s="118"/>
      <c r="N515" s="118"/>
      <c r="O515" s="118"/>
      <c r="P515" s="118"/>
      <c r="Q515" s="118"/>
      <c r="R515" s="118"/>
      <c r="S515" s="118"/>
      <c r="T515" s="118"/>
      <c r="U515" s="118"/>
      <c r="V515" s="118"/>
      <c r="W515" s="118"/>
      <c r="X515" s="118"/>
      <c r="Y515" s="118"/>
      <c r="Z515" s="118"/>
      <c r="AA515" s="118"/>
      <c r="AB515" s="118"/>
      <c r="AC515" s="118"/>
      <c r="AD515" s="118"/>
      <c r="AE515" s="118"/>
      <c r="AF515" s="118"/>
      <c r="AG515" s="118"/>
      <c r="AH515" s="118"/>
    </row>
    <row r="516">
      <c r="A516" s="118"/>
      <c r="B516" s="52"/>
      <c r="C516" s="118"/>
      <c r="D516" s="52"/>
      <c r="E516" s="118"/>
      <c r="F516" s="152"/>
      <c r="G516" s="152"/>
      <c r="H516" s="152"/>
      <c r="I516" s="152"/>
      <c r="J516" s="152"/>
      <c r="K516" s="118"/>
      <c r="L516" s="118"/>
      <c r="M516" s="118"/>
      <c r="N516" s="118"/>
      <c r="O516" s="118"/>
      <c r="P516" s="118"/>
      <c r="Q516" s="118"/>
      <c r="R516" s="118"/>
      <c r="S516" s="118"/>
      <c r="T516" s="118"/>
      <c r="U516" s="118"/>
      <c r="V516" s="118"/>
      <c r="W516" s="118"/>
      <c r="X516" s="118"/>
      <c r="Y516" s="118"/>
      <c r="Z516" s="118"/>
      <c r="AA516" s="118"/>
      <c r="AB516" s="118"/>
      <c r="AC516" s="118"/>
      <c r="AD516" s="118"/>
      <c r="AE516" s="118"/>
      <c r="AF516" s="118"/>
      <c r="AG516" s="118"/>
      <c r="AH516" s="118"/>
    </row>
    <row r="517">
      <c r="A517" s="118"/>
      <c r="B517" s="52"/>
      <c r="C517" s="118"/>
      <c r="D517" s="52"/>
      <c r="E517" s="118"/>
      <c r="F517" s="152"/>
      <c r="G517" s="152"/>
      <c r="H517" s="152"/>
      <c r="I517" s="152"/>
      <c r="J517" s="152"/>
      <c r="K517" s="118"/>
      <c r="L517" s="118"/>
      <c r="M517" s="118"/>
      <c r="N517" s="118"/>
      <c r="O517" s="118"/>
      <c r="P517" s="118"/>
      <c r="Q517" s="118"/>
      <c r="R517" s="118"/>
      <c r="S517" s="118"/>
      <c r="T517" s="118"/>
      <c r="U517" s="118"/>
      <c r="V517" s="118"/>
      <c r="W517" s="118"/>
      <c r="X517" s="118"/>
      <c r="Y517" s="118"/>
      <c r="Z517" s="118"/>
      <c r="AA517" s="118"/>
      <c r="AB517" s="118"/>
      <c r="AC517" s="118"/>
      <c r="AD517" s="118"/>
      <c r="AE517" s="118"/>
      <c r="AF517" s="118"/>
      <c r="AG517" s="118"/>
      <c r="AH517" s="118"/>
    </row>
    <row r="518">
      <c r="A518" s="118"/>
      <c r="B518" s="52"/>
      <c r="C518" s="118"/>
      <c r="D518" s="52"/>
      <c r="E518" s="118"/>
      <c r="F518" s="152"/>
      <c r="G518" s="152"/>
      <c r="H518" s="152"/>
      <c r="I518" s="152"/>
      <c r="J518" s="152"/>
      <c r="K518" s="118"/>
      <c r="L518" s="118"/>
      <c r="M518" s="118"/>
      <c r="N518" s="118"/>
      <c r="O518" s="118"/>
      <c r="P518" s="118"/>
      <c r="Q518" s="118"/>
      <c r="R518" s="118"/>
      <c r="S518" s="118"/>
      <c r="T518" s="118"/>
      <c r="U518" s="118"/>
      <c r="V518" s="118"/>
      <c r="W518" s="118"/>
      <c r="X518" s="118"/>
      <c r="Y518" s="118"/>
      <c r="Z518" s="118"/>
      <c r="AA518" s="118"/>
      <c r="AB518" s="118"/>
      <c r="AC518" s="118"/>
      <c r="AD518" s="118"/>
      <c r="AE518" s="118"/>
      <c r="AF518" s="118"/>
      <c r="AG518" s="118"/>
      <c r="AH518" s="118"/>
    </row>
    <row r="519">
      <c r="A519" s="118"/>
      <c r="B519" s="52"/>
      <c r="C519" s="118"/>
      <c r="D519" s="52"/>
      <c r="E519" s="118"/>
      <c r="F519" s="152"/>
      <c r="G519" s="152"/>
      <c r="H519" s="152"/>
      <c r="I519" s="152"/>
      <c r="J519" s="152"/>
      <c r="K519" s="118"/>
      <c r="L519" s="118"/>
      <c r="M519" s="118"/>
      <c r="N519" s="118"/>
      <c r="O519" s="118"/>
      <c r="P519" s="118"/>
      <c r="Q519" s="118"/>
      <c r="R519" s="118"/>
      <c r="S519" s="118"/>
      <c r="T519" s="118"/>
      <c r="U519" s="118"/>
      <c r="V519" s="118"/>
      <c r="W519" s="118"/>
      <c r="X519" s="118"/>
      <c r="Y519" s="118"/>
      <c r="Z519" s="118"/>
      <c r="AA519" s="118"/>
      <c r="AB519" s="118"/>
      <c r="AC519" s="118"/>
      <c r="AD519" s="118"/>
      <c r="AE519" s="118"/>
      <c r="AF519" s="118"/>
      <c r="AG519" s="118"/>
      <c r="AH519" s="118"/>
    </row>
    <row r="520">
      <c r="A520" s="118"/>
      <c r="B520" s="52"/>
      <c r="C520" s="118"/>
      <c r="D520" s="52"/>
      <c r="E520" s="118"/>
      <c r="F520" s="152"/>
      <c r="G520" s="152"/>
      <c r="H520" s="152"/>
      <c r="I520" s="152"/>
      <c r="J520" s="152"/>
      <c r="K520" s="118"/>
      <c r="L520" s="118"/>
      <c r="M520" s="118"/>
      <c r="N520" s="118"/>
      <c r="O520" s="118"/>
      <c r="P520" s="118"/>
      <c r="Q520" s="118"/>
      <c r="R520" s="118"/>
      <c r="S520" s="118"/>
      <c r="T520" s="118"/>
      <c r="U520" s="118"/>
      <c r="V520" s="118"/>
      <c r="W520" s="118"/>
      <c r="X520" s="118"/>
      <c r="Y520" s="118"/>
      <c r="Z520" s="118"/>
      <c r="AA520" s="118"/>
      <c r="AB520" s="118"/>
      <c r="AC520" s="118"/>
      <c r="AD520" s="118"/>
      <c r="AE520" s="118"/>
      <c r="AF520" s="118"/>
      <c r="AG520" s="118"/>
      <c r="AH520" s="118"/>
    </row>
    <row r="521">
      <c r="A521" s="118"/>
      <c r="B521" s="52"/>
      <c r="C521" s="118"/>
      <c r="D521" s="52"/>
      <c r="E521" s="118"/>
      <c r="F521" s="152"/>
      <c r="G521" s="152"/>
      <c r="H521" s="152"/>
      <c r="I521" s="152"/>
      <c r="J521" s="152"/>
      <c r="K521" s="118"/>
      <c r="L521" s="118"/>
      <c r="M521" s="118"/>
      <c r="N521" s="118"/>
      <c r="O521" s="118"/>
      <c r="P521" s="118"/>
      <c r="Q521" s="118"/>
      <c r="R521" s="118"/>
      <c r="S521" s="118"/>
      <c r="T521" s="118"/>
      <c r="U521" s="118"/>
      <c r="V521" s="118"/>
      <c r="W521" s="118"/>
      <c r="X521" s="118"/>
      <c r="Y521" s="118"/>
      <c r="Z521" s="118"/>
      <c r="AA521" s="118"/>
      <c r="AB521" s="118"/>
      <c r="AC521" s="118"/>
      <c r="AD521" s="118"/>
      <c r="AE521" s="118"/>
      <c r="AF521" s="118"/>
      <c r="AG521" s="118"/>
      <c r="AH521" s="118"/>
    </row>
    <row r="522">
      <c r="A522" s="118"/>
      <c r="B522" s="52"/>
      <c r="C522" s="118"/>
      <c r="D522" s="52"/>
      <c r="E522" s="118"/>
      <c r="F522" s="152"/>
      <c r="G522" s="152"/>
      <c r="H522" s="152"/>
      <c r="I522" s="152"/>
      <c r="J522" s="152"/>
      <c r="K522" s="118"/>
      <c r="L522" s="118"/>
      <c r="M522" s="118"/>
      <c r="N522" s="118"/>
      <c r="O522" s="118"/>
      <c r="P522" s="118"/>
      <c r="Q522" s="118"/>
      <c r="R522" s="118"/>
      <c r="S522" s="118"/>
      <c r="T522" s="118"/>
      <c r="U522" s="118"/>
      <c r="V522" s="118"/>
      <c r="W522" s="118"/>
      <c r="X522" s="118"/>
      <c r="Y522" s="118"/>
      <c r="Z522" s="118"/>
      <c r="AA522" s="118"/>
      <c r="AB522" s="118"/>
      <c r="AC522" s="118"/>
      <c r="AD522" s="118"/>
      <c r="AE522" s="118"/>
      <c r="AF522" s="118"/>
      <c r="AG522" s="118"/>
      <c r="AH522" s="118"/>
    </row>
    <row r="523">
      <c r="A523" s="118"/>
      <c r="B523" s="52"/>
      <c r="C523" s="118"/>
      <c r="D523" s="52"/>
      <c r="E523" s="118"/>
      <c r="F523" s="152"/>
      <c r="G523" s="152"/>
      <c r="H523" s="152"/>
      <c r="I523" s="152"/>
      <c r="J523" s="152"/>
      <c r="K523" s="118"/>
      <c r="L523" s="118"/>
      <c r="M523" s="118"/>
      <c r="N523" s="118"/>
      <c r="O523" s="118"/>
      <c r="P523" s="118"/>
      <c r="Q523" s="118"/>
      <c r="R523" s="118"/>
      <c r="S523" s="118"/>
      <c r="T523" s="118"/>
      <c r="U523" s="118"/>
      <c r="V523" s="118"/>
      <c r="W523" s="118"/>
      <c r="X523" s="118"/>
      <c r="Y523" s="118"/>
      <c r="Z523" s="118"/>
      <c r="AA523" s="118"/>
      <c r="AB523" s="118"/>
      <c r="AC523" s="118"/>
      <c r="AD523" s="118"/>
      <c r="AE523" s="118"/>
      <c r="AF523" s="118"/>
      <c r="AG523" s="118"/>
      <c r="AH523" s="118"/>
    </row>
    <row r="524">
      <c r="A524" s="118"/>
      <c r="B524" s="52"/>
      <c r="C524" s="118"/>
      <c r="D524" s="52"/>
      <c r="E524" s="118"/>
      <c r="F524" s="152"/>
      <c r="G524" s="152"/>
      <c r="H524" s="152"/>
      <c r="I524" s="152"/>
      <c r="J524" s="152"/>
      <c r="K524" s="118"/>
      <c r="L524" s="118"/>
      <c r="M524" s="118"/>
      <c r="N524" s="118"/>
      <c r="O524" s="118"/>
      <c r="P524" s="118"/>
      <c r="Q524" s="118"/>
      <c r="R524" s="118"/>
      <c r="S524" s="118"/>
      <c r="T524" s="118"/>
      <c r="U524" s="118"/>
      <c r="V524" s="118"/>
      <c r="W524" s="118"/>
      <c r="X524" s="118"/>
      <c r="Y524" s="118"/>
      <c r="Z524" s="118"/>
      <c r="AA524" s="118"/>
      <c r="AB524" s="118"/>
      <c r="AC524" s="118"/>
      <c r="AD524" s="118"/>
      <c r="AE524" s="118"/>
      <c r="AF524" s="118"/>
      <c r="AG524" s="118"/>
      <c r="AH524" s="118"/>
    </row>
    <row r="525">
      <c r="A525" s="118"/>
      <c r="B525" s="52"/>
      <c r="C525" s="118"/>
      <c r="D525" s="52"/>
      <c r="E525" s="118"/>
      <c r="F525" s="152"/>
      <c r="G525" s="152"/>
      <c r="H525" s="152"/>
      <c r="I525" s="152"/>
      <c r="J525" s="152"/>
      <c r="K525" s="118"/>
      <c r="L525" s="118"/>
      <c r="M525" s="118"/>
      <c r="N525" s="118"/>
      <c r="O525" s="118"/>
      <c r="P525" s="118"/>
      <c r="Q525" s="118"/>
      <c r="R525" s="118"/>
      <c r="S525" s="118"/>
      <c r="T525" s="118"/>
      <c r="U525" s="118"/>
      <c r="V525" s="118"/>
      <c r="W525" s="118"/>
      <c r="X525" s="118"/>
      <c r="Y525" s="118"/>
      <c r="Z525" s="118"/>
      <c r="AA525" s="118"/>
      <c r="AB525" s="118"/>
      <c r="AC525" s="118"/>
      <c r="AD525" s="118"/>
      <c r="AE525" s="118"/>
      <c r="AF525" s="118"/>
      <c r="AG525" s="118"/>
      <c r="AH525" s="118"/>
    </row>
    <row r="526">
      <c r="A526" s="118"/>
      <c r="B526" s="52"/>
      <c r="C526" s="118"/>
      <c r="D526" s="52"/>
      <c r="E526" s="118"/>
      <c r="F526" s="152"/>
      <c r="G526" s="152"/>
      <c r="H526" s="152"/>
      <c r="I526" s="152"/>
      <c r="J526" s="152"/>
      <c r="K526" s="118"/>
      <c r="L526" s="118"/>
      <c r="M526" s="118"/>
      <c r="N526" s="118"/>
      <c r="O526" s="118"/>
      <c r="P526" s="118"/>
      <c r="Q526" s="118"/>
      <c r="R526" s="118"/>
      <c r="S526" s="118"/>
      <c r="T526" s="118"/>
      <c r="U526" s="118"/>
      <c r="V526" s="118"/>
      <c r="W526" s="118"/>
      <c r="X526" s="118"/>
      <c r="Y526" s="118"/>
      <c r="Z526" s="118"/>
      <c r="AA526" s="118"/>
      <c r="AB526" s="118"/>
      <c r="AC526" s="118"/>
      <c r="AD526" s="118"/>
      <c r="AE526" s="118"/>
      <c r="AF526" s="118"/>
      <c r="AG526" s="118"/>
      <c r="AH526" s="118"/>
    </row>
    <row r="527">
      <c r="A527" s="118"/>
      <c r="B527" s="52"/>
      <c r="C527" s="118"/>
      <c r="D527" s="52"/>
      <c r="E527" s="118"/>
      <c r="F527" s="152"/>
      <c r="G527" s="152"/>
      <c r="H527" s="152"/>
      <c r="I527" s="152"/>
      <c r="J527" s="152"/>
      <c r="K527" s="118"/>
      <c r="L527" s="118"/>
      <c r="M527" s="118"/>
      <c r="N527" s="118"/>
      <c r="O527" s="118"/>
      <c r="P527" s="118"/>
      <c r="Q527" s="118"/>
      <c r="R527" s="118"/>
      <c r="S527" s="118"/>
      <c r="T527" s="118"/>
      <c r="U527" s="118"/>
      <c r="V527" s="118"/>
      <c r="W527" s="118"/>
      <c r="X527" s="118"/>
      <c r="Y527" s="118"/>
      <c r="Z527" s="118"/>
      <c r="AA527" s="118"/>
      <c r="AB527" s="118"/>
      <c r="AC527" s="118"/>
      <c r="AD527" s="118"/>
      <c r="AE527" s="118"/>
      <c r="AF527" s="118"/>
      <c r="AG527" s="118"/>
      <c r="AH527" s="118"/>
    </row>
    <row r="528">
      <c r="A528" s="118"/>
      <c r="B528" s="52"/>
      <c r="C528" s="118"/>
      <c r="D528" s="52"/>
      <c r="E528" s="118"/>
      <c r="F528" s="152"/>
      <c r="G528" s="152"/>
      <c r="H528" s="152"/>
      <c r="I528" s="152"/>
      <c r="J528" s="152"/>
      <c r="K528" s="118"/>
      <c r="L528" s="118"/>
      <c r="M528" s="118"/>
      <c r="N528" s="118"/>
      <c r="O528" s="118"/>
      <c r="P528" s="118"/>
      <c r="Q528" s="118"/>
      <c r="R528" s="118"/>
      <c r="S528" s="118"/>
      <c r="T528" s="118"/>
      <c r="U528" s="118"/>
      <c r="V528" s="118"/>
      <c r="W528" s="118"/>
      <c r="X528" s="118"/>
      <c r="Y528" s="118"/>
      <c r="Z528" s="118"/>
      <c r="AA528" s="118"/>
      <c r="AB528" s="118"/>
      <c r="AC528" s="118"/>
      <c r="AD528" s="118"/>
      <c r="AE528" s="118"/>
      <c r="AF528" s="118"/>
      <c r="AG528" s="118"/>
      <c r="AH528" s="118"/>
    </row>
    <row r="529">
      <c r="A529" s="118"/>
      <c r="B529" s="52"/>
      <c r="C529" s="118"/>
      <c r="D529" s="52"/>
      <c r="E529" s="118"/>
      <c r="F529" s="152"/>
      <c r="G529" s="152"/>
      <c r="H529" s="152"/>
      <c r="I529" s="152"/>
      <c r="J529" s="152"/>
      <c r="K529" s="118"/>
      <c r="L529" s="118"/>
      <c r="M529" s="118"/>
      <c r="N529" s="118"/>
      <c r="O529" s="118"/>
      <c r="P529" s="118"/>
      <c r="Q529" s="118"/>
      <c r="R529" s="118"/>
      <c r="S529" s="118"/>
      <c r="T529" s="118"/>
      <c r="U529" s="118"/>
      <c r="V529" s="118"/>
      <c r="W529" s="118"/>
      <c r="X529" s="118"/>
      <c r="Y529" s="118"/>
      <c r="Z529" s="118"/>
      <c r="AA529" s="118"/>
      <c r="AB529" s="118"/>
      <c r="AC529" s="118"/>
      <c r="AD529" s="118"/>
      <c r="AE529" s="118"/>
      <c r="AF529" s="118"/>
      <c r="AG529" s="118"/>
      <c r="AH529" s="118"/>
    </row>
    <row r="530">
      <c r="A530" s="118"/>
      <c r="B530" s="52"/>
      <c r="C530" s="118"/>
      <c r="D530" s="52"/>
      <c r="E530" s="118"/>
      <c r="F530" s="152"/>
      <c r="G530" s="152"/>
      <c r="H530" s="152"/>
      <c r="I530" s="152"/>
      <c r="J530" s="152"/>
      <c r="K530" s="118"/>
      <c r="L530" s="118"/>
      <c r="M530" s="118"/>
      <c r="N530" s="118"/>
      <c r="O530" s="118"/>
      <c r="P530" s="118"/>
      <c r="Q530" s="118"/>
      <c r="R530" s="118"/>
      <c r="S530" s="118"/>
      <c r="T530" s="118"/>
      <c r="U530" s="118"/>
      <c r="V530" s="118"/>
      <c r="W530" s="118"/>
      <c r="X530" s="118"/>
      <c r="Y530" s="118"/>
      <c r="Z530" s="118"/>
      <c r="AA530" s="118"/>
      <c r="AB530" s="118"/>
      <c r="AC530" s="118"/>
      <c r="AD530" s="118"/>
      <c r="AE530" s="118"/>
      <c r="AF530" s="118"/>
      <c r="AG530" s="118"/>
      <c r="AH530" s="118"/>
    </row>
    <row r="531">
      <c r="A531" s="118"/>
      <c r="B531" s="52"/>
      <c r="C531" s="118"/>
      <c r="D531" s="52"/>
      <c r="E531" s="118"/>
      <c r="F531" s="152"/>
      <c r="G531" s="152"/>
      <c r="H531" s="152"/>
      <c r="I531" s="152"/>
      <c r="J531" s="152"/>
      <c r="K531" s="118"/>
      <c r="L531" s="118"/>
      <c r="M531" s="118"/>
      <c r="N531" s="118"/>
      <c r="O531" s="118"/>
      <c r="P531" s="118"/>
      <c r="Q531" s="118"/>
      <c r="R531" s="118"/>
      <c r="S531" s="118"/>
      <c r="T531" s="118"/>
      <c r="U531" s="118"/>
      <c r="V531" s="118"/>
      <c r="W531" s="118"/>
      <c r="X531" s="118"/>
      <c r="Y531" s="118"/>
      <c r="Z531" s="118"/>
      <c r="AA531" s="118"/>
      <c r="AB531" s="118"/>
      <c r="AC531" s="118"/>
      <c r="AD531" s="118"/>
      <c r="AE531" s="118"/>
      <c r="AF531" s="118"/>
      <c r="AG531" s="118"/>
      <c r="AH531" s="118"/>
    </row>
    <row r="532">
      <c r="A532" s="118"/>
      <c r="B532" s="52"/>
      <c r="C532" s="118"/>
      <c r="D532" s="52"/>
      <c r="E532" s="118"/>
      <c r="F532" s="152"/>
      <c r="G532" s="152"/>
      <c r="H532" s="152"/>
      <c r="I532" s="152"/>
      <c r="J532" s="152"/>
      <c r="K532" s="118"/>
      <c r="L532" s="118"/>
      <c r="M532" s="118"/>
      <c r="N532" s="118"/>
      <c r="O532" s="118"/>
      <c r="P532" s="118"/>
      <c r="Q532" s="118"/>
      <c r="R532" s="118"/>
      <c r="S532" s="118"/>
      <c r="T532" s="118"/>
      <c r="U532" s="118"/>
      <c r="V532" s="118"/>
      <c r="W532" s="118"/>
      <c r="X532" s="118"/>
      <c r="Y532" s="118"/>
      <c r="Z532" s="118"/>
      <c r="AA532" s="118"/>
      <c r="AB532" s="118"/>
      <c r="AC532" s="118"/>
      <c r="AD532" s="118"/>
      <c r="AE532" s="118"/>
      <c r="AF532" s="118"/>
      <c r="AG532" s="118"/>
      <c r="AH532" s="118"/>
    </row>
    <row r="533">
      <c r="A533" s="118"/>
      <c r="B533" s="52"/>
      <c r="C533" s="118"/>
      <c r="D533" s="52"/>
      <c r="E533" s="118"/>
      <c r="F533" s="152"/>
      <c r="G533" s="152"/>
      <c r="H533" s="152"/>
      <c r="I533" s="152"/>
      <c r="J533" s="152"/>
      <c r="K533" s="118"/>
      <c r="L533" s="118"/>
      <c r="M533" s="118"/>
      <c r="N533" s="118"/>
      <c r="O533" s="118"/>
      <c r="P533" s="118"/>
      <c r="Q533" s="118"/>
      <c r="R533" s="118"/>
      <c r="S533" s="118"/>
      <c r="T533" s="118"/>
      <c r="U533" s="118"/>
      <c r="V533" s="118"/>
      <c r="W533" s="118"/>
      <c r="X533" s="118"/>
      <c r="Y533" s="118"/>
      <c r="Z533" s="118"/>
      <c r="AA533" s="118"/>
      <c r="AB533" s="118"/>
      <c r="AC533" s="118"/>
      <c r="AD533" s="118"/>
      <c r="AE533" s="118"/>
      <c r="AF533" s="118"/>
      <c r="AG533" s="118"/>
      <c r="AH533" s="118"/>
    </row>
    <row r="534">
      <c r="A534" s="118"/>
      <c r="B534" s="52"/>
      <c r="C534" s="118"/>
      <c r="D534" s="52"/>
      <c r="E534" s="118"/>
      <c r="F534" s="152"/>
      <c r="G534" s="152"/>
      <c r="H534" s="152"/>
      <c r="I534" s="152"/>
      <c r="J534" s="152"/>
      <c r="K534" s="118"/>
      <c r="L534" s="118"/>
      <c r="M534" s="118"/>
      <c r="N534" s="118"/>
      <c r="O534" s="118"/>
      <c r="P534" s="118"/>
      <c r="Q534" s="118"/>
      <c r="R534" s="118"/>
      <c r="S534" s="118"/>
      <c r="T534" s="118"/>
      <c r="U534" s="118"/>
      <c r="V534" s="118"/>
      <c r="W534" s="118"/>
      <c r="X534" s="118"/>
      <c r="Y534" s="118"/>
      <c r="Z534" s="118"/>
      <c r="AA534" s="118"/>
      <c r="AB534" s="118"/>
      <c r="AC534" s="118"/>
      <c r="AD534" s="118"/>
      <c r="AE534" s="118"/>
      <c r="AF534" s="118"/>
      <c r="AG534" s="118"/>
      <c r="AH534" s="118"/>
    </row>
    <row r="535">
      <c r="A535" s="118"/>
      <c r="B535" s="52"/>
      <c r="C535" s="118"/>
      <c r="D535" s="52"/>
      <c r="E535" s="118"/>
      <c r="F535" s="152"/>
      <c r="G535" s="152"/>
      <c r="H535" s="152"/>
      <c r="I535" s="152"/>
      <c r="J535" s="152"/>
      <c r="K535" s="118"/>
      <c r="L535" s="118"/>
      <c r="M535" s="118"/>
      <c r="N535" s="118"/>
      <c r="O535" s="118"/>
      <c r="P535" s="118"/>
      <c r="Q535" s="118"/>
      <c r="R535" s="118"/>
      <c r="S535" s="118"/>
      <c r="T535" s="118"/>
      <c r="U535" s="118"/>
      <c r="V535" s="118"/>
      <c r="W535" s="118"/>
      <c r="X535" s="118"/>
      <c r="Y535" s="118"/>
      <c r="Z535" s="118"/>
      <c r="AA535" s="118"/>
      <c r="AB535" s="118"/>
      <c r="AC535" s="118"/>
      <c r="AD535" s="118"/>
      <c r="AE535" s="118"/>
      <c r="AF535" s="118"/>
      <c r="AG535" s="118"/>
      <c r="AH535" s="118"/>
    </row>
    <row r="536">
      <c r="A536" s="118"/>
      <c r="B536" s="52"/>
      <c r="C536" s="118"/>
      <c r="D536" s="52"/>
      <c r="E536" s="118"/>
      <c r="F536" s="152"/>
      <c r="G536" s="152"/>
      <c r="H536" s="152"/>
      <c r="I536" s="152"/>
      <c r="J536" s="152"/>
      <c r="K536" s="118"/>
      <c r="L536" s="118"/>
      <c r="M536" s="118"/>
      <c r="N536" s="118"/>
      <c r="O536" s="118"/>
      <c r="P536" s="118"/>
      <c r="Q536" s="118"/>
      <c r="R536" s="118"/>
      <c r="S536" s="118"/>
      <c r="T536" s="118"/>
      <c r="U536" s="118"/>
      <c r="V536" s="118"/>
      <c r="W536" s="118"/>
      <c r="X536" s="118"/>
      <c r="Y536" s="118"/>
      <c r="Z536" s="118"/>
      <c r="AA536" s="118"/>
      <c r="AB536" s="118"/>
      <c r="AC536" s="118"/>
      <c r="AD536" s="118"/>
      <c r="AE536" s="118"/>
      <c r="AF536" s="118"/>
      <c r="AG536" s="118"/>
      <c r="AH536" s="118"/>
    </row>
    <row r="537">
      <c r="A537" s="118"/>
      <c r="B537" s="52"/>
      <c r="C537" s="118"/>
      <c r="D537" s="52"/>
      <c r="E537" s="118"/>
      <c r="F537" s="152"/>
      <c r="G537" s="152"/>
      <c r="H537" s="152"/>
      <c r="I537" s="152"/>
      <c r="J537" s="152"/>
      <c r="K537" s="118"/>
      <c r="L537" s="118"/>
      <c r="M537" s="118"/>
      <c r="N537" s="118"/>
      <c r="O537" s="118"/>
      <c r="P537" s="118"/>
      <c r="Q537" s="118"/>
      <c r="R537" s="118"/>
      <c r="S537" s="118"/>
      <c r="T537" s="118"/>
      <c r="U537" s="118"/>
      <c r="V537" s="118"/>
      <c r="W537" s="118"/>
      <c r="X537" s="118"/>
      <c r="Y537" s="118"/>
      <c r="Z537" s="118"/>
      <c r="AA537" s="118"/>
      <c r="AB537" s="118"/>
      <c r="AC537" s="118"/>
      <c r="AD537" s="118"/>
      <c r="AE537" s="118"/>
      <c r="AF537" s="118"/>
      <c r="AG537" s="118"/>
      <c r="AH537" s="118"/>
    </row>
    <row r="538">
      <c r="A538" s="118"/>
      <c r="B538" s="52"/>
      <c r="C538" s="118"/>
      <c r="D538" s="52"/>
      <c r="E538" s="118"/>
      <c r="F538" s="152"/>
      <c r="G538" s="152"/>
      <c r="H538" s="152"/>
      <c r="I538" s="152"/>
      <c r="J538" s="152"/>
      <c r="K538" s="118"/>
      <c r="L538" s="118"/>
      <c r="M538" s="118"/>
      <c r="N538" s="118"/>
      <c r="O538" s="118"/>
      <c r="P538" s="118"/>
      <c r="Q538" s="118"/>
      <c r="R538" s="118"/>
      <c r="S538" s="118"/>
      <c r="T538" s="118"/>
      <c r="U538" s="118"/>
      <c r="V538" s="118"/>
      <c r="W538" s="118"/>
      <c r="X538" s="118"/>
      <c r="Y538" s="118"/>
      <c r="Z538" s="118"/>
      <c r="AA538" s="118"/>
      <c r="AB538" s="118"/>
      <c r="AC538" s="118"/>
      <c r="AD538" s="118"/>
      <c r="AE538" s="118"/>
      <c r="AF538" s="118"/>
      <c r="AG538" s="118"/>
      <c r="AH538" s="118"/>
    </row>
    <row r="539">
      <c r="A539" s="118"/>
      <c r="B539" s="52"/>
      <c r="C539" s="118"/>
      <c r="D539" s="52"/>
      <c r="E539" s="118"/>
      <c r="F539" s="152"/>
      <c r="G539" s="152"/>
      <c r="H539" s="152"/>
      <c r="I539" s="152"/>
      <c r="J539" s="152"/>
      <c r="K539" s="118"/>
      <c r="L539" s="118"/>
      <c r="M539" s="118"/>
      <c r="N539" s="118"/>
      <c r="O539" s="118"/>
      <c r="P539" s="118"/>
      <c r="Q539" s="118"/>
      <c r="R539" s="118"/>
      <c r="S539" s="118"/>
      <c r="T539" s="118"/>
      <c r="U539" s="118"/>
      <c r="V539" s="118"/>
      <c r="W539" s="118"/>
      <c r="X539" s="118"/>
      <c r="Y539" s="118"/>
      <c r="Z539" s="118"/>
      <c r="AA539" s="118"/>
      <c r="AB539" s="118"/>
      <c r="AC539" s="118"/>
      <c r="AD539" s="118"/>
      <c r="AE539" s="118"/>
      <c r="AF539" s="118"/>
      <c r="AG539" s="118"/>
      <c r="AH539" s="118"/>
    </row>
    <row r="540">
      <c r="A540" s="118"/>
      <c r="B540" s="52"/>
      <c r="C540" s="118"/>
      <c r="D540" s="52"/>
      <c r="E540" s="118"/>
      <c r="F540" s="152"/>
      <c r="G540" s="152"/>
      <c r="H540" s="152"/>
      <c r="I540" s="152"/>
      <c r="J540" s="152"/>
      <c r="K540" s="118"/>
      <c r="L540" s="118"/>
      <c r="M540" s="118"/>
      <c r="N540" s="118"/>
      <c r="O540" s="118"/>
      <c r="P540" s="118"/>
      <c r="Q540" s="118"/>
      <c r="R540" s="118"/>
      <c r="S540" s="118"/>
      <c r="T540" s="118"/>
      <c r="U540" s="118"/>
      <c r="V540" s="118"/>
      <c r="W540" s="118"/>
      <c r="X540" s="118"/>
      <c r="Y540" s="118"/>
      <c r="Z540" s="118"/>
      <c r="AA540" s="118"/>
      <c r="AB540" s="118"/>
      <c r="AC540" s="118"/>
      <c r="AD540" s="118"/>
      <c r="AE540" s="118"/>
      <c r="AF540" s="118"/>
      <c r="AG540" s="118"/>
      <c r="AH540" s="118"/>
    </row>
    <row r="541">
      <c r="A541" s="118"/>
      <c r="B541" s="52"/>
      <c r="C541" s="118"/>
      <c r="D541" s="52"/>
      <c r="E541" s="118"/>
      <c r="F541" s="152"/>
      <c r="G541" s="152"/>
      <c r="H541" s="152"/>
      <c r="I541" s="152"/>
      <c r="J541" s="152"/>
      <c r="K541" s="118"/>
      <c r="L541" s="118"/>
      <c r="M541" s="118"/>
      <c r="N541" s="118"/>
      <c r="O541" s="118"/>
      <c r="P541" s="118"/>
      <c r="Q541" s="118"/>
      <c r="R541" s="118"/>
      <c r="S541" s="118"/>
      <c r="T541" s="118"/>
      <c r="U541" s="118"/>
      <c r="V541" s="118"/>
      <c r="W541" s="118"/>
      <c r="X541" s="118"/>
      <c r="Y541" s="118"/>
      <c r="Z541" s="118"/>
      <c r="AA541" s="118"/>
      <c r="AB541" s="118"/>
      <c r="AC541" s="118"/>
      <c r="AD541" s="118"/>
      <c r="AE541" s="118"/>
      <c r="AF541" s="118"/>
      <c r="AG541" s="118"/>
      <c r="AH541" s="118"/>
    </row>
    <row r="542">
      <c r="A542" s="118"/>
      <c r="B542" s="52"/>
      <c r="C542" s="118"/>
      <c r="D542" s="52"/>
      <c r="E542" s="118"/>
      <c r="F542" s="152"/>
      <c r="G542" s="152"/>
      <c r="H542" s="152"/>
      <c r="I542" s="152"/>
      <c r="J542" s="152"/>
      <c r="K542" s="118"/>
      <c r="L542" s="118"/>
      <c r="M542" s="118"/>
      <c r="N542" s="118"/>
      <c r="O542" s="118"/>
      <c r="P542" s="118"/>
      <c r="Q542" s="118"/>
      <c r="R542" s="118"/>
      <c r="S542" s="118"/>
      <c r="T542" s="118"/>
      <c r="U542" s="118"/>
      <c r="V542" s="118"/>
      <c r="W542" s="118"/>
      <c r="X542" s="118"/>
      <c r="Y542" s="118"/>
      <c r="Z542" s="118"/>
      <c r="AA542" s="118"/>
      <c r="AB542" s="118"/>
      <c r="AC542" s="118"/>
      <c r="AD542" s="118"/>
      <c r="AE542" s="118"/>
      <c r="AF542" s="118"/>
      <c r="AG542" s="118"/>
      <c r="AH542" s="118"/>
    </row>
    <row r="543">
      <c r="A543" s="118"/>
      <c r="B543" s="52"/>
      <c r="C543" s="118"/>
      <c r="D543" s="52"/>
      <c r="E543" s="118"/>
      <c r="F543" s="152"/>
      <c r="G543" s="152"/>
      <c r="H543" s="152"/>
      <c r="I543" s="152"/>
      <c r="J543" s="152"/>
      <c r="K543" s="118"/>
      <c r="L543" s="118"/>
      <c r="M543" s="118"/>
      <c r="N543" s="118"/>
      <c r="O543" s="118"/>
      <c r="P543" s="118"/>
      <c r="Q543" s="118"/>
      <c r="R543" s="118"/>
      <c r="S543" s="118"/>
      <c r="T543" s="118"/>
      <c r="U543" s="118"/>
      <c r="V543" s="118"/>
      <c r="W543" s="118"/>
      <c r="X543" s="118"/>
      <c r="Y543" s="118"/>
      <c r="Z543" s="118"/>
      <c r="AA543" s="118"/>
      <c r="AB543" s="118"/>
      <c r="AC543" s="118"/>
      <c r="AD543" s="118"/>
      <c r="AE543" s="118"/>
      <c r="AF543" s="118"/>
      <c r="AG543" s="118"/>
      <c r="AH543" s="118"/>
    </row>
    <row r="544">
      <c r="A544" s="118"/>
      <c r="B544" s="52"/>
      <c r="C544" s="118"/>
      <c r="D544" s="52"/>
      <c r="E544" s="118"/>
      <c r="F544" s="152"/>
      <c r="G544" s="152"/>
      <c r="H544" s="152"/>
      <c r="I544" s="152"/>
      <c r="J544" s="152"/>
      <c r="K544" s="118"/>
      <c r="L544" s="118"/>
      <c r="M544" s="118"/>
      <c r="N544" s="118"/>
      <c r="O544" s="118"/>
      <c r="P544" s="118"/>
      <c r="Q544" s="118"/>
      <c r="R544" s="118"/>
      <c r="S544" s="118"/>
      <c r="T544" s="118"/>
      <c r="U544" s="118"/>
      <c r="V544" s="118"/>
      <c r="W544" s="118"/>
      <c r="X544" s="118"/>
      <c r="Y544" s="118"/>
      <c r="Z544" s="118"/>
      <c r="AA544" s="118"/>
      <c r="AB544" s="118"/>
      <c r="AC544" s="118"/>
      <c r="AD544" s="118"/>
      <c r="AE544" s="118"/>
      <c r="AF544" s="118"/>
      <c r="AG544" s="118"/>
      <c r="AH544" s="118"/>
    </row>
    <row r="545">
      <c r="A545" s="118"/>
      <c r="B545" s="52"/>
      <c r="C545" s="118"/>
      <c r="D545" s="52"/>
      <c r="E545" s="118"/>
      <c r="F545" s="152"/>
      <c r="G545" s="152"/>
      <c r="H545" s="152"/>
      <c r="I545" s="152"/>
      <c r="J545" s="152"/>
      <c r="K545" s="118"/>
      <c r="L545" s="118"/>
      <c r="M545" s="118"/>
      <c r="N545" s="118"/>
      <c r="O545" s="118"/>
      <c r="P545" s="118"/>
      <c r="Q545" s="118"/>
      <c r="R545" s="118"/>
      <c r="S545" s="118"/>
      <c r="T545" s="118"/>
      <c r="U545" s="118"/>
      <c r="V545" s="118"/>
      <c r="W545" s="118"/>
      <c r="X545" s="118"/>
      <c r="Y545" s="118"/>
      <c r="Z545" s="118"/>
      <c r="AA545" s="118"/>
      <c r="AB545" s="118"/>
      <c r="AC545" s="118"/>
      <c r="AD545" s="118"/>
      <c r="AE545" s="118"/>
      <c r="AF545" s="118"/>
      <c r="AG545" s="118"/>
      <c r="AH545" s="118"/>
    </row>
    <row r="546">
      <c r="A546" s="118"/>
      <c r="B546" s="52"/>
      <c r="C546" s="118"/>
      <c r="D546" s="52"/>
      <c r="E546" s="118"/>
      <c r="F546" s="152"/>
      <c r="G546" s="152"/>
      <c r="H546" s="152"/>
      <c r="I546" s="152"/>
      <c r="J546" s="152"/>
      <c r="K546" s="118"/>
      <c r="L546" s="118"/>
      <c r="M546" s="118"/>
      <c r="N546" s="118"/>
      <c r="O546" s="118"/>
      <c r="P546" s="118"/>
      <c r="Q546" s="118"/>
      <c r="R546" s="118"/>
      <c r="S546" s="118"/>
      <c r="T546" s="118"/>
      <c r="U546" s="118"/>
      <c r="V546" s="118"/>
      <c r="W546" s="118"/>
      <c r="X546" s="118"/>
      <c r="Y546" s="118"/>
      <c r="Z546" s="118"/>
      <c r="AA546" s="118"/>
      <c r="AB546" s="118"/>
      <c r="AC546" s="118"/>
      <c r="AD546" s="118"/>
      <c r="AE546" s="118"/>
      <c r="AF546" s="118"/>
      <c r="AG546" s="118"/>
      <c r="AH546" s="118"/>
    </row>
    <row r="547">
      <c r="A547" s="118"/>
      <c r="B547" s="52"/>
      <c r="C547" s="118"/>
      <c r="D547" s="52"/>
      <c r="E547" s="118"/>
      <c r="F547" s="152"/>
      <c r="G547" s="152"/>
      <c r="H547" s="152"/>
      <c r="I547" s="152"/>
      <c r="J547" s="152"/>
      <c r="K547" s="118"/>
      <c r="L547" s="118"/>
      <c r="M547" s="118"/>
      <c r="N547" s="118"/>
      <c r="O547" s="118"/>
      <c r="P547" s="118"/>
      <c r="Q547" s="118"/>
      <c r="R547" s="118"/>
      <c r="S547" s="118"/>
      <c r="T547" s="118"/>
      <c r="U547" s="118"/>
      <c r="V547" s="118"/>
      <c r="W547" s="118"/>
      <c r="X547" s="118"/>
      <c r="Y547" s="118"/>
      <c r="Z547" s="118"/>
      <c r="AA547" s="118"/>
      <c r="AB547" s="118"/>
      <c r="AC547" s="118"/>
      <c r="AD547" s="118"/>
      <c r="AE547" s="118"/>
      <c r="AF547" s="118"/>
      <c r="AG547" s="118"/>
      <c r="AH547" s="118"/>
    </row>
    <row r="548">
      <c r="A548" s="118"/>
      <c r="B548" s="52"/>
      <c r="C548" s="118"/>
      <c r="D548" s="52"/>
      <c r="E548" s="118"/>
      <c r="F548" s="152"/>
      <c r="G548" s="152"/>
      <c r="H548" s="152"/>
      <c r="I548" s="152"/>
      <c r="J548" s="152"/>
      <c r="K548" s="118"/>
      <c r="L548" s="118"/>
      <c r="M548" s="118"/>
      <c r="N548" s="118"/>
      <c r="O548" s="118"/>
      <c r="P548" s="118"/>
      <c r="Q548" s="118"/>
      <c r="R548" s="118"/>
      <c r="S548" s="118"/>
      <c r="T548" s="118"/>
      <c r="U548" s="118"/>
      <c r="V548" s="118"/>
      <c r="W548" s="118"/>
      <c r="X548" s="118"/>
      <c r="Y548" s="118"/>
      <c r="Z548" s="118"/>
      <c r="AA548" s="118"/>
      <c r="AB548" s="118"/>
      <c r="AC548" s="118"/>
      <c r="AD548" s="118"/>
      <c r="AE548" s="118"/>
      <c r="AF548" s="118"/>
      <c r="AG548" s="118"/>
      <c r="AH548" s="118"/>
    </row>
    <row r="549">
      <c r="A549" s="118"/>
      <c r="B549" s="52"/>
      <c r="C549" s="118"/>
      <c r="D549" s="52"/>
      <c r="E549" s="118"/>
      <c r="F549" s="152"/>
      <c r="G549" s="152"/>
      <c r="H549" s="152"/>
      <c r="I549" s="152"/>
      <c r="J549" s="152"/>
      <c r="K549" s="118"/>
      <c r="L549" s="118"/>
      <c r="M549" s="118"/>
      <c r="N549" s="118"/>
      <c r="O549" s="118"/>
      <c r="P549" s="118"/>
      <c r="Q549" s="118"/>
      <c r="R549" s="118"/>
      <c r="S549" s="118"/>
      <c r="T549" s="118"/>
      <c r="U549" s="118"/>
      <c r="V549" s="118"/>
      <c r="W549" s="118"/>
      <c r="X549" s="118"/>
      <c r="Y549" s="118"/>
      <c r="Z549" s="118"/>
      <c r="AA549" s="118"/>
      <c r="AB549" s="118"/>
      <c r="AC549" s="118"/>
      <c r="AD549" s="118"/>
      <c r="AE549" s="118"/>
      <c r="AF549" s="118"/>
      <c r="AG549" s="118"/>
      <c r="AH549" s="118"/>
    </row>
    <row r="550">
      <c r="A550" s="118"/>
      <c r="B550" s="52"/>
      <c r="C550" s="118"/>
      <c r="D550" s="52"/>
      <c r="E550" s="118"/>
      <c r="F550" s="152"/>
      <c r="G550" s="152"/>
      <c r="H550" s="152"/>
      <c r="I550" s="152"/>
      <c r="J550" s="152"/>
      <c r="K550" s="118"/>
      <c r="L550" s="118"/>
      <c r="M550" s="118"/>
      <c r="N550" s="118"/>
      <c r="O550" s="118"/>
      <c r="P550" s="118"/>
      <c r="Q550" s="118"/>
      <c r="R550" s="118"/>
      <c r="S550" s="118"/>
      <c r="T550" s="118"/>
      <c r="U550" s="118"/>
      <c r="V550" s="118"/>
      <c r="W550" s="118"/>
      <c r="X550" s="118"/>
      <c r="Y550" s="118"/>
      <c r="Z550" s="118"/>
      <c r="AA550" s="118"/>
      <c r="AB550" s="118"/>
      <c r="AC550" s="118"/>
      <c r="AD550" s="118"/>
      <c r="AE550" s="118"/>
      <c r="AF550" s="118"/>
      <c r="AG550" s="118"/>
      <c r="AH550" s="118"/>
    </row>
    <row r="551">
      <c r="A551" s="118"/>
      <c r="B551" s="52"/>
      <c r="C551" s="118"/>
      <c r="D551" s="52"/>
      <c r="E551" s="118"/>
      <c r="F551" s="152"/>
      <c r="G551" s="152"/>
      <c r="H551" s="152"/>
      <c r="I551" s="152"/>
      <c r="J551" s="152"/>
      <c r="K551" s="118"/>
      <c r="L551" s="118"/>
      <c r="M551" s="118"/>
      <c r="N551" s="118"/>
      <c r="O551" s="118"/>
      <c r="P551" s="118"/>
      <c r="Q551" s="118"/>
      <c r="R551" s="118"/>
      <c r="S551" s="118"/>
      <c r="T551" s="118"/>
      <c r="U551" s="118"/>
      <c r="V551" s="118"/>
      <c r="W551" s="118"/>
      <c r="X551" s="118"/>
      <c r="Y551" s="118"/>
      <c r="Z551" s="118"/>
      <c r="AA551" s="118"/>
      <c r="AB551" s="118"/>
      <c r="AC551" s="118"/>
      <c r="AD551" s="118"/>
      <c r="AE551" s="118"/>
      <c r="AF551" s="118"/>
      <c r="AG551" s="118"/>
      <c r="AH551" s="118"/>
    </row>
    <row r="552">
      <c r="A552" s="118"/>
      <c r="B552" s="52"/>
      <c r="C552" s="118"/>
      <c r="D552" s="52"/>
      <c r="E552" s="118"/>
      <c r="F552" s="152"/>
      <c r="G552" s="152"/>
      <c r="H552" s="152"/>
      <c r="I552" s="152"/>
      <c r="J552" s="152"/>
      <c r="K552" s="118"/>
      <c r="L552" s="118"/>
      <c r="M552" s="118"/>
      <c r="N552" s="118"/>
      <c r="O552" s="118"/>
      <c r="P552" s="118"/>
      <c r="Q552" s="118"/>
      <c r="R552" s="118"/>
      <c r="S552" s="118"/>
      <c r="T552" s="118"/>
      <c r="U552" s="118"/>
      <c r="V552" s="118"/>
      <c r="W552" s="118"/>
      <c r="X552" s="118"/>
      <c r="Y552" s="118"/>
      <c r="Z552" s="118"/>
      <c r="AA552" s="118"/>
      <c r="AB552" s="118"/>
      <c r="AC552" s="118"/>
      <c r="AD552" s="118"/>
      <c r="AE552" s="118"/>
      <c r="AF552" s="118"/>
      <c r="AG552" s="118"/>
      <c r="AH552" s="118"/>
    </row>
    <row r="553">
      <c r="A553" s="118"/>
      <c r="B553" s="52"/>
      <c r="C553" s="118"/>
      <c r="D553" s="52"/>
      <c r="E553" s="118"/>
      <c r="F553" s="152"/>
      <c r="G553" s="152"/>
      <c r="H553" s="152"/>
      <c r="I553" s="152"/>
      <c r="J553" s="152"/>
      <c r="K553" s="118"/>
      <c r="L553" s="118"/>
      <c r="M553" s="118"/>
      <c r="N553" s="118"/>
      <c r="O553" s="118"/>
      <c r="P553" s="118"/>
      <c r="Q553" s="118"/>
      <c r="R553" s="118"/>
      <c r="S553" s="118"/>
      <c r="T553" s="118"/>
      <c r="U553" s="118"/>
      <c r="V553" s="118"/>
      <c r="W553" s="118"/>
      <c r="X553" s="118"/>
      <c r="Y553" s="118"/>
      <c r="Z553" s="118"/>
      <c r="AA553" s="118"/>
      <c r="AB553" s="118"/>
      <c r="AC553" s="118"/>
      <c r="AD553" s="118"/>
      <c r="AE553" s="118"/>
      <c r="AF553" s="118"/>
      <c r="AG553" s="118"/>
      <c r="AH553" s="118"/>
    </row>
    <row r="554">
      <c r="A554" s="118"/>
      <c r="B554" s="52"/>
      <c r="C554" s="118"/>
      <c r="D554" s="52"/>
      <c r="E554" s="118"/>
      <c r="F554" s="152"/>
      <c r="G554" s="152"/>
      <c r="H554" s="152"/>
      <c r="I554" s="152"/>
      <c r="J554" s="152"/>
      <c r="K554" s="118"/>
      <c r="L554" s="118"/>
      <c r="M554" s="118"/>
      <c r="N554" s="118"/>
      <c r="O554" s="118"/>
      <c r="P554" s="118"/>
      <c r="Q554" s="118"/>
      <c r="R554" s="118"/>
      <c r="S554" s="118"/>
      <c r="T554" s="118"/>
      <c r="U554" s="118"/>
      <c r="V554" s="118"/>
      <c r="W554" s="118"/>
      <c r="X554" s="118"/>
      <c r="Y554" s="118"/>
      <c r="Z554" s="118"/>
      <c r="AA554" s="118"/>
      <c r="AB554" s="118"/>
      <c r="AC554" s="118"/>
      <c r="AD554" s="118"/>
      <c r="AE554" s="118"/>
      <c r="AF554" s="118"/>
      <c r="AG554" s="118"/>
      <c r="AH554" s="118"/>
    </row>
    <row r="555">
      <c r="A555" s="118"/>
      <c r="B555" s="52"/>
      <c r="C555" s="118"/>
      <c r="D555" s="52"/>
      <c r="E555" s="118"/>
      <c r="F555" s="152"/>
      <c r="G555" s="152"/>
      <c r="H555" s="152"/>
      <c r="I555" s="152"/>
      <c r="J555" s="152"/>
      <c r="K555" s="118"/>
      <c r="L555" s="118"/>
      <c r="M555" s="118"/>
      <c r="N555" s="118"/>
      <c r="O555" s="118"/>
      <c r="P555" s="118"/>
      <c r="Q555" s="118"/>
      <c r="R555" s="118"/>
      <c r="S555" s="118"/>
      <c r="T555" s="118"/>
      <c r="U555" s="118"/>
      <c r="V555" s="118"/>
      <c r="W555" s="118"/>
      <c r="X555" s="118"/>
      <c r="Y555" s="118"/>
      <c r="Z555" s="118"/>
      <c r="AA555" s="118"/>
      <c r="AB555" s="118"/>
      <c r="AC555" s="118"/>
      <c r="AD555" s="118"/>
      <c r="AE555" s="118"/>
      <c r="AF555" s="118"/>
      <c r="AG555" s="118"/>
      <c r="AH555" s="118"/>
    </row>
    <row r="556">
      <c r="A556" s="118"/>
      <c r="B556" s="52"/>
      <c r="C556" s="118"/>
      <c r="D556" s="52"/>
      <c r="E556" s="118"/>
      <c r="F556" s="152"/>
      <c r="G556" s="152"/>
      <c r="H556" s="152"/>
      <c r="I556" s="152"/>
      <c r="J556" s="152"/>
      <c r="K556" s="118"/>
      <c r="L556" s="118"/>
      <c r="M556" s="118"/>
      <c r="N556" s="118"/>
      <c r="O556" s="118"/>
      <c r="P556" s="118"/>
      <c r="Q556" s="118"/>
      <c r="R556" s="118"/>
      <c r="S556" s="118"/>
      <c r="T556" s="118"/>
      <c r="U556" s="118"/>
      <c r="V556" s="118"/>
      <c r="W556" s="118"/>
      <c r="X556" s="118"/>
      <c r="Y556" s="118"/>
      <c r="Z556" s="118"/>
      <c r="AA556" s="118"/>
      <c r="AB556" s="118"/>
      <c r="AC556" s="118"/>
      <c r="AD556" s="118"/>
      <c r="AE556" s="118"/>
      <c r="AF556" s="118"/>
      <c r="AG556" s="118"/>
      <c r="AH556" s="118"/>
    </row>
    <row r="557">
      <c r="A557" s="118"/>
      <c r="B557" s="52"/>
      <c r="C557" s="118"/>
      <c r="D557" s="52"/>
      <c r="E557" s="118"/>
      <c r="F557" s="152"/>
      <c r="G557" s="152"/>
      <c r="H557" s="152"/>
      <c r="I557" s="152"/>
      <c r="J557" s="152"/>
      <c r="K557" s="118"/>
      <c r="L557" s="118"/>
      <c r="M557" s="118"/>
      <c r="N557" s="118"/>
      <c r="O557" s="118"/>
      <c r="P557" s="118"/>
      <c r="Q557" s="118"/>
      <c r="R557" s="118"/>
      <c r="S557" s="118"/>
      <c r="T557" s="118"/>
      <c r="U557" s="118"/>
      <c r="V557" s="118"/>
      <c r="W557" s="118"/>
      <c r="X557" s="118"/>
      <c r="Y557" s="118"/>
      <c r="Z557" s="118"/>
      <c r="AA557" s="118"/>
      <c r="AB557" s="118"/>
      <c r="AC557" s="118"/>
      <c r="AD557" s="118"/>
      <c r="AE557" s="118"/>
      <c r="AF557" s="118"/>
      <c r="AG557" s="118"/>
      <c r="AH557" s="118"/>
    </row>
    <row r="558">
      <c r="A558" s="118"/>
      <c r="B558" s="52"/>
      <c r="C558" s="118"/>
      <c r="D558" s="52"/>
      <c r="E558" s="118"/>
      <c r="F558" s="152"/>
      <c r="G558" s="152"/>
      <c r="H558" s="152"/>
      <c r="I558" s="152"/>
      <c r="J558" s="152"/>
      <c r="K558" s="118"/>
      <c r="L558" s="118"/>
      <c r="M558" s="118"/>
      <c r="N558" s="118"/>
      <c r="O558" s="118"/>
      <c r="P558" s="118"/>
      <c r="Q558" s="118"/>
      <c r="R558" s="118"/>
      <c r="S558" s="118"/>
      <c r="T558" s="118"/>
      <c r="U558" s="118"/>
      <c r="V558" s="118"/>
      <c r="W558" s="118"/>
      <c r="X558" s="118"/>
      <c r="Y558" s="118"/>
      <c r="Z558" s="118"/>
      <c r="AA558" s="118"/>
      <c r="AB558" s="118"/>
      <c r="AC558" s="118"/>
      <c r="AD558" s="118"/>
      <c r="AE558" s="118"/>
      <c r="AF558" s="118"/>
      <c r="AG558" s="118"/>
      <c r="AH558" s="118"/>
    </row>
    <row r="559">
      <c r="A559" s="118"/>
      <c r="B559" s="52"/>
      <c r="C559" s="118"/>
      <c r="D559" s="52"/>
      <c r="E559" s="118"/>
      <c r="F559" s="152"/>
      <c r="G559" s="152"/>
      <c r="H559" s="152"/>
      <c r="I559" s="152"/>
      <c r="J559" s="152"/>
      <c r="K559" s="118"/>
      <c r="L559" s="118"/>
      <c r="M559" s="118"/>
      <c r="N559" s="118"/>
      <c r="O559" s="118"/>
      <c r="P559" s="118"/>
      <c r="Q559" s="118"/>
      <c r="R559" s="118"/>
      <c r="S559" s="118"/>
      <c r="T559" s="118"/>
      <c r="U559" s="118"/>
      <c r="V559" s="118"/>
      <c r="W559" s="118"/>
      <c r="X559" s="118"/>
      <c r="Y559" s="118"/>
      <c r="Z559" s="118"/>
      <c r="AA559" s="118"/>
      <c r="AB559" s="118"/>
      <c r="AC559" s="118"/>
      <c r="AD559" s="118"/>
      <c r="AE559" s="118"/>
      <c r="AF559" s="118"/>
      <c r="AG559" s="118"/>
      <c r="AH559" s="118"/>
    </row>
    <row r="560">
      <c r="A560" s="118"/>
      <c r="B560" s="52"/>
      <c r="C560" s="118"/>
      <c r="D560" s="52"/>
      <c r="E560" s="118"/>
      <c r="F560" s="152"/>
      <c r="G560" s="152"/>
      <c r="H560" s="152"/>
      <c r="I560" s="152"/>
      <c r="J560" s="152"/>
      <c r="K560" s="118"/>
      <c r="L560" s="118"/>
      <c r="M560" s="118"/>
      <c r="N560" s="118"/>
      <c r="O560" s="118"/>
      <c r="P560" s="118"/>
      <c r="Q560" s="118"/>
      <c r="R560" s="118"/>
      <c r="S560" s="118"/>
      <c r="T560" s="118"/>
      <c r="U560" s="118"/>
      <c r="V560" s="118"/>
      <c r="W560" s="118"/>
      <c r="X560" s="118"/>
      <c r="Y560" s="118"/>
      <c r="Z560" s="118"/>
      <c r="AA560" s="118"/>
      <c r="AB560" s="118"/>
      <c r="AC560" s="118"/>
      <c r="AD560" s="118"/>
      <c r="AE560" s="118"/>
      <c r="AF560" s="118"/>
      <c r="AG560" s="118"/>
      <c r="AH560" s="118"/>
    </row>
    <row r="561">
      <c r="A561" s="118"/>
      <c r="B561" s="52"/>
      <c r="C561" s="118"/>
      <c r="D561" s="52"/>
      <c r="E561" s="118"/>
      <c r="F561" s="152"/>
      <c r="G561" s="152"/>
      <c r="H561" s="152"/>
      <c r="I561" s="152"/>
      <c r="J561" s="152"/>
      <c r="K561" s="118"/>
      <c r="L561" s="118"/>
      <c r="M561" s="118"/>
      <c r="N561" s="118"/>
      <c r="O561" s="118"/>
      <c r="P561" s="118"/>
      <c r="Q561" s="118"/>
      <c r="R561" s="118"/>
      <c r="S561" s="118"/>
      <c r="T561" s="118"/>
      <c r="U561" s="118"/>
      <c r="V561" s="118"/>
      <c r="W561" s="118"/>
      <c r="X561" s="118"/>
      <c r="Y561" s="118"/>
      <c r="Z561" s="118"/>
      <c r="AA561" s="118"/>
      <c r="AB561" s="118"/>
      <c r="AC561" s="118"/>
      <c r="AD561" s="118"/>
      <c r="AE561" s="118"/>
      <c r="AF561" s="118"/>
      <c r="AG561" s="118"/>
      <c r="AH561" s="118"/>
    </row>
    <row r="562">
      <c r="A562" s="118"/>
      <c r="B562" s="52"/>
      <c r="C562" s="118"/>
      <c r="D562" s="52"/>
      <c r="E562" s="118"/>
      <c r="F562" s="152"/>
      <c r="G562" s="152"/>
      <c r="H562" s="152"/>
      <c r="I562" s="152"/>
      <c r="J562" s="152"/>
      <c r="K562" s="118"/>
      <c r="L562" s="118"/>
      <c r="M562" s="118"/>
      <c r="N562" s="118"/>
      <c r="O562" s="118"/>
      <c r="P562" s="118"/>
      <c r="Q562" s="118"/>
      <c r="R562" s="118"/>
      <c r="S562" s="118"/>
      <c r="T562" s="118"/>
      <c r="U562" s="118"/>
      <c r="V562" s="118"/>
      <c r="W562" s="118"/>
      <c r="X562" s="118"/>
      <c r="Y562" s="118"/>
      <c r="Z562" s="118"/>
      <c r="AA562" s="118"/>
      <c r="AB562" s="118"/>
      <c r="AC562" s="118"/>
      <c r="AD562" s="118"/>
      <c r="AE562" s="118"/>
      <c r="AF562" s="118"/>
      <c r="AG562" s="118"/>
      <c r="AH562" s="118"/>
    </row>
    <row r="563">
      <c r="A563" s="118"/>
      <c r="B563" s="52"/>
      <c r="C563" s="118"/>
      <c r="D563" s="52"/>
      <c r="E563" s="118"/>
      <c r="F563" s="152"/>
      <c r="G563" s="152"/>
      <c r="H563" s="152"/>
      <c r="I563" s="152"/>
      <c r="J563" s="152"/>
      <c r="K563" s="118"/>
      <c r="L563" s="118"/>
      <c r="M563" s="118"/>
      <c r="N563" s="118"/>
      <c r="O563" s="118"/>
      <c r="P563" s="118"/>
      <c r="Q563" s="118"/>
      <c r="R563" s="118"/>
      <c r="S563" s="118"/>
      <c r="T563" s="118"/>
      <c r="U563" s="118"/>
      <c r="V563" s="118"/>
      <c r="W563" s="118"/>
      <c r="X563" s="118"/>
      <c r="Y563" s="118"/>
      <c r="Z563" s="118"/>
      <c r="AA563" s="118"/>
      <c r="AB563" s="118"/>
      <c r="AC563" s="118"/>
      <c r="AD563" s="118"/>
      <c r="AE563" s="118"/>
      <c r="AF563" s="118"/>
      <c r="AG563" s="118"/>
      <c r="AH563" s="118"/>
    </row>
    <row r="564">
      <c r="A564" s="118"/>
      <c r="B564" s="52"/>
      <c r="C564" s="118"/>
      <c r="D564" s="52"/>
      <c r="E564" s="118"/>
      <c r="F564" s="152"/>
      <c r="G564" s="152"/>
      <c r="H564" s="152"/>
      <c r="I564" s="152"/>
      <c r="J564" s="152"/>
      <c r="K564" s="118"/>
      <c r="L564" s="118"/>
      <c r="M564" s="118"/>
      <c r="N564" s="118"/>
      <c r="O564" s="118"/>
      <c r="P564" s="118"/>
      <c r="Q564" s="118"/>
      <c r="R564" s="118"/>
      <c r="S564" s="118"/>
      <c r="T564" s="118"/>
      <c r="U564" s="118"/>
      <c r="V564" s="118"/>
      <c r="W564" s="118"/>
      <c r="X564" s="118"/>
      <c r="Y564" s="118"/>
      <c r="Z564" s="118"/>
      <c r="AA564" s="118"/>
      <c r="AB564" s="118"/>
      <c r="AC564" s="118"/>
      <c r="AD564" s="118"/>
      <c r="AE564" s="118"/>
      <c r="AF564" s="118"/>
      <c r="AG564" s="118"/>
      <c r="AH564" s="118"/>
    </row>
    <row r="565">
      <c r="A565" s="118"/>
      <c r="B565" s="52"/>
      <c r="C565" s="118"/>
      <c r="D565" s="52"/>
      <c r="E565" s="118"/>
      <c r="F565" s="152"/>
      <c r="G565" s="152"/>
      <c r="H565" s="152"/>
      <c r="I565" s="152"/>
      <c r="J565" s="152"/>
      <c r="K565" s="118"/>
      <c r="L565" s="118"/>
      <c r="M565" s="118"/>
      <c r="N565" s="118"/>
      <c r="O565" s="118"/>
      <c r="P565" s="118"/>
      <c r="Q565" s="118"/>
      <c r="R565" s="118"/>
      <c r="S565" s="118"/>
      <c r="T565" s="118"/>
      <c r="U565" s="118"/>
      <c r="V565" s="118"/>
      <c r="W565" s="118"/>
      <c r="X565" s="118"/>
      <c r="Y565" s="118"/>
      <c r="Z565" s="118"/>
      <c r="AA565" s="118"/>
      <c r="AB565" s="118"/>
      <c r="AC565" s="118"/>
      <c r="AD565" s="118"/>
      <c r="AE565" s="118"/>
      <c r="AF565" s="118"/>
      <c r="AG565" s="118"/>
      <c r="AH565" s="118"/>
    </row>
    <row r="566">
      <c r="A566" s="118"/>
      <c r="B566" s="52"/>
      <c r="C566" s="118"/>
      <c r="D566" s="52"/>
      <c r="E566" s="118"/>
      <c r="F566" s="152"/>
      <c r="G566" s="152"/>
      <c r="H566" s="152"/>
      <c r="I566" s="152"/>
      <c r="J566" s="152"/>
      <c r="K566" s="118"/>
      <c r="L566" s="118"/>
      <c r="M566" s="118"/>
      <c r="N566" s="118"/>
      <c r="O566" s="118"/>
      <c r="P566" s="118"/>
      <c r="Q566" s="118"/>
      <c r="R566" s="118"/>
      <c r="S566" s="118"/>
      <c r="T566" s="118"/>
      <c r="U566" s="118"/>
      <c r="V566" s="118"/>
      <c r="W566" s="118"/>
      <c r="X566" s="118"/>
      <c r="Y566" s="118"/>
      <c r="Z566" s="118"/>
      <c r="AA566" s="118"/>
      <c r="AB566" s="118"/>
      <c r="AC566" s="118"/>
      <c r="AD566" s="118"/>
      <c r="AE566" s="118"/>
      <c r="AF566" s="118"/>
      <c r="AG566" s="118"/>
      <c r="AH566" s="118"/>
    </row>
    <row r="567">
      <c r="A567" s="118"/>
      <c r="B567" s="52"/>
      <c r="C567" s="118"/>
      <c r="D567" s="52"/>
      <c r="E567" s="118"/>
      <c r="F567" s="152"/>
      <c r="G567" s="152"/>
      <c r="H567" s="152"/>
      <c r="I567" s="152"/>
      <c r="J567" s="152"/>
      <c r="K567" s="118"/>
      <c r="L567" s="118"/>
      <c r="M567" s="118"/>
      <c r="N567" s="118"/>
      <c r="O567" s="118"/>
      <c r="P567" s="118"/>
      <c r="Q567" s="118"/>
      <c r="R567" s="118"/>
      <c r="S567" s="118"/>
      <c r="T567" s="118"/>
      <c r="U567" s="118"/>
      <c r="V567" s="118"/>
      <c r="W567" s="118"/>
      <c r="X567" s="118"/>
      <c r="Y567" s="118"/>
      <c r="Z567" s="118"/>
      <c r="AA567" s="118"/>
      <c r="AB567" s="118"/>
      <c r="AC567" s="118"/>
      <c r="AD567" s="118"/>
      <c r="AE567" s="118"/>
      <c r="AF567" s="118"/>
      <c r="AG567" s="118"/>
      <c r="AH567" s="118"/>
    </row>
    <row r="568">
      <c r="A568" s="118"/>
      <c r="B568" s="52"/>
      <c r="C568" s="118"/>
      <c r="D568" s="52"/>
      <c r="E568" s="118"/>
      <c r="F568" s="152"/>
      <c r="G568" s="152"/>
      <c r="H568" s="152"/>
      <c r="I568" s="152"/>
      <c r="J568" s="152"/>
      <c r="K568" s="118"/>
      <c r="L568" s="118"/>
      <c r="M568" s="118"/>
      <c r="N568" s="118"/>
      <c r="O568" s="118"/>
      <c r="P568" s="118"/>
      <c r="Q568" s="118"/>
      <c r="R568" s="118"/>
      <c r="S568" s="118"/>
      <c r="T568" s="118"/>
      <c r="U568" s="118"/>
      <c r="V568" s="118"/>
      <c r="W568" s="118"/>
      <c r="X568" s="118"/>
      <c r="Y568" s="118"/>
      <c r="Z568" s="118"/>
      <c r="AA568" s="118"/>
      <c r="AB568" s="118"/>
      <c r="AC568" s="118"/>
      <c r="AD568" s="118"/>
      <c r="AE568" s="118"/>
      <c r="AF568" s="118"/>
      <c r="AG568" s="118"/>
      <c r="AH568" s="118"/>
    </row>
    <row r="569">
      <c r="A569" s="118"/>
      <c r="B569" s="52"/>
      <c r="C569" s="118"/>
      <c r="D569" s="52"/>
      <c r="E569" s="118"/>
      <c r="F569" s="152"/>
      <c r="G569" s="152"/>
      <c r="H569" s="152"/>
      <c r="I569" s="152"/>
      <c r="J569" s="152"/>
      <c r="K569" s="118"/>
      <c r="L569" s="118"/>
      <c r="M569" s="118"/>
      <c r="N569" s="118"/>
      <c r="O569" s="118"/>
      <c r="P569" s="118"/>
      <c r="Q569" s="118"/>
      <c r="R569" s="118"/>
      <c r="S569" s="118"/>
      <c r="T569" s="118"/>
      <c r="U569" s="118"/>
      <c r="V569" s="118"/>
      <c r="W569" s="118"/>
      <c r="X569" s="118"/>
      <c r="Y569" s="118"/>
      <c r="Z569" s="118"/>
      <c r="AA569" s="118"/>
      <c r="AB569" s="118"/>
      <c r="AC569" s="118"/>
      <c r="AD569" s="118"/>
      <c r="AE569" s="118"/>
      <c r="AF569" s="118"/>
      <c r="AG569" s="118"/>
      <c r="AH569" s="118"/>
    </row>
    <row r="570">
      <c r="A570" s="118"/>
      <c r="B570" s="52"/>
      <c r="C570" s="118"/>
      <c r="D570" s="52"/>
      <c r="E570" s="118"/>
      <c r="F570" s="152"/>
      <c r="G570" s="152"/>
      <c r="H570" s="152"/>
      <c r="I570" s="152"/>
      <c r="J570" s="152"/>
      <c r="K570" s="118"/>
      <c r="L570" s="118"/>
      <c r="M570" s="118"/>
      <c r="N570" s="118"/>
      <c r="O570" s="118"/>
      <c r="P570" s="118"/>
      <c r="Q570" s="118"/>
      <c r="R570" s="118"/>
      <c r="S570" s="118"/>
      <c r="T570" s="118"/>
      <c r="U570" s="118"/>
      <c r="V570" s="118"/>
      <c r="W570" s="118"/>
      <c r="X570" s="118"/>
      <c r="Y570" s="118"/>
      <c r="Z570" s="118"/>
      <c r="AA570" s="118"/>
      <c r="AB570" s="118"/>
      <c r="AC570" s="118"/>
      <c r="AD570" s="118"/>
      <c r="AE570" s="118"/>
      <c r="AF570" s="118"/>
      <c r="AG570" s="118"/>
      <c r="AH570" s="118"/>
    </row>
    <row r="571">
      <c r="A571" s="118"/>
      <c r="B571" s="52"/>
      <c r="C571" s="118"/>
      <c r="D571" s="52"/>
      <c r="E571" s="118"/>
      <c r="F571" s="152"/>
      <c r="G571" s="152"/>
      <c r="H571" s="152"/>
      <c r="I571" s="152"/>
      <c r="J571" s="152"/>
      <c r="K571" s="118"/>
      <c r="L571" s="118"/>
      <c r="M571" s="118"/>
      <c r="N571" s="118"/>
      <c r="O571" s="118"/>
      <c r="P571" s="118"/>
      <c r="Q571" s="118"/>
      <c r="R571" s="118"/>
      <c r="S571" s="118"/>
      <c r="T571" s="118"/>
      <c r="U571" s="118"/>
      <c r="V571" s="118"/>
      <c r="W571" s="118"/>
      <c r="X571" s="118"/>
      <c r="Y571" s="118"/>
      <c r="Z571" s="118"/>
      <c r="AA571" s="118"/>
      <c r="AB571" s="118"/>
      <c r="AC571" s="118"/>
      <c r="AD571" s="118"/>
      <c r="AE571" s="118"/>
      <c r="AF571" s="118"/>
      <c r="AG571" s="118"/>
      <c r="AH571" s="118"/>
    </row>
    <row r="572">
      <c r="A572" s="118"/>
      <c r="B572" s="52"/>
      <c r="C572" s="118"/>
      <c r="D572" s="52"/>
      <c r="E572" s="118"/>
      <c r="F572" s="152"/>
      <c r="G572" s="152"/>
      <c r="H572" s="152"/>
      <c r="I572" s="152"/>
      <c r="J572" s="152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18"/>
      <c r="V572" s="118"/>
      <c r="W572" s="118"/>
      <c r="X572" s="118"/>
      <c r="Y572" s="118"/>
      <c r="Z572" s="118"/>
      <c r="AA572" s="118"/>
      <c r="AB572" s="118"/>
      <c r="AC572" s="118"/>
      <c r="AD572" s="118"/>
      <c r="AE572" s="118"/>
      <c r="AF572" s="118"/>
      <c r="AG572" s="118"/>
      <c r="AH572" s="118"/>
    </row>
    <row r="573">
      <c r="A573" s="118"/>
      <c r="B573" s="52"/>
      <c r="C573" s="118"/>
      <c r="D573" s="52"/>
      <c r="E573" s="118"/>
      <c r="F573" s="152"/>
      <c r="G573" s="152"/>
      <c r="H573" s="152"/>
      <c r="I573" s="152"/>
      <c r="J573" s="152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18"/>
      <c r="V573" s="118"/>
      <c r="W573" s="118"/>
      <c r="X573" s="118"/>
      <c r="Y573" s="118"/>
      <c r="Z573" s="118"/>
      <c r="AA573" s="118"/>
      <c r="AB573" s="118"/>
      <c r="AC573" s="118"/>
      <c r="AD573" s="118"/>
      <c r="AE573" s="118"/>
      <c r="AF573" s="118"/>
      <c r="AG573" s="118"/>
      <c r="AH573" s="118"/>
    </row>
    <row r="574">
      <c r="A574" s="118"/>
      <c r="B574" s="52"/>
      <c r="C574" s="118"/>
      <c r="D574" s="52"/>
      <c r="E574" s="118"/>
      <c r="F574" s="152"/>
      <c r="G574" s="152"/>
      <c r="H574" s="152"/>
      <c r="I574" s="152"/>
      <c r="J574" s="152"/>
      <c r="K574" s="118"/>
      <c r="L574" s="118"/>
      <c r="M574" s="118"/>
      <c r="N574" s="118"/>
      <c r="O574" s="118"/>
      <c r="P574" s="118"/>
      <c r="Q574" s="118"/>
      <c r="R574" s="118"/>
      <c r="S574" s="118"/>
      <c r="T574" s="118"/>
      <c r="U574" s="118"/>
      <c r="V574" s="118"/>
      <c r="W574" s="118"/>
      <c r="X574" s="118"/>
      <c r="Y574" s="118"/>
      <c r="Z574" s="118"/>
      <c r="AA574" s="118"/>
      <c r="AB574" s="118"/>
      <c r="AC574" s="118"/>
      <c r="AD574" s="118"/>
      <c r="AE574" s="118"/>
      <c r="AF574" s="118"/>
      <c r="AG574" s="118"/>
      <c r="AH574" s="118"/>
    </row>
    <row r="575">
      <c r="A575" s="118"/>
      <c r="B575" s="52"/>
      <c r="C575" s="118"/>
      <c r="D575" s="52"/>
      <c r="E575" s="118"/>
      <c r="F575" s="152"/>
      <c r="G575" s="152"/>
      <c r="H575" s="152"/>
      <c r="I575" s="152"/>
      <c r="J575" s="152"/>
      <c r="K575" s="118"/>
      <c r="L575" s="118"/>
      <c r="M575" s="118"/>
      <c r="N575" s="118"/>
      <c r="O575" s="118"/>
      <c r="P575" s="118"/>
      <c r="Q575" s="118"/>
      <c r="R575" s="118"/>
      <c r="S575" s="118"/>
      <c r="T575" s="118"/>
      <c r="U575" s="118"/>
      <c r="V575" s="118"/>
      <c r="W575" s="118"/>
      <c r="X575" s="118"/>
      <c r="Y575" s="118"/>
      <c r="Z575" s="118"/>
      <c r="AA575" s="118"/>
      <c r="AB575" s="118"/>
      <c r="AC575" s="118"/>
      <c r="AD575" s="118"/>
      <c r="AE575" s="118"/>
      <c r="AF575" s="118"/>
      <c r="AG575" s="118"/>
      <c r="AH575" s="118"/>
    </row>
    <row r="576">
      <c r="A576" s="118"/>
      <c r="B576" s="52"/>
      <c r="C576" s="118"/>
      <c r="D576" s="52"/>
      <c r="E576" s="118"/>
      <c r="F576" s="152"/>
      <c r="G576" s="152"/>
      <c r="H576" s="152"/>
      <c r="I576" s="152"/>
      <c r="J576" s="152"/>
      <c r="K576" s="118"/>
      <c r="L576" s="118"/>
      <c r="M576" s="118"/>
      <c r="N576" s="118"/>
      <c r="O576" s="118"/>
      <c r="P576" s="118"/>
      <c r="Q576" s="118"/>
      <c r="R576" s="118"/>
      <c r="S576" s="118"/>
      <c r="T576" s="118"/>
      <c r="U576" s="118"/>
      <c r="V576" s="118"/>
      <c r="W576" s="118"/>
      <c r="X576" s="118"/>
      <c r="Y576" s="118"/>
      <c r="Z576" s="118"/>
      <c r="AA576" s="118"/>
      <c r="AB576" s="118"/>
      <c r="AC576" s="118"/>
      <c r="AD576" s="118"/>
      <c r="AE576" s="118"/>
      <c r="AF576" s="118"/>
      <c r="AG576" s="118"/>
      <c r="AH576" s="118"/>
    </row>
    <row r="577">
      <c r="A577" s="118"/>
      <c r="B577" s="52"/>
      <c r="C577" s="118"/>
      <c r="D577" s="52"/>
      <c r="E577" s="118"/>
      <c r="F577" s="152"/>
      <c r="G577" s="152"/>
      <c r="H577" s="152"/>
      <c r="I577" s="152"/>
      <c r="J577" s="152"/>
      <c r="K577" s="118"/>
      <c r="L577" s="118"/>
      <c r="M577" s="118"/>
      <c r="N577" s="118"/>
      <c r="O577" s="118"/>
      <c r="P577" s="118"/>
      <c r="Q577" s="118"/>
      <c r="R577" s="118"/>
      <c r="S577" s="118"/>
      <c r="T577" s="118"/>
      <c r="U577" s="118"/>
      <c r="V577" s="118"/>
      <c r="W577" s="118"/>
      <c r="X577" s="118"/>
      <c r="Y577" s="118"/>
      <c r="Z577" s="118"/>
      <c r="AA577" s="118"/>
      <c r="AB577" s="118"/>
      <c r="AC577" s="118"/>
      <c r="AD577" s="118"/>
      <c r="AE577" s="118"/>
      <c r="AF577" s="118"/>
      <c r="AG577" s="118"/>
      <c r="AH577" s="118"/>
    </row>
    <row r="578">
      <c r="A578" s="118"/>
      <c r="B578" s="52"/>
      <c r="C578" s="118"/>
      <c r="D578" s="52"/>
      <c r="E578" s="118"/>
      <c r="F578" s="152"/>
      <c r="G578" s="152"/>
      <c r="H578" s="152"/>
      <c r="I578" s="152"/>
      <c r="J578" s="152"/>
      <c r="K578" s="118"/>
      <c r="L578" s="118"/>
      <c r="M578" s="118"/>
      <c r="N578" s="118"/>
      <c r="O578" s="118"/>
      <c r="P578" s="118"/>
      <c r="Q578" s="118"/>
      <c r="R578" s="118"/>
      <c r="S578" s="118"/>
      <c r="T578" s="118"/>
      <c r="U578" s="118"/>
      <c r="V578" s="118"/>
      <c r="W578" s="118"/>
      <c r="X578" s="118"/>
      <c r="Y578" s="118"/>
      <c r="Z578" s="118"/>
      <c r="AA578" s="118"/>
      <c r="AB578" s="118"/>
      <c r="AC578" s="118"/>
      <c r="AD578" s="118"/>
      <c r="AE578" s="118"/>
      <c r="AF578" s="118"/>
      <c r="AG578" s="118"/>
      <c r="AH578" s="118"/>
    </row>
    <row r="579">
      <c r="A579" s="118"/>
      <c r="B579" s="52"/>
      <c r="C579" s="118"/>
      <c r="D579" s="52"/>
      <c r="E579" s="118"/>
      <c r="F579" s="152"/>
      <c r="G579" s="152"/>
      <c r="H579" s="152"/>
      <c r="I579" s="152"/>
      <c r="J579" s="152"/>
      <c r="K579" s="118"/>
      <c r="L579" s="118"/>
      <c r="M579" s="118"/>
      <c r="N579" s="118"/>
      <c r="O579" s="118"/>
      <c r="P579" s="118"/>
      <c r="Q579" s="118"/>
      <c r="R579" s="118"/>
      <c r="S579" s="118"/>
      <c r="T579" s="118"/>
      <c r="U579" s="118"/>
      <c r="V579" s="118"/>
      <c r="W579" s="118"/>
      <c r="X579" s="118"/>
      <c r="Y579" s="118"/>
      <c r="Z579" s="118"/>
      <c r="AA579" s="118"/>
      <c r="AB579" s="118"/>
      <c r="AC579" s="118"/>
      <c r="AD579" s="118"/>
      <c r="AE579" s="118"/>
      <c r="AF579" s="118"/>
      <c r="AG579" s="118"/>
      <c r="AH579" s="118"/>
    </row>
    <row r="580">
      <c r="A580" s="118"/>
      <c r="B580" s="52"/>
      <c r="C580" s="118"/>
      <c r="D580" s="52"/>
      <c r="E580" s="118"/>
      <c r="F580" s="152"/>
      <c r="G580" s="152"/>
      <c r="H580" s="152"/>
      <c r="I580" s="152"/>
      <c r="J580" s="152"/>
      <c r="K580" s="118"/>
      <c r="L580" s="118"/>
      <c r="M580" s="118"/>
      <c r="N580" s="118"/>
      <c r="O580" s="118"/>
      <c r="P580" s="118"/>
      <c r="Q580" s="118"/>
      <c r="R580" s="118"/>
      <c r="S580" s="118"/>
      <c r="T580" s="118"/>
      <c r="U580" s="118"/>
      <c r="V580" s="118"/>
      <c r="W580" s="118"/>
      <c r="X580" s="118"/>
      <c r="Y580" s="118"/>
      <c r="Z580" s="118"/>
      <c r="AA580" s="118"/>
      <c r="AB580" s="118"/>
      <c r="AC580" s="118"/>
      <c r="AD580" s="118"/>
      <c r="AE580" s="118"/>
      <c r="AF580" s="118"/>
      <c r="AG580" s="118"/>
      <c r="AH580" s="118"/>
    </row>
    <row r="581">
      <c r="A581" s="118"/>
      <c r="B581" s="52"/>
      <c r="C581" s="118"/>
      <c r="D581" s="52"/>
      <c r="E581" s="118"/>
      <c r="F581" s="152"/>
      <c r="G581" s="152"/>
      <c r="H581" s="152"/>
      <c r="I581" s="152"/>
      <c r="J581" s="152"/>
      <c r="K581" s="118"/>
      <c r="L581" s="118"/>
      <c r="M581" s="118"/>
      <c r="N581" s="118"/>
      <c r="O581" s="118"/>
      <c r="P581" s="118"/>
      <c r="Q581" s="118"/>
      <c r="R581" s="118"/>
      <c r="S581" s="118"/>
      <c r="T581" s="118"/>
      <c r="U581" s="118"/>
      <c r="V581" s="118"/>
      <c r="W581" s="118"/>
      <c r="X581" s="118"/>
      <c r="Y581" s="118"/>
      <c r="Z581" s="118"/>
      <c r="AA581" s="118"/>
      <c r="AB581" s="118"/>
      <c r="AC581" s="118"/>
      <c r="AD581" s="118"/>
      <c r="AE581" s="118"/>
      <c r="AF581" s="118"/>
      <c r="AG581" s="118"/>
      <c r="AH581" s="118"/>
    </row>
    <row r="582">
      <c r="A582" s="118"/>
      <c r="B582" s="52"/>
      <c r="C582" s="118"/>
      <c r="D582" s="52"/>
      <c r="E582" s="118"/>
      <c r="F582" s="152"/>
      <c r="G582" s="152"/>
      <c r="H582" s="152"/>
      <c r="I582" s="152"/>
      <c r="J582" s="152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18"/>
      <c r="V582" s="118"/>
      <c r="W582" s="118"/>
      <c r="X582" s="118"/>
      <c r="Y582" s="118"/>
      <c r="Z582" s="118"/>
      <c r="AA582" s="118"/>
      <c r="AB582" s="118"/>
      <c r="AC582" s="118"/>
      <c r="AD582" s="118"/>
      <c r="AE582" s="118"/>
      <c r="AF582" s="118"/>
      <c r="AG582" s="118"/>
      <c r="AH582" s="118"/>
    </row>
    <row r="583">
      <c r="A583" s="118"/>
      <c r="B583" s="52"/>
      <c r="C583" s="118"/>
      <c r="D583" s="52"/>
      <c r="E583" s="118"/>
      <c r="F583" s="152"/>
      <c r="G583" s="152"/>
      <c r="H583" s="152"/>
      <c r="I583" s="152"/>
      <c r="J583" s="152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18"/>
      <c r="V583" s="118"/>
      <c r="W583" s="118"/>
      <c r="X583" s="118"/>
      <c r="Y583" s="118"/>
      <c r="Z583" s="118"/>
      <c r="AA583" s="118"/>
      <c r="AB583" s="118"/>
      <c r="AC583" s="118"/>
      <c r="AD583" s="118"/>
      <c r="AE583" s="118"/>
      <c r="AF583" s="118"/>
      <c r="AG583" s="118"/>
      <c r="AH583" s="118"/>
    </row>
    <row r="584">
      <c r="A584" s="118"/>
      <c r="B584" s="52"/>
      <c r="C584" s="118"/>
      <c r="D584" s="52"/>
      <c r="E584" s="118"/>
      <c r="F584" s="152"/>
      <c r="G584" s="152"/>
      <c r="H584" s="152"/>
      <c r="I584" s="152"/>
      <c r="J584" s="152"/>
      <c r="K584" s="118"/>
      <c r="L584" s="118"/>
      <c r="M584" s="118"/>
      <c r="N584" s="118"/>
      <c r="O584" s="118"/>
      <c r="P584" s="118"/>
      <c r="Q584" s="118"/>
      <c r="R584" s="118"/>
      <c r="S584" s="118"/>
      <c r="T584" s="118"/>
      <c r="U584" s="118"/>
      <c r="V584" s="118"/>
      <c r="W584" s="118"/>
      <c r="X584" s="118"/>
      <c r="Y584" s="118"/>
      <c r="Z584" s="118"/>
      <c r="AA584" s="118"/>
      <c r="AB584" s="118"/>
      <c r="AC584" s="118"/>
      <c r="AD584" s="118"/>
      <c r="AE584" s="118"/>
      <c r="AF584" s="118"/>
      <c r="AG584" s="118"/>
      <c r="AH584" s="118"/>
    </row>
    <row r="585">
      <c r="A585" s="118"/>
      <c r="B585" s="52"/>
      <c r="C585" s="118"/>
      <c r="D585" s="52"/>
      <c r="E585" s="118"/>
      <c r="F585" s="152"/>
      <c r="G585" s="152"/>
      <c r="H585" s="152"/>
      <c r="I585" s="152"/>
      <c r="J585" s="152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18"/>
      <c r="V585" s="118"/>
      <c r="W585" s="118"/>
      <c r="X585" s="118"/>
      <c r="Y585" s="118"/>
      <c r="Z585" s="118"/>
      <c r="AA585" s="118"/>
      <c r="AB585" s="118"/>
      <c r="AC585" s="118"/>
      <c r="AD585" s="118"/>
      <c r="AE585" s="118"/>
      <c r="AF585" s="118"/>
      <c r="AG585" s="118"/>
      <c r="AH585" s="118"/>
    </row>
    <row r="586">
      <c r="A586" s="118"/>
      <c r="B586" s="52"/>
      <c r="C586" s="118"/>
      <c r="D586" s="52"/>
      <c r="E586" s="118"/>
      <c r="F586" s="152"/>
      <c r="G586" s="152"/>
      <c r="H586" s="152"/>
      <c r="I586" s="152"/>
      <c r="J586" s="152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18"/>
      <c r="V586" s="118"/>
      <c r="W586" s="118"/>
      <c r="X586" s="118"/>
      <c r="Y586" s="118"/>
      <c r="Z586" s="118"/>
      <c r="AA586" s="118"/>
      <c r="AB586" s="118"/>
      <c r="AC586" s="118"/>
      <c r="AD586" s="118"/>
      <c r="AE586" s="118"/>
      <c r="AF586" s="118"/>
      <c r="AG586" s="118"/>
      <c r="AH586" s="118"/>
    </row>
    <row r="587">
      <c r="A587" s="118"/>
      <c r="B587" s="52"/>
      <c r="C587" s="118"/>
      <c r="D587" s="52"/>
      <c r="E587" s="118"/>
      <c r="F587" s="152"/>
      <c r="G587" s="152"/>
      <c r="H587" s="152"/>
      <c r="I587" s="152"/>
      <c r="J587" s="152"/>
      <c r="K587" s="118"/>
      <c r="L587" s="118"/>
      <c r="M587" s="118"/>
      <c r="N587" s="118"/>
      <c r="O587" s="118"/>
      <c r="P587" s="118"/>
      <c r="Q587" s="118"/>
      <c r="R587" s="118"/>
      <c r="S587" s="118"/>
      <c r="T587" s="118"/>
      <c r="U587" s="118"/>
      <c r="V587" s="118"/>
      <c r="W587" s="118"/>
      <c r="X587" s="118"/>
      <c r="Y587" s="118"/>
      <c r="Z587" s="118"/>
      <c r="AA587" s="118"/>
      <c r="AB587" s="118"/>
      <c r="AC587" s="118"/>
      <c r="AD587" s="118"/>
      <c r="AE587" s="118"/>
      <c r="AF587" s="118"/>
      <c r="AG587" s="118"/>
      <c r="AH587" s="118"/>
    </row>
    <row r="588">
      <c r="A588" s="118"/>
      <c r="B588" s="52"/>
      <c r="C588" s="118"/>
      <c r="D588" s="52"/>
      <c r="E588" s="118"/>
      <c r="F588" s="152"/>
      <c r="G588" s="152"/>
      <c r="H588" s="152"/>
      <c r="I588" s="152"/>
      <c r="J588" s="152"/>
      <c r="K588" s="118"/>
      <c r="L588" s="118"/>
      <c r="M588" s="118"/>
      <c r="N588" s="118"/>
      <c r="O588" s="118"/>
      <c r="P588" s="118"/>
      <c r="Q588" s="118"/>
      <c r="R588" s="118"/>
      <c r="S588" s="118"/>
      <c r="T588" s="118"/>
      <c r="U588" s="118"/>
      <c r="V588" s="118"/>
      <c r="W588" s="118"/>
      <c r="X588" s="118"/>
      <c r="Y588" s="118"/>
      <c r="Z588" s="118"/>
      <c r="AA588" s="118"/>
      <c r="AB588" s="118"/>
      <c r="AC588" s="118"/>
      <c r="AD588" s="118"/>
      <c r="AE588" s="118"/>
      <c r="AF588" s="118"/>
      <c r="AG588" s="118"/>
      <c r="AH588" s="118"/>
    </row>
    <row r="589">
      <c r="A589" s="118"/>
      <c r="B589" s="52"/>
      <c r="C589" s="118"/>
      <c r="D589" s="52"/>
      <c r="E589" s="118"/>
      <c r="F589" s="152"/>
      <c r="G589" s="152"/>
      <c r="H589" s="152"/>
      <c r="I589" s="152"/>
      <c r="J589" s="152"/>
      <c r="K589" s="118"/>
      <c r="L589" s="118"/>
      <c r="M589" s="118"/>
      <c r="N589" s="118"/>
      <c r="O589" s="118"/>
      <c r="P589" s="118"/>
      <c r="Q589" s="118"/>
      <c r="R589" s="118"/>
      <c r="S589" s="118"/>
      <c r="T589" s="118"/>
      <c r="U589" s="118"/>
      <c r="V589" s="118"/>
      <c r="W589" s="118"/>
      <c r="X589" s="118"/>
      <c r="Y589" s="118"/>
      <c r="Z589" s="118"/>
      <c r="AA589" s="118"/>
      <c r="AB589" s="118"/>
      <c r="AC589" s="118"/>
      <c r="AD589" s="118"/>
      <c r="AE589" s="118"/>
      <c r="AF589" s="118"/>
      <c r="AG589" s="118"/>
      <c r="AH589" s="118"/>
    </row>
    <row r="590">
      <c r="A590" s="118"/>
      <c r="B590" s="52"/>
      <c r="C590" s="118"/>
      <c r="D590" s="52"/>
      <c r="E590" s="118"/>
      <c r="F590" s="152"/>
      <c r="G590" s="152"/>
      <c r="H590" s="152"/>
      <c r="I590" s="152"/>
      <c r="J590" s="152"/>
      <c r="K590" s="118"/>
      <c r="L590" s="118"/>
      <c r="M590" s="118"/>
      <c r="N590" s="118"/>
      <c r="O590" s="118"/>
      <c r="P590" s="118"/>
      <c r="Q590" s="118"/>
      <c r="R590" s="118"/>
      <c r="S590" s="118"/>
      <c r="T590" s="118"/>
      <c r="U590" s="118"/>
      <c r="V590" s="118"/>
      <c r="W590" s="118"/>
      <c r="X590" s="118"/>
      <c r="Y590" s="118"/>
      <c r="Z590" s="118"/>
      <c r="AA590" s="118"/>
      <c r="AB590" s="118"/>
      <c r="AC590" s="118"/>
      <c r="AD590" s="118"/>
      <c r="AE590" s="118"/>
      <c r="AF590" s="118"/>
      <c r="AG590" s="118"/>
      <c r="AH590" s="118"/>
    </row>
    <row r="591">
      <c r="A591" s="118"/>
      <c r="B591" s="52"/>
      <c r="C591" s="118"/>
      <c r="D591" s="52"/>
      <c r="E591" s="118"/>
      <c r="F591" s="152"/>
      <c r="G591" s="152"/>
      <c r="H591" s="152"/>
      <c r="I591" s="152"/>
      <c r="J591" s="152"/>
      <c r="K591" s="118"/>
      <c r="L591" s="118"/>
      <c r="M591" s="118"/>
      <c r="N591" s="118"/>
      <c r="O591" s="118"/>
      <c r="P591" s="118"/>
      <c r="Q591" s="118"/>
      <c r="R591" s="118"/>
      <c r="S591" s="118"/>
      <c r="T591" s="118"/>
      <c r="U591" s="118"/>
      <c r="V591" s="118"/>
      <c r="W591" s="118"/>
      <c r="X591" s="118"/>
      <c r="Y591" s="118"/>
      <c r="Z591" s="118"/>
      <c r="AA591" s="118"/>
      <c r="AB591" s="118"/>
      <c r="AC591" s="118"/>
      <c r="AD591" s="118"/>
      <c r="AE591" s="118"/>
      <c r="AF591" s="118"/>
      <c r="AG591" s="118"/>
      <c r="AH591" s="118"/>
    </row>
    <row r="592">
      <c r="A592" s="118"/>
      <c r="B592" s="52"/>
      <c r="C592" s="118"/>
      <c r="D592" s="52"/>
      <c r="E592" s="118"/>
      <c r="F592" s="152"/>
      <c r="G592" s="152"/>
      <c r="H592" s="152"/>
      <c r="I592" s="152"/>
      <c r="J592" s="152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118"/>
      <c r="V592" s="118"/>
      <c r="W592" s="118"/>
      <c r="X592" s="118"/>
      <c r="Y592" s="118"/>
      <c r="Z592" s="118"/>
      <c r="AA592" s="118"/>
      <c r="AB592" s="118"/>
      <c r="AC592" s="118"/>
      <c r="AD592" s="118"/>
      <c r="AE592" s="118"/>
      <c r="AF592" s="118"/>
      <c r="AG592" s="118"/>
      <c r="AH592" s="118"/>
    </row>
    <row r="593">
      <c r="A593" s="118"/>
      <c r="B593" s="52"/>
      <c r="C593" s="118"/>
      <c r="D593" s="52"/>
      <c r="E593" s="118"/>
      <c r="F593" s="152"/>
      <c r="G593" s="152"/>
      <c r="H593" s="152"/>
      <c r="I593" s="152"/>
      <c r="J593" s="152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118"/>
      <c r="V593" s="118"/>
      <c r="W593" s="118"/>
      <c r="X593" s="118"/>
      <c r="Y593" s="118"/>
      <c r="Z593" s="118"/>
      <c r="AA593" s="118"/>
      <c r="AB593" s="118"/>
      <c r="AC593" s="118"/>
      <c r="AD593" s="118"/>
      <c r="AE593" s="118"/>
      <c r="AF593" s="118"/>
      <c r="AG593" s="118"/>
      <c r="AH593" s="118"/>
    </row>
    <row r="594">
      <c r="A594" s="118"/>
      <c r="B594" s="52"/>
      <c r="C594" s="118"/>
      <c r="D594" s="52"/>
      <c r="E594" s="118"/>
      <c r="F594" s="152"/>
      <c r="G594" s="152"/>
      <c r="H594" s="152"/>
      <c r="I594" s="152"/>
      <c r="J594" s="152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118"/>
      <c r="V594" s="118"/>
      <c r="W594" s="118"/>
      <c r="X594" s="118"/>
      <c r="Y594" s="118"/>
      <c r="Z594" s="118"/>
      <c r="AA594" s="118"/>
      <c r="AB594" s="118"/>
      <c r="AC594" s="118"/>
      <c r="AD594" s="118"/>
      <c r="AE594" s="118"/>
      <c r="AF594" s="118"/>
      <c r="AG594" s="118"/>
      <c r="AH594" s="118"/>
    </row>
    <row r="595">
      <c r="A595" s="118"/>
      <c r="B595" s="52"/>
      <c r="C595" s="118"/>
      <c r="D595" s="52"/>
      <c r="E595" s="118"/>
      <c r="F595" s="152"/>
      <c r="G595" s="152"/>
      <c r="H595" s="152"/>
      <c r="I595" s="152"/>
      <c r="J595" s="152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118"/>
      <c r="V595" s="118"/>
      <c r="W595" s="118"/>
      <c r="X595" s="118"/>
      <c r="Y595" s="118"/>
      <c r="Z595" s="118"/>
      <c r="AA595" s="118"/>
      <c r="AB595" s="118"/>
      <c r="AC595" s="118"/>
      <c r="AD595" s="118"/>
      <c r="AE595" s="118"/>
      <c r="AF595" s="118"/>
      <c r="AG595" s="118"/>
      <c r="AH595" s="118"/>
    </row>
    <row r="596">
      <c r="A596" s="118"/>
      <c r="B596" s="52"/>
      <c r="C596" s="118"/>
      <c r="D596" s="52"/>
      <c r="E596" s="118"/>
      <c r="F596" s="152"/>
      <c r="G596" s="152"/>
      <c r="H596" s="152"/>
      <c r="I596" s="152"/>
      <c r="J596" s="152"/>
      <c r="K596" s="118"/>
      <c r="L596" s="118"/>
      <c r="M596" s="118"/>
      <c r="N596" s="118"/>
      <c r="O596" s="118"/>
      <c r="P596" s="118"/>
      <c r="Q596" s="118"/>
      <c r="R596" s="118"/>
      <c r="S596" s="118"/>
      <c r="T596" s="118"/>
      <c r="U596" s="118"/>
      <c r="V596" s="118"/>
      <c r="W596" s="118"/>
      <c r="X596" s="118"/>
      <c r="Y596" s="118"/>
      <c r="Z596" s="118"/>
      <c r="AA596" s="118"/>
      <c r="AB596" s="118"/>
      <c r="AC596" s="118"/>
      <c r="AD596" s="118"/>
      <c r="AE596" s="118"/>
      <c r="AF596" s="118"/>
      <c r="AG596" s="118"/>
      <c r="AH596" s="118"/>
    </row>
    <row r="597">
      <c r="A597" s="118"/>
      <c r="B597" s="52"/>
      <c r="C597" s="118"/>
      <c r="D597" s="52"/>
      <c r="E597" s="118"/>
      <c r="F597" s="152"/>
      <c r="G597" s="152"/>
      <c r="H597" s="152"/>
      <c r="I597" s="152"/>
      <c r="J597" s="152"/>
      <c r="K597" s="118"/>
      <c r="L597" s="118"/>
      <c r="M597" s="118"/>
      <c r="N597" s="118"/>
      <c r="O597" s="118"/>
      <c r="P597" s="118"/>
      <c r="Q597" s="118"/>
      <c r="R597" s="118"/>
      <c r="S597" s="118"/>
      <c r="T597" s="118"/>
      <c r="U597" s="118"/>
      <c r="V597" s="118"/>
      <c r="W597" s="118"/>
      <c r="X597" s="118"/>
      <c r="Y597" s="118"/>
      <c r="Z597" s="118"/>
      <c r="AA597" s="118"/>
      <c r="AB597" s="118"/>
      <c r="AC597" s="118"/>
      <c r="AD597" s="118"/>
      <c r="AE597" s="118"/>
      <c r="AF597" s="118"/>
      <c r="AG597" s="118"/>
      <c r="AH597" s="118"/>
    </row>
    <row r="598">
      <c r="A598" s="118"/>
      <c r="B598" s="52"/>
      <c r="C598" s="118"/>
      <c r="D598" s="52"/>
      <c r="E598" s="118"/>
      <c r="F598" s="152"/>
      <c r="G598" s="152"/>
      <c r="H598" s="152"/>
      <c r="I598" s="152"/>
      <c r="J598" s="152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118"/>
      <c r="V598" s="118"/>
      <c r="W598" s="118"/>
      <c r="X598" s="118"/>
      <c r="Y598" s="118"/>
      <c r="Z598" s="118"/>
      <c r="AA598" s="118"/>
      <c r="AB598" s="118"/>
      <c r="AC598" s="118"/>
      <c r="AD598" s="118"/>
      <c r="AE598" s="118"/>
      <c r="AF598" s="118"/>
      <c r="AG598" s="118"/>
      <c r="AH598" s="118"/>
    </row>
    <row r="599">
      <c r="A599" s="118"/>
      <c r="B599" s="52"/>
      <c r="C599" s="118"/>
      <c r="D599" s="52"/>
      <c r="E599" s="118"/>
      <c r="F599" s="152"/>
      <c r="G599" s="152"/>
      <c r="H599" s="152"/>
      <c r="I599" s="152"/>
      <c r="J599" s="152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118"/>
      <c r="V599" s="118"/>
      <c r="W599" s="118"/>
      <c r="X599" s="118"/>
      <c r="Y599" s="118"/>
      <c r="Z599" s="118"/>
      <c r="AA599" s="118"/>
      <c r="AB599" s="118"/>
      <c r="AC599" s="118"/>
      <c r="AD599" s="118"/>
      <c r="AE599" s="118"/>
      <c r="AF599" s="118"/>
      <c r="AG599" s="118"/>
      <c r="AH599" s="118"/>
    </row>
    <row r="600">
      <c r="A600" s="118"/>
      <c r="B600" s="52"/>
      <c r="C600" s="118"/>
      <c r="D600" s="52"/>
      <c r="E600" s="118"/>
      <c r="F600" s="152"/>
      <c r="G600" s="152"/>
      <c r="H600" s="152"/>
      <c r="I600" s="152"/>
      <c r="J600" s="152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118"/>
      <c r="V600" s="118"/>
      <c r="W600" s="118"/>
      <c r="X600" s="118"/>
      <c r="Y600" s="118"/>
      <c r="Z600" s="118"/>
      <c r="AA600" s="118"/>
      <c r="AB600" s="118"/>
      <c r="AC600" s="118"/>
      <c r="AD600" s="118"/>
      <c r="AE600" s="118"/>
      <c r="AF600" s="118"/>
      <c r="AG600" s="118"/>
      <c r="AH600" s="118"/>
    </row>
    <row r="601">
      <c r="A601" s="118"/>
      <c r="B601" s="52"/>
      <c r="C601" s="118"/>
      <c r="D601" s="52"/>
      <c r="E601" s="118"/>
      <c r="F601" s="152"/>
      <c r="G601" s="152"/>
      <c r="H601" s="152"/>
      <c r="I601" s="152"/>
      <c r="J601" s="152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118"/>
      <c r="V601" s="118"/>
      <c r="W601" s="118"/>
      <c r="X601" s="118"/>
      <c r="Y601" s="118"/>
      <c r="Z601" s="118"/>
      <c r="AA601" s="118"/>
      <c r="AB601" s="118"/>
      <c r="AC601" s="118"/>
      <c r="AD601" s="118"/>
      <c r="AE601" s="118"/>
      <c r="AF601" s="118"/>
      <c r="AG601" s="118"/>
      <c r="AH601" s="118"/>
    </row>
    <row r="602">
      <c r="A602" s="118"/>
      <c r="B602" s="52"/>
      <c r="C602" s="118"/>
      <c r="D602" s="52"/>
      <c r="E602" s="118"/>
      <c r="F602" s="152"/>
      <c r="G602" s="152"/>
      <c r="H602" s="152"/>
      <c r="I602" s="152"/>
      <c r="J602" s="152"/>
      <c r="K602" s="118"/>
      <c r="L602" s="118"/>
      <c r="M602" s="118"/>
      <c r="N602" s="118"/>
      <c r="O602" s="118"/>
      <c r="P602" s="118"/>
      <c r="Q602" s="118"/>
      <c r="R602" s="118"/>
      <c r="S602" s="118"/>
      <c r="T602" s="118"/>
      <c r="U602" s="118"/>
      <c r="V602" s="118"/>
      <c r="W602" s="118"/>
      <c r="X602" s="118"/>
      <c r="Y602" s="118"/>
      <c r="Z602" s="118"/>
      <c r="AA602" s="118"/>
      <c r="AB602" s="118"/>
      <c r="AC602" s="118"/>
      <c r="AD602" s="118"/>
      <c r="AE602" s="118"/>
      <c r="AF602" s="118"/>
      <c r="AG602" s="118"/>
      <c r="AH602" s="118"/>
    </row>
    <row r="603">
      <c r="A603" s="118"/>
      <c r="B603" s="52"/>
      <c r="C603" s="118"/>
      <c r="D603" s="52"/>
      <c r="E603" s="118"/>
      <c r="F603" s="152"/>
      <c r="G603" s="152"/>
      <c r="H603" s="152"/>
      <c r="I603" s="152"/>
      <c r="J603" s="152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18"/>
      <c r="V603" s="118"/>
      <c r="W603" s="118"/>
      <c r="X603" s="118"/>
      <c r="Y603" s="118"/>
      <c r="Z603" s="118"/>
      <c r="AA603" s="118"/>
      <c r="AB603" s="118"/>
      <c r="AC603" s="118"/>
      <c r="AD603" s="118"/>
      <c r="AE603" s="118"/>
      <c r="AF603" s="118"/>
      <c r="AG603" s="118"/>
      <c r="AH603" s="118"/>
    </row>
    <row r="604">
      <c r="A604" s="118"/>
      <c r="B604" s="52"/>
      <c r="C604" s="118"/>
      <c r="D604" s="52"/>
      <c r="E604" s="118"/>
      <c r="F604" s="152"/>
      <c r="G604" s="152"/>
      <c r="H604" s="152"/>
      <c r="I604" s="152"/>
      <c r="J604" s="152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18"/>
      <c r="V604" s="118"/>
      <c r="W604" s="118"/>
      <c r="X604" s="118"/>
      <c r="Y604" s="118"/>
      <c r="Z604" s="118"/>
      <c r="AA604" s="118"/>
      <c r="AB604" s="118"/>
      <c r="AC604" s="118"/>
      <c r="AD604" s="118"/>
      <c r="AE604" s="118"/>
      <c r="AF604" s="118"/>
      <c r="AG604" s="118"/>
      <c r="AH604" s="118"/>
    </row>
    <row r="605">
      <c r="A605" s="118"/>
      <c r="B605" s="52"/>
      <c r="C605" s="118"/>
      <c r="D605" s="52"/>
      <c r="E605" s="118"/>
      <c r="F605" s="152"/>
      <c r="G605" s="152"/>
      <c r="H605" s="152"/>
      <c r="I605" s="152"/>
      <c r="J605" s="152"/>
      <c r="K605" s="118"/>
      <c r="L605" s="118"/>
      <c r="M605" s="118"/>
      <c r="N605" s="118"/>
      <c r="O605" s="118"/>
      <c r="P605" s="118"/>
      <c r="Q605" s="118"/>
      <c r="R605" s="118"/>
      <c r="S605" s="118"/>
      <c r="T605" s="118"/>
      <c r="U605" s="118"/>
      <c r="V605" s="118"/>
      <c r="W605" s="118"/>
      <c r="X605" s="118"/>
      <c r="Y605" s="118"/>
      <c r="Z605" s="118"/>
      <c r="AA605" s="118"/>
      <c r="AB605" s="118"/>
      <c r="AC605" s="118"/>
      <c r="AD605" s="118"/>
      <c r="AE605" s="118"/>
      <c r="AF605" s="118"/>
      <c r="AG605" s="118"/>
      <c r="AH605" s="118"/>
    </row>
    <row r="606">
      <c r="A606" s="118"/>
      <c r="B606" s="52"/>
      <c r="C606" s="118"/>
      <c r="D606" s="52"/>
      <c r="E606" s="118"/>
      <c r="F606" s="152"/>
      <c r="G606" s="152"/>
      <c r="H606" s="152"/>
      <c r="I606" s="152"/>
      <c r="J606" s="152"/>
      <c r="K606" s="118"/>
      <c r="L606" s="118"/>
      <c r="M606" s="118"/>
      <c r="N606" s="118"/>
      <c r="O606" s="118"/>
      <c r="P606" s="118"/>
      <c r="Q606" s="118"/>
      <c r="R606" s="118"/>
      <c r="S606" s="118"/>
      <c r="T606" s="118"/>
      <c r="U606" s="118"/>
      <c r="V606" s="118"/>
      <c r="W606" s="118"/>
      <c r="X606" s="118"/>
      <c r="Y606" s="118"/>
      <c r="Z606" s="118"/>
      <c r="AA606" s="118"/>
      <c r="AB606" s="118"/>
      <c r="AC606" s="118"/>
      <c r="AD606" s="118"/>
      <c r="AE606" s="118"/>
      <c r="AF606" s="118"/>
      <c r="AG606" s="118"/>
      <c r="AH606" s="118"/>
    </row>
    <row r="607">
      <c r="A607" s="118"/>
      <c r="B607" s="52"/>
      <c r="C607" s="118"/>
      <c r="D607" s="52"/>
      <c r="E607" s="118"/>
      <c r="F607" s="152"/>
      <c r="G607" s="152"/>
      <c r="H607" s="152"/>
      <c r="I607" s="152"/>
      <c r="J607" s="152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118"/>
      <c r="V607" s="118"/>
      <c r="W607" s="118"/>
      <c r="X607" s="118"/>
      <c r="Y607" s="118"/>
      <c r="Z607" s="118"/>
      <c r="AA607" s="118"/>
      <c r="AB607" s="118"/>
      <c r="AC607" s="118"/>
      <c r="AD607" s="118"/>
      <c r="AE607" s="118"/>
      <c r="AF607" s="118"/>
      <c r="AG607" s="118"/>
      <c r="AH607" s="118"/>
    </row>
    <row r="608">
      <c r="A608" s="118"/>
      <c r="B608" s="52"/>
      <c r="C608" s="118"/>
      <c r="D608" s="52"/>
      <c r="E608" s="118"/>
      <c r="F608" s="152"/>
      <c r="G608" s="152"/>
      <c r="H608" s="152"/>
      <c r="I608" s="152"/>
      <c r="J608" s="152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118"/>
      <c r="V608" s="118"/>
      <c r="W608" s="118"/>
      <c r="X608" s="118"/>
      <c r="Y608" s="118"/>
      <c r="Z608" s="118"/>
      <c r="AA608" s="118"/>
      <c r="AB608" s="118"/>
      <c r="AC608" s="118"/>
      <c r="AD608" s="118"/>
      <c r="AE608" s="118"/>
      <c r="AF608" s="118"/>
      <c r="AG608" s="118"/>
      <c r="AH608" s="118"/>
    </row>
    <row r="609">
      <c r="A609" s="118"/>
      <c r="B609" s="52"/>
      <c r="C609" s="118"/>
      <c r="D609" s="52"/>
      <c r="E609" s="118"/>
      <c r="F609" s="152"/>
      <c r="G609" s="152"/>
      <c r="H609" s="152"/>
      <c r="I609" s="152"/>
      <c r="J609" s="152"/>
      <c r="K609" s="118"/>
      <c r="L609" s="118"/>
      <c r="M609" s="118"/>
      <c r="N609" s="118"/>
      <c r="O609" s="118"/>
      <c r="P609" s="118"/>
      <c r="Q609" s="118"/>
      <c r="R609" s="118"/>
      <c r="S609" s="118"/>
      <c r="T609" s="118"/>
      <c r="U609" s="118"/>
      <c r="V609" s="118"/>
      <c r="W609" s="118"/>
      <c r="X609" s="118"/>
      <c r="Y609" s="118"/>
      <c r="Z609" s="118"/>
      <c r="AA609" s="118"/>
      <c r="AB609" s="118"/>
      <c r="AC609" s="118"/>
      <c r="AD609" s="118"/>
      <c r="AE609" s="118"/>
      <c r="AF609" s="118"/>
      <c r="AG609" s="118"/>
      <c r="AH609" s="118"/>
    </row>
    <row r="610">
      <c r="A610" s="118"/>
      <c r="B610" s="52"/>
      <c r="C610" s="118"/>
      <c r="D610" s="52"/>
      <c r="E610" s="118"/>
      <c r="F610" s="152"/>
      <c r="G610" s="152"/>
      <c r="H610" s="152"/>
      <c r="I610" s="152"/>
      <c r="J610" s="152"/>
      <c r="K610" s="118"/>
      <c r="L610" s="118"/>
      <c r="M610" s="118"/>
      <c r="N610" s="118"/>
      <c r="O610" s="118"/>
      <c r="P610" s="118"/>
      <c r="Q610" s="118"/>
      <c r="R610" s="118"/>
      <c r="S610" s="118"/>
      <c r="T610" s="118"/>
      <c r="U610" s="118"/>
      <c r="V610" s="118"/>
      <c r="W610" s="118"/>
      <c r="X610" s="118"/>
      <c r="Y610" s="118"/>
      <c r="Z610" s="118"/>
      <c r="AA610" s="118"/>
      <c r="AB610" s="118"/>
      <c r="AC610" s="118"/>
      <c r="AD610" s="118"/>
      <c r="AE610" s="118"/>
      <c r="AF610" s="118"/>
      <c r="AG610" s="118"/>
      <c r="AH610" s="118"/>
    </row>
    <row r="611">
      <c r="A611" s="118"/>
      <c r="B611" s="52"/>
      <c r="C611" s="118"/>
      <c r="D611" s="52"/>
      <c r="E611" s="118"/>
      <c r="F611" s="152"/>
      <c r="G611" s="152"/>
      <c r="H611" s="152"/>
      <c r="I611" s="152"/>
      <c r="J611" s="152"/>
      <c r="K611" s="118"/>
      <c r="L611" s="118"/>
      <c r="M611" s="118"/>
      <c r="N611" s="118"/>
      <c r="O611" s="118"/>
      <c r="P611" s="118"/>
      <c r="Q611" s="118"/>
      <c r="R611" s="118"/>
      <c r="S611" s="118"/>
      <c r="T611" s="118"/>
      <c r="U611" s="118"/>
      <c r="V611" s="118"/>
      <c r="W611" s="118"/>
      <c r="X611" s="118"/>
      <c r="Y611" s="118"/>
      <c r="Z611" s="118"/>
      <c r="AA611" s="118"/>
      <c r="AB611" s="118"/>
      <c r="AC611" s="118"/>
      <c r="AD611" s="118"/>
      <c r="AE611" s="118"/>
      <c r="AF611" s="118"/>
      <c r="AG611" s="118"/>
      <c r="AH611" s="118"/>
    </row>
    <row r="612">
      <c r="A612" s="118"/>
      <c r="B612" s="52"/>
      <c r="C612" s="118"/>
      <c r="D612" s="52"/>
      <c r="E612" s="118"/>
      <c r="F612" s="152"/>
      <c r="G612" s="152"/>
      <c r="H612" s="152"/>
      <c r="I612" s="152"/>
      <c r="J612" s="152"/>
      <c r="K612" s="118"/>
      <c r="L612" s="118"/>
      <c r="M612" s="118"/>
      <c r="N612" s="118"/>
      <c r="O612" s="118"/>
      <c r="P612" s="118"/>
      <c r="Q612" s="118"/>
      <c r="R612" s="118"/>
      <c r="S612" s="118"/>
      <c r="T612" s="118"/>
      <c r="U612" s="118"/>
      <c r="V612" s="118"/>
      <c r="W612" s="118"/>
      <c r="X612" s="118"/>
      <c r="Y612" s="118"/>
      <c r="Z612" s="118"/>
      <c r="AA612" s="118"/>
      <c r="AB612" s="118"/>
      <c r="AC612" s="118"/>
      <c r="AD612" s="118"/>
      <c r="AE612" s="118"/>
      <c r="AF612" s="118"/>
      <c r="AG612" s="118"/>
      <c r="AH612" s="118"/>
    </row>
    <row r="613">
      <c r="A613" s="118"/>
      <c r="B613" s="52"/>
      <c r="C613" s="118"/>
      <c r="D613" s="52"/>
      <c r="E613" s="118"/>
      <c r="F613" s="152"/>
      <c r="G613" s="152"/>
      <c r="H613" s="152"/>
      <c r="I613" s="152"/>
      <c r="J613" s="152"/>
      <c r="K613" s="118"/>
      <c r="L613" s="118"/>
      <c r="M613" s="118"/>
      <c r="N613" s="118"/>
      <c r="O613" s="118"/>
      <c r="P613" s="118"/>
      <c r="Q613" s="118"/>
      <c r="R613" s="118"/>
      <c r="S613" s="118"/>
      <c r="T613" s="118"/>
      <c r="U613" s="118"/>
      <c r="V613" s="118"/>
      <c r="W613" s="118"/>
      <c r="X613" s="118"/>
      <c r="Y613" s="118"/>
      <c r="Z613" s="118"/>
      <c r="AA613" s="118"/>
      <c r="AB613" s="118"/>
      <c r="AC613" s="118"/>
      <c r="AD613" s="118"/>
      <c r="AE613" s="118"/>
      <c r="AF613" s="118"/>
      <c r="AG613" s="118"/>
      <c r="AH613" s="118"/>
    </row>
    <row r="614">
      <c r="A614" s="118"/>
      <c r="B614" s="52"/>
      <c r="C614" s="118"/>
      <c r="D614" s="52"/>
      <c r="E614" s="118"/>
      <c r="F614" s="152"/>
      <c r="G614" s="152"/>
      <c r="H614" s="152"/>
      <c r="I614" s="152"/>
      <c r="J614" s="152"/>
      <c r="K614" s="118"/>
      <c r="L614" s="118"/>
      <c r="M614" s="118"/>
      <c r="N614" s="118"/>
      <c r="O614" s="118"/>
      <c r="P614" s="118"/>
      <c r="Q614" s="118"/>
      <c r="R614" s="118"/>
      <c r="S614" s="118"/>
      <c r="T614" s="118"/>
      <c r="U614" s="118"/>
      <c r="V614" s="118"/>
      <c r="W614" s="118"/>
      <c r="X614" s="118"/>
      <c r="Y614" s="118"/>
      <c r="Z614" s="118"/>
      <c r="AA614" s="118"/>
      <c r="AB614" s="118"/>
      <c r="AC614" s="118"/>
      <c r="AD614" s="118"/>
      <c r="AE614" s="118"/>
      <c r="AF614" s="118"/>
      <c r="AG614" s="118"/>
      <c r="AH614" s="118"/>
    </row>
    <row r="615">
      <c r="A615" s="118"/>
      <c r="B615" s="52"/>
      <c r="C615" s="118"/>
      <c r="D615" s="52"/>
      <c r="E615" s="118"/>
      <c r="F615" s="152"/>
      <c r="G615" s="152"/>
      <c r="H615" s="152"/>
      <c r="I615" s="152"/>
      <c r="J615" s="152"/>
      <c r="K615" s="118"/>
      <c r="L615" s="118"/>
      <c r="M615" s="118"/>
      <c r="N615" s="118"/>
      <c r="O615" s="118"/>
      <c r="P615" s="118"/>
      <c r="Q615" s="118"/>
      <c r="R615" s="118"/>
      <c r="S615" s="118"/>
      <c r="T615" s="118"/>
      <c r="U615" s="118"/>
      <c r="V615" s="118"/>
      <c r="W615" s="118"/>
      <c r="X615" s="118"/>
      <c r="Y615" s="118"/>
      <c r="Z615" s="118"/>
      <c r="AA615" s="118"/>
      <c r="AB615" s="118"/>
      <c r="AC615" s="118"/>
      <c r="AD615" s="118"/>
      <c r="AE615" s="118"/>
      <c r="AF615" s="118"/>
      <c r="AG615" s="118"/>
      <c r="AH615" s="118"/>
    </row>
    <row r="616">
      <c r="A616" s="118"/>
      <c r="B616" s="52"/>
      <c r="C616" s="118"/>
      <c r="D616" s="52"/>
      <c r="E616" s="118"/>
      <c r="F616" s="152"/>
      <c r="G616" s="152"/>
      <c r="H616" s="152"/>
      <c r="I616" s="152"/>
      <c r="J616" s="152"/>
      <c r="K616" s="118"/>
      <c r="L616" s="118"/>
      <c r="M616" s="118"/>
      <c r="N616" s="118"/>
      <c r="O616" s="118"/>
      <c r="P616" s="118"/>
      <c r="Q616" s="118"/>
      <c r="R616" s="118"/>
      <c r="S616" s="118"/>
      <c r="T616" s="118"/>
      <c r="U616" s="118"/>
      <c r="V616" s="118"/>
      <c r="W616" s="118"/>
      <c r="X616" s="118"/>
      <c r="Y616" s="118"/>
      <c r="Z616" s="118"/>
      <c r="AA616" s="118"/>
      <c r="AB616" s="118"/>
      <c r="AC616" s="118"/>
      <c r="AD616" s="118"/>
      <c r="AE616" s="118"/>
      <c r="AF616" s="118"/>
      <c r="AG616" s="118"/>
      <c r="AH616" s="118"/>
    </row>
    <row r="617">
      <c r="A617" s="118"/>
      <c r="B617" s="52"/>
      <c r="C617" s="118"/>
      <c r="D617" s="52"/>
      <c r="E617" s="118"/>
      <c r="F617" s="152"/>
      <c r="G617" s="152"/>
      <c r="H617" s="152"/>
      <c r="I617" s="152"/>
      <c r="J617" s="152"/>
      <c r="K617" s="118"/>
      <c r="L617" s="118"/>
      <c r="M617" s="118"/>
      <c r="N617" s="118"/>
      <c r="O617" s="118"/>
      <c r="P617" s="118"/>
      <c r="Q617" s="118"/>
      <c r="R617" s="118"/>
      <c r="S617" s="118"/>
      <c r="T617" s="118"/>
      <c r="U617" s="118"/>
      <c r="V617" s="118"/>
      <c r="W617" s="118"/>
      <c r="X617" s="118"/>
      <c r="Y617" s="118"/>
      <c r="Z617" s="118"/>
      <c r="AA617" s="118"/>
      <c r="AB617" s="118"/>
      <c r="AC617" s="118"/>
      <c r="AD617" s="118"/>
      <c r="AE617" s="118"/>
      <c r="AF617" s="118"/>
      <c r="AG617" s="118"/>
      <c r="AH617" s="118"/>
    </row>
    <row r="618">
      <c r="A618" s="118"/>
      <c r="B618" s="52"/>
      <c r="C618" s="118"/>
      <c r="D618" s="52"/>
      <c r="E618" s="118"/>
      <c r="F618" s="152"/>
      <c r="G618" s="152"/>
      <c r="H618" s="152"/>
      <c r="I618" s="152"/>
      <c r="J618" s="152"/>
      <c r="K618" s="118"/>
      <c r="L618" s="118"/>
      <c r="M618" s="118"/>
      <c r="N618" s="118"/>
      <c r="O618" s="118"/>
      <c r="P618" s="118"/>
      <c r="Q618" s="118"/>
      <c r="R618" s="118"/>
      <c r="S618" s="118"/>
      <c r="T618" s="118"/>
      <c r="U618" s="118"/>
      <c r="V618" s="118"/>
      <c r="W618" s="118"/>
      <c r="X618" s="118"/>
      <c r="Y618" s="118"/>
      <c r="Z618" s="118"/>
      <c r="AA618" s="118"/>
      <c r="AB618" s="118"/>
      <c r="AC618" s="118"/>
      <c r="AD618" s="118"/>
      <c r="AE618" s="118"/>
      <c r="AF618" s="118"/>
      <c r="AG618" s="118"/>
      <c r="AH618" s="118"/>
    </row>
    <row r="619">
      <c r="A619" s="118"/>
      <c r="B619" s="52"/>
      <c r="C619" s="118"/>
      <c r="D619" s="52"/>
      <c r="E619" s="118"/>
      <c r="F619" s="152"/>
      <c r="G619" s="152"/>
      <c r="H619" s="152"/>
      <c r="I619" s="152"/>
      <c r="J619" s="152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118"/>
      <c r="V619" s="118"/>
      <c r="W619" s="118"/>
      <c r="X619" s="118"/>
      <c r="Y619" s="118"/>
      <c r="Z619" s="118"/>
      <c r="AA619" s="118"/>
      <c r="AB619" s="118"/>
      <c r="AC619" s="118"/>
      <c r="AD619" s="118"/>
      <c r="AE619" s="118"/>
      <c r="AF619" s="118"/>
      <c r="AG619" s="118"/>
      <c r="AH619" s="118"/>
    </row>
    <row r="620">
      <c r="A620" s="118"/>
      <c r="B620" s="52"/>
      <c r="C620" s="118"/>
      <c r="D620" s="52"/>
      <c r="E620" s="118"/>
      <c r="F620" s="152"/>
      <c r="G620" s="152"/>
      <c r="H620" s="152"/>
      <c r="I620" s="152"/>
      <c r="J620" s="152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118"/>
      <c r="V620" s="118"/>
      <c r="W620" s="118"/>
      <c r="X620" s="118"/>
      <c r="Y620" s="118"/>
      <c r="Z620" s="118"/>
      <c r="AA620" s="118"/>
      <c r="AB620" s="118"/>
      <c r="AC620" s="118"/>
      <c r="AD620" s="118"/>
      <c r="AE620" s="118"/>
      <c r="AF620" s="118"/>
      <c r="AG620" s="118"/>
      <c r="AH620" s="118"/>
    </row>
    <row r="621">
      <c r="A621" s="118"/>
      <c r="B621" s="52"/>
      <c r="C621" s="118"/>
      <c r="D621" s="52"/>
      <c r="E621" s="118"/>
      <c r="F621" s="152"/>
      <c r="G621" s="152"/>
      <c r="H621" s="152"/>
      <c r="I621" s="152"/>
      <c r="J621" s="152"/>
      <c r="K621" s="118"/>
      <c r="L621" s="118"/>
      <c r="M621" s="118"/>
      <c r="N621" s="118"/>
      <c r="O621" s="118"/>
      <c r="P621" s="118"/>
      <c r="Q621" s="118"/>
      <c r="R621" s="118"/>
      <c r="S621" s="118"/>
      <c r="T621" s="118"/>
      <c r="U621" s="118"/>
      <c r="V621" s="118"/>
      <c r="W621" s="118"/>
      <c r="X621" s="118"/>
      <c r="Y621" s="118"/>
      <c r="Z621" s="118"/>
      <c r="AA621" s="118"/>
      <c r="AB621" s="118"/>
      <c r="AC621" s="118"/>
      <c r="AD621" s="118"/>
      <c r="AE621" s="118"/>
      <c r="AF621" s="118"/>
      <c r="AG621" s="118"/>
      <c r="AH621" s="118"/>
    </row>
    <row r="622">
      <c r="A622" s="118"/>
      <c r="B622" s="52"/>
      <c r="C622" s="118"/>
      <c r="D622" s="52"/>
      <c r="E622" s="118"/>
      <c r="F622" s="152"/>
      <c r="G622" s="152"/>
      <c r="H622" s="152"/>
      <c r="I622" s="152"/>
      <c r="J622" s="152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118"/>
      <c r="V622" s="118"/>
      <c r="W622" s="118"/>
      <c r="X622" s="118"/>
      <c r="Y622" s="118"/>
      <c r="Z622" s="118"/>
      <c r="AA622" s="118"/>
      <c r="AB622" s="118"/>
      <c r="AC622" s="118"/>
      <c r="AD622" s="118"/>
      <c r="AE622" s="118"/>
      <c r="AF622" s="118"/>
      <c r="AG622" s="118"/>
      <c r="AH622" s="118"/>
    </row>
    <row r="623">
      <c r="A623" s="118"/>
      <c r="B623" s="52"/>
      <c r="C623" s="118"/>
      <c r="D623" s="52"/>
      <c r="E623" s="118"/>
      <c r="F623" s="152"/>
      <c r="G623" s="152"/>
      <c r="H623" s="152"/>
      <c r="I623" s="152"/>
      <c r="J623" s="152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118"/>
      <c r="V623" s="118"/>
      <c r="W623" s="118"/>
      <c r="X623" s="118"/>
      <c r="Y623" s="118"/>
      <c r="Z623" s="118"/>
      <c r="AA623" s="118"/>
      <c r="AB623" s="118"/>
      <c r="AC623" s="118"/>
      <c r="AD623" s="118"/>
      <c r="AE623" s="118"/>
      <c r="AF623" s="118"/>
      <c r="AG623" s="118"/>
      <c r="AH623" s="118"/>
    </row>
    <row r="624">
      <c r="A624" s="118"/>
      <c r="B624" s="52"/>
      <c r="C624" s="118"/>
      <c r="D624" s="52"/>
      <c r="E624" s="118"/>
      <c r="F624" s="152"/>
      <c r="G624" s="152"/>
      <c r="H624" s="152"/>
      <c r="I624" s="152"/>
      <c r="J624" s="152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118"/>
      <c r="V624" s="118"/>
      <c r="W624" s="118"/>
      <c r="X624" s="118"/>
      <c r="Y624" s="118"/>
      <c r="Z624" s="118"/>
      <c r="AA624" s="118"/>
      <c r="AB624" s="118"/>
      <c r="AC624" s="118"/>
      <c r="AD624" s="118"/>
      <c r="AE624" s="118"/>
      <c r="AF624" s="118"/>
      <c r="AG624" s="118"/>
      <c r="AH624" s="118"/>
    </row>
    <row r="625">
      <c r="A625" s="118"/>
      <c r="B625" s="52"/>
      <c r="C625" s="118"/>
      <c r="D625" s="52"/>
      <c r="E625" s="118"/>
      <c r="F625" s="152"/>
      <c r="G625" s="152"/>
      <c r="H625" s="152"/>
      <c r="I625" s="152"/>
      <c r="J625" s="152"/>
      <c r="K625" s="118"/>
      <c r="L625" s="118"/>
      <c r="M625" s="118"/>
      <c r="N625" s="118"/>
      <c r="O625" s="118"/>
      <c r="P625" s="118"/>
      <c r="Q625" s="118"/>
      <c r="R625" s="118"/>
      <c r="S625" s="118"/>
      <c r="T625" s="118"/>
      <c r="U625" s="118"/>
      <c r="V625" s="118"/>
      <c r="W625" s="118"/>
      <c r="X625" s="118"/>
      <c r="Y625" s="118"/>
      <c r="Z625" s="118"/>
      <c r="AA625" s="118"/>
      <c r="AB625" s="118"/>
      <c r="AC625" s="118"/>
      <c r="AD625" s="118"/>
      <c r="AE625" s="118"/>
      <c r="AF625" s="118"/>
      <c r="AG625" s="118"/>
      <c r="AH625" s="118"/>
    </row>
    <row r="626">
      <c r="A626" s="118"/>
      <c r="B626" s="52"/>
      <c r="C626" s="118"/>
      <c r="D626" s="52"/>
      <c r="E626" s="118"/>
      <c r="F626" s="152"/>
      <c r="G626" s="152"/>
      <c r="H626" s="152"/>
      <c r="I626" s="152"/>
      <c r="J626" s="152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118"/>
      <c r="V626" s="118"/>
      <c r="W626" s="118"/>
      <c r="X626" s="118"/>
      <c r="Y626" s="118"/>
      <c r="Z626" s="118"/>
      <c r="AA626" s="118"/>
      <c r="AB626" s="118"/>
      <c r="AC626" s="118"/>
      <c r="AD626" s="118"/>
      <c r="AE626" s="118"/>
      <c r="AF626" s="118"/>
      <c r="AG626" s="118"/>
      <c r="AH626" s="118"/>
    </row>
    <row r="627">
      <c r="A627" s="118"/>
      <c r="B627" s="52"/>
      <c r="C627" s="118"/>
      <c r="D627" s="52"/>
      <c r="E627" s="118"/>
      <c r="F627" s="152"/>
      <c r="G627" s="152"/>
      <c r="H627" s="152"/>
      <c r="I627" s="152"/>
      <c r="J627" s="152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118"/>
      <c r="V627" s="118"/>
      <c r="W627" s="118"/>
      <c r="X627" s="118"/>
      <c r="Y627" s="118"/>
      <c r="Z627" s="118"/>
      <c r="AA627" s="118"/>
      <c r="AB627" s="118"/>
      <c r="AC627" s="118"/>
      <c r="AD627" s="118"/>
      <c r="AE627" s="118"/>
      <c r="AF627" s="118"/>
      <c r="AG627" s="118"/>
      <c r="AH627" s="118"/>
    </row>
    <row r="628">
      <c r="A628" s="118"/>
      <c r="B628" s="52"/>
      <c r="C628" s="118"/>
      <c r="D628" s="52"/>
      <c r="E628" s="118"/>
      <c r="F628" s="152"/>
      <c r="G628" s="152"/>
      <c r="H628" s="152"/>
      <c r="I628" s="152"/>
      <c r="J628" s="152"/>
      <c r="K628" s="118"/>
      <c r="L628" s="118"/>
      <c r="M628" s="118"/>
      <c r="N628" s="118"/>
      <c r="O628" s="118"/>
      <c r="P628" s="118"/>
      <c r="Q628" s="118"/>
      <c r="R628" s="118"/>
      <c r="S628" s="118"/>
      <c r="T628" s="118"/>
      <c r="U628" s="118"/>
      <c r="V628" s="118"/>
      <c r="W628" s="118"/>
      <c r="X628" s="118"/>
      <c r="Y628" s="118"/>
      <c r="Z628" s="118"/>
      <c r="AA628" s="118"/>
      <c r="AB628" s="118"/>
      <c r="AC628" s="118"/>
      <c r="AD628" s="118"/>
      <c r="AE628" s="118"/>
      <c r="AF628" s="118"/>
      <c r="AG628" s="118"/>
      <c r="AH628" s="118"/>
    </row>
    <row r="629">
      <c r="A629" s="118"/>
      <c r="B629" s="52"/>
      <c r="C629" s="118"/>
      <c r="D629" s="52"/>
      <c r="E629" s="118"/>
      <c r="F629" s="152"/>
      <c r="G629" s="152"/>
      <c r="H629" s="152"/>
      <c r="I629" s="152"/>
      <c r="J629" s="152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118"/>
      <c r="V629" s="118"/>
      <c r="W629" s="118"/>
      <c r="X629" s="118"/>
      <c r="Y629" s="118"/>
      <c r="Z629" s="118"/>
      <c r="AA629" s="118"/>
      <c r="AB629" s="118"/>
      <c r="AC629" s="118"/>
      <c r="AD629" s="118"/>
      <c r="AE629" s="118"/>
      <c r="AF629" s="118"/>
      <c r="AG629" s="118"/>
      <c r="AH629" s="118"/>
    </row>
    <row r="630">
      <c r="A630" s="118"/>
      <c r="B630" s="52"/>
      <c r="C630" s="118"/>
      <c r="D630" s="52"/>
      <c r="E630" s="118"/>
      <c r="F630" s="152"/>
      <c r="G630" s="152"/>
      <c r="H630" s="152"/>
      <c r="I630" s="152"/>
      <c r="J630" s="152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118"/>
      <c r="V630" s="118"/>
      <c r="W630" s="118"/>
      <c r="X630" s="118"/>
      <c r="Y630" s="118"/>
      <c r="Z630" s="118"/>
      <c r="AA630" s="118"/>
      <c r="AB630" s="118"/>
      <c r="AC630" s="118"/>
      <c r="AD630" s="118"/>
      <c r="AE630" s="118"/>
      <c r="AF630" s="118"/>
      <c r="AG630" s="118"/>
      <c r="AH630" s="118"/>
    </row>
    <row r="631">
      <c r="A631" s="118"/>
      <c r="B631" s="52"/>
      <c r="C631" s="118"/>
      <c r="D631" s="52"/>
      <c r="E631" s="118"/>
      <c r="F631" s="152"/>
      <c r="G631" s="152"/>
      <c r="H631" s="152"/>
      <c r="I631" s="152"/>
      <c r="J631" s="152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118"/>
      <c r="V631" s="118"/>
      <c r="W631" s="118"/>
      <c r="X631" s="118"/>
      <c r="Y631" s="118"/>
      <c r="Z631" s="118"/>
      <c r="AA631" s="118"/>
      <c r="AB631" s="118"/>
      <c r="AC631" s="118"/>
      <c r="AD631" s="118"/>
      <c r="AE631" s="118"/>
      <c r="AF631" s="118"/>
      <c r="AG631" s="118"/>
      <c r="AH631" s="118"/>
    </row>
    <row r="632">
      <c r="A632" s="118"/>
      <c r="B632" s="52"/>
      <c r="C632" s="118"/>
      <c r="D632" s="52"/>
      <c r="E632" s="118"/>
      <c r="F632" s="152"/>
      <c r="G632" s="152"/>
      <c r="H632" s="152"/>
      <c r="I632" s="152"/>
      <c r="J632" s="152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18"/>
      <c r="V632" s="118"/>
      <c r="W632" s="118"/>
      <c r="X632" s="118"/>
      <c r="Y632" s="118"/>
      <c r="Z632" s="118"/>
      <c r="AA632" s="118"/>
      <c r="AB632" s="118"/>
      <c r="AC632" s="118"/>
      <c r="AD632" s="118"/>
      <c r="AE632" s="118"/>
      <c r="AF632" s="118"/>
      <c r="AG632" s="118"/>
      <c r="AH632" s="118"/>
    </row>
    <row r="633">
      <c r="A633" s="118"/>
      <c r="B633" s="52"/>
      <c r="C633" s="118"/>
      <c r="D633" s="52"/>
      <c r="E633" s="118"/>
      <c r="F633" s="152"/>
      <c r="G633" s="152"/>
      <c r="H633" s="152"/>
      <c r="I633" s="152"/>
      <c r="J633" s="152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18"/>
      <c r="V633" s="118"/>
      <c r="W633" s="118"/>
      <c r="X633" s="118"/>
      <c r="Y633" s="118"/>
      <c r="Z633" s="118"/>
      <c r="AA633" s="118"/>
      <c r="AB633" s="118"/>
      <c r="AC633" s="118"/>
      <c r="AD633" s="118"/>
      <c r="AE633" s="118"/>
      <c r="AF633" s="118"/>
      <c r="AG633" s="118"/>
      <c r="AH633" s="118"/>
    </row>
    <row r="634">
      <c r="A634" s="118"/>
      <c r="B634" s="52"/>
      <c r="C634" s="118"/>
      <c r="D634" s="52"/>
      <c r="E634" s="118"/>
      <c r="F634" s="152"/>
      <c r="G634" s="152"/>
      <c r="H634" s="152"/>
      <c r="I634" s="152"/>
      <c r="J634" s="152"/>
      <c r="K634" s="118"/>
      <c r="L634" s="118"/>
      <c r="M634" s="118"/>
      <c r="N634" s="118"/>
      <c r="O634" s="118"/>
      <c r="P634" s="118"/>
      <c r="Q634" s="118"/>
      <c r="R634" s="118"/>
      <c r="S634" s="118"/>
      <c r="T634" s="118"/>
      <c r="U634" s="118"/>
      <c r="V634" s="118"/>
      <c r="W634" s="118"/>
      <c r="X634" s="118"/>
      <c r="Y634" s="118"/>
      <c r="Z634" s="118"/>
      <c r="AA634" s="118"/>
      <c r="AB634" s="118"/>
      <c r="AC634" s="118"/>
      <c r="AD634" s="118"/>
      <c r="AE634" s="118"/>
      <c r="AF634" s="118"/>
      <c r="AG634" s="118"/>
      <c r="AH634" s="118"/>
    </row>
    <row r="635">
      <c r="A635" s="118"/>
      <c r="B635" s="52"/>
      <c r="C635" s="118"/>
      <c r="D635" s="52"/>
      <c r="E635" s="118"/>
      <c r="F635" s="152"/>
      <c r="G635" s="152"/>
      <c r="H635" s="152"/>
      <c r="I635" s="152"/>
      <c r="J635" s="152"/>
      <c r="K635" s="118"/>
      <c r="L635" s="118"/>
      <c r="M635" s="118"/>
      <c r="N635" s="118"/>
      <c r="O635" s="118"/>
      <c r="P635" s="118"/>
      <c r="Q635" s="118"/>
      <c r="R635" s="118"/>
      <c r="S635" s="118"/>
      <c r="T635" s="118"/>
      <c r="U635" s="118"/>
      <c r="V635" s="118"/>
      <c r="W635" s="118"/>
      <c r="X635" s="118"/>
      <c r="Y635" s="118"/>
      <c r="Z635" s="118"/>
      <c r="AA635" s="118"/>
      <c r="AB635" s="118"/>
      <c r="AC635" s="118"/>
      <c r="AD635" s="118"/>
      <c r="AE635" s="118"/>
      <c r="AF635" s="118"/>
      <c r="AG635" s="118"/>
      <c r="AH635" s="118"/>
    </row>
    <row r="636">
      <c r="A636" s="118"/>
      <c r="B636" s="52"/>
      <c r="C636" s="118"/>
      <c r="D636" s="52"/>
      <c r="E636" s="118"/>
      <c r="F636" s="152"/>
      <c r="G636" s="152"/>
      <c r="H636" s="152"/>
      <c r="I636" s="152"/>
      <c r="J636" s="152"/>
      <c r="K636" s="118"/>
      <c r="L636" s="118"/>
      <c r="M636" s="118"/>
      <c r="N636" s="118"/>
      <c r="O636" s="118"/>
      <c r="P636" s="118"/>
      <c r="Q636" s="118"/>
      <c r="R636" s="118"/>
      <c r="S636" s="118"/>
      <c r="T636" s="118"/>
      <c r="U636" s="118"/>
      <c r="V636" s="118"/>
      <c r="W636" s="118"/>
      <c r="X636" s="118"/>
      <c r="Y636" s="118"/>
      <c r="Z636" s="118"/>
      <c r="AA636" s="118"/>
      <c r="AB636" s="118"/>
      <c r="AC636" s="118"/>
      <c r="AD636" s="118"/>
      <c r="AE636" s="118"/>
      <c r="AF636" s="118"/>
      <c r="AG636" s="118"/>
      <c r="AH636" s="118"/>
    </row>
    <row r="637">
      <c r="A637" s="118"/>
      <c r="B637" s="52"/>
      <c r="C637" s="118"/>
      <c r="D637" s="52"/>
      <c r="E637" s="118"/>
      <c r="F637" s="152"/>
      <c r="G637" s="152"/>
      <c r="H637" s="152"/>
      <c r="I637" s="152"/>
      <c r="J637" s="152"/>
      <c r="K637" s="118"/>
      <c r="L637" s="118"/>
      <c r="M637" s="118"/>
      <c r="N637" s="118"/>
      <c r="O637" s="118"/>
      <c r="P637" s="118"/>
      <c r="Q637" s="118"/>
      <c r="R637" s="118"/>
      <c r="S637" s="118"/>
      <c r="T637" s="118"/>
      <c r="U637" s="118"/>
      <c r="V637" s="118"/>
      <c r="W637" s="118"/>
      <c r="X637" s="118"/>
      <c r="Y637" s="118"/>
      <c r="Z637" s="118"/>
      <c r="AA637" s="118"/>
      <c r="AB637" s="118"/>
      <c r="AC637" s="118"/>
      <c r="AD637" s="118"/>
      <c r="AE637" s="118"/>
      <c r="AF637" s="118"/>
      <c r="AG637" s="118"/>
      <c r="AH637" s="118"/>
    </row>
    <row r="638">
      <c r="A638" s="118"/>
      <c r="B638" s="52"/>
      <c r="C638" s="118"/>
      <c r="D638" s="52"/>
      <c r="E638" s="118"/>
      <c r="F638" s="152"/>
      <c r="G638" s="152"/>
      <c r="H638" s="152"/>
      <c r="I638" s="152"/>
      <c r="J638" s="152"/>
      <c r="K638" s="118"/>
      <c r="L638" s="118"/>
      <c r="M638" s="118"/>
      <c r="N638" s="118"/>
      <c r="O638" s="118"/>
      <c r="P638" s="118"/>
      <c r="Q638" s="118"/>
      <c r="R638" s="118"/>
      <c r="S638" s="118"/>
      <c r="T638" s="118"/>
      <c r="U638" s="118"/>
      <c r="V638" s="118"/>
      <c r="W638" s="118"/>
      <c r="X638" s="118"/>
      <c r="Y638" s="118"/>
      <c r="Z638" s="118"/>
      <c r="AA638" s="118"/>
      <c r="AB638" s="118"/>
      <c r="AC638" s="118"/>
      <c r="AD638" s="118"/>
      <c r="AE638" s="118"/>
      <c r="AF638" s="118"/>
      <c r="AG638" s="118"/>
      <c r="AH638" s="118"/>
    </row>
    <row r="639">
      <c r="A639" s="118"/>
      <c r="B639" s="52"/>
      <c r="C639" s="118"/>
      <c r="D639" s="52"/>
      <c r="E639" s="118"/>
      <c r="F639" s="152"/>
      <c r="G639" s="152"/>
      <c r="H639" s="152"/>
      <c r="I639" s="152"/>
      <c r="J639" s="152"/>
      <c r="K639" s="118"/>
      <c r="L639" s="118"/>
      <c r="M639" s="118"/>
      <c r="N639" s="118"/>
      <c r="O639" s="118"/>
      <c r="P639" s="118"/>
      <c r="Q639" s="118"/>
      <c r="R639" s="118"/>
      <c r="S639" s="118"/>
      <c r="T639" s="118"/>
      <c r="U639" s="118"/>
      <c r="V639" s="118"/>
      <c r="W639" s="118"/>
      <c r="X639" s="118"/>
      <c r="Y639" s="118"/>
      <c r="Z639" s="118"/>
      <c r="AA639" s="118"/>
      <c r="AB639" s="118"/>
      <c r="AC639" s="118"/>
      <c r="AD639" s="118"/>
      <c r="AE639" s="118"/>
      <c r="AF639" s="118"/>
      <c r="AG639" s="118"/>
      <c r="AH639" s="118"/>
    </row>
    <row r="640">
      <c r="A640" s="118"/>
      <c r="B640" s="52"/>
      <c r="C640" s="118"/>
      <c r="D640" s="52"/>
      <c r="E640" s="118"/>
      <c r="F640" s="152"/>
      <c r="G640" s="152"/>
      <c r="H640" s="152"/>
      <c r="I640" s="152"/>
      <c r="J640" s="152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18"/>
      <c r="V640" s="118"/>
      <c r="W640" s="118"/>
      <c r="X640" s="118"/>
      <c r="Y640" s="118"/>
      <c r="Z640" s="118"/>
      <c r="AA640" s="118"/>
      <c r="AB640" s="118"/>
      <c r="AC640" s="118"/>
      <c r="AD640" s="118"/>
      <c r="AE640" s="118"/>
      <c r="AF640" s="118"/>
      <c r="AG640" s="118"/>
      <c r="AH640" s="118"/>
    </row>
    <row r="641">
      <c r="A641" s="118"/>
      <c r="B641" s="52"/>
      <c r="C641" s="118"/>
      <c r="D641" s="52"/>
      <c r="E641" s="118"/>
      <c r="F641" s="152"/>
      <c r="G641" s="152"/>
      <c r="H641" s="152"/>
      <c r="I641" s="152"/>
      <c r="J641" s="152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18"/>
      <c r="V641" s="118"/>
      <c r="W641" s="118"/>
      <c r="X641" s="118"/>
      <c r="Y641" s="118"/>
      <c r="Z641" s="118"/>
      <c r="AA641" s="118"/>
      <c r="AB641" s="118"/>
      <c r="AC641" s="118"/>
      <c r="AD641" s="118"/>
      <c r="AE641" s="118"/>
      <c r="AF641" s="118"/>
      <c r="AG641" s="118"/>
      <c r="AH641" s="118"/>
    </row>
    <row r="642">
      <c r="A642" s="118"/>
      <c r="B642" s="52"/>
      <c r="C642" s="118"/>
      <c r="D642" s="52"/>
      <c r="E642" s="118"/>
      <c r="F642" s="152"/>
      <c r="G642" s="152"/>
      <c r="H642" s="152"/>
      <c r="I642" s="152"/>
      <c r="J642" s="152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118"/>
      <c r="V642" s="118"/>
      <c r="W642" s="118"/>
      <c r="X642" s="118"/>
      <c r="Y642" s="118"/>
      <c r="Z642" s="118"/>
      <c r="AA642" s="118"/>
      <c r="AB642" s="118"/>
      <c r="AC642" s="118"/>
      <c r="AD642" s="118"/>
      <c r="AE642" s="118"/>
      <c r="AF642" s="118"/>
      <c r="AG642" s="118"/>
      <c r="AH642" s="118"/>
    </row>
    <row r="643">
      <c r="A643" s="118"/>
      <c r="B643" s="52"/>
      <c r="C643" s="118"/>
      <c r="D643" s="52"/>
      <c r="E643" s="118"/>
      <c r="F643" s="152"/>
      <c r="G643" s="152"/>
      <c r="H643" s="152"/>
      <c r="I643" s="152"/>
      <c r="J643" s="152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118"/>
      <c r="V643" s="118"/>
      <c r="W643" s="118"/>
      <c r="X643" s="118"/>
      <c r="Y643" s="118"/>
      <c r="Z643" s="118"/>
      <c r="AA643" s="118"/>
      <c r="AB643" s="118"/>
      <c r="AC643" s="118"/>
      <c r="AD643" s="118"/>
      <c r="AE643" s="118"/>
      <c r="AF643" s="118"/>
      <c r="AG643" s="118"/>
      <c r="AH643" s="118"/>
    </row>
    <row r="644">
      <c r="A644" s="118"/>
      <c r="B644" s="52"/>
      <c r="C644" s="118"/>
      <c r="D644" s="52"/>
      <c r="E644" s="118"/>
      <c r="F644" s="152"/>
      <c r="G644" s="152"/>
      <c r="H644" s="152"/>
      <c r="I644" s="152"/>
      <c r="J644" s="152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118"/>
      <c r="V644" s="118"/>
      <c r="W644" s="118"/>
      <c r="X644" s="118"/>
      <c r="Y644" s="118"/>
      <c r="Z644" s="118"/>
      <c r="AA644" s="118"/>
      <c r="AB644" s="118"/>
      <c r="AC644" s="118"/>
      <c r="AD644" s="118"/>
      <c r="AE644" s="118"/>
      <c r="AF644" s="118"/>
      <c r="AG644" s="118"/>
      <c r="AH644" s="118"/>
    </row>
    <row r="645">
      <c r="A645" s="118"/>
      <c r="B645" s="52"/>
      <c r="C645" s="118"/>
      <c r="D645" s="52"/>
      <c r="E645" s="118"/>
      <c r="F645" s="152"/>
      <c r="G645" s="152"/>
      <c r="H645" s="152"/>
      <c r="I645" s="152"/>
      <c r="J645" s="152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118"/>
      <c r="V645" s="118"/>
      <c r="W645" s="118"/>
      <c r="X645" s="118"/>
      <c r="Y645" s="118"/>
      <c r="Z645" s="118"/>
      <c r="AA645" s="118"/>
      <c r="AB645" s="118"/>
      <c r="AC645" s="118"/>
      <c r="AD645" s="118"/>
      <c r="AE645" s="118"/>
      <c r="AF645" s="118"/>
      <c r="AG645" s="118"/>
      <c r="AH645" s="118"/>
    </row>
    <row r="646">
      <c r="A646" s="118"/>
      <c r="B646" s="52"/>
      <c r="C646" s="118"/>
      <c r="D646" s="52"/>
      <c r="E646" s="118"/>
      <c r="F646" s="152"/>
      <c r="G646" s="152"/>
      <c r="H646" s="152"/>
      <c r="I646" s="152"/>
      <c r="J646" s="152"/>
      <c r="K646" s="118"/>
      <c r="L646" s="118"/>
      <c r="M646" s="118"/>
      <c r="N646" s="118"/>
      <c r="O646" s="118"/>
      <c r="P646" s="118"/>
      <c r="Q646" s="118"/>
      <c r="R646" s="118"/>
      <c r="S646" s="118"/>
      <c r="T646" s="118"/>
      <c r="U646" s="118"/>
      <c r="V646" s="118"/>
      <c r="W646" s="118"/>
      <c r="X646" s="118"/>
      <c r="Y646" s="118"/>
      <c r="Z646" s="118"/>
      <c r="AA646" s="118"/>
      <c r="AB646" s="118"/>
      <c r="AC646" s="118"/>
      <c r="AD646" s="118"/>
      <c r="AE646" s="118"/>
      <c r="AF646" s="118"/>
      <c r="AG646" s="118"/>
      <c r="AH646" s="118"/>
    </row>
    <row r="647">
      <c r="A647" s="118"/>
      <c r="B647" s="52"/>
      <c r="C647" s="118"/>
      <c r="D647" s="52"/>
      <c r="E647" s="118"/>
      <c r="F647" s="152"/>
      <c r="G647" s="152"/>
      <c r="H647" s="152"/>
      <c r="I647" s="152"/>
      <c r="J647" s="152"/>
      <c r="K647" s="118"/>
      <c r="L647" s="118"/>
      <c r="M647" s="118"/>
      <c r="N647" s="118"/>
      <c r="O647" s="118"/>
      <c r="P647" s="118"/>
      <c r="Q647" s="118"/>
      <c r="R647" s="118"/>
      <c r="S647" s="118"/>
      <c r="T647" s="118"/>
      <c r="U647" s="118"/>
      <c r="V647" s="118"/>
      <c r="W647" s="118"/>
      <c r="X647" s="118"/>
      <c r="Y647" s="118"/>
      <c r="Z647" s="118"/>
      <c r="AA647" s="118"/>
      <c r="AB647" s="118"/>
      <c r="AC647" s="118"/>
      <c r="AD647" s="118"/>
      <c r="AE647" s="118"/>
      <c r="AF647" s="118"/>
      <c r="AG647" s="118"/>
      <c r="AH647" s="118"/>
    </row>
    <row r="648">
      <c r="A648" s="118"/>
      <c r="B648" s="52"/>
      <c r="C648" s="118"/>
      <c r="D648" s="52"/>
      <c r="E648" s="118"/>
      <c r="F648" s="152"/>
      <c r="G648" s="152"/>
      <c r="H648" s="152"/>
      <c r="I648" s="152"/>
      <c r="J648" s="152"/>
      <c r="K648" s="118"/>
      <c r="L648" s="118"/>
      <c r="M648" s="118"/>
      <c r="N648" s="118"/>
      <c r="O648" s="118"/>
      <c r="P648" s="118"/>
      <c r="Q648" s="118"/>
      <c r="R648" s="118"/>
      <c r="S648" s="118"/>
      <c r="T648" s="118"/>
      <c r="U648" s="118"/>
      <c r="V648" s="118"/>
      <c r="W648" s="118"/>
      <c r="X648" s="118"/>
      <c r="Y648" s="118"/>
      <c r="Z648" s="118"/>
      <c r="AA648" s="118"/>
      <c r="AB648" s="118"/>
      <c r="AC648" s="118"/>
      <c r="AD648" s="118"/>
      <c r="AE648" s="118"/>
      <c r="AF648" s="118"/>
      <c r="AG648" s="118"/>
      <c r="AH648" s="118"/>
    </row>
    <row r="649">
      <c r="A649" s="118"/>
      <c r="B649" s="52"/>
      <c r="C649" s="118"/>
      <c r="D649" s="52"/>
      <c r="E649" s="118"/>
      <c r="F649" s="152"/>
      <c r="G649" s="152"/>
      <c r="H649" s="152"/>
      <c r="I649" s="152"/>
      <c r="J649" s="152"/>
      <c r="K649" s="118"/>
      <c r="L649" s="118"/>
      <c r="M649" s="118"/>
      <c r="N649" s="118"/>
      <c r="O649" s="118"/>
      <c r="P649" s="118"/>
      <c r="Q649" s="118"/>
      <c r="R649" s="118"/>
      <c r="S649" s="118"/>
      <c r="T649" s="118"/>
      <c r="U649" s="118"/>
      <c r="V649" s="118"/>
      <c r="W649" s="118"/>
      <c r="X649" s="118"/>
      <c r="Y649" s="118"/>
      <c r="Z649" s="118"/>
      <c r="AA649" s="118"/>
      <c r="AB649" s="118"/>
      <c r="AC649" s="118"/>
      <c r="AD649" s="118"/>
      <c r="AE649" s="118"/>
      <c r="AF649" s="118"/>
      <c r="AG649" s="118"/>
      <c r="AH649" s="118"/>
    </row>
    <row r="650">
      <c r="A650" s="118"/>
      <c r="B650" s="52"/>
      <c r="C650" s="118"/>
      <c r="D650" s="52"/>
      <c r="E650" s="118"/>
      <c r="F650" s="152"/>
      <c r="G650" s="152"/>
      <c r="H650" s="152"/>
      <c r="I650" s="152"/>
      <c r="J650" s="152"/>
      <c r="K650" s="118"/>
      <c r="L650" s="118"/>
      <c r="M650" s="118"/>
      <c r="N650" s="118"/>
      <c r="O650" s="118"/>
      <c r="P650" s="118"/>
      <c r="Q650" s="118"/>
      <c r="R650" s="118"/>
      <c r="S650" s="118"/>
      <c r="T650" s="118"/>
      <c r="U650" s="118"/>
      <c r="V650" s="118"/>
      <c r="W650" s="118"/>
      <c r="X650" s="118"/>
      <c r="Y650" s="118"/>
      <c r="Z650" s="118"/>
      <c r="AA650" s="118"/>
      <c r="AB650" s="118"/>
      <c r="AC650" s="118"/>
      <c r="AD650" s="118"/>
      <c r="AE650" s="118"/>
      <c r="AF650" s="118"/>
      <c r="AG650" s="118"/>
      <c r="AH650" s="118"/>
    </row>
    <row r="651">
      <c r="A651" s="118"/>
      <c r="B651" s="52"/>
      <c r="C651" s="118"/>
      <c r="D651" s="52"/>
      <c r="E651" s="118"/>
      <c r="F651" s="152"/>
      <c r="G651" s="152"/>
      <c r="H651" s="152"/>
      <c r="I651" s="152"/>
      <c r="J651" s="152"/>
      <c r="K651" s="118"/>
      <c r="L651" s="118"/>
      <c r="M651" s="118"/>
      <c r="N651" s="118"/>
      <c r="O651" s="118"/>
      <c r="P651" s="118"/>
      <c r="Q651" s="118"/>
      <c r="R651" s="118"/>
      <c r="S651" s="118"/>
      <c r="T651" s="118"/>
      <c r="U651" s="118"/>
      <c r="V651" s="118"/>
      <c r="W651" s="118"/>
      <c r="X651" s="118"/>
      <c r="Y651" s="118"/>
      <c r="Z651" s="118"/>
      <c r="AA651" s="118"/>
      <c r="AB651" s="118"/>
      <c r="AC651" s="118"/>
      <c r="AD651" s="118"/>
      <c r="AE651" s="118"/>
      <c r="AF651" s="118"/>
      <c r="AG651" s="118"/>
      <c r="AH651" s="118"/>
    </row>
    <row r="652">
      <c r="A652" s="118"/>
      <c r="B652" s="52"/>
      <c r="C652" s="118"/>
      <c r="D652" s="52"/>
      <c r="E652" s="118"/>
      <c r="F652" s="152"/>
      <c r="G652" s="152"/>
      <c r="H652" s="152"/>
      <c r="I652" s="152"/>
      <c r="J652" s="152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18"/>
      <c r="V652" s="118"/>
      <c r="W652" s="118"/>
      <c r="X652" s="118"/>
      <c r="Y652" s="118"/>
      <c r="Z652" s="118"/>
      <c r="AA652" s="118"/>
      <c r="AB652" s="118"/>
      <c r="AC652" s="118"/>
      <c r="AD652" s="118"/>
      <c r="AE652" s="118"/>
      <c r="AF652" s="118"/>
      <c r="AG652" s="118"/>
      <c r="AH652" s="118"/>
    </row>
    <row r="653">
      <c r="A653" s="118"/>
      <c r="B653" s="52"/>
      <c r="C653" s="118"/>
      <c r="D653" s="52"/>
      <c r="E653" s="118"/>
      <c r="F653" s="152"/>
      <c r="G653" s="152"/>
      <c r="H653" s="152"/>
      <c r="I653" s="152"/>
      <c r="J653" s="152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18"/>
      <c r="V653" s="118"/>
      <c r="W653" s="118"/>
      <c r="X653" s="118"/>
      <c r="Y653" s="118"/>
      <c r="Z653" s="118"/>
      <c r="AA653" s="118"/>
      <c r="AB653" s="118"/>
      <c r="AC653" s="118"/>
      <c r="AD653" s="118"/>
      <c r="AE653" s="118"/>
      <c r="AF653" s="118"/>
      <c r="AG653" s="118"/>
      <c r="AH653" s="118"/>
    </row>
    <row r="654">
      <c r="A654" s="118"/>
      <c r="B654" s="52"/>
      <c r="C654" s="118"/>
      <c r="D654" s="52"/>
      <c r="E654" s="118"/>
      <c r="F654" s="152"/>
      <c r="G654" s="152"/>
      <c r="H654" s="152"/>
      <c r="I654" s="152"/>
      <c r="J654" s="152"/>
      <c r="K654" s="118"/>
      <c r="L654" s="118"/>
      <c r="M654" s="118"/>
      <c r="N654" s="118"/>
      <c r="O654" s="118"/>
      <c r="P654" s="118"/>
      <c r="Q654" s="118"/>
      <c r="R654" s="118"/>
      <c r="S654" s="118"/>
      <c r="T654" s="118"/>
      <c r="U654" s="118"/>
      <c r="V654" s="118"/>
      <c r="W654" s="118"/>
      <c r="X654" s="118"/>
      <c r="Y654" s="118"/>
      <c r="Z654" s="118"/>
      <c r="AA654" s="118"/>
      <c r="AB654" s="118"/>
      <c r="AC654" s="118"/>
      <c r="AD654" s="118"/>
      <c r="AE654" s="118"/>
      <c r="AF654" s="118"/>
      <c r="AG654" s="118"/>
      <c r="AH654" s="118"/>
    </row>
    <row r="655">
      <c r="A655" s="118"/>
      <c r="B655" s="52"/>
      <c r="C655" s="118"/>
      <c r="D655" s="52"/>
      <c r="E655" s="118"/>
      <c r="F655" s="152"/>
      <c r="G655" s="152"/>
      <c r="H655" s="152"/>
      <c r="I655" s="152"/>
      <c r="J655" s="152"/>
      <c r="K655" s="118"/>
      <c r="L655" s="118"/>
      <c r="M655" s="118"/>
      <c r="N655" s="118"/>
      <c r="O655" s="118"/>
      <c r="P655" s="118"/>
      <c r="Q655" s="118"/>
      <c r="R655" s="118"/>
      <c r="S655" s="118"/>
      <c r="T655" s="118"/>
      <c r="U655" s="118"/>
      <c r="V655" s="118"/>
      <c r="W655" s="118"/>
      <c r="X655" s="118"/>
      <c r="Y655" s="118"/>
      <c r="Z655" s="118"/>
      <c r="AA655" s="118"/>
      <c r="AB655" s="118"/>
      <c r="AC655" s="118"/>
      <c r="AD655" s="118"/>
      <c r="AE655" s="118"/>
      <c r="AF655" s="118"/>
      <c r="AG655" s="118"/>
      <c r="AH655" s="118"/>
    </row>
    <row r="656">
      <c r="A656" s="118"/>
      <c r="B656" s="52"/>
      <c r="C656" s="118"/>
      <c r="D656" s="52"/>
      <c r="E656" s="118"/>
      <c r="F656" s="152"/>
      <c r="G656" s="152"/>
      <c r="H656" s="152"/>
      <c r="I656" s="152"/>
      <c r="J656" s="152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118"/>
      <c r="V656" s="118"/>
      <c r="W656" s="118"/>
      <c r="X656" s="118"/>
      <c r="Y656" s="118"/>
      <c r="Z656" s="118"/>
      <c r="AA656" s="118"/>
      <c r="AB656" s="118"/>
      <c r="AC656" s="118"/>
      <c r="AD656" s="118"/>
      <c r="AE656" s="118"/>
      <c r="AF656" s="118"/>
      <c r="AG656" s="118"/>
      <c r="AH656" s="118"/>
    </row>
    <row r="657">
      <c r="A657" s="118"/>
      <c r="B657" s="52"/>
      <c r="C657" s="118"/>
      <c r="D657" s="52"/>
      <c r="E657" s="118"/>
      <c r="F657" s="152"/>
      <c r="G657" s="152"/>
      <c r="H657" s="152"/>
      <c r="I657" s="152"/>
      <c r="J657" s="152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118"/>
      <c r="V657" s="118"/>
      <c r="W657" s="118"/>
      <c r="X657" s="118"/>
      <c r="Y657" s="118"/>
      <c r="Z657" s="118"/>
      <c r="AA657" s="118"/>
      <c r="AB657" s="118"/>
      <c r="AC657" s="118"/>
      <c r="AD657" s="118"/>
      <c r="AE657" s="118"/>
      <c r="AF657" s="118"/>
      <c r="AG657" s="118"/>
      <c r="AH657" s="118"/>
    </row>
    <row r="658">
      <c r="A658" s="118"/>
      <c r="B658" s="52"/>
      <c r="C658" s="118"/>
      <c r="D658" s="52"/>
      <c r="E658" s="118"/>
      <c r="F658" s="152"/>
      <c r="G658" s="152"/>
      <c r="H658" s="152"/>
      <c r="I658" s="152"/>
      <c r="J658" s="152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118"/>
      <c r="V658" s="118"/>
      <c r="W658" s="118"/>
      <c r="X658" s="118"/>
      <c r="Y658" s="118"/>
      <c r="Z658" s="118"/>
      <c r="AA658" s="118"/>
      <c r="AB658" s="118"/>
      <c r="AC658" s="118"/>
      <c r="AD658" s="118"/>
      <c r="AE658" s="118"/>
      <c r="AF658" s="118"/>
      <c r="AG658" s="118"/>
      <c r="AH658" s="118"/>
    </row>
    <row r="659">
      <c r="A659" s="118"/>
      <c r="B659" s="52"/>
      <c r="C659" s="118"/>
      <c r="D659" s="52"/>
      <c r="E659" s="118"/>
      <c r="F659" s="152"/>
      <c r="G659" s="152"/>
      <c r="H659" s="152"/>
      <c r="I659" s="152"/>
      <c r="J659" s="152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118"/>
      <c r="V659" s="118"/>
      <c r="W659" s="118"/>
      <c r="X659" s="118"/>
      <c r="Y659" s="118"/>
      <c r="Z659" s="118"/>
      <c r="AA659" s="118"/>
      <c r="AB659" s="118"/>
      <c r="AC659" s="118"/>
      <c r="AD659" s="118"/>
      <c r="AE659" s="118"/>
      <c r="AF659" s="118"/>
      <c r="AG659" s="118"/>
      <c r="AH659" s="118"/>
    </row>
    <row r="660">
      <c r="A660" s="118"/>
      <c r="B660" s="52"/>
      <c r="C660" s="118"/>
      <c r="D660" s="52"/>
      <c r="E660" s="118"/>
      <c r="F660" s="152"/>
      <c r="G660" s="152"/>
      <c r="H660" s="152"/>
      <c r="I660" s="152"/>
      <c r="J660" s="152"/>
      <c r="K660" s="118"/>
      <c r="L660" s="118"/>
      <c r="M660" s="118"/>
      <c r="N660" s="118"/>
      <c r="O660" s="118"/>
      <c r="P660" s="118"/>
      <c r="Q660" s="118"/>
      <c r="R660" s="118"/>
      <c r="S660" s="118"/>
      <c r="T660" s="118"/>
      <c r="U660" s="118"/>
      <c r="V660" s="118"/>
      <c r="W660" s="118"/>
      <c r="X660" s="118"/>
      <c r="Y660" s="118"/>
      <c r="Z660" s="118"/>
      <c r="AA660" s="118"/>
      <c r="AB660" s="118"/>
      <c r="AC660" s="118"/>
      <c r="AD660" s="118"/>
      <c r="AE660" s="118"/>
      <c r="AF660" s="118"/>
      <c r="AG660" s="118"/>
      <c r="AH660" s="118"/>
    </row>
    <row r="661">
      <c r="A661" s="118"/>
      <c r="B661" s="52"/>
      <c r="C661" s="118"/>
      <c r="D661" s="52"/>
      <c r="E661" s="118"/>
      <c r="F661" s="152"/>
      <c r="G661" s="152"/>
      <c r="H661" s="152"/>
      <c r="I661" s="152"/>
      <c r="J661" s="152"/>
      <c r="K661" s="118"/>
      <c r="L661" s="118"/>
      <c r="M661" s="118"/>
      <c r="N661" s="118"/>
      <c r="O661" s="118"/>
      <c r="P661" s="118"/>
      <c r="Q661" s="118"/>
      <c r="R661" s="118"/>
      <c r="S661" s="118"/>
      <c r="T661" s="118"/>
      <c r="U661" s="118"/>
      <c r="V661" s="118"/>
      <c r="W661" s="118"/>
      <c r="X661" s="118"/>
      <c r="Y661" s="118"/>
      <c r="Z661" s="118"/>
      <c r="AA661" s="118"/>
      <c r="AB661" s="118"/>
      <c r="AC661" s="118"/>
      <c r="AD661" s="118"/>
      <c r="AE661" s="118"/>
      <c r="AF661" s="118"/>
      <c r="AG661" s="118"/>
      <c r="AH661" s="118"/>
    </row>
    <row r="662">
      <c r="A662" s="118"/>
      <c r="B662" s="52"/>
      <c r="C662" s="118"/>
      <c r="D662" s="52"/>
      <c r="E662" s="118"/>
      <c r="F662" s="152"/>
      <c r="G662" s="152"/>
      <c r="H662" s="152"/>
      <c r="I662" s="152"/>
      <c r="J662" s="152"/>
      <c r="K662" s="118"/>
      <c r="L662" s="118"/>
      <c r="M662" s="118"/>
      <c r="N662" s="118"/>
      <c r="O662" s="118"/>
      <c r="P662" s="118"/>
      <c r="Q662" s="118"/>
      <c r="R662" s="118"/>
      <c r="S662" s="118"/>
      <c r="T662" s="118"/>
      <c r="U662" s="118"/>
      <c r="V662" s="118"/>
      <c r="W662" s="118"/>
      <c r="X662" s="118"/>
      <c r="Y662" s="118"/>
      <c r="Z662" s="118"/>
      <c r="AA662" s="118"/>
      <c r="AB662" s="118"/>
      <c r="AC662" s="118"/>
      <c r="AD662" s="118"/>
      <c r="AE662" s="118"/>
      <c r="AF662" s="118"/>
      <c r="AG662" s="118"/>
      <c r="AH662" s="118"/>
    </row>
    <row r="663">
      <c r="A663" s="118"/>
      <c r="B663" s="52"/>
      <c r="C663" s="118"/>
      <c r="D663" s="52"/>
      <c r="E663" s="118"/>
      <c r="F663" s="152"/>
      <c r="G663" s="152"/>
      <c r="H663" s="152"/>
      <c r="I663" s="152"/>
      <c r="J663" s="152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18"/>
      <c r="V663" s="118"/>
      <c r="W663" s="118"/>
      <c r="X663" s="118"/>
      <c r="Y663" s="118"/>
      <c r="Z663" s="118"/>
      <c r="AA663" s="118"/>
      <c r="AB663" s="118"/>
      <c r="AC663" s="118"/>
      <c r="AD663" s="118"/>
      <c r="AE663" s="118"/>
      <c r="AF663" s="118"/>
      <c r="AG663" s="118"/>
      <c r="AH663" s="118"/>
    </row>
    <row r="664">
      <c r="A664" s="118"/>
      <c r="B664" s="52"/>
      <c r="C664" s="118"/>
      <c r="D664" s="52"/>
      <c r="E664" s="118"/>
      <c r="F664" s="152"/>
      <c r="G664" s="152"/>
      <c r="H664" s="152"/>
      <c r="I664" s="152"/>
      <c r="J664" s="152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18"/>
      <c r="V664" s="118"/>
      <c r="W664" s="118"/>
      <c r="X664" s="118"/>
      <c r="Y664" s="118"/>
      <c r="Z664" s="118"/>
      <c r="AA664" s="118"/>
      <c r="AB664" s="118"/>
      <c r="AC664" s="118"/>
      <c r="AD664" s="118"/>
      <c r="AE664" s="118"/>
      <c r="AF664" s="118"/>
      <c r="AG664" s="118"/>
      <c r="AH664" s="118"/>
    </row>
    <row r="665">
      <c r="A665" s="118"/>
      <c r="B665" s="52"/>
      <c r="C665" s="118"/>
      <c r="D665" s="52"/>
      <c r="E665" s="118"/>
      <c r="F665" s="152"/>
      <c r="G665" s="152"/>
      <c r="H665" s="152"/>
      <c r="I665" s="152"/>
      <c r="J665" s="152"/>
      <c r="K665" s="118"/>
      <c r="L665" s="118"/>
      <c r="M665" s="118"/>
      <c r="N665" s="118"/>
      <c r="O665" s="118"/>
      <c r="P665" s="118"/>
      <c r="Q665" s="118"/>
      <c r="R665" s="118"/>
      <c r="S665" s="118"/>
      <c r="T665" s="118"/>
      <c r="U665" s="118"/>
      <c r="V665" s="118"/>
      <c r="W665" s="118"/>
      <c r="X665" s="118"/>
      <c r="Y665" s="118"/>
      <c r="Z665" s="118"/>
      <c r="AA665" s="118"/>
      <c r="AB665" s="118"/>
      <c r="AC665" s="118"/>
      <c r="AD665" s="118"/>
      <c r="AE665" s="118"/>
      <c r="AF665" s="118"/>
      <c r="AG665" s="118"/>
      <c r="AH665" s="118"/>
    </row>
    <row r="666">
      <c r="A666" s="118"/>
      <c r="B666" s="52"/>
      <c r="C666" s="118"/>
      <c r="D666" s="52"/>
      <c r="E666" s="118"/>
      <c r="F666" s="152"/>
      <c r="G666" s="152"/>
      <c r="H666" s="152"/>
      <c r="I666" s="152"/>
      <c r="J666" s="152"/>
      <c r="K666" s="118"/>
      <c r="L666" s="118"/>
      <c r="M666" s="118"/>
      <c r="N666" s="118"/>
      <c r="O666" s="118"/>
      <c r="P666" s="118"/>
      <c r="Q666" s="118"/>
      <c r="R666" s="118"/>
      <c r="S666" s="118"/>
      <c r="T666" s="118"/>
      <c r="U666" s="118"/>
      <c r="V666" s="118"/>
      <c r="W666" s="118"/>
      <c r="X666" s="118"/>
      <c r="Y666" s="118"/>
      <c r="Z666" s="118"/>
      <c r="AA666" s="118"/>
      <c r="AB666" s="118"/>
      <c r="AC666" s="118"/>
      <c r="AD666" s="118"/>
      <c r="AE666" s="118"/>
      <c r="AF666" s="118"/>
      <c r="AG666" s="118"/>
      <c r="AH666" s="118"/>
    </row>
    <row r="667">
      <c r="A667" s="118"/>
      <c r="B667" s="52"/>
      <c r="C667" s="118"/>
      <c r="D667" s="52"/>
      <c r="E667" s="118"/>
      <c r="F667" s="152"/>
      <c r="G667" s="152"/>
      <c r="H667" s="152"/>
      <c r="I667" s="152"/>
      <c r="J667" s="152"/>
      <c r="K667" s="118"/>
      <c r="L667" s="118"/>
      <c r="M667" s="118"/>
      <c r="N667" s="118"/>
      <c r="O667" s="118"/>
      <c r="P667" s="118"/>
      <c r="Q667" s="118"/>
      <c r="R667" s="118"/>
      <c r="S667" s="118"/>
      <c r="T667" s="118"/>
      <c r="U667" s="118"/>
      <c r="V667" s="118"/>
      <c r="W667" s="118"/>
      <c r="X667" s="118"/>
      <c r="Y667" s="118"/>
      <c r="Z667" s="118"/>
      <c r="AA667" s="118"/>
      <c r="AB667" s="118"/>
      <c r="AC667" s="118"/>
      <c r="AD667" s="118"/>
      <c r="AE667" s="118"/>
      <c r="AF667" s="118"/>
      <c r="AG667" s="118"/>
      <c r="AH667" s="118"/>
    </row>
    <row r="668">
      <c r="A668" s="118"/>
      <c r="B668" s="52"/>
      <c r="C668" s="118"/>
      <c r="D668" s="52"/>
      <c r="E668" s="118"/>
      <c r="F668" s="152"/>
      <c r="G668" s="152"/>
      <c r="H668" s="152"/>
      <c r="I668" s="152"/>
      <c r="J668" s="152"/>
      <c r="K668" s="118"/>
      <c r="L668" s="118"/>
      <c r="M668" s="118"/>
      <c r="N668" s="118"/>
      <c r="O668" s="118"/>
      <c r="P668" s="118"/>
      <c r="Q668" s="118"/>
      <c r="R668" s="118"/>
      <c r="S668" s="118"/>
      <c r="T668" s="118"/>
      <c r="U668" s="118"/>
      <c r="V668" s="118"/>
      <c r="W668" s="118"/>
      <c r="X668" s="118"/>
      <c r="Y668" s="118"/>
      <c r="Z668" s="118"/>
      <c r="AA668" s="118"/>
      <c r="AB668" s="118"/>
      <c r="AC668" s="118"/>
      <c r="AD668" s="118"/>
      <c r="AE668" s="118"/>
      <c r="AF668" s="118"/>
      <c r="AG668" s="118"/>
      <c r="AH668" s="118"/>
    </row>
    <row r="669">
      <c r="A669" s="118"/>
      <c r="B669" s="52"/>
      <c r="C669" s="118"/>
      <c r="D669" s="52"/>
      <c r="E669" s="118"/>
      <c r="F669" s="152"/>
      <c r="G669" s="152"/>
      <c r="H669" s="152"/>
      <c r="I669" s="152"/>
      <c r="J669" s="152"/>
      <c r="K669" s="118"/>
      <c r="L669" s="118"/>
      <c r="M669" s="118"/>
      <c r="N669" s="118"/>
      <c r="O669" s="118"/>
      <c r="P669" s="118"/>
      <c r="Q669" s="118"/>
      <c r="R669" s="118"/>
      <c r="S669" s="118"/>
      <c r="T669" s="118"/>
      <c r="U669" s="118"/>
      <c r="V669" s="118"/>
      <c r="W669" s="118"/>
      <c r="X669" s="118"/>
      <c r="Y669" s="118"/>
      <c r="Z669" s="118"/>
      <c r="AA669" s="118"/>
      <c r="AB669" s="118"/>
      <c r="AC669" s="118"/>
      <c r="AD669" s="118"/>
      <c r="AE669" s="118"/>
      <c r="AF669" s="118"/>
      <c r="AG669" s="118"/>
      <c r="AH669" s="118"/>
    </row>
    <row r="670">
      <c r="A670" s="118"/>
      <c r="B670" s="52"/>
      <c r="C670" s="118"/>
      <c r="D670" s="52"/>
      <c r="E670" s="118"/>
      <c r="F670" s="152"/>
      <c r="G670" s="152"/>
      <c r="H670" s="152"/>
      <c r="I670" s="152"/>
      <c r="J670" s="152"/>
      <c r="K670" s="118"/>
      <c r="L670" s="118"/>
      <c r="M670" s="118"/>
      <c r="N670" s="118"/>
      <c r="O670" s="118"/>
      <c r="P670" s="118"/>
      <c r="Q670" s="118"/>
      <c r="R670" s="118"/>
      <c r="S670" s="118"/>
      <c r="T670" s="118"/>
      <c r="U670" s="118"/>
      <c r="V670" s="118"/>
      <c r="W670" s="118"/>
      <c r="X670" s="118"/>
      <c r="Y670" s="118"/>
      <c r="Z670" s="118"/>
      <c r="AA670" s="118"/>
      <c r="AB670" s="118"/>
      <c r="AC670" s="118"/>
      <c r="AD670" s="118"/>
      <c r="AE670" s="118"/>
      <c r="AF670" s="118"/>
      <c r="AG670" s="118"/>
      <c r="AH670" s="118"/>
    </row>
    <row r="671">
      <c r="A671" s="118"/>
      <c r="B671" s="52"/>
      <c r="C671" s="118"/>
      <c r="D671" s="52"/>
      <c r="E671" s="118"/>
      <c r="F671" s="152"/>
      <c r="G671" s="152"/>
      <c r="H671" s="152"/>
      <c r="I671" s="152"/>
      <c r="J671" s="152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18"/>
      <c r="V671" s="118"/>
      <c r="W671" s="118"/>
      <c r="X671" s="118"/>
      <c r="Y671" s="118"/>
      <c r="Z671" s="118"/>
      <c r="AA671" s="118"/>
      <c r="AB671" s="118"/>
      <c r="AC671" s="118"/>
      <c r="AD671" s="118"/>
      <c r="AE671" s="118"/>
      <c r="AF671" s="118"/>
      <c r="AG671" s="118"/>
      <c r="AH671" s="118"/>
    </row>
    <row r="672">
      <c r="A672" s="118"/>
      <c r="B672" s="52"/>
      <c r="C672" s="118"/>
      <c r="D672" s="52"/>
      <c r="E672" s="118"/>
      <c r="F672" s="152"/>
      <c r="G672" s="152"/>
      <c r="H672" s="152"/>
      <c r="I672" s="152"/>
      <c r="J672" s="152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18"/>
      <c r="V672" s="118"/>
      <c r="W672" s="118"/>
      <c r="X672" s="118"/>
      <c r="Y672" s="118"/>
      <c r="Z672" s="118"/>
      <c r="AA672" s="118"/>
      <c r="AB672" s="118"/>
      <c r="AC672" s="118"/>
      <c r="AD672" s="118"/>
      <c r="AE672" s="118"/>
      <c r="AF672" s="118"/>
      <c r="AG672" s="118"/>
      <c r="AH672" s="118"/>
    </row>
    <row r="673">
      <c r="A673" s="118"/>
      <c r="B673" s="52"/>
      <c r="C673" s="118"/>
      <c r="D673" s="52"/>
      <c r="E673" s="118"/>
      <c r="F673" s="152"/>
      <c r="G673" s="152"/>
      <c r="H673" s="152"/>
      <c r="I673" s="152"/>
      <c r="J673" s="152"/>
      <c r="K673" s="118"/>
      <c r="L673" s="118"/>
      <c r="M673" s="118"/>
      <c r="N673" s="118"/>
      <c r="O673" s="118"/>
      <c r="P673" s="118"/>
      <c r="Q673" s="118"/>
      <c r="R673" s="118"/>
      <c r="S673" s="118"/>
      <c r="T673" s="118"/>
      <c r="U673" s="118"/>
      <c r="V673" s="118"/>
      <c r="W673" s="118"/>
      <c r="X673" s="118"/>
      <c r="Y673" s="118"/>
      <c r="Z673" s="118"/>
      <c r="AA673" s="118"/>
      <c r="AB673" s="118"/>
      <c r="AC673" s="118"/>
      <c r="AD673" s="118"/>
      <c r="AE673" s="118"/>
      <c r="AF673" s="118"/>
      <c r="AG673" s="118"/>
      <c r="AH673" s="118"/>
    </row>
    <row r="674">
      <c r="A674" s="118"/>
      <c r="B674" s="52"/>
      <c r="C674" s="118"/>
      <c r="D674" s="52"/>
      <c r="E674" s="118"/>
      <c r="F674" s="152"/>
      <c r="G674" s="152"/>
      <c r="H674" s="152"/>
      <c r="I674" s="152"/>
      <c r="J674" s="152"/>
      <c r="K674" s="118"/>
      <c r="L674" s="118"/>
      <c r="M674" s="118"/>
      <c r="N674" s="118"/>
      <c r="O674" s="118"/>
      <c r="P674" s="118"/>
      <c r="Q674" s="118"/>
      <c r="R674" s="118"/>
      <c r="S674" s="118"/>
      <c r="T674" s="118"/>
      <c r="U674" s="118"/>
      <c r="V674" s="118"/>
      <c r="W674" s="118"/>
      <c r="X674" s="118"/>
      <c r="Y674" s="118"/>
      <c r="Z674" s="118"/>
      <c r="AA674" s="118"/>
      <c r="AB674" s="118"/>
      <c r="AC674" s="118"/>
      <c r="AD674" s="118"/>
      <c r="AE674" s="118"/>
      <c r="AF674" s="118"/>
      <c r="AG674" s="118"/>
      <c r="AH674" s="118"/>
    </row>
    <row r="675">
      <c r="A675" s="118"/>
      <c r="B675" s="52"/>
      <c r="C675" s="118"/>
      <c r="D675" s="52"/>
      <c r="E675" s="118"/>
      <c r="F675" s="152"/>
      <c r="G675" s="152"/>
      <c r="H675" s="152"/>
      <c r="I675" s="152"/>
      <c r="J675" s="152"/>
      <c r="K675" s="118"/>
      <c r="L675" s="118"/>
      <c r="M675" s="118"/>
      <c r="N675" s="118"/>
      <c r="O675" s="118"/>
      <c r="P675" s="118"/>
      <c r="Q675" s="118"/>
      <c r="R675" s="118"/>
      <c r="S675" s="118"/>
      <c r="T675" s="118"/>
      <c r="U675" s="118"/>
      <c r="V675" s="118"/>
      <c r="W675" s="118"/>
      <c r="X675" s="118"/>
      <c r="Y675" s="118"/>
      <c r="Z675" s="118"/>
      <c r="AA675" s="118"/>
      <c r="AB675" s="118"/>
      <c r="AC675" s="118"/>
      <c r="AD675" s="118"/>
      <c r="AE675" s="118"/>
      <c r="AF675" s="118"/>
      <c r="AG675" s="118"/>
      <c r="AH675" s="118"/>
    </row>
    <row r="676">
      <c r="A676" s="118"/>
      <c r="B676" s="52"/>
      <c r="C676" s="118"/>
      <c r="D676" s="52"/>
      <c r="E676" s="118"/>
      <c r="F676" s="152"/>
      <c r="G676" s="152"/>
      <c r="H676" s="152"/>
      <c r="I676" s="152"/>
      <c r="J676" s="152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18"/>
      <c r="V676" s="118"/>
      <c r="W676" s="118"/>
      <c r="X676" s="118"/>
      <c r="Y676" s="118"/>
      <c r="Z676" s="118"/>
      <c r="AA676" s="118"/>
      <c r="AB676" s="118"/>
      <c r="AC676" s="118"/>
      <c r="AD676" s="118"/>
      <c r="AE676" s="118"/>
      <c r="AF676" s="118"/>
      <c r="AG676" s="118"/>
      <c r="AH676" s="118"/>
    </row>
    <row r="677">
      <c r="A677" s="118"/>
      <c r="B677" s="52"/>
      <c r="C677" s="118"/>
      <c r="D677" s="52"/>
      <c r="E677" s="118"/>
      <c r="F677" s="152"/>
      <c r="G677" s="152"/>
      <c r="H677" s="152"/>
      <c r="I677" s="152"/>
      <c r="J677" s="152"/>
      <c r="K677" s="118"/>
      <c r="L677" s="118"/>
      <c r="M677" s="118"/>
      <c r="N677" s="118"/>
      <c r="O677" s="118"/>
      <c r="P677" s="118"/>
      <c r="Q677" s="118"/>
      <c r="R677" s="118"/>
      <c r="S677" s="118"/>
      <c r="T677" s="118"/>
      <c r="U677" s="118"/>
      <c r="V677" s="118"/>
      <c r="W677" s="118"/>
      <c r="X677" s="118"/>
      <c r="Y677" s="118"/>
      <c r="Z677" s="118"/>
      <c r="AA677" s="118"/>
      <c r="AB677" s="118"/>
      <c r="AC677" s="118"/>
      <c r="AD677" s="118"/>
      <c r="AE677" s="118"/>
      <c r="AF677" s="118"/>
      <c r="AG677" s="118"/>
      <c r="AH677" s="118"/>
    </row>
    <row r="678">
      <c r="A678" s="118"/>
      <c r="B678" s="52"/>
      <c r="C678" s="118"/>
      <c r="D678" s="52"/>
      <c r="E678" s="118"/>
      <c r="F678" s="152"/>
      <c r="G678" s="152"/>
      <c r="H678" s="152"/>
      <c r="I678" s="152"/>
      <c r="J678" s="152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18"/>
      <c r="V678" s="118"/>
      <c r="W678" s="118"/>
      <c r="X678" s="118"/>
      <c r="Y678" s="118"/>
      <c r="Z678" s="118"/>
      <c r="AA678" s="118"/>
      <c r="AB678" s="118"/>
      <c r="AC678" s="118"/>
      <c r="AD678" s="118"/>
      <c r="AE678" s="118"/>
      <c r="AF678" s="118"/>
      <c r="AG678" s="118"/>
      <c r="AH678" s="118"/>
    </row>
    <row r="679">
      <c r="A679" s="118"/>
      <c r="B679" s="52"/>
      <c r="C679" s="118"/>
      <c r="D679" s="52"/>
      <c r="E679" s="118"/>
      <c r="F679" s="152"/>
      <c r="G679" s="152"/>
      <c r="H679" s="152"/>
      <c r="I679" s="152"/>
      <c r="J679" s="152"/>
      <c r="K679" s="118"/>
      <c r="L679" s="118"/>
      <c r="M679" s="118"/>
      <c r="N679" s="118"/>
      <c r="O679" s="118"/>
      <c r="P679" s="118"/>
      <c r="Q679" s="118"/>
      <c r="R679" s="118"/>
      <c r="S679" s="118"/>
      <c r="T679" s="118"/>
      <c r="U679" s="118"/>
      <c r="V679" s="118"/>
      <c r="W679" s="118"/>
      <c r="X679" s="118"/>
      <c r="Y679" s="118"/>
      <c r="Z679" s="118"/>
      <c r="AA679" s="118"/>
      <c r="AB679" s="118"/>
      <c r="AC679" s="118"/>
      <c r="AD679" s="118"/>
      <c r="AE679" s="118"/>
      <c r="AF679" s="118"/>
      <c r="AG679" s="118"/>
      <c r="AH679" s="118"/>
    </row>
    <row r="680">
      <c r="A680" s="118"/>
      <c r="B680" s="52"/>
      <c r="C680" s="118"/>
      <c r="D680" s="52"/>
      <c r="E680" s="118"/>
      <c r="F680" s="152"/>
      <c r="G680" s="152"/>
      <c r="H680" s="152"/>
      <c r="I680" s="152"/>
      <c r="J680" s="152"/>
      <c r="K680" s="118"/>
      <c r="L680" s="118"/>
      <c r="M680" s="118"/>
      <c r="N680" s="118"/>
      <c r="O680" s="118"/>
      <c r="P680" s="118"/>
      <c r="Q680" s="118"/>
      <c r="R680" s="118"/>
      <c r="S680" s="118"/>
      <c r="T680" s="118"/>
      <c r="U680" s="118"/>
      <c r="V680" s="118"/>
      <c r="W680" s="118"/>
      <c r="X680" s="118"/>
      <c r="Y680" s="118"/>
      <c r="Z680" s="118"/>
      <c r="AA680" s="118"/>
      <c r="AB680" s="118"/>
      <c r="AC680" s="118"/>
      <c r="AD680" s="118"/>
      <c r="AE680" s="118"/>
      <c r="AF680" s="118"/>
      <c r="AG680" s="118"/>
      <c r="AH680" s="118"/>
    </row>
    <row r="681">
      <c r="A681" s="118"/>
      <c r="B681" s="52"/>
      <c r="C681" s="118"/>
      <c r="D681" s="52"/>
      <c r="E681" s="118"/>
      <c r="F681" s="152"/>
      <c r="G681" s="152"/>
      <c r="H681" s="152"/>
      <c r="I681" s="152"/>
      <c r="J681" s="152"/>
      <c r="K681" s="118"/>
      <c r="L681" s="118"/>
      <c r="M681" s="118"/>
      <c r="N681" s="118"/>
      <c r="O681" s="118"/>
      <c r="P681" s="118"/>
      <c r="Q681" s="118"/>
      <c r="R681" s="118"/>
      <c r="S681" s="118"/>
      <c r="T681" s="118"/>
      <c r="U681" s="118"/>
      <c r="V681" s="118"/>
      <c r="W681" s="118"/>
      <c r="X681" s="118"/>
      <c r="Y681" s="118"/>
      <c r="Z681" s="118"/>
      <c r="AA681" s="118"/>
      <c r="AB681" s="118"/>
      <c r="AC681" s="118"/>
      <c r="AD681" s="118"/>
      <c r="AE681" s="118"/>
      <c r="AF681" s="118"/>
      <c r="AG681" s="118"/>
      <c r="AH681" s="118"/>
    </row>
    <row r="682">
      <c r="A682" s="118"/>
      <c r="B682" s="52"/>
      <c r="C682" s="118"/>
      <c r="D682" s="52"/>
      <c r="E682" s="118"/>
      <c r="F682" s="152"/>
      <c r="G682" s="152"/>
      <c r="H682" s="152"/>
      <c r="I682" s="152"/>
      <c r="J682" s="152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118"/>
      <c r="V682" s="118"/>
      <c r="W682" s="118"/>
      <c r="X682" s="118"/>
      <c r="Y682" s="118"/>
      <c r="Z682" s="118"/>
      <c r="AA682" s="118"/>
      <c r="AB682" s="118"/>
      <c r="AC682" s="118"/>
      <c r="AD682" s="118"/>
      <c r="AE682" s="118"/>
      <c r="AF682" s="118"/>
      <c r="AG682" s="118"/>
      <c r="AH682" s="118"/>
    </row>
    <row r="683">
      <c r="A683" s="118"/>
      <c r="B683" s="52"/>
      <c r="C683" s="118"/>
      <c r="D683" s="52"/>
      <c r="E683" s="118"/>
      <c r="F683" s="152"/>
      <c r="G683" s="152"/>
      <c r="H683" s="152"/>
      <c r="I683" s="152"/>
      <c r="J683" s="152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118"/>
      <c r="V683" s="118"/>
      <c r="W683" s="118"/>
      <c r="X683" s="118"/>
      <c r="Y683" s="118"/>
      <c r="Z683" s="118"/>
      <c r="AA683" s="118"/>
      <c r="AB683" s="118"/>
      <c r="AC683" s="118"/>
      <c r="AD683" s="118"/>
      <c r="AE683" s="118"/>
      <c r="AF683" s="118"/>
      <c r="AG683" s="118"/>
      <c r="AH683" s="118"/>
    </row>
    <row r="684">
      <c r="A684" s="118"/>
      <c r="B684" s="52"/>
      <c r="C684" s="118"/>
      <c r="D684" s="52"/>
      <c r="E684" s="118"/>
      <c r="F684" s="152"/>
      <c r="G684" s="152"/>
      <c r="H684" s="152"/>
      <c r="I684" s="152"/>
      <c r="J684" s="152"/>
      <c r="K684" s="118"/>
      <c r="L684" s="118"/>
      <c r="M684" s="118"/>
      <c r="N684" s="118"/>
      <c r="O684" s="118"/>
      <c r="P684" s="118"/>
      <c r="Q684" s="118"/>
      <c r="R684" s="118"/>
      <c r="S684" s="118"/>
      <c r="T684" s="118"/>
      <c r="U684" s="118"/>
      <c r="V684" s="118"/>
      <c r="W684" s="118"/>
      <c r="X684" s="118"/>
      <c r="Y684" s="118"/>
      <c r="Z684" s="118"/>
      <c r="AA684" s="118"/>
      <c r="AB684" s="118"/>
      <c r="AC684" s="118"/>
      <c r="AD684" s="118"/>
      <c r="AE684" s="118"/>
      <c r="AF684" s="118"/>
      <c r="AG684" s="118"/>
      <c r="AH684" s="118"/>
    </row>
    <row r="685">
      <c r="A685" s="118"/>
      <c r="B685" s="52"/>
      <c r="C685" s="118"/>
      <c r="D685" s="52"/>
      <c r="E685" s="118"/>
      <c r="F685" s="152"/>
      <c r="G685" s="152"/>
      <c r="H685" s="152"/>
      <c r="I685" s="152"/>
      <c r="J685" s="152"/>
      <c r="K685" s="118"/>
      <c r="L685" s="118"/>
      <c r="M685" s="118"/>
      <c r="N685" s="118"/>
      <c r="O685" s="118"/>
      <c r="P685" s="118"/>
      <c r="Q685" s="118"/>
      <c r="R685" s="118"/>
      <c r="S685" s="118"/>
      <c r="T685" s="118"/>
      <c r="U685" s="118"/>
      <c r="V685" s="118"/>
      <c r="W685" s="118"/>
      <c r="X685" s="118"/>
      <c r="Y685" s="118"/>
      <c r="Z685" s="118"/>
      <c r="AA685" s="118"/>
      <c r="AB685" s="118"/>
      <c r="AC685" s="118"/>
      <c r="AD685" s="118"/>
      <c r="AE685" s="118"/>
      <c r="AF685" s="118"/>
      <c r="AG685" s="118"/>
      <c r="AH685" s="118"/>
    </row>
    <row r="686">
      <c r="A686" s="118"/>
      <c r="B686" s="52"/>
      <c r="C686" s="118"/>
      <c r="D686" s="52"/>
      <c r="E686" s="118"/>
      <c r="F686" s="152"/>
      <c r="G686" s="152"/>
      <c r="H686" s="152"/>
      <c r="I686" s="152"/>
      <c r="J686" s="152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18"/>
      <c r="V686" s="118"/>
      <c r="W686" s="118"/>
      <c r="X686" s="118"/>
      <c r="Y686" s="118"/>
      <c r="Z686" s="118"/>
      <c r="AA686" s="118"/>
      <c r="AB686" s="118"/>
      <c r="AC686" s="118"/>
      <c r="AD686" s="118"/>
      <c r="AE686" s="118"/>
      <c r="AF686" s="118"/>
      <c r="AG686" s="118"/>
      <c r="AH686" s="118"/>
    </row>
    <row r="687">
      <c r="A687" s="118"/>
      <c r="B687" s="52"/>
      <c r="C687" s="118"/>
      <c r="D687" s="52"/>
      <c r="E687" s="118"/>
      <c r="F687" s="152"/>
      <c r="G687" s="152"/>
      <c r="H687" s="152"/>
      <c r="I687" s="152"/>
      <c r="J687" s="152"/>
      <c r="K687" s="118"/>
      <c r="L687" s="118"/>
      <c r="M687" s="118"/>
      <c r="N687" s="118"/>
      <c r="O687" s="118"/>
      <c r="P687" s="118"/>
      <c r="Q687" s="118"/>
      <c r="R687" s="118"/>
      <c r="S687" s="118"/>
      <c r="T687" s="118"/>
      <c r="U687" s="118"/>
      <c r="V687" s="118"/>
      <c r="W687" s="118"/>
      <c r="X687" s="118"/>
      <c r="Y687" s="118"/>
      <c r="Z687" s="118"/>
      <c r="AA687" s="118"/>
      <c r="AB687" s="118"/>
      <c r="AC687" s="118"/>
      <c r="AD687" s="118"/>
      <c r="AE687" s="118"/>
      <c r="AF687" s="118"/>
      <c r="AG687" s="118"/>
      <c r="AH687" s="118"/>
    </row>
    <row r="688">
      <c r="A688" s="118"/>
      <c r="B688" s="52"/>
      <c r="C688" s="118"/>
      <c r="D688" s="52"/>
      <c r="E688" s="118"/>
      <c r="F688" s="152"/>
      <c r="G688" s="152"/>
      <c r="H688" s="152"/>
      <c r="I688" s="152"/>
      <c r="J688" s="152"/>
      <c r="K688" s="118"/>
      <c r="L688" s="118"/>
      <c r="M688" s="118"/>
      <c r="N688" s="118"/>
      <c r="O688" s="118"/>
      <c r="P688" s="118"/>
      <c r="Q688" s="118"/>
      <c r="R688" s="118"/>
      <c r="S688" s="118"/>
      <c r="T688" s="118"/>
      <c r="U688" s="118"/>
      <c r="V688" s="118"/>
      <c r="W688" s="118"/>
      <c r="X688" s="118"/>
      <c r="Y688" s="118"/>
      <c r="Z688" s="118"/>
      <c r="AA688" s="118"/>
      <c r="AB688" s="118"/>
      <c r="AC688" s="118"/>
      <c r="AD688" s="118"/>
      <c r="AE688" s="118"/>
      <c r="AF688" s="118"/>
      <c r="AG688" s="118"/>
      <c r="AH688" s="118"/>
    </row>
    <row r="689">
      <c r="A689" s="118"/>
      <c r="B689" s="52"/>
      <c r="C689" s="118"/>
      <c r="D689" s="52"/>
      <c r="E689" s="118"/>
      <c r="F689" s="152"/>
      <c r="G689" s="152"/>
      <c r="H689" s="152"/>
      <c r="I689" s="152"/>
      <c r="J689" s="152"/>
      <c r="K689" s="118"/>
      <c r="L689" s="118"/>
      <c r="M689" s="118"/>
      <c r="N689" s="118"/>
      <c r="O689" s="118"/>
      <c r="P689" s="118"/>
      <c r="Q689" s="118"/>
      <c r="R689" s="118"/>
      <c r="S689" s="118"/>
      <c r="T689" s="118"/>
      <c r="U689" s="118"/>
      <c r="V689" s="118"/>
      <c r="W689" s="118"/>
      <c r="X689" s="118"/>
      <c r="Y689" s="118"/>
      <c r="Z689" s="118"/>
      <c r="AA689" s="118"/>
      <c r="AB689" s="118"/>
      <c r="AC689" s="118"/>
      <c r="AD689" s="118"/>
      <c r="AE689" s="118"/>
      <c r="AF689" s="118"/>
      <c r="AG689" s="118"/>
      <c r="AH689" s="118"/>
    </row>
    <row r="690">
      <c r="A690" s="118"/>
      <c r="B690" s="52"/>
      <c r="C690" s="118"/>
      <c r="D690" s="52"/>
      <c r="E690" s="118"/>
      <c r="F690" s="152"/>
      <c r="G690" s="152"/>
      <c r="H690" s="152"/>
      <c r="I690" s="152"/>
      <c r="J690" s="152"/>
      <c r="K690" s="118"/>
      <c r="L690" s="118"/>
      <c r="M690" s="118"/>
      <c r="N690" s="118"/>
      <c r="O690" s="118"/>
      <c r="P690" s="118"/>
      <c r="Q690" s="118"/>
      <c r="R690" s="118"/>
      <c r="S690" s="118"/>
      <c r="T690" s="118"/>
      <c r="U690" s="118"/>
      <c r="V690" s="118"/>
      <c r="W690" s="118"/>
      <c r="X690" s="118"/>
      <c r="Y690" s="118"/>
      <c r="Z690" s="118"/>
      <c r="AA690" s="118"/>
      <c r="AB690" s="118"/>
      <c r="AC690" s="118"/>
      <c r="AD690" s="118"/>
      <c r="AE690" s="118"/>
      <c r="AF690" s="118"/>
      <c r="AG690" s="118"/>
      <c r="AH690" s="118"/>
    </row>
    <row r="691">
      <c r="A691" s="118"/>
      <c r="B691" s="52"/>
      <c r="C691" s="118"/>
      <c r="D691" s="52"/>
      <c r="E691" s="118"/>
      <c r="F691" s="152"/>
      <c r="G691" s="152"/>
      <c r="H691" s="152"/>
      <c r="I691" s="152"/>
      <c r="J691" s="152"/>
      <c r="K691" s="118"/>
      <c r="L691" s="118"/>
      <c r="M691" s="118"/>
      <c r="N691" s="118"/>
      <c r="O691" s="118"/>
      <c r="P691" s="118"/>
      <c r="Q691" s="118"/>
      <c r="R691" s="118"/>
      <c r="S691" s="118"/>
      <c r="T691" s="118"/>
      <c r="U691" s="118"/>
      <c r="V691" s="118"/>
      <c r="W691" s="118"/>
      <c r="X691" s="118"/>
      <c r="Y691" s="118"/>
      <c r="Z691" s="118"/>
      <c r="AA691" s="118"/>
      <c r="AB691" s="118"/>
      <c r="AC691" s="118"/>
      <c r="AD691" s="118"/>
      <c r="AE691" s="118"/>
      <c r="AF691" s="118"/>
      <c r="AG691" s="118"/>
      <c r="AH691" s="118"/>
    </row>
    <row r="692">
      <c r="A692" s="118"/>
      <c r="B692" s="52"/>
      <c r="C692" s="118"/>
      <c r="D692" s="52"/>
      <c r="E692" s="118"/>
      <c r="F692" s="152"/>
      <c r="G692" s="152"/>
      <c r="H692" s="152"/>
      <c r="I692" s="152"/>
      <c r="J692" s="152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18"/>
      <c r="V692" s="118"/>
      <c r="W692" s="118"/>
      <c r="X692" s="118"/>
      <c r="Y692" s="118"/>
      <c r="Z692" s="118"/>
      <c r="AA692" s="118"/>
      <c r="AB692" s="118"/>
      <c r="AC692" s="118"/>
      <c r="AD692" s="118"/>
      <c r="AE692" s="118"/>
      <c r="AF692" s="118"/>
      <c r="AG692" s="118"/>
      <c r="AH692" s="118"/>
    </row>
    <row r="693">
      <c r="A693" s="118"/>
      <c r="B693" s="52"/>
      <c r="C693" s="118"/>
      <c r="D693" s="52"/>
      <c r="E693" s="118"/>
      <c r="F693" s="152"/>
      <c r="G693" s="152"/>
      <c r="H693" s="152"/>
      <c r="I693" s="152"/>
      <c r="J693" s="152"/>
      <c r="K693" s="118"/>
      <c r="L693" s="118"/>
      <c r="M693" s="118"/>
      <c r="N693" s="118"/>
      <c r="O693" s="118"/>
      <c r="P693" s="118"/>
      <c r="Q693" s="118"/>
      <c r="R693" s="118"/>
      <c r="S693" s="118"/>
      <c r="T693" s="118"/>
      <c r="U693" s="118"/>
      <c r="V693" s="118"/>
      <c r="W693" s="118"/>
      <c r="X693" s="118"/>
      <c r="Y693" s="118"/>
      <c r="Z693" s="118"/>
      <c r="AA693" s="118"/>
      <c r="AB693" s="118"/>
      <c r="AC693" s="118"/>
      <c r="AD693" s="118"/>
      <c r="AE693" s="118"/>
      <c r="AF693" s="118"/>
      <c r="AG693" s="118"/>
      <c r="AH693" s="118"/>
    </row>
    <row r="694">
      <c r="A694" s="118"/>
      <c r="B694" s="52"/>
      <c r="C694" s="118"/>
      <c r="D694" s="52"/>
      <c r="E694" s="118"/>
      <c r="F694" s="152"/>
      <c r="G694" s="152"/>
      <c r="H694" s="152"/>
      <c r="I694" s="152"/>
      <c r="J694" s="152"/>
      <c r="K694" s="118"/>
      <c r="L694" s="118"/>
      <c r="M694" s="118"/>
      <c r="N694" s="118"/>
      <c r="O694" s="118"/>
      <c r="P694" s="118"/>
      <c r="Q694" s="118"/>
      <c r="R694" s="118"/>
      <c r="S694" s="118"/>
      <c r="T694" s="118"/>
      <c r="U694" s="118"/>
      <c r="V694" s="118"/>
      <c r="W694" s="118"/>
      <c r="X694" s="118"/>
      <c r="Y694" s="118"/>
      <c r="Z694" s="118"/>
      <c r="AA694" s="118"/>
      <c r="AB694" s="118"/>
      <c r="AC694" s="118"/>
      <c r="AD694" s="118"/>
      <c r="AE694" s="118"/>
      <c r="AF694" s="118"/>
      <c r="AG694" s="118"/>
      <c r="AH694" s="118"/>
    </row>
    <row r="695">
      <c r="A695" s="118"/>
      <c r="B695" s="52"/>
      <c r="C695" s="118"/>
      <c r="D695" s="52"/>
      <c r="E695" s="118"/>
      <c r="F695" s="152"/>
      <c r="G695" s="152"/>
      <c r="H695" s="152"/>
      <c r="I695" s="152"/>
      <c r="J695" s="152"/>
      <c r="K695" s="118"/>
      <c r="L695" s="118"/>
      <c r="M695" s="118"/>
      <c r="N695" s="118"/>
      <c r="O695" s="118"/>
      <c r="P695" s="118"/>
      <c r="Q695" s="118"/>
      <c r="R695" s="118"/>
      <c r="S695" s="118"/>
      <c r="T695" s="118"/>
      <c r="U695" s="118"/>
      <c r="V695" s="118"/>
      <c r="W695" s="118"/>
      <c r="X695" s="118"/>
      <c r="Y695" s="118"/>
      <c r="Z695" s="118"/>
      <c r="AA695" s="118"/>
      <c r="AB695" s="118"/>
      <c r="AC695" s="118"/>
      <c r="AD695" s="118"/>
      <c r="AE695" s="118"/>
      <c r="AF695" s="118"/>
      <c r="AG695" s="118"/>
      <c r="AH695" s="118"/>
    </row>
    <row r="696">
      <c r="A696" s="118"/>
      <c r="B696" s="52"/>
      <c r="C696" s="118"/>
      <c r="D696" s="52"/>
      <c r="E696" s="118"/>
      <c r="F696" s="152"/>
      <c r="G696" s="152"/>
      <c r="H696" s="152"/>
      <c r="I696" s="152"/>
      <c r="J696" s="152"/>
      <c r="K696" s="118"/>
      <c r="L696" s="118"/>
      <c r="M696" s="118"/>
      <c r="N696" s="118"/>
      <c r="O696" s="118"/>
      <c r="P696" s="118"/>
      <c r="Q696" s="118"/>
      <c r="R696" s="118"/>
      <c r="S696" s="118"/>
      <c r="T696" s="118"/>
      <c r="U696" s="118"/>
      <c r="V696" s="118"/>
      <c r="W696" s="118"/>
      <c r="X696" s="118"/>
      <c r="Y696" s="118"/>
      <c r="Z696" s="118"/>
      <c r="AA696" s="118"/>
      <c r="AB696" s="118"/>
      <c r="AC696" s="118"/>
      <c r="AD696" s="118"/>
      <c r="AE696" s="118"/>
      <c r="AF696" s="118"/>
      <c r="AG696" s="118"/>
      <c r="AH696" s="118"/>
    </row>
    <row r="697">
      <c r="A697" s="118"/>
      <c r="B697" s="52"/>
      <c r="C697" s="118"/>
      <c r="D697" s="52"/>
      <c r="E697" s="118"/>
      <c r="F697" s="152"/>
      <c r="G697" s="152"/>
      <c r="H697" s="152"/>
      <c r="I697" s="152"/>
      <c r="J697" s="152"/>
      <c r="K697" s="118"/>
      <c r="L697" s="118"/>
      <c r="M697" s="118"/>
      <c r="N697" s="118"/>
      <c r="O697" s="118"/>
      <c r="P697" s="118"/>
      <c r="Q697" s="118"/>
      <c r="R697" s="118"/>
      <c r="S697" s="118"/>
      <c r="T697" s="118"/>
      <c r="U697" s="118"/>
      <c r="V697" s="118"/>
      <c r="W697" s="118"/>
      <c r="X697" s="118"/>
      <c r="Y697" s="118"/>
      <c r="Z697" s="118"/>
      <c r="AA697" s="118"/>
      <c r="AB697" s="118"/>
      <c r="AC697" s="118"/>
      <c r="AD697" s="118"/>
      <c r="AE697" s="118"/>
      <c r="AF697" s="118"/>
      <c r="AG697" s="118"/>
      <c r="AH697" s="118"/>
    </row>
    <row r="698">
      <c r="A698" s="118"/>
      <c r="B698" s="52"/>
      <c r="C698" s="118"/>
      <c r="D698" s="52"/>
      <c r="E698" s="118"/>
      <c r="F698" s="152"/>
      <c r="G698" s="152"/>
      <c r="H698" s="152"/>
      <c r="I698" s="152"/>
      <c r="J698" s="152"/>
      <c r="K698" s="118"/>
      <c r="L698" s="118"/>
      <c r="M698" s="118"/>
      <c r="N698" s="118"/>
      <c r="O698" s="118"/>
      <c r="P698" s="118"/>
      <c r="Q698" s="118"/>
      <c r="R698" s="118"/>
      <c r="S698" s="118"/>
      <c r="T698" s="118"/>
      <c r="U698" s="118"/>
      <c r="V698" s="118"/>
      <c r="W698" s="118"/>
      <c r="X698" s="118"/>
      <c r="Y698" s="118"/>
      <c r="Z698" s="118"/>
      <c r="AA698" s="118"/>
      <c r="AB698" s="118"/>
      <c r="AC698" s="118"/>
      <c r="AD698" s="118"/>
      <c r="AE698" s="118"/>
      <c r="AF698" s="118"/>
      <c r="AG698" s="118"/>
      <c r="AH698" s="118"/>
    </row>
    <row r="699">
      <c r="A699" s="118"/>
      <c r="B699" s="52"/>
      <c r="C699" s="118"/>
      <c r="D699" s="52"/>
      <c r="E699" s="118"/>
      <c r="F699" s="152"/>
      <c r="G699" s="152"/>
      <c r="H699" s="152"/>
      <c r="I699" s="152"/>
      <c r="J699" s="152"/>
      <c r="K699" s="118"/>
      <c r="L699" s="118"/>
      <c r="M699" s="118"/>
      <c r="N699" s="118"/>
      <c r="O699" s="118"/>
      <c r="P699" s="118"/>
      <c r="Q699" s="118"/>
      <c r="R699" s="118"/>
      <c r="S699" s="118"/>
      <c r="T699" s="118"/>
      <c r="U699" s="118"/>
      <c r="V699" s="118"/>
      <c r="W699" s="118"/>
      <c r="X699" s="118"/>
      <c r="Y699" s="118"/>
      <c r="Z699" s="118"/>
      <c r="AA699" s="118"/>
      <c r="AB699" s="118"/>
      <c r="AC699" s="118"/>
      <c r="AD699" s="118"/>
      <c r="AE699" s="118"/>
      <c r="AF699" s="118"/>
      <c r="AG699" s="118"/>
      <c r="AH699" s="118"/>
    </row>
    <row r="700">
      <c r="A700" s="118"/>
      <c r="B700" s="52"/>
      <c r="C700" s="118"/>
      <c r="D700" s="52"/>
      <c r="E700" s="118"/>
      <c r="F700" s="152"/>
      <c r="G700" s="152"/>
      <c r="H700" s="152"/>
      <c r="I700" s="152"/>
      <c r="J700" s="152"/>
      <c r="K700" s="118"/>
      <c r="L700" s="118"/>
      <c r="M700" s="118"/>
      <c r="N700" s="118"/>
      <c r="O700" s="118"/>
      <c r="P700" s="118"/>
      <c r="Q700" s="118"/>
      <c r="R700" s="118"/>
      <c r="S700" s="118"/>
      <c r="T700" s="118"/>
      <c r="U700" s="118"/>
      <c r="V700" s="118"/>
      <c r="W700" s="118"/>
      <c r="X700" s="118"/>
      <c r="Y700" s="118"/>
      <c r="Z700" s="118"/>
      <c r="AA700" s="118"/>
      <c r="AB700" s="118"/>
      <c r="AC700" s="118"/>
      <c r="AD700" s="118"/>
      <c r="AE700" s="118"/>
      <c r="AF700" s="118"/>
      <c r="AG700" s="118"/>
      <c r="AH700" s="118"/>
    </row>
    <row r="701">
      <c r="A701" s="118"/>
      <c r="B701" s="52"/>
      <c r="C701" s="118"/>
      <c r="D701" s="52"/>
      <c r="E701" s="118"/>
      <c r="F701" s="152"/>
      <c r="G701" s="152"/>
      <c r="H701" s="152"/>
      <c r="I701" s="152"/>
      <c r="J701" s="152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118"/>
      <c r="V701" s="118"/>
      <c r="W701" s="118"/>
      <c r="X701" s="118"/>
      <c r="Y701" s="118"/>
      <c r="Z701" s="118"/>
      <c r="AA701" s="118"/>
      <c r="AB701" s="118"/>
      <c r="AC701" s="118"/>
      <c r="AD701" s="118"/>
      <c r="AE701" s="118"/>
      <c r="AF701" s="118"/>
      <c r="AG701" s="118"/>
      <c r="AH701" s="118"/>
    </row>
    <row r="702">
      <c r="A702" s="118"/>
      <c r="B702" s="52"/>
      <c r="C702" s="118"/>
      <c r="D702" s="52"/>
      <c r="E702" s="118"/>
      <c r="F702" s="152"/>
      <c r="G702" s="152"/>
      <c r="H702" s="152"/>
      <c r="I702" s="152"/>
      <c r="J702" s="152"/>
      <c r="K702" s="118"/>
      <c r="L702" s="118"/>
      <c r="M702" s="118"/>
      <c r="N702" s="118"/>
      <c r="O702" s="118"/>
      <c r="P702" s="118"/>
      <c r="Q702" s="118"/>
      <c r="R702" s="118"/>
      <c r="S702" s="118"/>
      <c r="T702" s="118"/>
      <c r="U702" s="118"/>
      <c r="V702" s="118"/>
      <c r="W702" s="118"/>
      <c r="X702" s="118"/>
      <c r="Y702" s="118"/>
      <c r="Z702" s="118"/>
      <c r="AA702" s="118"/>
      <c r="AB702" s="118"/>
      <c r="AC702" s="118"/>
      <c r="AD702" s="118"/>
      <c r="AE702" s="118"/>
      <c r="AF702" s="118"/>
      <c r="AG702" s="118"/>
      <c r="AH702" s="118"/>
    </row>
    <row r="703">
      <c r="A703" s="118"/>
      <c r="B703" s="52"/>
      <c r="C703" s="118"/>
      <c r="D703" s="52"/>
      <c r="E703" s="118"/>
      <c r="F703" s="152"/>
      <c r="G703" s="152"/>
      <c r="H703" s="152"/>
      <c r="I703" s="152"/>
      <c r="J703" s="152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118"/>
      <c r="V703" s="118"/>
      <c r="W703" s="118"/>
      <c r="X703" s="118"/>
      <c r="Y703" s="118"/>
      <c r="Z703" s="118"/>
      <c r="AA703" s="118"/>
      <c r="AB703" s="118"/>
      <c r="AC703" s="118"/>
      <c r="AD703" s="118"/>
      <c r="AE703" s="118"/>
      <c r="AF703" s="118"/>
      <c r="AG703" s="118"/>
      <c r="AH703" s="118"/>
    </row>
    <row r="704">
      <c r="A704" s="118"/>
      <c r="B704" s="52"/>
      <c r="C704" s="118"/>
      <c r="D704" s="52"/>
      <c r="E704" s="118"/>
      <c r="F704" s="152"/>
      <c r="G704" s="152"/>
      <c r="H704" s="152"/>
      <c r="I704" s="152"/>
      <c r="J704" s="152"/>
      <c r="K704" s="118"/>
      <c r="L704" s="118"/>
      <c r="M704" s="118"/>
      <c r="N704" s="118"/>
      <c r="O704" s="118"/>
      <c r="P704" s="118"/>
      <c r="Q704" s="118"/>
      <c r="R704" s="118"/>
      <c r="S704" s="118"/>
      <c r="T704" s="118"/>
      <c r="U704" s="118"/>
      <c r="V704" s="118"/>
      <c r="W704" s="118"/>
      <c r="X704" s="118"/>
      <c r="Y704" s="118"/>
      <c r="Z704" s="118"/>
      <c r="AA704" s="118"/>
      <c r="AB704" s="118"/>
      <c r="AC704" s="118"/>
      <c r="AD704" s="118"/>
      <c r="AE704" s="118"/>
      <c r="AF704" s="118"/>
      <c r="AG704" s="118"/>
      <c r="AH704" s="118"/>
    </row>
    <row r="705">
      <c r="A705" s="118"/>
      <c r="B705" s="52"/>
      <c r="C705" s="118"/>
      <c r="D705" s="52"/>
      <c r="E705" s="118"/>
      <c r="F705" s="152"/>
      <c r="G705" s="152"/>
      <c r="H705" s="152"/>
      <c r="I705" s="152"/>
      <c r="J705" s="152"/>
      <c r="K705" s="118"/>
      <c r="L705" s="118"/>
      <c r="M705" s="118"/>
      <c r="N705" s="118"/>
      <c r="O705" s="118"/>
      <c r="P705" s="118"/>
      <c r="Q705" s="118"/>
      <c r="R705" s="118"/>
      <c r="S705" s="118"/>
      <c r="T705" s="118"/>
      <c r="U705" s="118"/>
      <c r="V705" s="118"/>
      <c r="W705" s="118"/>
      <c r="X705" s="118"/>
      <c r="Y705" s="118"/>
      <c r="Z705" s="118"/>
      <c r="AA705" s="118"/>
      <c r="AB705" s="118"/>
      <c r="AC705" s="118"/>
      <c r="AD705" s="118"/>
      <c r="AE705" s="118"/>
      <c r="AF705" s="118"/>
      <c r="AG705" s="118"/>
      <c r="AH705" s="118"/>
    </row>
    <row r="706">
      <c r="A706" s="118"/>
      <c r="B706" s="52"/>
      <c r="C706" s="118"/>
      <c r="D706" s="52"/>
      <c r="E706" s="118"/>
      <c r="F706" s="152"/>
      <c r="G706" s="152"/>
      <c r="H706" s="152"/>
      <c r="I706" s="152"/>
      <c r="J706" s="152"/>
      <c r="K706" s="118"/>
      <c r="L706" s="118"/>
      <c r="M706" s="118"/>
      <c r="N706" s="118"/>
      <c r="O706" s="118"/>
      <c r="P706" s="118"/>
      <c r="Q706" s="118"/>
      <c r="R706" s="118"/>
      <c r="S706" s="118"/>
      <c r="T706" s="118"/>
      <c r="U706" s="118"/>
      <c r="V706" s="118"/>
      <c r="W706" s="118"/>
      <c r="X706" s="118"/>
      <c r="Y706" s="118"/>
      <c r="Z706" s="118"/>
      <c r="AA706" s="118"/>
      <c r="AB706" s="118"/>
      <c r="AC706" s="118"/>
      <c r="AD706" s="118"/>
      <c r="AE706" s="118"/>
      <c r="AF706" s="118"/>
      <c r="AG706" s="118"/>
      <c r="AH706" s="118"/>
    </row>
    <row r="707">
      <c r="A707" s="118"/>
      <c r="B707" s="52"/>
      <c r="C707" s="118"/>
      <c r="D707" s="52"/>
      <c r="E707" s="118"/>
      <c r="F707" s="152"/>
      <c r="G707" s="152"/>
      <c r="H707" s="152"/>
      <c r="I707" s="152"/>
      <c r="J707" s="152"/>
      <c r="K707" s="118"/>
      <c r="L707" s="118"/>
      <c r="M707" s="118"/>
      <c r="N707" s="118"/>
      <c r="O707" s="118"/>
      <c r="P707" s="118"/>
      <c r="Q707" s="118"/>
      <c r="R707" s="118"/>
      <c r="S707" s="118"/>
      <c r="T707" s="118"/>
      <c r="U707" s="118"/>
      <c r="V707" s="118"/>
      <c r="W707" s="118"/>
      <c r="X707" s="118"/>
      <c r="Y707" s="118"/>
      <c r="Z707" s="118"/>
      <c r="AA707" s="118"/>
      <c r="AB707" s="118"/>
      <c r="AC707" s="118"/>
      <c r="AD707" s="118"/>
      <c r="AE707" s="118"/>
      <c r="AF707" s="118"/>
      <c r="AG707" s="118"/>
      <c r="AH707" s="118"/>
    </row>
    <row r="708">
      <c r="A708" s="118"/>
      <c r="B708" s="52"/>
      <c r="C708" s="118"/>
      <c r="D708" s="52"/>
      <c r="E708" s="118"/>
      <c r="F708" s="152"/>
      <c r="G708" s="152"/>
      <c r="H708" s="152"/>
      <c r="I708" s="152"/>
      <c r="J708" s="152"/>
      <c r="K708" s="118"/>
      <c r="L708" s="118"/>
      <c r="M708" s="118"/>
      <c r="N708" s="118"/>
      <c r="O708" s="118"/>
      <c r="P708" s="118"/>
      <c r="Q708" s="118"/>
      <c r="R708" s="118"/>
      <c r="S708" s="118"/>
      <c r="T708" s="118"/>
      <c r="U708" s="118"/>
      <c r="V708" s="118"/>
      <c r="W708" s="118"/>
      <c r="X708" s="118"/>
      <c r="Y708" s="118"/>
      <c r="Z708" s="118"/>
      <c r="AA708" s="118"/>
      <c r="AB708" s="118"/>
      <c r="AC708" s="118"/>
      <c r="AD708" s="118"/>
      <c r="AE708" s="118"/>
      <c r="AF708" s="118"/>
      <c r="AG708" s="118"/>
      <c r="AH708" s="118"/>
    </row>
    <row r="709">
      <c r="A709" s="118"/>
      <c r="B709" s="52"/>
      <c r="C709" s="118"/>
      <c r="D709" s="52"/>
      <c r="E709" s="118"/>
      <c r="F709" s="152"/>
      <c r="G709" s="152"/>
      <c r="H709" s="152"/>
      <c r="I709" s="152"/>
      <c r="J709" s="152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18"/>
      <c r="V709" s="118"/>
      <c r="W709" s="118"/>
      <c r="X709" s="118"/>
      <c r="Y709" s="118"/>
      <c r="Z709" s="118"/>
      <c r="AA709" s="118"/>
      <c r="AB709" s="118"/>
      <c r="AC709" s="118"/>
      <c r="AD709" s="118"/>
      <c r="AE709" s="118"/>
      <c r="AF709" s="118"/>
      <c r="AG709" s="118"/>
      <c r="AH709" s="118"/>
    </row>
    <row r="710">
      <c r="A710" s="118"/>
      <c r="B710" s="52"/>
      <c r="C710" s="118"/>
      <c r="D710" s="52"/>
      <c r="E710" s="118"/>
      <c r="F710" s="152"/>
      <c r="G710" s="152"/>
      <c r="H710" s="152"/>
      <c r="I710" s="152"/>
      <c r="J710" s="152"/>
      <c r="K710" s="118"/>
      <c r="L710" s="118"/>
      <c r="M710" s="118"/>
      <c r="N710" s="118"/>
      <c r="O710" s="118"/>
      <c r="P710" s="118"/>
      <c r="Q710" s="118"/>
      <c r="R710" s="118"/>
      <c r="S710" s="118"/>
      <c r="T710" s="118"/>
      <c r="U710" s="118"/>
      <c r="V710" s="118"/>
      <c r="W710" s="118"/>
      <c r="X710" s="118"/>
      <c r="Y710" s="118"/>
      <c r="Z710" s="118"/>
      <c r="AA710" s="118"/>
      <c r="AB710" s="118"/>
      <c r="AC710" s="118"/>
      <c r="AD710" s="118"/>
      <c r="AE710" s="118"/>
      <c r="AF710" s="118"/>
      <c r="AG710" s="118"/>
      <c r="AH710" s="118"/>
    </row>
    <row r="711">
      <c r="A711" s="118"/>
      <c r="B711" s="52"/>
      <c r="C711" s="118"/>
      <c r="D711" s="52"/>
      <c r="E711" s="118"/>
      <c r="F711" s="152"/>
      <c r="G711" s="152"/>
      <c r="H711" s="152"/>
      <c r="I711" s="152"/>
      <c r="J711" s="152"/>
      <c r="K711" s="118"/>
      <c r="L711" s="118"/>
      <c r="M711" s="118"/>
      <c r="N711" s="118"/>
      <c r="O711" s="118"/>
      <c r="P711" s="118"/>
      <c r="Q711" s="118"/>
      <c r="R711" s="118"/>
      <c r="S711" s="118"/>
      <c r="T711" s="118"/>
      <c r="U711" s="118"/>
      <c r="V711" s="118"/>
      <c r="W711" s="118"/>
      <c r="X711" s="118"/>
      <c r="Y711" s="118"/>
      <c r="Z711" s="118"/>
      <c r="AA711" s="118"/>
      <c r="AB711" s="118"/>
      <c r="AC711" s="118"/>
      <c r="AD711" s="118"/>
      <c r="AE711" s="118"/>
      <c r="AF711" s="118"/>
      <c r="AG711" s="118"/>
      <c r="AH711" s="118"/>
    </row>
    <row r="712">
      <c r="A712" s="118"/>
      <c r="B712" s="52"/>
      <c r="C712" s="118"/>
      <c r="D712" s="52"/>
      <c r="E712" s="118"/>
      <c r="F712" s="152"/>
      <c r="G712" s="152"/>
      <c r="H712" s="152"/>
      <c r="I712" s="152"/>
      <c r="J712" s="152"/>
      <c r="K712" s="118"/>
      <c r="L712" s="118"/>
      <c r="M712" s="118"/>
      <c r="N712" s="118"/>
      <c r="O712" s="118"/>
      <c r="P712" s="118"/>
      <c r="Q712" s="118"/>
      <c r="R712" s="118"/>
      <c r="S712" s="118"/>
      <c r="T712" s="118"/>
      <c r="U712" s="118"/>
      <c r="V712" s="118"/>
      <c r="W712" s="118"/>
      <c r="X712" s="118"/>
      <c r="Y712" s="118"/>
      <c r="Z712" s="118"/>
      <c r="AA712" s="118"/>
      <c r="AB712" s="118"/>
      <c r="AC712" s="118"/>
      <c r="AD712" s="118"/>
      <c r="AE712" s="118"/>
      <c r="AF712" s="118"/>
      <c r="AG712" s="118"/>
      <c r="AH712" s="118"/>
    </row>
    <row r="713">
      <c r="A713" s="118"/>
      <c r="B713" s="52"/>
      <c r="C713" s="118"/>
      <c r="D713" s="52"/>
      <c r="E713" s="118"/>
      <c r="F713" s="152"/>
      <c r="G713" s="152"/>
      <c r="H713" s="152"/>
      <c r="I713" s="152"/>
      <c r="J713" s="152"/>
      <c r="K713" s="118"/>
      <c r="L713" s="118"/>
      <c r="M713" s="118"/>
      <c r="N713" s="118"/>
      <c r="O713" s="118"/>
      <c r="P713" s="118"/>
      <c r="Q713" s="118"/>
      <c r="R713" s="118"/>
      <c r="S713" s="118"/>
      <c r="T713" s="118"/>
      <c r="U713" s="118"/>
      <c r="V713" s="118"/>
      <c r="W713" s="118"/>
      <c r="X713" s="118"/>
      <c r="Y713" s="118"/>
      <c r="Z713" s="118"/>
      <c r="AA713" s="118"/>
      <c r="AB713" s="118"/>
      <c r="AC713" s="118"/>
      <c r="AD713" s="118"/>
      <c r="AE713" s="118"/>
      <c r="AF713" s="118"/>
      <c r="AG713" s="118"/>
      <c r="AH713" s="118"/>
    </row>
    <row r="714">
      <c r="A714" s="118"/>
      <c r="B714" s="52"/>
      <c r="C714" s="118"/>
      <c r="D714" s="52"/>
      <c r="E714" s="118"/>
      <c r="F714" s="152"/>
      <c r="G714" s="152"/>
      <c r="H714" s="152"/>
      <c r="I714" s="152"/>
      <c r="J714" s="152"/>
      <c r="K714" s="118"/>
      <c r="L714" s="118"/>
      <c r="M714" s="118"/>
      <c r="N714" s="118"/>
      <c r="O714" s="118"/>
      <c r="P714" s="118"/>
      <c r="Q714" s="118"/>
      <c r="R714" s="118"/>
      <c r="S714" s="118"/>
      <c r="T714" s="118"/>
      <c r="U714" s="118"/>
      <c r="V714" s="118"/>
      <c r="W714" s="118"/>
      <c r="X714" s="118"/>
      <c r="Y714" s="118"/>
      <c r="Z714" s="118"/>
      <c r="AA714" s="118"/>
      <c r="AB714" s="118"/>
      <c r="AC714" s="118"/>
      <c r="AD714" s="118"/>
      <c r="AE714" s="118"/>
      <c r="AF714" s="118"/>
      <c r="AG714" s="118"/>
      <c r="AH714" s="118"/>
    </row>
    <row r="715">
      <c r="A715" s="118"/>
      <c r="B715" s="52"/>
      <c r="C715" s="118"/>
      <c r="D715" s="52"/>
      <c r="E715" s="118"/>
      <c r="F715" s="152"/>
      <c r="G715" s="152"/>
      <c r="H715" s="152"/>
      <c r="I715" s="152"/>
      <c r="J715" s="152"/>
      <c r="K715" s="118"/>
      <c r="L715" s="118"/>
      <c r="M715" s="118"/>
      <c r="N715" s="118"/>
      <c r="O715" s="118"/>
      <c r="P715" s="118"/>
      <c r="Q715" s="118"/>
      <c r="R715" s="118"/>
      <c r="S715" s="118"/>
      <c r="T715" s="118"/>
      <c r="U715" s="118"/>
      <c r="V715" s="118"/>
      <c r="W715" s="118"/>
      <c r="X715" s="118"/>
      <c r="Y715" s="118"/>
      <c r="Z715" s="118"/>
      <c r="AA715" s="118"/>
      <c r="AB715" s="118"/>
      <c r="AC715" s="118"/>
      <c r="AD715" s="118"/>
      <c r="AE715" s="118"/>
      <c r="AF715" s="118"/>
      <c r="AG715" s="118"/>
      <c r="AH715" s="118"/>
    </row>
    <row r="716">
      <c r="A716" s="118"/>
      <c r="B716" s="52"/>
      <c r="C716" s="118"/>
      <c r="D716" s="52"/>
      <c r="E716" s="118"/>
      <c r="F716" s="152"/>
      <c r="G716" s="152"/>
      <c r="H716" s="152"/>
      <c r="I716" s="152"/>
      <c r="J716" s="152"/>
      <c r="K716" s="118"/>
      <c r="L716" s="118"/>
      <c r="M716" s="118"/>
      <c r="N716" s="118"/>
      <c r="O716" s="118"/>
      <c r="P716" s="118"/>
      <c r="Q716" s="118"/>
      <c r="R716" s="118"/>
      <c r="S716" s="118"/>
      <c r="T716" s="118"/>
      <c r="U716" s="118"/>
      <c r="V716" s="118"/>
      <c r="W716" s="118"/>
      <c r="X716" s="118"/>
      <c r="Y716" s="118"/>
      <c r="Z716" s="118"/>
      <c r="AA716" s="118"/>
      <c r="AB716" s="118"/>
      <c r="AC716" s="118"/>
      <c r="AD716" s="118"/>
      <c r="AE716" s="118"/>
      <c r="AF716" s="118"/>
      <c r="AG716" s="118"/>
      <c r="AH716" s="118"/>
    </row>
    <row r="717">
      <c r="A717" s="118"/>
      <c r="B717" s="52"/>
      <c r="C717" s="118"/>
      <c r="D717" s="52"/>
      <c r="E717" s="118"/>
      <c r="F717" s="152"/>
      <c r="G717" s="152"/>
      <c r="H717" s="152"/>
      <c r="I717" s="152"/>
      <c r="J717" s="152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118"/>
      <c r="V717" s="118"/>
      <c r="W717" s="118"/>
      <c r="X717" s="118"/>
      <c r="Y717" s="118"/>
      <c r="Z717" s="118"/>
      <c r="AA717" s="118"/>
      <c r="AB717" s="118"/>
      <c r="AC717" s="118"/>
      <c r="AD717" s="118"/>
      <c r="AE717" s="118"/>
      <c r="AF717" s="118"/>
      <c r="AG717" s="118"/>
      <c r="AH717" s="118"/>
    </row>
    <row r="718">
      <c r="A718" s="118"/>
      <c r="B718" s="52"/>
      <c r="C718" s="118"/>
      <c r="D718" s="52"/>
      <c r="E718" s="118"/>
      <c r="F718" s="152"/>
      <c r="G718" s="152"/>
      <c r="H718" s="152"/>
      <c r="I718" s="152"/>
      <c r="J718" s="152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118"/>
      <c r="V718" s="118"/>
      <c r="W718" s="118"/>
      <c r="X718" s="118"/>
      <c r="Y718" s="118"/>
      <c r="Z718" s="118"/>
      <c r="AA718" s="118"/>
      <c r="AB718" s="118"/>
      <c r="AC718" s="118"/>
      <c r="AD718" s="118"/>
      <c r="AE718" s="118"/>
      <c r="AF718" s="118"/>
      <c r="AG718" s="118"/>
      <c r="AH718" s="118"/>
    </row>
    <row r="719">
      <c r="A719" s="118"/>
      <c r="B719" s="52"/>
      <c r="C719" s="118"/>
      <c r="D719" s="52"/>
      <c r="E719" s="118"/>
      <c r="F719" s="152"/>
      <c r="G719" s="152"/>
      <c r="H719" s="152"/>
      <c r="I719" s="152"/>
      <c r="J719" s="152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118"/>
      <c r="V719" s="118"/>
      <c r="W719" s="118"/>
      <c r="X719" s="118"/>
      <c r="Y719" s="118"/>
      <c r="Z719" s="118"/>
      <c r="AA719" s="118"/>
      <c r="AB719" s="118"/>
      <c r="AC719" s="118"/>
      <c r="AD719" s="118"/>
      <c r="AE719" s="118"/>
      <c r="AF719" s="118"/>
      <c r="AG719" s="118"/>
      <c r="AH719" s="118"/>
    </row>
    <row r="720">
      <c r="A720" s="118"/>
      <c r="B720" s="52"/>
      <c r="C720" s="118"/>
      <c r="D720" s="52"/>
      <c r="E720" s="118"/>
      <c r="F720" s="152"/>
      <c r="G720" s="152"/>
      <c r="H720" s="152"/>
      <c r="I720" s="152"/>
      <c r="J720" s="152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118"/>
      <c r="V720" s="118"/>
      <c r="W720" s="118"/>
      <c r="X720" s="118"/>
      <c r="Y720" s="118"/>
      <c r="Z720" s="118"/>
      <c r="AA720" s="118"/>
      <c r="AB720" s="118"/>
      <c r="AC720" s="118"/>
      <c r="AD720" s="118"/>
      <c r="AE720" s="118"/>
      <c r="AF720" s="118"/>
      <c r="AG720" s="118"/>
      <c r="AH720" s="118"/>
    </row>
    <row r="721">
      <c r="A721" s="118"/>
      <c r="B721" s="52"/>
      <c r="C721" s="118"/>
      <c r="D721" s="52"/>
      <c r="E721" s="118"/>
      <c r="F721" s="152"/>
      <c r="G721" s="152"/>
      <c r="H721" s="152"/>
      <c r="I721" s="152"/>
      <c r="J721" s="152"/>
      <c r="K721" s="118"/>
      <c r="L721" s="118"/>
      <c r="M721" s="118"/>
      <c r="N721" s="118"/>
      <c r="O721" s="118"/>
      <c r="P721" s="118"/>
      <c r="Q721" s="118"/>
      <c r="R721" s="118"/>
      <c r="S721" s="118"/>
      <c r="T721" s="118"/>
      <c r="U721" s="118"/>
      <c r="V721" s="118"/>
      <c r="W721" s="118"/>
      <c r="X721" s="118"/>
      <c r="Y721" s="118"/>
      <c r="Z721" s="118"/>
      <c r="AA721" s="118"/>
      <c r="AB721" s="118"/>
      <c r="AC721" s="118"/>
      <c r="AD721" s="118"/>
      <c r="AE721" s="118"/>
      <c r="AF721" s="118"/>
      <c r="AG721" s="118"/>
      <c r="AH721" s="118"/>
    </row>
    <row r="722">
      <c r="A722" s="118"/>
      <c r="B722" s="52"/>
      <c r="C722" s="118"/>
      <c r="D722" s="52"/>
      <c r="E722" s="118"/>
      <c r="F722" s="152"/>
      <c r="G722" s="152"/>
      <c r="H722" s="152"/>
      <c r="I722" s="152"/>
      <c r="J722" s="152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18"/>
      <c r="V722" s="118"/>
      <c r="W722" s="118"/>
      <c r="X722" s="118"/>
      <c r="Y722" s="118"/>
      <c r="Z722" s="118"/>
      <c r="AA722" s="118"/>
      <c r="AB722" s="118"/>
      <c r="AC722" s="118"/>
      <c r="AD722" s="118"/>
      <c r="AE722" s="118"/>
      <c r="AF722" s="118"/>
      <c r="AG722" s="118"/>
      <c r="AH722" s="118"/>
    </row>
    <row r="723">
      <c r="A723" s="118"/>
      <c r="B723" s="52"/>
      <c r="C723" s="118"/>
      <c r="D723" s="52"/>
      <c r="E723" s="118"/>
      <c r="F723" s="152"/>
      <c r="G723" s="152"/>
      <c r="H723" s="152"/>
      <c r="I723" s="152"/>
      <c r="J723" s="152"/>
      <c r="K723" s="118"/>
      <c r="L723" s="118"/>
      <c r="M723" s="118"/>
      <c r="N723" s="118"/>
      <c r="O723" s="118"/>
      <c r="P723" s="118"/>
      <c r="Q723" s="118"/>
      <c r="R723" s="118"/>
      <c r="S723" s="118"/>
      <c r="T723" s="118"/>
      <c r="U723" s="118"/>
      <c r="V723" s="118"/>
      <c r="W723" s="118"/>
      <c r="X723" s="118"/>
      <c r="Y723" s="118"/>
      <c r="Z723" s="118"/>
      <c r="AA723" s="118"/>
      <c r="AB723" s="118"/>
      <c r="AC723" s="118"/>
      <c r="AD723" s="118"/>
      <c r="AE723" s="118"/>
      <c r="AF723" s="118"/>
      <c r="AG723" s="118"/>
      <c r="AH723" s="118"/>
    </row>
    <row r="724">
      <c r="A724" s="118"/>
      <c r="B724" s="52"/>
      <c r="C724" s="118"/>
      <c r="D724" s="52"/>
      <c r="E724" s="118"/>
      <c r="F724" s="152"/>
      <c r="G724" s="152"/>
      <c r="H724" s="152"/>
      <c r="I724" s="152"/>
      <c r="J724" s="152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18"/>
      <c r="V724" s="118"/>
      <c r="W724" s="118"/>
      <c r="X724" s="118"/>
      <c r="Y724" s="118"/>
      <c r="Z724" s="118"/>
      <c r="AA724" s="118"/>
      <c r="AB724" s="118"/>
      <c r="AC724" s="118"/>
      <c r="AD724" s="118"/>
      <c r="AE724" s="118"/>
      <c r="AF724" s="118"/>
      <c r="AG724" s="118"/>
      <c r="AH724" s="118"/>
    </row>
    <row r="725">
      <c r="A725" s="118"/>
      <c r="B725" s="52"/>
      <c r="C725" s="118"/>
      <c r="D725" s="52"/>
      <c r="E725" s="118"/>
      <c r="F725" s="152"/>
      <c r="G725" s="152"/>
      <c r="H725" s="152"/>
      <c r="I725" s="152"/>
      <c r="J725" s="152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118"/>
      <c r="V725" s="118"/>
      <c r="W725" s="118"/>
      <c r="X725" s="118"/>
      <c r="Y725" s="118"/>
      <c r="Z725" s="118"/>
      <c r="AA725" s="118"/>
      <c r="AB725" s="118"/>
      <c r="AC725" s="118"/>
      <c r="AD725" s="118"/>
      <c r="AE725" s="118"/>
      <c r="AF725" s="118"/>
      <c r="AG725" s="118"/>
      <c r="AH725" s="118"/>
    </row>
    <row r="726">
      <c r="A726" s="118"/>
      <c r="B726" s="52"/>
      <c r="C726" s="118"/>
      <c r="D726" s="52"/>
      <c r="E726" s="118"/>
      <c r="F726" s="152"/>
      <c r="G726" s="152"/>
      <c r="H726" s="152"/>
      <c r="I726" s="152"/>
      <c r="J726" s="152"/>
      <c r="K726" s="118"/>
      <c r="L726" s="118"/>
      <c r="M726" s="118"/>
      <c r="N726" s="118"/>
      <c r="O726" s="118"/>
      <c r="P726" s="118"/>
      <c r="Q726" s="118"/>
      <c r="R726" s="118"/>
      <c r="S726" s="118"/>
      <c r="T726" s="118"/>
      <c r="U726" s="118"/>
      <c r="V726" s="118"/>
      <c r="W726" s="118"/>
      <c r="X726" s="118"/>
      <c r="Y726" s="118"/>
      <c r="Z726" s="118"/>
      <c r="AA726" s="118"/>
      <c r="AB726" s="118"/>
      <c r="AC726" s="118"/>
      <c r="AD726" s="118"/>
      <c r="AE726" s="118"/>
      <c r="AF726" s="118"/>
      <c r="AG726" s="118"/>
      <c r="AH726" s="118"/>
    </row>
    <row r="727">
      <c r="A727" s="118"/>
      <c r="B727" s="52"/>
      <c r="C727" s="118"/>
      <c r="D727" s="52"/>
      <c r="E727" s="118"/>
      <c r="F727" s="152"/>
      <c r="G727" s="152"/>
      <c r="H727" s="152"/>
      <c r="I727" s="152"/>
      <c r="J727" s="152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18"/>
      <c r="V727" s="118"/>
      <c r="W727" s="118"/>
      <c r="X727" s="118"/>
      <c r="Y727" s="118"/>
      <c r="Z727" s="118"/>
      <c r="AA727" s="118"/>
      <c r="AB727" s="118"/>
      <c r="AC727" s="118"/>
      <c r="AD727" s="118"/>
      <c r="AE727" s="118"/>
      <c r="AF727" s="118"/>
      <c r="AG727" s="118"/>
      <c r="AH727" s="118"/>
    </row>
    <row r="728">
      <c r="A728" s="118"/>
      <c r="B728" s="52"/>
      <c r="C728" s="118"/>
      <c r="D728" s="52"/>
      <c r="E728" s="118"/>
      <c r="F728" s="152"/>
      <c r="G728" s="152"/>
      <c r="H728" s="152"/>
      <c r="I728" s="152"/>
      <c r="J728" s="152"/>
      <c r="K728" s="118"/>
      <c r="L728" s="118"/>
      <c r="M728" s="118"/>
      <c r="N728" s="118"/>
      <c r="O728" s="118"/>
      <c r="P728" s="118"/>
      <c r="Q728" s="118"/>
      <c r="R728" s="118"/>
      <c r="S728" s="118"/>
      <c r="T728" s="118"/>
      <c r="U728" s="118"/>
      <c r="V728" s="118"/>
      <c r="W728" s="118"/>
      <c r="X728" s="118"/>
      <c r="Y728" s="118"/>
      <c r="Z728" s="118"/>
      <c r="AA728" s="118"/>
      <c r="AB728" s="118"/>
      <c r="AC728" s="118"/>
      <c r="AD728" s="118"/>
      <c r="AE728" s="118"/>
      <c r="AF728" s="118"/>
      <c r="AG728" s="118"/>
      <c r="AH728" s="118"/>
    </row>
    <row r="729">
      <c r="A729" s="118"/>
      <c r="B729" s="52"/>
      <c r="C729" s="118"/>
      <c r="D729" s="52"/>
      <c r="E729" s="118"/>
      <c r="F729" s="152"/>
      <c r="G729" s="152"/>
      <c r="H729" s="152"/>
      <c r="I729" s="152"/>
      <c r="J729" s="152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118"/>
      <c r="V729" s="118"/>
      <c r="W729" s="118"/>
      <c r="X729" s="118"/>
      <c r="Y729" s="118"/>
      <c r="Z729" s="118"/>
      <c r="AA729" s="118"/>
      <c r="AB729" s="118"/>
      <c r="AC729" s="118"/>
      <c r="AD729" s="118"/>
      <c r="AE729" s="118"/>
      <c r="AF729" s="118"/>
      <c r="AG729" s="118"/>
      <c r="AH729" s="118"/>
    </row>
    <row r="730">
      <c r="A730" s="118"/>
      <c r="B730" s="52"/>
      <c r="C730" s="118"/>
      <c r="D730" s="52"/>
      <c r="E730" s="118"/>
      <c r="F730" s="152"/>
      <c r="G730" s="152"/>
      <c r="H730" s="152"/>
      <c r="I730" s="152"/>
      <c r="J730" s="152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118"/>
      <c r="V730" s="118"/>
      <c r="W730" s="118"/>
      <c r="X730" s="118"/>
      <c r="Y730" s="118"/>
      <c r="Z730" s="118"/>
      <c r="AA730" s="118"/>
      <c r="AB730" s="118"/>
      <c r="AC730" s="118"/>
      <c r="AD730" s="118"/>
      <c r="AE730" s="118"/>
      <c r="AF730" s="118"/>
      <c r="AG730" s="118"/>
      <c r="AH730" s="118"/>
    </row>
    <row r="731">
      <c r="A731" s="118"/>
      <c r="B731" s="52"/>
      <c r="C731" s="118"/>
      <c r="D731" s="52"/>
      <c r="E731" s="118"/>
      <c r="F731" s="152"/>
      <c r="G731" s="152"/>
      <c r="H731" s="152"/>
      <c r="I731" s="152"/>
      <c r="J731" s="152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118"/>
      <c r="V731" s="118"/>
      <c r="W731" s="118"/>
      <c r="X731" s="118"/>
      <c r="Y731" s="118"/>
      <c r="Z731" s="118"/>
      <c r="AA731" s="118"/>
      <c r="AB731" s="118"/>
      <c r="AC731" s="118"/>
      <c r="AD731" s="118"/>
      <c r="AE731" s="118"/>
      <c r="AF731" s="118"/>
      <c r="AG731" s="118"/>
      <c r="AH731" s="118"/>
    </row>
    <row r="732">
      <c r="A732" s="118"/>
      <c r="B732" s="52"/>
      <c r="C732" s="118"/>
      <c r="D732" s="52"/>
      <c r="E732" s="118"/>
      <c r="F732" s="152"/>
      <c r="G732" s="152"/>
      <c r="H732" s="152"/>
      <c r="I732" s="152"/>
      <c r="J732" s="152"/>
      <c r="K732" s="118"/>
      <c r="L732" s="118"/>
      <c r="M732" s="118"/>
      <c r="N732" s="118"/>
      <c r="O732" s="118"/>
      <c r="P732" s="118"/>
      <c r="Q732" s="118"/>
      <c r="R732" s="118"/>
      <c r="S732" s="118"/>
      <c r="T732" s="118"/>
      <c r="U732" s="118"/>
      <c r="V732" s="118"/>
      <c r="W732" s="118"/>
      <c r="X732" s="118"/>
      <c r="Y732" s="118"/>
      <c r="Z732" s="118"/>
      <c r="AA732" s="118"/>
      <c r="AB732" s="118"/>
      <c r="AC732" s="118"/>
      <c r="AD732" s="118"/>
      <c r="AE732" s="118"/>
      <c r="AF732" s="118"/>
      <c r="AG732" s="118"/>
      <c r="AH732" s="118"/>
    </row>
    <row r="733">
      <c r="A733" s="118"/>
      <c r="B733" s="52"/>
      <c r="C733" s="118"/>
      <c r="D733" s="52"/>
      <c r="E733" s="118"/>
      <c r="F733" s="152"/>
      <c r="G733" s="152"/>
      <c r="H733" s="152"/>
      <c r="I733" s="152"/>
      <c r="J733" s="152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118"/>
      <c r="V733" s="118"/>
      <c r="W733" s="118"/>
      <c r="X733" s="118"/>
      <c r="Y733" s="118"/>
      <c r="Z733" s="118"/>
      <c r="AA733" s="118"/>
      <c r="AB733" s="118"/>
      <c r="AC733" s="118"/>
      <c r="AD733" s="118"/>
      <c r="AE733" s="118"/>
      <c r="AF733" s="118"/>
      <c r="AG733" s="118"/>
      <c r="AH733" s="118"/>
    </row>
    <row r="734">
      <c r="A734" s="118"/>
      <c r="B734" s="52"/>
      <c r="C734" s="118"/>
      <c r="D734" s="52"/>
      <c r="E734" s="118"/>
      <c r="F734" s="152"/>
      <c r="G734" s="152"/>
      <c r="H734" s="152"/>
      <c r="I734" s="152"/>
      <c r="J734" s="152"/>
      <c r="K734" s="118"/>
      <c r="L734" s="118"/>
      <c r="M734" s="118"/>
      <c r="N734" s="118"/>
      <c r="O734" s="118"/>
      <c r="P734" s="118"/>
      <c r="Q734" s="118"/>
      <c r="R734" s="118"/>
      <c r="S734" s="118"/>
      <c r="T734" s="118"/>
      <c r="U734" s="118"/>
      <c r="V734" s="118"/>
      <c r="W734" s="118"/>
      <c r="X734" s="118"/>
      <c r="Y734" s="118"/>
      <c r="Z734" s="118"/>
      <c r="AA734" s="118"/>
      <c r="AB734" s="118"/>
      <c r="AC734" s="118"/>
      <c r="AD734" s="118"/>
      <c r="AE734" s="118"/>
      <c r="AF734" s="118"/>
      <c r="AG734" s="118"/>
      <c r="AH734" s="118"/>
    </row>
    <row r="735">
      <c r="A735" s="118"/>
      <c r="B735" s="52"/>
      <c r="C735" s="118"/>
      <c r="D735" s="52"/>
      <c r="E735" s="118"/>
      <c r="F735" s="152"/>
      <c r="G735" s="152"/>
      <c r="H735" s="152"/>
      <c r="I735" s="152"/>
      <c r="J735" s="152"/>
      <c r="K735" s="118"/>
      <c r="L735" s="118"/>
      <c r="M735" s="118"/>
      <c r="N735" s="118"/>
      <c r="O735" s="118"/>
      <c r="P735" s="118"/>
      <c r="Q735" s="118"/>
      <c r="R735" s="118"/>
      <c r="S735" s="118"/>
      <c r="T735" s="118"/>
      <c r="U735" s="118"/>
      <c r="V735" s="118"/>
      <c r="W735" s="118"/>
      <c r="X735" s="118"/>
      <c r="Y735" s="118"/>
      <c r="Z735" s="118"/>
      <c r="AA735" s="118"/>
      <c r="AB735" s="118"/>
      <c r="AC735" s="118"/>
      <c r="AD735" s="118"/>
      <c r="AE735" s="118"/>
      <c r="AF735" s="118"/>
      <c r="AG735" s="118"/>
      <c r="AH735" s="118"/>
    </row>
    <row r="736">
      <c r="A736" s="118"/>
      <c r="B736" s="52"/>
      <c r="C736" s="118"/>
      <c r="D736" s="52"/>
      <c r="E736" s="118"/>
      <c r="F736" s="152"/>
      <c r="G736" s="152"/>
      <c r="H736" s="152"/>
      <c r="I736" s="152"/>
      <c r="J736" s="152"/>
      <c r="K736" s="118"/>
      <c r="L736" s="118"/>
      <c r="M736" s="118"/>
      <c r="N736" s="118"/>
      <c r="O736" s="118"/>
      <c r="P736" s="118"/>
      <c r="Q736" s="118"/>
      <c r="R736" s="118"/>
      <c r="S736" s="118"/>
      <c r="T736" s="118"/>
      <c r="U736" s="118"/>
      <c r="V736" s="118"/>
      <c r="W736" s="118"/>
      <c r="X736" s="118"/>
      <c r="Y736" s="118"/>
      <c r="Z736" s="118"/>
      <c r="AA736" s="118"/>
      <c r="AB736" s="118"/>
      <c r="AC736" s="118"/>
      <c r="AD736" s="118"/>
      <c r="AE736" s="118"/>
      <c r="AF736" s="118"/>
      <c r="AG736" s="118"/>
      <c r="AH736" s="118"/>
    </row>
    <row r="737">
      <c r="A737" s="118"/>
      <c r="B737" s="52"/>
      <c r="C737" s="118"/>
      <c r="D737" s="52"/>
      <c r="E737" s="118"/>
      <c r="F737" s="152"/>
      <c r="G737" s="152"/>
      <c r="H737" s="152"/>
      <c r="I737" s="152"/>
      <c r="J737" s="152"/>
      <c r="K737" s="118"/>
      <c r="L737" s="118"/>
      <c r="M737" s="118"/>
      <c r="N737" s="118"/>
      <c r="O737" s="118"/>
      <c r="P737" s="118"/>
      <c r="Q737" s="118"/>
      <c r="R737" s="118"/>
      <c r="S737" s="118"/>
      <c r="T737" s="118"/>
      <c r="U737" s="118"/>
      <c r="V737" s="118"/>
      <c r="W737" s="118"/>
      <c r="X737" s="118"/>
      <c r="Y737" s="118"/>
      <c r="Z737" s="118"/>
      <c r="AA737" s="118"/>
      <c r="AB737" s="118"/>
      <c r="AC737" s="118"/>
      <c r="AD737" s="118"/>
      <c r="AE737" s="118"/>
      <c r="AF737" s="118"/>
      <c r="AG737" s="118"/>
      <c r="AH737" s="118"/>
    </row>
    <row r="738">
      <c r="A738" s="118"/>
      <c r="B738" s="52"/>
      <c r="C738" s="118"/>
      <c r="D738" s="52"/>
      <c r="E738" s="118"/>
      <c r="F738" s="152"/>
      <c r="G738" s="152"/>
      <c r="H738" s="152"/>
      <c r="I738" s="152"/>
      <c r="J738" s="152"/>
      <c r="K738" s="118"/>
      <c r="L738" s="118"/>
      <c r="M738" s="118"/>
      <c r="N738" s="118"/>
      <c r="O738" s="118"/>
      <c r="P738" s="118"/>
      <c r="Q738" s="118"/>
      <c r="R738" s="118"/>
      <c r="S738" s="118"/>
      <c r="T738" s="118"/>
      <c r="U738" s="118"/>
      <c r="V738" s="118"/>
      <c r="W738" s="118"/>
      <c r="X738" s="118"/>
      <c r="Y738" s="118"/>
      <c r="Z738" s="118"/>
      <c r="AA738" s="118"/>
      <c r="AB738" s="118"/>
      <c r="AC738" s="118"/>
      <c r="AD738" s="118"/>
      <c r="AE738" s="118"/>
      <c r="AF738" s="118"/>
      <c r="AG738" s="118"/>
      <c r="AH738" s="118"/>
    </row>
    <row r="739">
      <c r="A739" s="118"/>
      <c r="B739" s="52"/>
      <c r="C739" s="118"/>
      <c r="D739" s="52"/>
      <c r="E739" s="118"/>
      <c r="F739" s="152"/>
      <c r="G739" s="152"/>
      <c r="H739" s="152"/>
      <c r="I739" s="152"/>
      <c r="J739" s="152"/>
      <c r="K739" s="118"/>
      <c r="L739" s="118"/>
      <c r="M739" s="118"/>
      <c r="N739" s="118"/>
      <c r="O739" s="118"/>
      <c r="P739" s="118"/>
      <c r="Q739" s="118"/>
      <c r="R739" s="118"/>
      <c r="S739" s="118"/>
      <c r="T739" s="118"/>
      <c r="U739" s="118"/>
      <c r="V739" s="118"/>
      <c r="W739" s="118"/>
      <c r="X739" s="118"/>
      <c r="Y739" s="118"/>
      <c r="Z739" s="118"/>
      <c r="AA739" s="118"/>
      <c r="AB739" s="118"/>
      <c r="AC739" s="118"/>
      <c r="AD739" s="118"/>
      <c r="AE739" s="118"/>
      <c r="AF739" s="118"/>
      <c r="AG739" s="118"/>
      <c r="AH739" s="118"/>
    </row>
    <row r="740">
      <c r="A740" s="118"/>
      <c r="B740" s="52"/>
      <c r="C740" s="118"/>
      <c r="D740" s="52"/>
      <c r="E740" s="118"/>
      <c r="F740" s="152"/>
      <c r="G740" s="152"/>
      <c r="H740" s="152"/>
      <c r="I740" s="152"/>
      <c r="J740" s="152"/>
      <c r="K740" s="118"/>
      <c r="L740" s="118"/>
      <c r="M740" s="118"/>
      <c r="N740" s="118"/>
      <c r="O740" s="118"/>
      <c r="P740" s="118"/>
      <c r="Q740" s="118"/>
      <c r="R740" s="118"/>
      <c r="S740" s="118"/>
      <c r="T740" s="118"/>
      <c r="U740" s="118"/>
      <c r="V740" s="118"/>
      <c r="W740" s="118"/>
      <c r="X740" s="118"/>
      <c r="Y740" s="118"/>
      <c r="Z740" s="118"/>
      <c r="AA740" s="118"/>
      <c r="AB740" s="118"/>
      <c r="AC740" s="118"/>
      <c r="AD740" s="118"/>
      <c r="AE740" s="118"/>
      <c r="AF740" s="118"/>
      <c r="AG740" s="118"/>
      <c r="AH740" s="118"/>
    </row>
    <row r="741">
      <c r="A741" s="118"/>
      <c r="B741" s="52"/>
      <c r="C741" s="118"/>
      <c r="D741" s="52"/>
      <c r="E741" s="118"/>
      <c r="F741" s="152"/>
      <c r="G741" s="152"/>
      <c r="H741" s="152"/>
      <c r="I741" s="152"/>
      <c r="J741" s="152"/>
      <c r="K741" s="118"/>
      <c r="L741" s="118"/>
      <c r="M741" s="118"/>
      <c r="N741" s="118"/>
      <c r="O741" s="118"/>
      <c r="P741" s="118"/>
      <c r="Q741" s="118"/>
      <c r="R741" s="118"/>
      <c r="S741" s="118"/>
      <c r="T741" s="118"/>
      <c r="U741" s="118"/>
      <c r="V741" s="118"/>
      <c r="W741" s="118"/>
      <c r="X741" s="118"/>
      <c r="Y741" s="118"/>
      <c r="Z741" s="118"/>
      <c r="AA741" s="118"/>
      <c r="AB741" s="118"/>
      <c r="AC741" s="118"/>
      <c r="AD741" s="118"/>
      <c r="AE741" s="118"/>
      <c r="AF741" s="118"/>
      <c r="AG741" s="118"/>
      <c r="AH741" s="118"/>
    </row>
    <row r="742">
      <c r="A742" s="118"/>
      <c r="B742" s="52"/>
      <c r="C742" s="118"/>
      <c r="D742" s="52"/>
      <c r="E742" s="118"/>
      <c r="F742" s="152"/>
      <c r="G742" s="152"/>
      <c r="H742" s="152"/>
      <c r="I742" s="152"/>
      <c r="J742" s="152"/>
      <c r="K742" s="118"/>
      <c r="L742" s="118"/>
      <c r="M742" s="118"/>
      <c r="N742" s="118"/>
      <c r="O742" s="118"/>
      <c r="P742" s="118"/>
      <c r="Q742" s="118"/>
      <c r="R742" s="118"/>
      <c r="S742" s="118"/>
      <c r="T742" s="118"/>
      <c r="U742" s="118"/>
      <c r="V742" s="118"/>
      <c r="W742" s="118"/>
      <c r="X742" s="118"/>
      <c r="Y742" s="118"/>
      <c r="Z742" s="118"/>
      <c r="AA742" s="118"/>
      <c r="AB742" s="118"/>
      <c r="AC742" s="118"/>
      <c r="AD742" s="118"/>
      <c r="AE742" s="118"/>
      <c r="AF742" s="118"/>
      <c r="AG742" s="118"/>
      <c r="AH742" s="118"/>
    </row>
    <row r="743">
      <c r="A743" s="118"/>
      <c r="B743" s="52"/>
      <c r="C743" s="118"/>
      <c r="D743" s="52"/>
      <c r="E743" s="118"/>
      <c r="F743" s="152"/>
      <c r="G743" s="152"/>
      <c r="H743" s="152"/>
      <c r="I743" s="152"/>
      <c r="J743" s="152"/>
      <c r="K743" s="118"/>
      <c r="L743" s="118"/>
      <c r="M743" s="118"/>
      <c r="N743" s="118"/>
      <c r="O743" s="118"/>
      <c r="P743" s="118"/>
      <c r="Q743" s="118"/>
      <c r="R743" s="118"/>
      <c r="S743" s="118"/>
      <c r="T743" s="118"/>
      <c r="U743" s="118"/>
      <c r="V743" s="118"/>
      <c r="W743" s="118"/>
      <c r="X743" s="118"/>
      <c r="Y743" s="118"/>
      <c r="Z743" s="118"/>
      <c r="AA743" s="118"/>
      <c r="AB743" s="118"/>
      <c r="AC743" s="118"/>
      <c r="AD743" s="118"/>
      <c r="AE743" s="118"/>
      <c r="AF743" s="118"/>
      <c r="AG743" s="118"/>
      <c r="AH743" s="118"/>
    </row>
    <row r="744">
      <c r="A744" s="118"/>
      <c r="B744" s="52"/>
      <c r="C744" s="118"/>
      <c r="D744" s="52"/>
      <c r="E744" s="118"/>
      <c r="F744" s="152"/>
      <c r="G744" s="152"/>
      <c r="H744" s="152"/>
      <c r="I744" s="152"/>
      <c r="J744" s="152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118"/>
      <c r="V744" s="118"/>
      <c r="W744" s="118"/>
      <c r="X744" s="118"/>
      <c r="Y744" s="118"/>
      <c r="Z744" s="118"/>
      <c r="AA744" s="118"/>
      <c r="AB744" s="118"/>
      <c r="AC744" s="118"/>
      <c r="AD744" s="118"/>
      <c r="AE744" s="118"/>
      <c r="AF744" s="118"/>
      <c r="AG744" s="118"/>
      <c r="AH744" s="118"/>
    </row>
    <row r="745">
      <c r="A745" s="118"/>
      <c r="B745" s="52"/>
      <c r="C745" s="118"/>
      <c r="D745" s="52"/>
      <c r="E745" s="118"/>
      <c r="F745" s="152"/>
      <c r="G745" s="152"/>
      <c r="H745" s="152"/>
      <c r="I745" s="152"/>
      <c r="J745" s="152"/>
      <c r="K745" s="118"/>
      <c r="L745" s="118"/>
      <c r="M745" s="118"/>
      <c r="N745" s="118"/>
      <c r="O745" s="118"/>
      <c r="P745" s="118"/>
      <c r="Q745" s="118"/>
      <c r="R745" s="118"/>
      <c r="S745" s="118"/>
      <c r="T745" s="118"/>
      <c r="U745" s="118"/>
      <c r="V745" s="118"/>
      <c r="W745" s="118"/>
      <c r="X745" s="118"/>
      <c r="Y745" s="118"/>
      <c r="Z745" s="118"/>
      <c r="AA745" s="118"/>
      <c r="AB745" s="118"/>
      <c r="AC745" s="118"/>
      <c r="AD745" s="118"/>
      <c r="AE745" s="118"/>
      <c r="AF745" s="118"/>
      <c r="AG745" s="118"/>
      <c r="AH745" s="118"/>
    </row>
    <row r="746">
      <c r="A746" s="118"/>
      <c r="B746" s="52"/>
      <c r="C746" s="118"/>
      <c r="D746" s="52"/>
      <c r="E746" s="118"/>
      <c r="F746" s="152"/>
      <c r="G746" s="152"/>
      <c r="H746" s="152"/>
      <c r="I746" s="152"/>
      <c r="J746" s="152"/>
      <c r="K746" s="118"/>
      <c r="L746" s="118"/>
      <c r="M746" s="118"/>
      <c r="N746" s="118"/>
      <c r="O746" s="118"/>
      <c r="P746" s="118"/>
      <c r="Q746" s="118"/>
      <c r="R746" s="118"/>
      <c r="S746" s="118"/>
      <c r="T746" s="118"/>
      <c r="U746" s="118"/>
      <c r="V746" s="118"/>
      <c r="W746" s="118"/>
      <c r="X746" s="118"/>
      <c r="Y746" s="118"/>
      <c r="Z746" s="118"/>
      <c r="AA746" s="118"/>
      <c r="AB746" s="118"/>
      <c r="AC746" s="118"/>
      <c r="AD746" s="118"/>
      <c r="AE746" s="118"/>
      <c r="AF746" s="118"/>
      <c r="AG746" s="118"/>
      <c r="AH746" s="118"/>
    </row>
    <row r="747">
      <c r="A747" s="118"/>
      <c r="B747" s="52"/>
      <c r="C747" s="118"/>
      <c r="D747" s="52"/>
      <c r="E747" s="118"/>
      <c r="F747" s="152"/>
      <c r="G747" s="152"/>
      <c r="H747" s="152"/>
      <c r="I747" s="152"/>
      <c r="J747" s="152"/>
      <c r="K747" s="118"/>
      <c r="L747" s="118"/>
      <c r="M747" s="118"/>
      <c r="N747" s="118"/>
      <c r="O747" s="118"/>
      <c r="P747" s="118"/>
      <c r="Q747" s="118"/>
      <c r="R747" s="118"/>
      <c r="S747" s="118"/>
      <c r="T747" s="118"/>
      <c r="U747" s="118"/>
      <c r="V747" s="118"/>
      <c r="W747" s="118"/>
      <c r="X747" s="118"/>
      <c r="Y747" s="118"/>
      <c r="Z747" s="118"/>
      <c r="AA747" s="118"/>
      <c r="AB747" s="118"/>
      <c r="AC747" s="118"/>
      <c r="AD747" s="118"/>
      <c r="AE747" s="118"/>
      <c r="AF747" s="118"/>
      <c r="AG747" s="118"/>
      <c r="AH747" s="118"/>
    </row>
    <row r="748">
      <c r="A748" s="118"/>
      <c r="B748" s="52"/>
      <c r="C748" s="118"/>
      <c r="D748" s="52"/>
      <c r="E748" s="118"/>
      <c r="F748" s="152"/>
      <c r="G748" s="152"/>
      <c r="H748" s="152"/>
      <c r="I748" s="152"/>
      <c r="J748" s="152"/>
      <c r="K748" s="118"/>
      <c r="L748" s="118"/>
      <c r="M748" s="118"/>
      <c r="N748" s="118"/>
      <c r="O748" s="118"/>
      <c r="P748" s="118"/>
      <c r="Q748" s="118"/>
      <c r="R748" s="118"/>
      <c r="S748" s="118"/>
      <c r="T748" s="118"/>
      <c r="U748" s="118"/>
      <c r="V748" s="118"/>
      <c r="W748" s="118"/>
      <c r="X748" s="118"/>
      <c r="Y748" s="118"/>
      <c r="Z748" s="118"/>
      <c r="AA748" s="118"/>
      <c r="AB748" s="118"/>
      <c r="AC748" s="118"/>
      <c r="AD748" s="118"/>
      <c r="AE748" s="118"/>
      <c r="AF748" s="118"/>
      <c r="AG748" s="118"/>
      <c r="AH748" s="118"/>
    </row>
    <row r="749">
      <c r="A749" s="118"/>
      <c r="B749" s="52"/>
      <c r="C749" s="118"/>
      <c r="D749" s="52"/>
      <c r="E749" s="118"/>
      <c r="F749" s="152"/>
      <c r="G749" s="152"/>
      <c r="H749" s="152"/>
      <c r="I749" s="152"/>
      <c r="J749" s="152"/>
      <c r="K749" s="118"/>
      <c r="L749" s="118"/>
      <c r="M749" s="118"/>
      <c r="N749" s="118"/>
      <c r="O749" s="118"/>
      <c r="P749" s="118"/>
      <c r="Q749" s="118"/>
      <c r="R749" s="118"/>
      <c r="S749" s="118"/>
      <c r="T749" s="118"/>
      <c r="U749" s="118"/>
      <c r="V749" s="118"/>
      <c r="W749" s="118"/>
      <c r="X749" s="118"/>
      <c r="Y749" s="118"/>
      <c r="Z749" s="118"/>
      <c r="AA749" s="118"/>
      <c r="AB749" s="118"/>
      <c r="AC749" s="118"/>
      <c r="AD749" s="118"/>
      <c r="AE749" s="118"/>
      <c r="AF749" s="118"/>
      <c r="AG749" s="118"/>
      <c r="AH749" s="118"/>
    </row>
    <row r="750">
      <c r="A750" s="118"/>
      <c r="B750" s="52"/>
      <c r="C750" s="118"/>
      <c r="D750" s="52"/>
      <c r="E750" s="118"/>
      <c r="F750" s="152"/>
      <c r="G750" s="152"/>
      <c r="H750" s="152"/>
      <c r="I750" s="152"/>
      <c r="J750" s="152"/>
      <c r="K750" s="118"/>
      <c r="L750" s="118"/>
      <c r="M750" s="118"/>
      <c r="N750" s="118"/>
      <c r="O750" s="118"/>
      <c r="P750" s="118"/>
      <c r="Q750" s="118"/>
      <c r="R750" s="118"/>
      <c r="S750" s="118"/>
      <c r="T750" s="118"/>
      <c r="U750" s="118"/>
      <c r="V750" s="118"/>
      <c r="W750" s="118"/>
      <c r="X750" s="118"/>
      <c r="Y750" s="118"/>
      <c r="Z750" s="118"/>
      <c r="AA750" s="118"/>
      <c r="AB750" s="118"/>
      <c r="AC750" s="118"/>
      <c r="AD750" s="118"/>
      <c r="AE750" s="118"/>
      <c r="AF750" s="118"/>
      <c r="AG750" s="118"/>
      <c r="AH750" s="118"/>
    </row>
    <row r="751">
      <c r="A751" s="118"/>
      <c r="B751" s="52"/>
      <c r="C751" s="118"/>
      <c r="D751" s="52"/>
      <c r="E751" s="118"/>
      <c r="F751" s="152"/>
      <c r="G751" s="152"/>
      <c r="H751" s="152"/>
      <c r="I751" s="152"/>
      <c r="J751" s="152"/>
      <c r="K751" s="118"/>
      <c r="L751" s="118"/>
      <c r="M751" s="118"/>
      <c r="N751" s="118"/>
      <c r="O751" s="118"/>
      <c r="P751" s="118"/>
      <c r="Q751" s="118"/>
      <c r="R751" s="118"/>
      <c r="S751" s="118"/>
      <c r="T751" s="118"/>
      <c r="U751" s="118"/>
      <c r="V751" s="118"/>
      <c r="W751" s="118"/>
      <c r="X751" s="118"/>
      <c r="Y751" s="118"/>
      <c r="Z751" s="118"/>
      <c r="AA751" s="118"/>
      <c r="AB751" s="118"/>
      <c r="AC751" s="118"/>
      <c r="AD751" s="118"/>
      <c r="AE751" s="118"/>
      <c r="AF751" s="118"/>
      <c r="AG751" s="118"/>
      <c r="AH751" s="118"/>
    </row>
    <row r="752">
      <c r="A752" s="118"/>
      <c r="B752" s="52"/>
      <c r="C752" s="118"/>
      <c r="D752" s="52"/>
      <c r="E752" s="118"/>
      <c r="F752" s="152"/>
      <c r="G752" s="152"/>
      <c r="H752" s="152"/>
      <c r="I752" s="152"/>
      <c r="J752" s="152"/>
      <c r="K752" s="118"/>
      <c r="L752" s="118"/>
      <c r="M752" s="118"/>
      <c r="N752" s="118"/>
      <c r="O752" s="118"/>
      <c r="P752" s="118"/>
      <c r="Q752" s="118"/>
      <c r="R752" s="118"/>
      <c r="S752" s="118"/>
      <c r="T752" s="118"/>
      <c r="U752" s="118"/>
      <c r="V752" s="118"/>
      <c r="W752" s="118"/>
      <c r="X752" s="118"/>
      <c r="Y752" s="118"/>
      <c r="Z752" s="118"/>
      <c r="AA752" s="118"/>
      <c r="AB752" s="118"/>
      <c r="AC752" s="118"/>
      <c r="AD752" s="118"/>
      <c r="AE752" s="118"/>
      <c r="AF752" s="118"/>
      <c r="AG752" s="118"/>
      <c r="AH752" s="118"/>
    </row>
    <row r="753">
      <c r="A753" s="118"/>
      <c r="B753" s="52"/>
      <c r="C753" s="118"/>
      <c r="D753" s="52"/>
      <c r="E753" s="118"/>
      <c r="F753" s="152"/>
      <c r="G753" s="152"/>
      <c r="H753" s="152"/>
      <c r="I753" s="152"/>
      <c r="J753" s="152"/>
      <c r="K753" s="118"/>
      <c r="L753" s="118"/>
      <c r="M753" s="118"/>
      <c r="N753" s="118"/>
      <c r="O753" s="118"/>
      <c r="P753" s="118"/>
      <c r="Q753" s="118"/>
      <c r="R753" s="118"/>
      <c r="S753" s="118"/>
      <c r="T753" s="118"/>
      <c r="U753" s="118"/>
      <c r="V753" s="118"/>
      <c r="W753" s="118"/>
      <c r="X753" s="118"/>
      <c r="Y753" s="118"/>
      <c r="Z753" s="118"/>
      <c r="AA753" s="118"/>
      <c r="AB753" s="118"/>
      <c r="AC753" s="118"/>
      <c r="AD753" s="118"/>
      <c r="AE753" s="118"/>
      <c r="AF753" s="118"/>
      <c r="AG753" s="118"/>
      <c r="AH753" s="118"/>
    </row>
    <row r="754">
      <c r="A754" s="118"/>
      <c r="B754" s="52"/>
      <c r="C754" s="118"/>
      <c r="D754" s="52"/>
      <c r="E754" s="118"/>
      <c r="F754" s="152"/>
      <c r="G754" s="152"/>
      <c r="H754" s="152"/>
      <c r="I754" s="152"/>
      <c r="J754" s="152"/>
      <c r="K754" s="118"/>
      <c r="L754" s="118"/>
      <c r="M754" s="118"/>
      <c r="N754" s="118"/>
      <c r="O754" s="118"/>
      <c r="P754" s="118"/>
      <c r="Q754" s="118"/>
      <c r="R754" s="118"/>
      <c r="S754" s="118"/>
      <c r="T754" s="118"/>
      <c r="U754" s="118"/>
      <c r="V754" s="118"/>
      <c r="W754" s="118"/>
      <c r="X754" s="118"/>
      <c r="Y754" s="118"/>
      <c r="Z754" s="118"/>
      <c r="AA754" s="118"/>
      <c r="AB754" s="118"/>
      <c r="AC754" s="118"/>
      <c r="AD754" s="118"/>
      <c r="AE754" s="118"/>
      <c r="AF754" s="118"/>
      <c r="AG754" s="118"/>
      <c r="AH754" s="118"/>
    </row>
    <row r="755">
      <c r="A755" s="118"/>
      <c r="B755" s="52"/>
      <c r="C755" s="118"/>
      <c r="D755" s="52"/>
      <c r="E755" s="118"/>
      <c r="F755" s="152"/>
      <c r="G755" s="152"/>
      <c r="H755" s="152"/>
      <c r="I755" s="152"/>
      <c r="J755" s="152"/>
      <c r="K755" s="118"/>
      <c r="L755" s="118"/>
      <c r="M755" s="118"/>
      <c r="N755" s="118"/>
      <c r="O755" s="118"/>
      <c r="P755" s="118"/>
      <c r="Q755" s="118"/>
      <c r="R755" s="118"/>
      <c r="S755" s="118"/>
      <c r="T755" s="118"/>
      <c r="U755" s="118"/>
      <c r="V755" s="118"/>
      <c r="W755" s="118"/>
      <c r="X755" s="118"/>
      <c r="Y755" s="118"/>
      <c r="Z755" s="118"/>
      <c r="AA755" s="118"/>
      <c r="AB755" s="118"/>
      <c r="AC755" s="118"/>
      <c r="AD755" s="118"/>
      <c r="AE755" s="118"/>
      <c r="AF755" s="118"/>
      <c r="AG755" s="118"/>
      <c r="AH755" s="118"/>
    </row>
    <row r="756">
      <c r="A756" s="118"/>
      <c r="B756" s="52"/>
      <c r="C756" s="118"/>
      <c r="D756" s="52"/>
      <c r="E756" s="118"/>
      <c r="F756" s="152"/>
      <c r="G756" s="152"/>
      <c r="H756" s="152"/>
      <c r="I756" s="152"/>
      <c r="J756" s="152"/>
      <c r="K756" s="118"/>
      <c r="L756" s="118"/>
      <c r="M756" s="118"/>
      <c r="N756" s="118"/>
      <c r="O756" s="118"/>
      <c r="P756" s="118"/>
      <c r="Q756" s="118"/>
      <c r="R756" s="118"/>
      <c r="S756" s="118"/>
      <c r="T756" s="118"/>
      <c r="U756" s="118"/>
      <c r="V756" s="118"/>
      <c r="W756" s="118"/>
      <c r="X756" s="118"/>
      <c r="Y756" s="118"/>
      <c r="Z756" s="118"/>
      <c r="AA756" s="118"/>
      <c r="AB756" s="118"/>
      <c r="AC756" s="118"/>
      <c r="AD756" s="118"/>
      <c r="AE756" s="118"/>
      <c r="AF756" s="118"/>
      <c r="AG756" s="118"/>
      <c r="AH756" s="118"/>
    </row>
    <row r="757">
      <c r="A757" s="118"/>
      <c r="B757" s="52"/>
      <c r="C757" s="118"/>
      <c r="D757" s="52"/>
      <c r="E757" s="118"/>
      <c r="F757" s="152"/>
      <c r="G757" s="152"/>
      <c r="H757" s="152"/>
      <c r="I757" s="152"/>
      <c r="J757" s="152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118"/>
      <c r="V757" s="118"/>
      <c r="W757" s="118"/>
      <c r="X757" s="118"/>
      <c r="Y757" s="118"/>
      <c r="Z757" s="118"/>
      <c r="AA757" s="118"/>
      <c r="AB757" s="118"/>
      <c r="AC757" s="118"/>
      <c r="AD757" s="118"/>
      <c r="AE757" s="118"/>
      <c r="AF757" s="118"/>
      <c r="AG757" s="118"/>
      <c r="AH757" s="118"/>
    </row>
    <row r="758">
      <c r="A758" s="118"/>
      <c r="B758" s="52"/>
      <c r="C758" s="118"/>
      <c r="D758" s="52"/>
      <c r="E758" s="118"/>
      <c r="F758" s="152"/>
      <c r="G758" s="152"/>
      <c r="H758" s="152"/>
      <c r="I758" s="152"/>
      <c r="J758" s="152"/>
      <c r="K758" s="118"/>
      <c r="L758" s="118"/>
      <c r="M758" s="118"/>
      <c r="N758" s="118"/>
      <c r="O758" s="118"/>
      <c r="P758" s="118"/>
      <c r="Q758" s="118"/>
      <c r="R758" s="118"/>
      <c r="S758" s="118"/>
      <c r="T758" s="118"/>
      <c r="U758" s="118"/>
      <c r="V758" s="118"/>
      <c r="W758" s="118"/>
      <c r="X758" s="118"/>
      <c r="Y758" s="118"/>
      <c r="Z758" s="118"/>
      <c r="AA758" s="118"/>
      <c r="AB758" s="118"/>
      <c r="AC758" s="118"/>
      <c r="AD758" s="118"/>
      <c r="AE758" s="118"/>
      <c r="AF758" s="118"/>
      <c r="AG758" s="118"/>
      <c r="AH758" s="118"/>
    </row>
    <row r="759">
      <c r="A759" s="118"/>
      <c r="B759" s="52"/>
      <c r="C759" s="118"/>
      <c r="D759" s="52"/>
      <c r="E759" s="118"/>
      <c r="F759" s="152"/>
      <c r="G759" s="152"/>
      <c r="H759" s="152"/>
      <c r="I759" s="152"/>
      <c r="J759" s="152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118"/>
      <c r="V759" s="118"/>
      <c r="W759" s="118"/>
      <c r="X759" s="118"/>
      <c r="Y759" s="118"/>
      <c r="Z759" s="118"/>
      <c r="AA759" s="118"/>
      <c r="AB759" s="118"/>
      <c r="AC759" s="118"/>
      <c r="AD759" s="118"/>
      <c r="AE759" s="118"/>
      <c r="AF759" s="118"/>
      <c r="AG759" s="118"/>
      <c r="AH759" s="118"/>
    </row>
    <row r="760">
      <c r="A760" s="118"/>
      <c r="B760" s="52"/>
      <c r="C760" s="118"/>
      <c r="D760" s="52"/>
      <c r="E760" s="118"/>
      <c r="F760" s="152"/>
      <c r="G760" s="152"/>
      <c r="H760" s="152"/>
      <c r="I760" s="152"/>
      <c r="J760" s="152"/>
      <c r="K760" s="118"/>
      <c r="L760" s="118"/>
      <c r="M760" s="118"/>
      <c r="N760" s="118"/>
      <c r="O760" s="118"/>
      <c r="P760" s="118"/>
      <c r="Q760" s="118"/>
      <c r="R760" s="118"/>
      <c r="S760" s="118"/>
      <c r="T760" s="118"/>
      <c r="U760" s="118"/>
      <c r="V760" s="118"/>
      <c r="W760" s="118"/>
      <c r="X760" s="118"/>
      <c r="Y760" s="118"/>
      <c r="Z760" s="118"/>
      <c r="AA760" s="118"/>
      <c r="AB760" s="118"/>
      <c r="AC760" s="118"/>
      <c r="AD760" s="118"/>
      <c r="AE760" s="118"/>
      <c r="AF760" s="118"/>
      <c r="AG760" s="118"/>
      <c r="AH760" s="118"/>
    </row>
    <row r="761">
      <c r="A761" s="118"/>
      <c r="B761" s="52"/>
      <c r="C761" s="118"/>
      <c r="D761" s="52"/>
      <c r="E761" s="118"/>
      <c r="F761" s="152"/>
      <c r="G761" s="152"/>
      <c r="H761" s="152"/>
      <c r="I761" s="152"/>
      <c r="J761" s="152"/>
      <c r="K761" s="118"/>
      <c r="L761" s="118"/>
      <c r="M761" s="118"/>
      <c r="N761" s="118"/>
      <c r="O761" s="118"/>
      <c r="P761" s="118"/>
      <c r="Q761" s="118"/>
      <c r="R761" s="118"/>
      <c r="S761" s="118"/>
      <c r="T761" s="118"/>
      <c r="U761" s="118"/>
      <c r="V761" s="118"/>
      <c r="W761" s="118"/>
      <c r="X761" s="118"/>
      <c r="Y761" s="118"/>
      <c r="Z761" s="118"/>
      <c r="AA761" s="118"/>
      <c r="AB761" s="118"/>
      <c r="AC761" s="118"/>
      <c r="AD761" s="118"/>
      <c r="AE761" s="118"/>
      <c r="AF761" s="118"/>
      <c r="AG761" s="118"/>
      <c r="AH761" s="118"/>
    </row>
    <row r="762">
      <c r="A762" s="118"/>
      <c r="B762" s="52"/>
      <c r="C762" s="118"/>
      <c r="D762" s="52"/>
      <c r="E762" s="118"/>
      <c r="F762" s="152"/>
      <c r="G762" s="152"/>
      <c r="H762" s="152"/>
      <c r="I762" s="152"/>
      <c r="J762" s="152"/>
      <c r="K762" s="118"/>
      <c r="L762" s="118"/>
      <c r="M762" s="118"/>
      <c r="N762" s="118"/>
      <c r="O762" s="118"/>
      <c r="P762" s="118"/>
      <c r="Q762" s="118"/>
      <c r="R762" s="118"/>
      <c r="S762" s="118"/>
      <c r="T762" s="118"/>
      <c r="U762" s="118"/>
      <c r="V762" s="118"/>
      <c r="W762" s="118"/>
      <c r="X762" s="118"/>
      <c r="Y762" s="118"/>
      <c r="Z762" s="118"/>
      <c r="AA762" s="118"/>
      <c r="AB762" s="118"/>
      <c r="AC762" s="118"/>
      <c r="AD762" s="118"/>
      <c r="AE762" s="118"/>
      <c r="AF762" s="118"/>
      <c r="AG762" s="118"/>
      <c r="AH762" s="118"/>
    </row>
    <row r="763">
      <c r="A763" s="118"/>
      <c r="B763" s="52"/>
      <c r="C763" s="118"/>
      <c r="D763" s="52"/>
      <c r="E763" s="118"/>
      <c r="F763" s="152"/>
      <c r="G763" s="152"/>
      <c r="H763" s="152"/>
      <c r="I763" s="152"/>
      <c r="J763" s="152"/>
      <c r="K763" s="118"/>
      <c r="L763" s="118"/>
      <c r="M763" s="118"/>
      <c r="N763" s="118"/>
      <c r="O763" s="118"/>
      <c r="P763" s="118"/>
      <c r="Q763" s="118"/>
      <c r="R763" s="118"/>
      <c r="S763" s="118"/>
      <c r="T763" s="118"/>
      <c r="U763" s="118"/>
      <c r="V763" s="118"/>
      <c r="W763" s="118"/>
      <c r="X763" s="118"/>
      <c r="Y763" s="118"/>
      <c r="Z763" s="118"/>
      <c r="AA763" s="118"/>
      <c r="AB763" s="118"/>
      <c r="AC763" s="118"/>
      <c r="AD763" s="118"/>
      <c r="AE763" s="118"/>
      <c r="AF763" s="118"/>
      <c r="AG763" s="118"/>
      <c r="AH763" s="118"/>
    </row>
    <row r="764">
      <c r="A764" s="118"/>
      <c r="B764" s="52"/>
      <c r="C764" s="118"/>
      <c r="D764" s="52"/>
      <c r="E764" s="118"/>
      <c r="F764" s="152"/>
      <c r="G764" s="152"/>
      <c r="H764" s="152"/>
      <c r="I764" s="152"/>
      <c r="J764" s="152"/>
      <c r="K764" s="118"/>
      <c r="L764" s="118"/>
      <c r="M764" s="118"/>
      <c r="N764" s="118"/>
      <c r="O764" s="118"/>
      <c r="P764" s="118"/>
      <c r="Q764" s="118"/>
      <c r="R764" s="118"/>
      <c r="S764" s="118"/>
      <c r="T764" s="118"/>
      <c r="U764" s="118"/>
      <c r="V764" s="118"/>
      <c r="W764" s="118"/>
      <c r="X764" s="118"/>
      <c r="Y764" s="118"/>
      <c r="Z764" s="118"/>
      <c r="AA764" s="118"/>
      <c r="AB764" s="118"/>
      <c r="AC764" s="118"/>
      <c r="AD764" s="118"/>
      <c r="AE764" s="118"/>
      <c r="AF764" s="118"/>
      <c r="AG764" s="118"/>
      <c r="AH764" s="118"/>
    </row>
    <row r="765">
      <c r="A765" s="118"/>
      <c r="B765" s="52"/>
      <c r="C765" s="118"/>
      <c r="D765" s="52"/>
      <c r="E765" s="118"/>
      <c r="F765" s="152"/>
      <c r="G765" s="152"/>
      <c r="H765" s="152"/>
      <c r="I765" s="152"/>
      <c r="J765" s="152"/>
      <c r="K765" s="118"/>
      <c r="L765" s="118"/>
      <c r="M765" s="118"/>
      <c r="N765" s="118"/>
      <c r="O765" s="118"/>
      <c r="P765" s="118"/>
      <c r="Q765" s="118"/>
      <c r="R765" s="118"/>
      <c r="S765" s="118"/>
      <c r="T765" s="118"/>
      <c r="U765" s="118"/>
      <c r="V765" s="118"/>
      <c r="W765" s="118"/>
      <c r="X765" s="118"/>
      <c r="Y765" s="118"/>
      <c r="Z765" s="118"/>
      <c r="AA765" s="118"/>
      <c r="AB765" s="118"/>
      <c r="AC765" s="118"/>
      <c r="AD765" s="118"/>
      <c r="AE765" s="118"/>
      <c r="AF765" s="118"/>
      <c r="AG765" s="118"/>
      <c r="AH765" s="118"/>
    </row>
    <row r="766">
      <c r="A766" s="118"/>
      <c r="B766" s="52"/>
      <c r="C766" s="118"/>
      <c r="D766" s="52"/>
      <c r="E766" s="118"/>
      <c r="F766" s="152"/>
      <c r="G766" s="152"/>
      <c r="H766" s="152"/>
      <c r="I766" s="152"/>
      <c r="J766" s="152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118"/>
      <c r="V766" s="118"/>
      <c r="W766" s="118"/>
      <c r="X766" s="118"/>
      <c r="Y766" s="118"/>
      <c r="Z766" s="118"/>
      <c r="AA766" s="118"/>
      <c r="AB766" s="118"/>
      <c r="AC766" s="118"/>
      <c r="AD766" s="118"/>
      <c r="AE766" s="118"/>
      <c r="AF766" s="118"/>
      <c r="AG766" s="118"/>
      <c r="AH766" s="118"/>
    </row>
    <row r="767">
      <c r="A767" s="118"/>
      <c r="B767" s="52"/>
      <c r="C767" s="118"/>
      <c r="D767" s="52"/>
      <c r="E767" s="118"/>
      <c r="F767" s="152"/>
      <c r="G767" s="152"/>
      <c r="H767" s="152"/>
      <c r="I767" s="152"/>
      <c r="J767" s="152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118"/>
      <c r="V767" s="118"/>
      <c r="W767" s="118"/>
      <c r="X767" s="118"/>
      <c r="Y767" s="118"/>
      <c r="Z767" s="118"/>
      <c r="AA767" s="118"/>
      <c r="AB767" s="118"/>
      <c r="AC767" s="118"/>
      <c r="AD767" s="118"/>
      <c r="AE767" s="118"/>
      <c r="AF767" s="118"/>
      <c r="AG767" s="118"/>
      <c r="AH767" s="118"/>
    </row>
    <row r="768">
      <c r="A768" s="118"/>
      <c r="B768" s="52"/>
      <c r="C768" s="118"/>
      <c r="D768" s="52"/>
      <c r="E768" s="118"/>
      <c r="F768" s="152"/>
      <c r="G768" s="152"/>
      <c r="H768" s="152"/>
      <c r="I768" s="152"/>
      <c r="J768" s="152"/>
      <c r="K768" s="118"/>
      <c r="L768" s="118"/>
      <c r="M768" s="118"/>
      <c r="N768" s="118"/>
      <c r="O768" s="118"/>
      <c r="P768" s="118"/>
      <c r="Q768" s="118"/>
      <c r="R768" s="118"/>
      <c r="S768" s="118"/>
      <c r="T768" s="118"/>
      <c r="U768" s="118"/>
      <c r="V768" s="118"/>
      <c r="W768" s="118"/>
      <c r="X768" s="118"/>
      <c r="Y768" s="118"/>
      <c r="Z768" s="118"/>
      <c r="AA768" s="118"/>
      <c r="AB768" s="118"/>
      <c r="AC768" s="118"/>
      <c r="AD768" s="118"/>
      <c r="AE768" s="118"/>
      <c r="AF768" s="118"/>
      <c r="AG768" s="118"/>
      <c r="AH768" s="118"/>
    </row>
    <row r="769">
      <c r="A769" s="118"/>
      <c r="B769" s="52"/>
      <c r="C769" s="118"/>
      <c r="D769" s="52"/>
      <c r="E769" s="118"/>
      <c r="F769" s="152"/>
      <c r="G769" s="152"/>
      <c r="H769" s="152"/>
      <c r="I769" s="152"/>
      <c r="J769" s="152"/>
      <c r="K769" s="118"/>
      <c r="L769" s="118"/>
      <c r="M769" s="118"/>
      <c r="N769" s="118"/>
      <c r="O769" s="118"/>
      <c r="P769" s="118"/>
      <c r="Q769" s="118"/>
      <c r="R769" s="118"/>
      <c r="S769" s="118"/>
      <c r="T769" s="118"/>
      <c r="U769" s="118"/>
      <c r="V769" s="118"/>
      <c r="W769" s="118"/>
      <c r="X769" s="118"/>
      <c r="Y769" s="118"/>
      <c r="Z769" s="118"/>
      <c r="AA769" s="118"/>
      <c r="AB769" s="118"/>
      <c r="AC769" s="118"/>
      <c r="AD769" s="118"/>
      <c r="AE769" s="118"/>
      <c r="AF769" s="118"/>
      <c r="AG769" s="118"/>
      <c r="AH769" s="118"/>
    </row>
    <row r="770">
      <c r="A770" s="118"/>
      <c r="B770" s="52"/>
      <c r="C770" s="118"/>
      <c r="D770" s="52"/>
      <c r="E770" s="118"/>
      <c r="F770" s="152"/>
      <c r="G770" s="152"/>
      <c r="H770" s="152"/>
      <c r="I770" s="152"/>
      <c r="J770" s="152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118"/>
      <c r="V770" s="118"/>
      <c r="W770" s="118"/>
      <c r="X770" s="118"/>
      <c r="Y770" s="118"/>
      <c r="Z770" s="118"/>
      <c r="AA770" s="118"/>
      <c r="AB770" s="118"/>
      <c r="AC770" s="118"/>
      <c r="AD770" s="118"/>
      <c r="AE770" s="118"/>
      <c r="AF770" s="118"/>
      <c r="AG770" s="118"/>
      <c r="AH770" s="118"/>
    </row>
    <row r="771">
      <c r="A771" s="118"/>
      <c r="B771" s="52"/>
      <c r="C771" s="118"/>
      <c r="D771" s="52"/>
      <c r="E771" s="118"/>
      <c r="F771" s="152"/>
      <c r="G771" s="152"/>
      <c r="H771" s="152"/>
      <c r="I771" s="152"/>
      <c r="J771" s="152"/>
      <c r="K771" s="118"/>
      <c r="L771" s="118"/>
      <c r="M771" s="118"/>
      <c r="N771" s="118"/>
      <c r="O771" s="118"/>
      <c r="P771" s="118"/>
      <c r="Q771" s="118"/>
      <c r="R771" s="118"/>
      <c r="S771" s="118"/>
      <c r="T771" s="118"/>
      <c r="U771" s="118"/>
      <c r="V771" s="118"/>
      <c r="W771" s="118"/>
      <c r="X771" s="118"/>
      <c r="Y771" s="118"/>
      <c r="Z771" s="118"/>
      <c r="AA771" s="118"/>
      <c r="AB771" s="118"/>
      <c r="AC771" s="118"/>
      <c r="AD771" s="118"/>
      <c r="AE771" s="118"/>
      <c r="AF771" s="118"/>
      <c r="AG771" s="118"/>
      <c r="AH771" s="118"/>
    </row>
    <row r="772">
      <c r="A772" s="118"/>
      <c r="B772" s="52"/>
      <c r="C772" s="118"/>
      <c r="D772" s="52"/>
      <c r="E772" s="118"/>
      <c r="F772" s="152"/>
      <c r="G772" s="152"/>
      <c r="H772" s="152"/>
      <c r="I772" s="152"/>
      <c r="J772" s="152"/>
      <c r="K772" s="118"/>
      <c r="L772" s="118"/>
      <c r="M772" s="118"/>
      <c r="N772" s="118"/>
      <c r="O772" s="118"/>
      <c r="P772" s="118"/>
      <c r="Q772" s="118"/>
      <c r="R772" s="118"/>
      <c r="S772" s="118"/>
      <c r="T772" s="118"/>
      <c r="U772" s="118"/>
      <c r="V772" s="118"/>
      <c r="W772" s="118"/>
      <c r="X772" s="118"/>
      <c r="Y772" s="118"/>
      <c r="Z772" s="118"/>
      <c r="AA772" s="118"/>
      <c r="AB772" s="118"/>
      <c r="AC772" s="118"/>
      <c r="AD772" s="118"/>
      <c r="AE772" s="118"/>
      <c r="AF772" s="118"/>
      <c r="AG772" s="118"/>
      <c r="AH772" s="118"/>
    </row>
    <row r="773">
      <c r="A773" s="118"/>
      <c r="B773" s="52"/>
      <c r="C773" s="118"/>
      <c r="D773" s="52"/>
      <c r="E773" s="118"/>
      <c r="F773" s="152"/>
      <c r="G773" s="152"/>
      <c r="H773" s="152"/>
      <c r="I773" s="152"/>
      <c r="J773" s="152"/>
      <c r="K773" s="118"/>
      <c r="L773" s="118"/>
      <c r="M773" s="118"/>
      <c r="N773" s="118"/>
      <c r="O773" s="118"/>
      <c r="P773" s="118"/>
      <c r="Q773" s="118"/>
      <c r="R773" s="118"/>
      <c r="S773" s="118"/>
      <c r="T773" s="118"/>
      <c r="U773" s="118"/>
      <c r="V773" s="118"/>
      <c r="W773" s="118"/>
      <c r="X773" s="118"/>
      <c r="Y773" s="118"/>
      <c r="Z773" s="118"/>
      <c r="AA773" s="118"/>
      <c r="AB773" s="118"/>
      <c r="AC773" s="118"/>
      <c r="AD773" s="118"/>
      <c r="AE773" s="118"/>
      <c r="AF773" s="118"/>
      <c r="AG773" s="118"/>
      <c r="AH773" s="118"/>
    </row>
    <row r="774">
      <c r="A774" s="118"/>
      <c r="B774" s="52"/>
      <c r="C774" s="118"/>
      <c r="D774" s="52"/>
      <c r="E774" s="118"/>
      <c r="F774" s="152"/>
      <c r="G774" s="152"/>
      <c r="H774" s="152"/>
      <c r="I774" s="152"/>
      <c r="J774" s="152"/>
      <c r="K774" s="118"/>
      <c r="L774" s="118"/>
      <c r="M774" s="118"/>
      <c r="N774" s="118"/>
      <c r="O774" s="118"/>
      <c r="P774" s="118"/>
      <c r="Q774" s="118"/>
      <c r="R774" s="118"/>
      <c r="S774" s="118"/>
      <c r="T774" s="118"/>
      <c r="U774" s="118"/>
      <c r="V774" s="118"/>
      <c r="W774" s="118"/>
      <c r="X774" s="118"/>
      <c r="Y774" s="118"/>
      <c r="Z774" s="118"/>
      <c r="AA774" s="118"/>
      <c r="AB774" s="118"/>
      <c r="AC774" s="118"/>
      <c r="AD774" s="118"/>
      <c r="AE774" s="118"/>
      <c r="AF774" s="118"/>
      <c r="AG774" s="118"/>
      <c r="AH774" s="118"/>
    </row>
    <row r="775">
      <c r="A775" s="118"/>
      <c r="B775" s="52"/>
      <c r="C775" s="118"/>
      <c r="D775" s="52"/>
      <c r="E775" s="118"/>
      <c r="F775" s="152"/>
      <c r="G775" s="152"/>
      <c r="H775" s="152"/>
      <c r="I775" s="152"/>
      <c r="J775" s="152"/>
      <c r="K775" s="118"/>
      <c r="L775" s="118"/>
      <c r="M775" s="118"/>
      <c r="N775" s="118"/>
      <c r="O775" s="118"/>
      <c r="P775" s="118"/>
      <c r="Q775" s="118"/>
      <c r="R775" s="118"/>
      <c r="S775" s="118"/>
      <c r="T775" s="118"/>
      <c r="U775" s="118"/>
      <c r="V775" s="118"/>
      <c r="W775" s="118"/>
      <c r="X775" s="118"/>
      <c r="Y775" s="118"/>
      <c r="Z775" s="118"/>
      <c r="AA775" s="118"/>
      <c r="AB775" s="118"/>
      <c r="AC775" s="118"/>
      <c r="AD775" s="118"/>
      <c r="AE775" s="118"/>
      <c r="AF775" s="118"/>
      <c r="AG775" s="118"/>
      <c r="AH775" s="118"/>
    </row>
    <row r="776">
      <c r="A776" s="118"/>
      <c r="B776" s="52"/>
      <c r="C776" s="118"/>
      <c r="D776" s="52"/>
      <c r="E776" s="118"/>
      <c r="F776" s="152"/>
      <c r="G776" s="152"/>
      <c r="H776" s="152"/>
      <c r="I776" s="152"/>
      <c r="J776" s="152"/>
      <c r="K776" s="118"/>
      <c r="L776" s="118"/>
      <c r="M776" s="118"/>
      <c r="N776" s="118"/>
      <c r="O776" s="118"/>
      <c r="P776" s="118"/>
      <c r="Q776" s="118"/>
      <c r="R776" s="118"/>
      <c r="S776" s="118"/>
      <c r="T776" s="118"/>
      <c r="U776" s="118"/>
      <c r="V776" s="118"/>
      <c r="W776" s="118"/>
      <c r="X776" s="118"/>
      <c r="Y776" s="118"/>
      <c r="Z776" s="118"/>
      <c r="AA776" s="118"/>
      <c r="AB776" s="118"/>
      <c r="AC776" s="118"/>
      <c r="AD776" s="118"/>
      <c r="AE776" s="118"/>
      <c r="AF776" s="118"/>
      <c r="AG776" s="118"/>
      <c r="AH776" s="118"/>
    </row>
    <row r="777">
      <c r="A777" s="118"/>
      <c r="B777" s="52"/>
      <c r="C777" s="118"/>
      <c r="D777" s="52"/>
      <c r="E777" s="118"/>
      <c r="F777" s="152"/>
      <c r="G777" s="152"/>
      <c r="H777" s="152"/>
      <c r="I777" s="152"/>
      <c r="J777" s="152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118"/>
      <c r="V777" s="118"/>
      <c r="W777" s="118"/>
      <c r="X777" s="118"/>
      <c r="Y777" s="118"/>
      <c r="Z777" s="118"/>
      <c r="AA777" s="118"/>
      <c r="AB777" s="118"/>
      <c r="AC777" s="118"/>
      <c r="AD777" s="118"/>
      <c r="AE777" s="118"/>
      <c r="AF777" s="118"/>
      <c r="AG777" s="118"/>
      <c r="AH777" s="118"/>
    </row>
    <row r="778">
      <c r="A778" s="118"/>
      <c r="B778" s="52"/>
      <c r="C778" s="118"/>
      <c r="D778" s="52"/>
      <c r="E778" s="118"/>
      <c r="F778" s="152"/>
      <c r="G778" s="152"/>
      <c r="H778" s="152"/>
      <c r="I778" s="152"/>
      <c r="J778" s="152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118"/>
      <c r="V778" s="118"/>
      <c r="W778" s="118"/>
      <c r="X778" s="118"/>
      <c r="Y778" s="118"/>
      <c r="Z778" s="118"/>
      <c r="AA778" s="118"/>
      <c r="AB778" s="118"/>
      <c r="AC778" s="118"/>
      <c r="AD778" s="118"/>
      <c r="AE778" s="118"/>
      <c r="AF778" s="118"/>
      <c r="AG778" s="118"/>
      <c r="AH778" s="118"/>
    </row>
    <row r="779">
      <c r="A779" s="118"/>
      <c r="B779" s="52"/>
      <c r="C779" s="118"/>
      <c r="D779" s="52"/>
      <c r="E779" s="118"/>
      <c r="F779" s="152"/>
      <c r="G779" s="152"/>
      <c r="H779" s="152"/>
      <c r="I779" s="152"/>
      <c r="J779" s="152"/>
      <c r="K779" s="118"/>
      <c r="L779" s="118"/>
      <c r="M779" s="118"/>
      <c r="N779" s="118"/>
      <c r="O779" s="118"/>
      <c r="P779" s="118"/>
      <c r="Q779" s="118"/>
      <c r="R779" s="118"/>
      <c r="S779" s="118"/>
      <c r="T779" s="118"/>
      <c r="U779" s="118"/>
      <c r="V779" s="118"/>
      <c r="W779" s="118"/>
      <c r="X779" s="118"/>
      <c r="Y779" s="118"/>
      <c r="Z779" s="118"/>
      <c r="AA779" s="118"/>
      <c r="AB779" s="118"/>
      <c r="AC779" s="118"/>
      <c r="AD779" s="118"/>
      <c r="AE779" s="118"/>
      <c r="AF779" s="118"/>
      <c r="AG779" s="118"/>
      <c r="AH779" s="118"/>
    </row>
    <row r="780">
      <c r="A780" s="118"/>
      <c r="B780" s="52"/>
      <c r="C780" s="118"/>
      <c r="D780" s="52"/>
      <c r="E780" s="118"/>
      <c r="F780" s="152"/>
      <c r="G780" s="152"/>
      <c r="H780" s="152"/>
      <c r="I780" s="152"/>
      <c r="J780" s="152"/>
      <c r="K780" s="118"/>
      <c r="L780" s="118"/>
      <c r="M780" s="118"/>
      <c r="N780" s="118"/>
      <c r="O780" s="118"/>
      <c r="P780" s="118"/>
      <c r="Q780" s="118"/>
      <c r="R780" s="118"/>
      <c r="S780" s="118"/>
      <c r="T780" s="118"/>
      <c r="U780" s="118"/>
      <c r="V780" s="118"/>
      <c r="W780" s="118"/>
      <c r="X780" s="118"/>
      <c r="Y780" s="118"/>
      <c r="Z780" s="118"/>
      <c r="AA780" s="118"/>
      <c r="AB780" s="118"/>
      <c r="AC780" s="118"/>
      <c r="AD780" s="118"/>
      <c r="AE780" s="118"/>
      <c r="AF780" s="118"/>
      <c r="AG780" s="118"/>
      <c r="AH780" s="118"/>
    </row>
    <row r="781">
      <c r="A781" s="118"/>
      <c r="B781" s="52"/>
      <c r="C781" s="118"/>
      <c r="D781" s="52"/>
      <c r="E781" s="118"/>
      <c r="F781" s="152"/>
      <c r="G781" s="152"/>
      <c r="H781" s="152"/>
      <c r="I781" s="152"/>
      <c r="J781" s="152"/>
      <c r="K781" s="118"/>
      <c r="L781" s="118"/>
      <c r="M781" s="118"/>
      <c r="N781" s="118"/>
      <c r="O781" s="118"/>
      <c r="P781" s="118"/>
      <c r="Q781" s="118"/>
      <c r="R781" s="118"/>
      <c r="S781" s="118"/>
      <c r="T781" s="118"/>
      <c r="U781" s="118"/>
      <c r="V781" s="118"/>
      <c r="W781" s="118"/>
      <c r="X781" s="118"/>
      <c r="Y781" s="118"/>
      <c r="Z781" s="118"/>
      <c r="AA781" s="118"/>
      <c r="AB781" s="118"/>
      <c r="AC781" s="118"/>
      <c r="AD781" s="118"/>
      <c r="AE781" s="118"/>
      <c r="AF781" s="118"/>
      <c r="AG781" s="118"/>
      <c r="AH781" s="118"/>
    </row>
    <row r="782">
      <c r="A782" s="118"/>
      <c r="B782" s="52"/>
      <c r="C782" s="118"/>
      <c r="D782" s="52"/>
      <c r="E782" s="118"/>
      <c r="F782" s="152"/>
      <c r="G782" s="152"/>
      <c r="H782" s="152"/>
      <c r="I782" s="152"/>
      <c r="J782" s="152"/>
      <c r="K782" s="118"/>
      <c r="L782" s="118"/>
      <c r="M782" s="118"/>
      <c r="N782" s="118"/>
      <c r="O782" s="118"/>
      <c r="P782" s="118"/>
      <c r="Q782" s="118"/>
      <c r="R782" s="118"/>
      <c r="S782" s="118"/>
      <c r="T782" s="118"/>
      <c r="U782" s="118"/>
      <c r="V782" s="118"/>
      <c r="W782" s="118"/>
      <c r="X782" s="118"/>
      <c r="Y782" s="118"/>
      <c r="Z782" s="118"/>
      <c r="AA782" s="118"/>
      <c r="AB782" s="118"/>
      <c r="AC782" s="118"/>
      <c r="AD782" s="118"/>
      <c r="AE782" s="118"/>
      <c r="AF782" s="118"/>
      <c r="AG782" s="118"/>
      <c r="AH782" s="118"/>
    </row>
    <row r="783">
      <c r="A783" s="118"/>
      <c r="B783" s="52"/>
      <c r="C783" s="118"/>
      <c r="D783" s="52"/>
      <c r="E783" s="118"/>
      <c r="F783" s="152"/>
      <c r="G783" s="152"/>
      <c r="H783" s="152"/>
      <c r="I783" s="152"/>
      <c r="J783" s="152"/>
      <c r="K783" s="118"/>
      <c r="L783" s="118"/>
      <c r="M783" s="118"/>
      <c r="N783" s="118"/>
      <c r="O783" s="118"/>
      <c r="P783" s="118"/>
      <c r="Q783" s="118"/>
      <c r="R783" s="118"/>
      <c r="S783" s="118"/>
      <c r="T783" s="118"/>
      <c r="U783" s="118"/>
      <c r="V783" s="118"/>
      <c r="W783" s="118"/>
      <c r="X783" s="118"/>
      <c r="Y783" s="118"/>
      <c r="Z783" s="118"/>
      <c r="AA783" s="118"/>
      <c r="AB783" s="118"/>
      <c r="AC783" s="118"/>
      <c r="AD783" s="118"/>
      <c r="AE783" s="118"/>
      <c r="AF783" s="118"/>
      <c r="AG783" s="118"/>
      <c r="AH783" s="118"/>
    </row>
    <row r="784">
      <c r="A784" s="118"/>
      <c r="B784" s="52"/>
      <c r="C784" s="118"/>
      <c r="D784" s="52"/>
      <c r="E784" s="118"/>
      <c r="F784" s="152"/>
      <c r="G784" s="152"/>
      <c r="H784" s="152"/>
      <c r="I784" s="152"/>
      <c r="J784" s="152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118"/>
      <c r="V784" s="118"/>
      <c r="W784" s="118"/>
      <c r="X784" s="118"/>
      <c r="Y784" s="118"/>
      <c r="Z784" s="118"/>
      <c r="AA784" s="118"/>
      <c r="AB784" s="118"/>
      <c r="AC784" s="118"/>
      <c r="AD784" s="118"/>
      <c r="AE784" s="118"/>
      <c r="AF784" s="118"/>
      <c r="AG784" s="118"/>
      <c r="AH784" s="118"/>
    </row>
    <row r="785">
      <c r="A785" s="118"/>
      <c r="B785" s="52"/>
      <c r="C785" s="118"/>
      <c r="D785" s="52"/>
      <c r="E785" s="118"/>
      <c r="F785" s="152"/>
      <c r="G785" s="152"/>
      <c r="H785" s="152"/>
      <c r="I785" s="152"/>
      <c r="J785" s="152"/>
      <c r="K785" s="118"/>
      <c r="L785" s="118"/>
      <c r="M785" s="118"/>
      <c r="N785" s="118"/>
      <c r="O785" s="118"/>
      <c r="P785" s="118"/>
      <c r="Q785" s="118"/>
      <c r="R785" s="118"/>
      <c r="S785" s="118"/>
      <c r="T785" s="118"/>
      <c r="U785" s="118"/>
      <c r="V785" s="118"/>
      <c r="W785" s="118"/>
      <c r="X785" s="118"/>
      <c r="Y785" s="118"/>
      <c r="Z785" s="118"/>
      <c r="AA785" s="118"/>
      <c r="AB785" s="118"/>
      <c r="AC785" s="118"/>
      <c r="AD785" s="118"/>
      <c r="AE785" s="118"/>
      <c r="AF785" s="118"/>
      <c r="AG785" s="118"/>
      <c r="AH785" s="118"/>
    </row>
    <row r="786">
      <c r="A786" s="118"/>
      <c r="B786" s="52"/>
      <c r="C786" s="118"/>
      <c r="D786" s="52"/>
      <c r="E786" s="118"/>
      <c r="F786" s="152"/>
      <c r="G786" s="152"/>
      <c r="H786" s="152"/>
      <c r="I786" s="152"/>
      <c r="J786" s="152"/>
      <c r="K786" s="118"/>
      <c r="L786" s="118"/>
      <c r="M786" s="118"/>
      <c r="N786" s="118"/>
      <c r="O786" s="118"/>
      <c r="P786" s="118"/>
      <c r="Q786" s="118"/>
      <c r="R786" s="118"/>
      <c r="S786" s="118"/>
      <c r="T786" s="118"/>
      <c r="U786" s="118"/>
      <c r="V786" s="118"/>
      <c r="W786" s="118"/>
      <c r="X786" s="118"/>
      <c r="Y786" s="118"/>
      <c r="Z786" s="118"/>
      <c r="AA786" s="118"/>
      <c r="AB786" s="118"/>
      <c r="AC786" s="118"/>
      <c r="AD786" s="118"/>
      <c r="AE786" s="118"/>
      <c r="AF786" s="118"/>
      <c r="AG786" s="118"/>
      <c r="AH786" s="118"/>
    </row>
    <row r="787">
      <c r="A787" s="118"/>
      <c r="B787" s="52"/>
      <c r="C787" s="118"/>
      <c r="D787" s="52"/>
      <c r="E787" s="118"/>
      <c r="F787" s="152"/>
      <c r="G787" s="152"/>
      <c r="H787" s="152"/>
      <c r="I787" s="152"/>
      <c r="J787" s="152"/>
      <c r="K787" s="118"/>
      <c r="L787" s="118"/>
      <c r="M787" s="118"/>
      <c r="N787" s="118"/>
      <c r="O787" s="118"/>
      <c r="P787" s="118"/>
      <c r="Q787" s="118"/>
      <c r="R787" s="118"/>
      <c r="S787" s="118"/>
      <c r="T787" s="118"/>
      <c r="U787" s="118"/>
      <c r="V787" s="118"/>
      <c r="W787" s="118"/>
      <c r="X787" s="118"/>
      <c r="Y787" s="118"/>
      <c r="Z787" s="118"/>
      <c r="AA787" s="118"/>
      <c r="AB787" s="118"/>
      <c r="AC787" s="118"/>
      <c r="AD787" s="118"/>
      <c r="AE787" s="118"/>
      <c r="AF787" s="118"/>
      <c r="AG787" s="118"/>
      <c r="AH787" s="118"/>
    </row>
    <row r="788">
      <c r="A788" s="118"/>
      <c r="B788" s="52"/>
      <c r="C788" s="118"/>
      <c r="D788" s="52"/>
      <c r="E788" s="118"/>
      <c r="F788" s="152"/>
      <c r="G788" s="152"/>
      <c r="H788" s="152"/>
      <c r="I788" s="152"/>
      <c r="J788" s="152"/>
      <c r="K788" s="118"/>
      <c r="L788" s="118"/>
      <c r="M788" s="118"/>
      <c r="N788" s="118"/>
      <c r="O788" s="118"/>
      <c r="P788" s="118"/>
      <c r="Q788" s="118"/>
      <c r="R788" s="118"/>
      <c r="S788" s="118"/>
      <c r="T788" s="118"/>
      <c r="U788" s="118"/>
      <c r="V788" s="118"/>
      <c r="W788" s="118"/>
      <c r="X788" s="118"/>
      <c r="Y788" s="118"/>
      <c r="Z788" s="118"/>
      <c r="AA788" s="118"/>
      <c r="AB788" s="118"/>
      <c r="AC788" s="118"/>
      <c r="AD788" s="118"/>
      <c r="AE788" s="118"/>
      <c r="AF788" s="118"/>
      <c r="AG788" s="118"/>
      <c r="AH788" s="118"/>
    </row>
    <row r="789">
      <c r="A789" s="118"/>
      <c r="B789" s="52"/>
      <c r="C789" s="118"/>
      <c r="D789" s="52"/>
      <c r="E789" s="118"/>
      <c r="F789" s="152"/>
      <c r="G789" s="152"/>
      <c r="H789" s="152"/>
      <c r="I789" s="152"/>
      <c r="J789" s="152"/>
      <c r="K789" s="118"/>
      <c r="L789" s="118"/>
      <c r="M789" s="118"/>
      <c r="N789" s="118"/>
      <c r="O789" s="118"/>
      <c r="P789" s="118"/>
      <c r="Q789" s="118"/>
      <c r="R789" s="118"/>
      <c r="S789" s="118"/>
      <c r="T789" s="118"/>
      <c r="U789" s="118"/>
      <c r="V789" s="118"/>
      <c r="W789" s="118"/>
      <c r="X789" s="118"/>
      <c r="Y789" s="118"/>
      <c r="Z789" s="118"/>
      <c r="AA789" s="118"/>
      <c r="AB789" s="118"/>
      <c r="AC789" s="118"/>
      <c r="AD789" s="118"/>
      <c r="AE789" s="118"/>
      <c r="AF789" s="118"/>
      <c r="AG789" s="118"/>
      <c r="AH789" s="118"/>
    </row>
    <row r="790">
      <c r="A790" s="118"/>
      <c r="B790" s="52"/>
      <c r="C790" s="118"/>
      <c r="D790" s="52"/>
      <c r="E790" s="118"/>
      <c r="F790" s="152"/>
      <c r="G790" s="152"/>
      <c r="H790" s="152"/>
      <c r="I790" s="152"/>
      <c r="J790" s="152"/>
      <c r="K790" s="118"/>
      <c r="L790" s="118"/>
      <c r="M790" s="118"/>
      <c r="N790" s="118"/>
      <c r="O790" s="118"/>
      <c r="P790" s="118"/>
      <c r="Q790" s="118"/>
      <c r="R790" s="118"/>
      <c r="S790" s="118"/>
      <c r="T790" s="118"/>
      <c r="U790" s="118"/>
      <c r="V790" s="118"/>
      <c r="W790" s="118"/>
      <c r="X790" s="118"/>
      <c r="Y790" s="118"/>
      <c r="Z790" s="118"/>
      <c r="AA790" s="118"/>
      <c r="AB790" s="118"/>
      <c r="AC790" s="118"/>
      <c r="AD790" s="118"/>
      <c r="AE790" s="118"/>
      <c r="AF790" s="118"/>
      <c r="AG790" s="118"/>
      <c r="AH790" s="118"/>
    </row>
    <row r="791">
      <c r="A791" s="118"/>
      <c r="B791" s="52"/>
      <c r="C791" s="118"/>
      <c r="D791" s="52"/>
      <c r="E791" s="118"/>
      <c r="F791" s="152"/>
      <c r="G791" s="152"/>
      <c r="H791" s="152"/>
      <c r="I791" s="152"/>
      <c r="J791" s="152"/>
      <c r="K791" s="118"/>
      <c r="L791" s="118"/>
      <c r="M791" s="118"/>
      <c r="N791" s="118"/>
      <c r="O791" s="118"/>
      <c r="P791" s="118"/>
      <c r="Q791" s="118"/>
      <c r="R791" s="118"/>
      <c r="S791" s="118"/>
      <c r="T791" s="118"/>
      <c r="U791" s="118"/>
      <c r="V791" s="118"/>
      <c r="W791" s="118"/>
      <c r="X791" s="118"/>
      <c r="Y791" s="118"/>
      <c r="Z791" s="118"/>
      <c r="AA791" s="118"/>
      <c r="AB791" s="118"/>
      <c r="AC791" s="118"/>
      <c r="AD791" s="118"/>
      <c r="AE791" s="118"/>
      <c r="AF791" s="118"/>
      <c r="AG791" s="118"/>
      <c r="AH791" s="118"/>
    </row>
    <row r="792">
      <c r="A792" s="118"/>
      <c r="B792" s="52"/>
      <c r="C792" s="118"/>
      <c r="D792" s="52"/>
      <c r="E792" s="118"/>
      <c r="F792" s="152"/>
      <c r="G792" s="152"/>
      <c r="H792" s="152"/>
      <c r="I792" s="152"/>
      <c r="J792" s="152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118"/>
      <c r="V792" s="118"/>
      <c r="W792" s="118"/>
      <c r="X792" s="118"/>
      <c r="Y792" s="118"/>
      <c r="Z792" s="118"/>
      <c r="AA792" s="118"/>
      <c r="AB792" s="118"/>
      <c r="AC792" s="118"/>
      <c r="AD792" s="118"/>
      <c r="AE792" s="118"/>
      <c r="AF792" s="118"/>
      <c r="AG792" s="118"/>
      <c r="AH792" s="118"/>
    </row>
    <row r="793">
      <c r="A793" s="118"/>
      <c r="B793" s="52"/>
      <c r="C793" s="118"/>
      <c r="D793" s="52"/>
      <c r="E793" s="118"/>
      <c r="F793" s="152"/>
      <c r="G793" s="152"/>
      <c r="H793" s="152"/>
      <c r="I793" s="152"/>
      <c r="J793" s="152"/>
      <c r="K793" s="118"/>
      <c r="L793" s="118"/>
      <c r="M793" s="118"/>
      <c r="N793" s="118"/>
      <c r="O793" s="118"/>
      <c r="P793" s="118"/>
      <c r="Q793" s="118"/>
      <c r="R793" s="118"/>
      <c r="S793" s="118"/>
      <c r="T793" s="118"/>
      <c r="U793" s="118"/>
      <c r="V793" s="118"/>
      <c r="W793" s="118"/>
      <c r="X793" s="118"/>
      <c r="Y793" s="118"/>
      <c r="Z793" s="118"/>
      <c r="AA793" s="118"/>
      <c r="AB793" s="118"/>
      <c r="AC793" s="118"/>
      <c r="AD793" s="118"/>
      <c r="AE793" s="118"/>
      <c r="AF793" s="118"/>
      <c r="AG793" s="118"/>
      <c r="AH793" s="118"/>
    </row>
    <row r="794">
      <c r="A794" s="118"/>
      <c r="B794" s="52"/>
      <c r="C794" s="118"/>
      <c r="D794" s="52"/>
      <c r="E794" s="118"/>
      <c r="F794" s="152"/>
      <c r="G794" s="152"/>
      <c r="H794" s="152"/>
      <c r="I794" s="152"/>
      <c r="J794" s="152"/>
      <c r="K794" s="118"/>
      <c r="L794" s="118"/>
      <c r="M794" s="118"/>
      <c r="N794" s="118"/>
      <c r="O794" s="118"/>
      <c r="P794" s="118"/>
      <c r="Q794" s="118"/>
      <c r="R794" s="118"/>
      <c r="S794" s="118"/>
      <c r="T794" s="118"/>
      <c r="U794" s="118"/>
      <c r="V794" s="118"/>
      <c r="W794" s="118"/>
      <c r="X794" s="118"/>
      <c r="Y794" s="118"/>
      <c r="Z794" s="118"/>
      <c r="AA794" s="118"/>
      <c r="AB794" s="118"/>
      <c r="AC794" s="118"/>
      <c r="AD794" s="118"/>
      <c r="AE794" s="118"/>
      <c r="AF794" s="118"/>
      <c r="AG794" s="118"/>
      <c r="AH794" s="118"/>
    </row>
    <row r="795">
      <c r="A795" s="118"/>
      <c r="B795" s="52"/>
      <c r="C795" s="118"/>
      <c r="D795" s="52"/>
      <c r="E795" s="118"/>
      <c r="F795" s="152"/>
      <c r="G795" s="152"/>
      <c r="H795" s="152"/>
      <c r="I795" s="152"/>
      <c r="J795" s="152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18"/>
      <c r="V795" s="118"/>
      <c r="W795" s="118"/>
      <c r="X795" s="118"/>
      <c r="Y795" s="118"/>
      <c r="Z795" s="118"/>
      <c r="AA795" s="118"/>
      <c r="AB795" s="118"/>
      <c r="AC795" s="118"/>
      <c r="AD795" s="118"/>
      <c r="AE795" s="118"/>
      <c r="AF795" s="118"/>
      <c r="AG795" s="118"/>
      <c r="AH795" s="118"/>
    </row>
    <row r="796">
      <c r="A796" s="118"/>
      <c r="B796" s="52"/>
      <c r="C796" s="118"/>
      <c r="D796" s="52"/>
      <c r="E796" s="118"/>
      <c r="F796" s="152"/>
      <c r="G796" s="152"/>
      <c r="H796" s="152"/>
      <c r="I796" s="152"/>
      <c r="J796" s="152"/>
      <c r="K796" s="118"/>
      <c r="L796" s="118"/>
      <c r="M796" s="118"/>
      <c r="N796" s="118"/>
      <c r="O796" s="118"/>
      <c r="P796" s="118"/>
      <c r="Q796" s="118"/>
      <c r="R796" s="118"/>
      <c r="S796" s="118"/>
      <c r="T796" s="118"/>
      <c r="U796" s="118"/>
      <c r="V796" s="118"/>
      <c r="W796" s="118"/>
      <c r="X796" s="118"/>
      <c r="Y796" s="118"/>
      <c r="Z796" s="118"/>
      <c r="AA796" s="118"/>
      <c r="AB796" s="118"/>
      <c r="AC796" s="118"/>
      <c r="AD796" s="118"/>
      <c r="AE796" s="118"/>
      <c r="AF796" s="118"/>
      <c r="AG796" s="118"/>
      <c r="AH796" s="118"/>
    </row>
    <row r="797">
      <c r="A797" s="118"/>
      <c r="B797" s="52"/>
      <c r="C797" s="118"/>
      <c r="D797" s="52"/>
      <c r="E797" s="118"/>
      <c r="F797" s="152"/>
      <c r="G797" s="152"/>
      <c r="H797" s="152"/>
      <c r="I797" s="152"/>
      <c r="J797" s="152"/>
      <c r="K797" s="118"/>
      <c r="L797" s="118"/>
      <c r="M797" s="118"/>
      <c r="N797" s="118"/>
      <c r="O797" s="118"/>
      <c r="P797" s="118"/>
      <c r="Q797" s="118"/>
      <c r="R797" s="118"/>
      <c r="S797" s="118"/>
      <c r="T797" s="118"/>
      <c r="U797" s="118"/>
      <c r="V797" s="118"/>
      <c r="W797" s="118"/>
      <c r="X797" s="118"/>
      <c r="Y797" s="118"/>
      <c r="Z797" s="118"/>
      <c r="AA797" s="118"/>
      <c r="AB797" s="118"/>
      <c r="AC797" s="118"/>
      <c r="AD797" s="118"/>
      <c r="AE797" s="118"/>
      <c r="AF797" s="118"/>
      <c r="AG797" s="118"/>
      <c r="AH797" s="118"/>
    </row>
    <row r="798">
      <c r="A798" s="118"/>
      <c r="B798" s="52"/>
      <c r="C798" s="118"/>
      <c r="D798" s="52"/>
      <c r="E798" s="118"/>
      <c r="F798" s="152"/>
      <c r="G798" s="152"/>
      <c r="H798" s="152"/>
      <c r="I798" s="152"/>
      <c r="J798" s="152"/>
      <c r="K798" s="118"/>
      <c r="L798" s="118"/>
      <c r="M798" s="118"/>
      <c r="N798" s="118"/>
      <c r="O798" s="118"/>
      <c r="P798" s="118"/>
      <c r="Q798" s="118"/>
      <c r="R798" s="118"/>
      <c r="S798" s="118"/>
      <c r="T798" s="118"/>
      <c r="U798" s="118"/>
      <c r="V798" s="118"/>
      <c r="W798" s="118"/>
      <c r="X798" s="118"/>
      <c r="Y798" s="118"/>
      <c r="Z798" s="118"/>
      <c r="AA798" s="118"/>
      <c r="AB798" s="118"/>
      <c r="AC798" s="118"/>
      <c r="AD798" s="118"/>
      <c r="AE798" s="118"/>
      <c r="AF798" s="118"/>
      <c r="AG798" s="118"/>
      <c r="AH798" s="118"/>
    </row>
    <row r="799">
      <c r="A799" s="118"/>
      <c r="B799" s="52"/>
      <c r="C799" s="118"/>
      <c r="D799" s="52"/>
      <c r="E799" s="118"/>
      <c r="F799" s="152"/>
      <c r="G799" s="152"/>
      <c r="H799" s="152"/>
      <c r="I799" s="152"/>
      <c r="J799" s="152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118"/>
      <c r="V799" s="118"/>
      <c r="W799" s="118"/>
      <c r="X799" s="118"/>
      <c r="Y799" s="118"/>
      <c r="Z799" s="118"/>
      <c r="AA799" s="118"/>
      <c r="AB799" s="118"/>
      <c r="AC799" s="118"/>
      <c r="AD799" s="118"/>
      <c r="AE799" s="118"/>
      <c r="AF799" s="118"/>
      <c r="AG799" s="118"/>
      <c r="AH799" s="118"/>
    </row>
    <row r="800">
      <c r="A800" s="118"/>
      <c r="B800" s="52"/>
      <c r="C800" s="118"/>
      <c r="D800" s="52"/>
      <c r="E800" s="118"/>
      <c r="F800" s="152"/>
      <c r="G800" s="152"/>
      <c r="H800" s="152"/>
      <c r="I800" s="152"/>
      <c r="J800" s="152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118"/>
      <c r="V800" s="118"/>
      <c r="W800" s="118"/>
      <c r="X800" s="118"/>
      <c r="Y800" s="118"/>
      <c r="Z800" s="118"/>
      <c r="AA800" s="118"/>
      <c r="AB800" s="118"/>
      <c r="AC800" s="118"/>
      <c r="AD800" s="118"/>
      <c r="AE800" s="118"/>
      <c r="AF800" s="118"/>
      <c r="AG800" s="118"/>
      <c r="AH800" s="118"/>
    </row>
    <row r="801">
      <c r="A801" s="118"/>
      <c r="B801" s="52"/>
      <c r="C801" s="118"/>
      <c r="D801" s="52"/>
      <c r="E801" s="118"/>
      <c r="F801" s="152"/>
      <c r="G801" s="152"/>
      <c r="H801" s="152"/>
      <c r="I801" s="152"/>
      <c r="J801" s="152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118"/>
      <c r="V801" s="118"/>
      <c r="W801" s="118"/>
      <c r="X801" s="118"/>
      <c r="Y801" s="118"/>
      <c r="Z801" s="118"/>
      <c r="AA801" s="118"/>
      <c r="AB801" s="118"/>
      <c r="AC801" s="118"/>
      <c r="AD801" s="118"/>
      <c r="AE801" s="118"/>
      <c r="AF801" s="118"/>
      <c r="AG801" s="118"/>
      <c r="AH801" s="118"/>
    </row>
    <row r="802">
      <c r="A802" s="118"/>
      <c r="B802" s="52"/>
      <c r="C802" s="118"/>
      <c r="D802" s="52"/>
      <c r="E802" s="118"/>
      <c r="F802" s="152"/>
      <c r="G802" s="152"/>
      <c r="H802" s="152"/>
      <c r="I802" s="152"/>
      <c r="J802" s="152"/>
      <c r="K802" s="118"/>
      <c r="L802" s="118"/>
      <c r="M802" s="118"/>
      <c r="N802" s="118"/>
      <c r="O802" s="118"/>
      <c r="P802" s="118"/>
      <c r="Q802" s="118"/>
      <c r="R802" s="118"/>
      <c r="S802" s="118"/>
      <c r="T802" s="118"/>
      <c r="U802" s="118"/>
      <c r="V802" s="118"/>
      <c r="W802" s="118"/>
      <c r="X802" s="118"/>
      <c r="Y802" s="118"/>
      <c r="Z802" s="118"/>
      <c r="AA802" s="118"/>
      <c r="AB802" s="118"/>
      <c r="AC802" s="118"/>
      <c r="AD802" s="118"/>
      <c r="AE802" s="118"/>
      <c r="AF802" s="118"/>
      <c r="AG802" s="118"/>
      <c r="AH802" s="118"/>
    </row>
    <row r="803">
      <c r="A803" s="118"/>
      <c r="B803" s="52"/>
      <c r="C803" s="118"/>
      <c r="D803" s="52"/>
      <c r="E803" s="118"/>
      <c r="F803" s="152"/>
      <c r="G803" s="152"/>
      <c r="H803" s="152"/>
      <c r="I803" s="152"/>
      <c r="J803" s="152"/>
      <c r="K803" s="118"/>
      <c r="L803" s="118"/>
      <c r="M803" s="118"/>
      <c r="N803" s="118"/>
      <c r="O803" s="118"/>
      <c r="P803" s="118"/>
      <c r="Q803" s="118"/>
      <c r="R803" s="118"/>
      <c r="S803" s="118"/>
      <c r="T803" s="118"/>
      <c r="U803" s="118"/>
      <c r="V803" s="118"/>
      <c r="W803" s="118"/>
      <c r="X803" s="118"/>
      <c r="Y803" s="118"/>
      <c r="Z803" s="118"/>
      <c r="AA803" s="118"/>
      <c r="AB803" s="118"/>
      <c r="AC803" s="118"/>
      <c r="AD803" s="118"/>
      <c r="AE803" s="118"/>
      <c r="AF803" s="118"/>
      <c r="AG803" s="118"/>
      <c r="AH803" s="118"/>
    </row>
    <row r="804">
      <c r="A804" s="118"/>
      <c r="B804" s="52"/>
      <c r="C804" s="118"/>
      <c r="D804" s="52"/>
      <c r="E804" s="118"/>
      <c r="F804" s="152"/>
      <c r="G804" s="152"/>
      <c r="H804" s="152"/>
      <c r="I804" s="152"/>
      <c r="J804" s="152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118"/>
      <c r="V804" s="118"/>
      <c r="W804" s="118"/>
      <c r="X804" s="118"/>
      <c r="Y804" s="118"/>
      <c r="Z804" s="118"/>
      <c r="AA804" s="118"/>
      <c r="AB804" s="118"/>
      <c r="AC804" s="118"/>
      <c r="AD804" s="118"/>
      <c r="AE804" s="118"/>
      <c r="AF804" s="118"/>
      <c r="AG804" s="118"/>
      <c r="AH804" s="118"/>
    </row>
    <row r="805">
      <c r="A805" s="118"/>
      <c r="B805" s="52"/>
      <c r="C805" s="118"/>
      <c r="D805" s="52"/>
      <c r="E805" s="118"/>
      <c r="F805" s="152"/>
      <c r="G805" s="152"/>
      <c r="H805" s="152"/>
      <c r="I805" s="152"/>
      <c r="J805" s="152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118"/>
      <c r="V805" s="118"/>
      <c r="W805" s="118"/>
      <c r="X805" s="118"/>
      <c r="Y805" s="118"/>
      <c r="Z805" s="118"/>
      <c r="AA805" s="118"/>
      <c r="AB805" s="118"/>
      <c r="AC805" s="118"/>
      <c r="AD805" s="118"/>
      <c r="AE805" s="118"/>
      <c r="AF805" s="118"/>
      <c r="AG805" s="118"/>
      <c r="AH805" s="118"/>
    </row>
    <row r="806">
      <c r="A806" s="118"/>
      <c r="B806" s="52"/>
      <c r="C806" s="118"/>
      <c r="D806" s="52"/>
      <c r="E806" s="118"/>
      <c r="F806" s="152"/>
      <c r="G806" s="152"/>
      <c r="H806" s="152"/>
      <c r="I806" s="152"/>
      <c r="J806" s="152"/>
      <c r="K806" s="118"/>
      <c r="L806" s="118"/>
      <c r="M806" s="118"/>
      <c r="N806" s="118"/>
      <c r="O806" s="118"/>
      <c r="P806" s="118"/>
      <c r="Q806" s="118"/>
      <c r="R806" s="118"/>
      <c r="S806" s="118"/>
      <c r="T806" s="118"/>
      <c r="U806" s="118"/>
      <c r="V806" s="118"/>
      <c r="W806" s="118"/>
      <c r="X806" s="118"/>
      <c r="Y806" s="118"/>
      <c r="Z806" s="118"/>
      <c r="AA806" s="118"/>
      <c r="AB806" s="118"/>
      <c r="AC806" s="118"/>
      <c r="AD806" s="118"/>
      <c r="AE806" s="118"/>
      <c r="AF806" s="118"/>
      <c r="AG806" s="118"/>
      <c r="AH806" s="118"/>
    </row>
    <row r="807">
      <c r="A807" s="118"/>
      <c r="B807" s="52"/>
      <c r="C807" s="118"/>
      <c r="D807" s="52"/>
      <c r="E807" s="118"/>
      <c r="F807" s="152"/>
      <c r="G807" s="152"/>
      <c r="H807" s="152"/>
      <c r="I807" s="152"/>
      <c r="J807" s="152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118"/>
      <c r="V807" s="118"/>
      <c r="W807" s="118"/>
      <c r="X807" s="118"/>
      <c r="Y807" s="118"/>
      <c r="Z807" s="118"/>
      <c r="AA807" s="118"/>
      <c r="AB807" s="118"/>
      <c r="AC807" s="118"/>
      <c r="AD807" s="118"/>
      <c r="AE807" s="118"/>
      <c r="AF807" s="118"/>
      <c r="AG807" s="118"/>
      <c r="AH807" s="118"/>
    </row>
    <row r="808">
      <c r="A808" s="118"/>
      <c r="B808" s="52"/>
      <c r="C808" s="118"/>
      <c r="D808" s="52"/>
      <c r="E808" s="118"/>
      <c r="F808" s="152"/>
      <c r="G808" s="152"/>
      <c r="H808" s="152"/>
      <c r="I808" s="152"/>
      <c r="J808" s="152"/>
      <c r="K808" s="118"/>
      <c r="L808" s="118"/>
      <c r="M808" s="118"/>
      <c r="N808" s="118"/>
      <c r="O808" s="118"/>
      <c r="P808" s="118"/>
      <c r="Q808" s="118"/>
      <c r="R808" s="118"/>
      <c r="S808" s="118"/>
      <c r="T808" s="118"/>
      <c r="U808" s="118"/>
      <c r="V808" s="118"/>
      <c r="W808" s="118"/>
      <c r="X808" s="118"/>
      <c r="Y808" s="118"/>
      <c r="Z808" s="118"/>
      <c r="AA808" s="118"/>
      <c r="AB808" s="118"/>
      <c r="AC808" s="118"/>
      <c r="AD808" s="118"/>
      <c r="AE808" s="118"/>
      <c r="AF808" s="118"/>
      <c r="AG808" s="118"/>
      <c r="AH808" s="118"/>
    </row>
    <row r="809">
      <c r="A809" s="118"/>
      <c r="B809" s="52"/>
      <c r="C809" s="118"/>
      <c r="D809" s="52"/>
      <c r="E809" s="118"/>
      <c r="F809" s="152"/>
      <c r="G809" s="152"/>
      <c r="H809" s="152"/>
      <c r="I809" s="152"/>
      <c r="J809" s="152"/>
      <c r="K809" s="118"/>
      <c r="L809" s="118"/>
      <c r="M809" s="118"/>
      <c r="N809" s="118"/>
      <c r="O809" s="118"/>
      <c r="P809" s="118"/>
      <c r="Q809" s="118"/>
      <c r="R809" s="118"/>
      <c r="S809" s="118"/>
      <c r="T809" s="118"/>
      <c r="U809" s="118"/>
      <c r="V809" s="118"/>
      <c r="W809" s="118"/>
      <c r="X809" s="118"/>
      <c r="Y809" s="118"/>
      <c r="Z809" s="118"/>
      <c r="AA809" s="118"/>
      <c r="AB809" s="118"/>
      <c r="AC809" s="118"/>
      <c r="AD809" s="118"/>
      <c r="AE809" s="118"/>
      <c r="AF809" s="118"/>
      <c r="AG809" s="118"/>
      <c r="AH809" s="118"/>
    </row>
    <row r="810">
      <c r="A810" s="118"/>
      <c r="B810" s="52"/>
      <c r="C810" s="118"/>
      <c r="D810" s="52"/>
      <c r="E810" s="118"/>
      <c r="F810" s="152"/>
      <c r="G810" s="152"/>
      <c r="H810" s="152"/>
      <c r="I810" s="152"/>
      <c r="J810" s="152"/>
      <c r="K810" s="118"/>
      <c r="L810" s="118"/>
      <c r="M810" s="118"/>
      <c r="N810" s="118"/>
      <c r="O810" s="118"/>
      <c r="P810" s="118"/>
      <c r="Q810" s="118"/>
      <c r="R810" s="118"/>
      <c r="S810" s="118"/>
      <c r="T810" s="118"/>
      <c r="U810" s="118"/>
      <c r="V810" s="118"/>
      <c r="W810" s="118"/>
      <c r="X810" s="118"/>
      <c r="Y810" s="118"/>
      <c r="Z810" s="118"/>
      <c r="AA810" s="118"/>
      <c r="AB810" s="118"/>
      <c r="AC810" s="118"/>
      <c r="AD810" s="118"/>
      <c r="AE810" s="118"/>
      <c r="AF810" s="118"/>
      <c r="AG810" s="118"/>
      <c r="AH810" s="118"/>
    </row>
    <row r="811">
      <c r="A811" s="118"/>
      <c r="B811" s="52"/>
      <c r="C811" s="118"/>
      <c r="D811" s="52"/>
      <c r="E811" s="118"/>
      <c r="F811" s="152"/>
      <c r="G811" s="152"/>
      <c r="H811" s="152"/>
      <c r="I811" s="152"/>
      <c r="J811" s="152"/>
      <c r="K811" s="118"/>
      <c r="L811" s="118"/>
      <c r="M811" s="118"/>
      <c r="N811" s="118"/>
      <c r="O811" s="118"/>
      <c r="P811" s="118"/>
      <c r="Q811" s="118"/>
      <c r="R811" s="118"/>
      <c r="S811" s="118"/>
      <c r="T811" s="118"/>
      <c r="U811" s="118"/>
      <c r="V811" s="118"/>
      <c r="W811" s="118"/>
      <c r="X811" s="118"/>
      <c r="Y811" s="118"/>
      <c r="Z811" s="118"/>
      <c r="AA811" s="118"/>
      <c r="AB811" s="118"/>
      <c r="AC811" s="118"/>
      <c r="AD811" s="118"/>
      <c r="AE811" s="118"/>
      <c r="AF811" s="118"/>
      <c r="AG811" s="118"/>
      <c r="AH811" s="118"/>
    </row>
    <row r="812">
      <c r="A812" s="118"/>
      <c r="B812" s="52"/>
      <c r="C812" s="118"/>
      <c r="D812" s="52"/>
      <c r="E812" s="118"/>
      <c r="F812" s="152"/>
      <c r="G812" s="152"/>
      <c r="H812" s="152"/>
      <c r="I812" s="152"/>
      <c r="J812" s="152"/>
      <c r="K812" s="118"/>
      <c r="L812" s="118"/>
      <c r="M812" s="118"/>
      <c r="N812" s="118"/>
      <c r="O812" s="118"/>
      <c r="P812" s="118"/>
      <c r="Q812" s="118"/>
      <c r="R812" s="118"/>
      <c r="S812" s="118"/>
      <c r="T812" s="118"/>
      <c r="U812" s="118"/>
      <c r="V812" s="118"/>
      <c r="W812" s="118"/>
      <c r="X812" s="118"/>
      <c r="Y812" s="118"/>
      <c r="Z812" s="118"/>
      <c r="AA812" s="118"/>
      <c r="AB812" s="118"/>
      <c r="AC812" s="118"/>
      <c r="AD812" s="118"/>
      <c r="AE812" s="118"/>
      <c r="AF812" s="118"/>
      <c r="AG812" s="118"/>
      <c r="AH812" s="118"/>
    </row>
    <row r="813">
      <c r="A813" s="118"/>
      <c r="B813" s="52"/>
      <c r="C813" s="118"/>
      <c r="D813" s="52"/>
      <c r="E813" s="118"/>
      <c r="F813" s="152"/>
      <c r="G813" s="152"/>
      <c r="H813" s="152"/>
      <c r="I813" s="152"/>
      <c r="J813" s="152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118"/>
      <c r="V813" s="118"/>
      <c r="W813" s="118"/>
      <c r="X813" s="118"/>
      <c r="Y813" s="118"/>
      <c r="Z813" s="118"/>
      <c r="AA813" s="118"/>
      <c r="AB813" s="118"/>
      <c r="AC813" s="118"/>
      <c r="AD813" s="118"/>
      <c r="AE813" s="118"/>
      <c r="AF813" s="118"/>
      <c r="AG813" s="118"/>
      <c r="AH813" s="118"/>
    </row>
    <row r="814">
      <c r="A814" s="118"/>
      <c r="B814" s="52"/>
      <c r="C814" s="118"/>
      <c r="D814" s="52"/>
      <c r="E814" s="118"/>
      <c r="F814" s="152"/>
      <c r="G814" s="152"/>
      <c r="H814" s="152"/>
      <c r="I814" s="152"/>
      <c r="J814" s="152"/>
      <c r="K814" s="118"/>
      <c r="L814" s="118"/>
      <c r="M814" s="118"/>
      <c r="N814" s="118"/>
      <c r="O814" s="118"/>
      <c r="P814" s="118"/>
      <c r="Q814" s="118"/>
      <c r="R814" s="118"/>
      <c r="S814" s="118"/>
      <c r="T814" s="118"/>
      <c r="U814" s="118"/>
      <c r="V814" s="118"/>
      <c r="W814" s="118"/>
      <c r="X814" s="118"/>
      <c r="Y814" s="118"/>
      <c r="Z814" s="118"/>
      <c r="AA814" s="118"/>
      <c r="AB814" s="118"/>
      <c r="AC814" s="118"/>
      <c r="AD814" s="118"/>
      <c r="AE814" s="118"/>
      <c r="AF814" s="118"/>
      <c r="AG814" s="118"/>
      <c r="AH814" s="118"/>
    </row>
    <row r="815">
      <c r="A815" s="118"/>
      <c r="B815" s="52"/>
      <c r="C815" s="118"/>
      <c r="D815" s="52"/>
      <c r="E815" s="118"/>
      <c r="F815" s="152"/>
      <c r="G815" s="152"/>
      <c r="H815" s="152"/>
      <c r="I815" s="152"/>
      <c r="J815" s="152"/>
      <c r="K815" s="118"/>
      <c r="L815" s="118"/>
      <c r="M815" s="118"/>
      <c r="N815" s="118"/>
      <c r="O815" s="118"/>
      <c r="P815" s="118"/>
      <c r="Q815" s="118"/>
      <c r="R815" s="118"/>
      <c r="S815" s="118"/>
      <c r="T815" s="118"/>
      <c r="U815" s="118"/>
      <c r="V815" s="118"/>
      <c r="W815" s="118"/>
      <c r="X815" s="118"/>
      <c r="Y815" s="118"/>
      <c r="Z815" s="118"/>
      <c r="AA815" s="118"/>
      <c r="AB815" s="118"/>
      <c r="AC815" s="118"/>
      <c r="AD815" s="118"/>
      <c r="AE815" s="118"/>
      <c r="AF815" s="118"/>
      <c r="AG815" s="118"/>
      <c r="AH815" s="118"/>
    </row>
    <row r="816">
      <c r="A816" s="118"/>
      <c r="B816" s="52"/>
      <c r="C816" s="118"/>
      <c r="D816" s="52"/>
      <c r="E816" s="118"/>
      <c r="F816" s="152"/>
      <c r="G816" s="152"/>
      <c r="H816" s="152"/>
      <c r="I816" s="152"/>
      <c r="J816" s="152"/>
      <c r="K816" s="118"/>
      <c r="L816" s="118"/>
      <c r="M816" s="118"/>
      <c r="N816" s="118"/>
      <c r="O816" s="118"/>
      <c r="P816" s="118"/>
      <c r="Q816" s="118"/>
      <c r="R816" s="118"/>
      <c r="S816" s="118"/>
      <c r="T816" s="118"/>
      <c r="U816" s="118"/>
      <c r="V816" s="118"/>
      <c r="W816" s="118"/>
      <c r="X816" s="118"/>
      <c r="Y816" s="118"/>
      <c r="Z816" s="118"/>
      <c r="AA816" s="118"/>
      <c r="AB816" s="118"/>
      <c r="AC816" s="118"/>
      <c r="AD816" s="118"/>
      <c r="AE816" s="118"/>
      <c r="AF816" s="118"/>
      <c r="AG816" s="118"/>
      <c r="AH816" s="118"/>
    </row>
    <row r="817">
      <c r="A817" s="118"/>
      <c r="B817" s="52"/>
      <c r="C817" s="118"/>
      <c r="D817" s="52"/>
      <c r="E817" s="118"/>
      <c r="F817" s="152"/>
      <c r="G817" s="152"/>
      <c r="H817" s="152"/>
      <c r="I817" s="152"/>
      <c r="J817" s="152"/>
      <c r="K817" s="118"/>
      <c r="L817" s="118"/>
      <c r="M817" s="118"/>
      <c r="N817" s="118"/>
      <c r="O817" s="118"/>
      <c r="P817" s="118"/>
      <c r="Q817" s="118"/>
      <c r="R817" s="118"/>
      <c r="S817" s="118"/>
      <c r="T817" s="118"/>
      <c r="U817" s="118"/>
      <c r="V817" s="118"/>
      <c r="W817" s="118"/>
      <c r="X817" s="118"/>
      <c r="Y817" s="118"/>
      <c r="Z817" s="118"/>
      <c r="AA817" s="118"/>
      <c r="AB817" s="118"/>
      <c r="AC817" s="118"/>
      <c r="AD817" s="118"/>
      <c r="AE817" s="118"/>
      <c r="AF817" s="118"/>
      <c r="AG817" s="118"/>
      <c r="AH817" s="118"/>
    </row>
    <row r="818">
      <c r="A818" s="118"/>
      <c r="B818" s="52"/>
      <c r="C818" s="118"/>
      <c r="D818" s="52"/>
      <c r="E818" s="118"/>
      <c r="F818" s="152"/>
      <c r="G818" s="152"/>
      <c r="H818" s="152"/>
      <c r="I818" s="152"/>
      <c r="J818" s="152"/>
      <c r="K818" s="118"/>
      <c r="L818" s="118"/>
      <c r="M818" s="118"/>
      <c r="N818" s="118"/>
      <c r="O818" s="118"/>
      <c r="P818" s="118"/>
      <c r="Q818" s="118"/>
      <c r="R818" s="118"/>
      <c r="S818" s="118"/>
      <c r="T818" s="118"/>
      <c r="U818" s="118"/>
      <c r="V818" s="118"/>
      <c r="W818" s="118"/>
      <c r="X818" s="118"/>
      <c r="Y818" s="118"/>
      <c r="Z818" s="118"/>
      <c r="AA818" s="118"/>
      <c r="AB818" s="118"/>
      <c r="AC818" s="118"/>
      <c r="AD818" s="118"/>
      <c r="AE818" s="118"/>
      <c r="AF818" s="118"/>
      <c r="AG818" s="118"/>
      <c r="AH818" s="118"/>
    </row>
    <row r="819">
      <c r="A819" s="118"/>
      <c r="B819" s="52"/>
      <c r="C819" s="118"/>
      <c r="D819" s="52"/>
      <c r="E819" s="118"/>
      <c r="F819" s="152"/>
      <c r="G819" s="152"/>
      <c r="H819" s="152"/>
      <c r="I819" s="152"/>
      <c r="J819" s="152"/>
      <c r="K819" s="118"/>
      <c r="L819" s="118"/>
      <c r="M819" s="118"/>
      <c r="N819" s="118"/>
      <c r="O819" s="118"/>
      <c r="P819" s="118"/>
      <c r="Q819" s="118"/>
      <c r="R819" s="118"/>
      <c r="S819" s="118"/>
      <c r="T819" s="118"/>
      <c r="U819" s="118"/>
      <c r="V819" s="118"/>
      <c r="W819" s="118"/>
      <c r="X819" s="118"/>
      <c r="Y819" s="118"/>
      <c r="Z819" s="118"/>
      <c r="AA819" s="118"/>
      <c r="AB819" s="118"/>
      <c r="AC819" s="118"/>
      <c r="AD819" s="118"/>
      <c r="AE819" s="118"/>
      <c r="AF819" s="118"/>
      <c r="AG819" s="118"/>
      <c r="AH819" s="118"/>
    </row>
    <row r="820">
      <c r="A820" s="118"/>
      <c r="B820" s="52"/>
      <c r="C820" s="118"/>
      <c r="D820" s="52"/>
      <c r="E820" s="118"/>
      <c r="F820" s="152"/>
      <c r="G820" s="152"/>
      <c r="H820" s="152"/>
      <c r="I820" s="152"/>
      <c r="J820" s="152"/>
      <c r="K820" s="118"/>
      <c r="L820" s="118"/>
      <c r="M820" s="118"/>
      <c r="N820" s="118"/>
      <c r="O820" s="118"/>
      <c r="P820" s="118"/>
      <c r="Q820" s="118"/>
      <c r="R820" s="118"/>
      <c r="S820" s="118"/>
      <c r="T820" s="118"/>
      <c r="U820" s="118"/>
      <c r="V820" s="118"/>
      <c r="W820" s="118"/>
      <c r="X820" s="118"/>
      <c r="Y820" s="118"/>
      <c r="Z820" s="118"/>
      <c r="AA820" s="118"/>
      <c r="AB820" s="118"/>
      <c r="AC820" s="118"/>
      <c r="AD820" s="118"/>
      <c r="AE820" s="118"/>
      <c r="AF820" s="118"/>
      <c r="AG820" s="118"/>
      <c r="AH820" s="118"/>
    </row>
    <row r="821">
      <c r="A821" s="118"/>
      <c r="B821" s="52"/>
      <c r="C821" s="118"/>
      <c r="D821" s="52"/>
      <c r="E821" s="118"/>
      <c r="F821" s="152"/>
      <c r="G821" s="152"/>
      <c r="H821" s="152"/>
      <c r="I821" s="152"/>
      <c r="J821" s="152"/>
      <c r="K821" s="118"/>
      <c r="L821" s="118"/>
      <c r="M821" s="118"/>
      <c r="N821" s="118"/>
      <c r="O821" s="118"/>
      <c r="P821" s="118"/>
      <c r="Q821" s="118"/>
      <c r="R821" s="118"/>
      <c r="S821" s="118"/>
      <c r="T821" s="118"/>
      <c r="U821" s="118"/>
      <c r="V821" s="118"/>
      <c r="W821" s="118"/>
      <c r="X821" s="118"/>
      <c r="Y821" s="118"/>
      <c r="Z821" s="118"/>
      <c r="AA821" s="118"/>
      <c r="AB821" s="118"/>
      <c r="AC821" s="118"/>
      <c r="AD821" s="118"/>
      <c r="AE821" s="118"/>
      <c r="AF821" s="118"/>
      <c r="AG821" s="118"/>
      <c r="AH821" s="118"/>
    </row>
    <row r="822">
      <c r="A822" s="118"/>
      <c r="B822" s="52"/>
      <c r="C822" s="118"/>
      <c r="D822" s="52"/>
      <c r="E822" s="118"/>
      <c r="F822" s="152"/>
      <c r="G822" s="152"/>
      <c r="H822" s="152"/>
      <c r="I822" s="152"/>
      <c r="J822" s="152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118"/>
      <c r="V822" s="118"/>
      <c r="W822" s="118"/>
      <c r="X822" s="118"/>
      <c r="Y822" s="118"/>
      <c r="Z822" s="118"/>
      <c r="AA822" s="118"/>
      <c r="AB822" s="118"/>
      <c r="AC822" s="118"/>
      <c r="AD822" s="118"/>
      <c r="AE822" s="118"/>
      <c r="AF822" s="118"/>
      <c r="AG822" s="118"/>
      <c r="AH822" s="118"/>
    </row>
    <row r="823">
      <c r="A823" s="118"/>
      <c r="B823" s="52"/>
      <c r="C823" s="118"/>
      <c r="D823" s="52"/>
      <c r="E823" s="118"/>
      <c r="F823" s="152"/>
      <c r="G823" s="152"/>
      <c r="H823" s="152"/>
      <c r="I823" s="152"/>
      <c r="J823" s="152"/>
      <c r="K823" s="118"/>
      <c r="L823" s="118"/>
      <c r="M823" s="118"/>
      <c r="N823" s="118"/>
      <c r="O823" s="118"/>
      <c r="P823" s="118"/>
      <c r="Q823" s="118"/>
      <c r="R823" s="118"/>
      <c r="S823" s="118"/>
      <c r="T823" s="118"/>
      <c r="U823" s="118"/>
      <c r="V823" s="118"/>
      <c r="W823" s="118"/>
      <c r="X823" s="118"/>
      <c r="Y823" s="118"/>
      <c r="Z823" s="118"/>
      <c r="AA823" s="118"/>
      <c r="AB823" s="118"/>
      <c r="AC823" s="118"/>
      <c r="AD823" s="118"/>
      <c r="AE823" s="118"/>
      <c r="AF823" s="118"/>
      <c r="AG823" s="118"/>
      <c r="AH823" s="118"/>
    </row>
    <row r="824">
      <c r="A824" s="118"/>
      <c r="B824" s="52"/>
      <c r="C824" s="118"/>
      <c r="D824" s="52"/>
      <c r="E824" s="118"/>
      <c r="F824" s="152"/>
      <c r="G824" s="152"/>
      <c r="H824" s="152"/>
      <c r="I824" s="152"/>
      <c r="J824" s="152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118"/>
      <c r="V824" s="118"/>
      <c r="W824" s="118"/>
      <c r="X824" s="118"/>
      <c r="Y824" s="118"/>
      <c r="Z824" s="118"/>
      <c r="AA824" s="118"/>
      <c r="AB824" s="118"/>
      <c r="AC824" s="118"/>
      <c r="AD824" s="118"/>
      <c r="AE824" s="118"/>
      <c r="AF824" s="118"/>
      <c r="AG824" s="118"/>
      <c r="AH824" s="118"/>
    </row>
    <row r="825">
      <c r="A825" s="118"/>
      <c r="B825" s="52"/>
      <c r="C825" s="118"/>
      <c r="D825" s="52"/>
      <c r="E825" s="118"/>
      <c r="F825" s="152"/>
      <c r="G825" s="152"/>
      <c r="H825" s="152"/>
      <c r="I825" s="152"/>
      <c r="J825" s="152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118"/>
      <c r="V825" s="118"/>
      <c r="W825" s="118"/>
      <c r="X825" s="118"/>
      <c r="Y825" s="118"/>
      <c r="Z825" s="118"/>
      <c r="AA825" s="118"/>
      <c r="AB825" s="118"/>
      <c r="AC825" s="118"/>
      <c r="AD825" s="118"/>
      <c r="AE825" s="118"/>
      <c r="AF825" s="118"/>
      <c r="AG825" s="118"/>
      <c r="AH825" s="118"/>
    </row>
    <row r="826">
      <c r="A826" s="118"/>
      <c r="B826" s="52"/>
      <c r="C826" s="118"/>
      <c r="D826" s="52"/>
      <c r="E826" s="118"/>
      <c r="F826" s="152"/>
      <c r="G826" s="152"/>
      <c r="H826" s="152"/>
      <c r="I826" s="152"/>
      <c r="J826" s="152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118"/>
      <c r="V826" s="118"/>
      <c r="W826" s="118"/>
      <c r="X826" s="118"/>
      <c r="Y826" s="118"/>
      <c r="Z826" s="118"/>
      <c r="AA826" s="118"/>
      <c r="AB826" s="118"/>
      <c r="AC826" s="118"/>
      <c r="AD826" s="118"/>
      <c r="AE826" s="118"/>
      <c r="AF826" s="118"/>
      <c r="AG826" s="118"/>
      <c r="AH826" s="118"/>
    </row>
    <row r="827">
      <c r="A827" s="118"/>
      <c r="B827" s="52"/>
      <c r="C827" s="118"/>
      <c r="D827" s="52"/>
      <c r="E827" s="118"/>
      <c r="F827" s="152"/>
      <c r="G827" s="152"/>
      <c r="H827" s="152"/>
      <c r="I827" s="152"/>
      <c r="J827" s="152"/>
      <c r="K827" s="118"/>
      <c r="L827" s="118"/>
      <c r="M827" s="118"/>
      <c r="N827" s="118"/>
      <c r="O827" s="118"/>
      <c r="P827" s="118"/>
      <c r="Q827" s="118"/>
      <c r="R827" s="118"/>
      <c r="S827" s="118"/>
      <c r="T827" s="118"/>
      <c r="U827" s="118"/>
      <c r="V827" s="118"/>
      <c r="W827" s="118"/>
      <c r="X827" s="118"/>
      <c r="Y827" s="118"/>
      <c r="Z827" s="118"/>
      <c r="AA827" s="118"/>
      <c r="AB827" s="118"/>
      <c r="AC827" s="118"/>
      <c r="AD827" s="118"/>
      <c r="AE827" s="118"/>
      <c r="AF827" s="118"/>
      <c r="AG827" s="118"/>
      <c r="AH827" s="118"/>
    </row>
    <row r="828">
      <c r="A828" s="118"/>
      <c r="B828" s="52"/>
      <c r="C828" s="118"/>
      <c r="D828" s="52"/>
      <c r="E828" s="118"/>
      <c r="F828" s="152"/>
      <c r="G828" s="152"/>
      <c r="H828" s="152"/>
      <c r="I828" s="152"/>
      <c r="J828" s="152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118"/>
      <c r="V828" s="118"/>
      <c r="W828" s="118"/>
      <c r="X828" s="118"/>
      <c r="Y828" s="118"/>
      <c r="Z828" s="118"/>
      <c r="AA828" s="118"/>
      <c r="AB828" s="118"/>
      <c r="AC828" s="118"/>
      <c r="AD828" s="118"/>
      <c r="AE828" s="118"/>
      <c r="AF828" s="118"/>
      <c r="AG828" s="118"/>
      <c r="AH828" s="118"/>
    </row>
    <row r="829">
      <c r="A829" s="118"/>
      <c r="B829" s="52"/>
      <c r="C829" s="118"/>
      <c r="D829" s="52"/>
      <c r="E829" s="118"/>
      <c r="F829" s="152"/>
      <c r="G829" s="152"/>
      <c r="H829" s="152"/>
      <c r="I829" s="152"/>
      <c r="J829" s="152"/>
      <c r="K829" s="118"/>
      <c r="L829" s="118"/>
      <c r="M829" s="118"/>
      <c r="N829" s="118"/>
      <c r="O829" s="118"/>
      <c r="P829" s="118"/>
      <c r="Q829" s="118"/>
      <c r="R829" s="118"/>
      <c r="S829" s="118"/>
      <c r="T829" s="118"/>
      <c r="U829" s="118"/>
      <c r="V829" s="118"/>
      <c r="W829" s="118"/>
      <c r="X829" s="118"/>
      <c r="Y829" s="118"/>
      <c r="Z829" s="118"/>
      <c r="AA829" s="118"/>
      <c r="AB829" s="118"/>
      <c r="AC829" s="118"/>
      <c r="AD829" s="118"/>
      <c r="AE829" s="118"/>
      <c r="AF829" s="118"/>
      <c r="AG829" s="118"/>
      <c r="AH829" s="118"/>
    </row>
    <row r="830">
      <c r="A830" s="118"/>
      <c r="B830" s="52"/>
      <c r="C830" s="118"/>
      <c r="D830" s="52"/>
      <c r="E830" s="118"/>
      <c r="F830" s="152"/>
      <c r="G830" s="152"/>
      <c r="H830" s="152"/>
      <c r="I830" s="152"/>
      <c r="J830" s="152"/>
      <c r="K830" s="118"/>
      <c r="L830" s="118"/>
      <c r="M830" s="118"/>
      <c r="N830" s="118"/>
      <c r="O830" s="118"/>
      <c r="P830" s="118"/>
      <c r="Q830" s="118"/>
      <c r="R830" s="118"/>
      <c r="S830" s="118"/>
      <c r="T830" s="118"/>
      <c r="U830" s="118"/>
      <c r="V830" s="118"/>
      <c r="W830" s="118"/>
      <c r="X830" s="118"/>
      <c r="Y830" s="118"/>
      <c r="Z830" s="118"/>
      <c r="AA830" s="118"/>
      <c r="AB830" s="118"/>
      <c r="AC830" s="118"/>
      <c r="AD830" s="118"/>
      <c r="AE830" s="118"/>
      <c r="AF830" s="118"/>
      <c r="AG830" s="118"/>
      <c r="AH830" s="118"/>
    </row>
    <row r="831">
      <c r="A831" s="118"/>
      <c r="B831" s="52"/>
      <c r="C831" s="118"/>
      <c r="D831" s="52"/>
      <c r="E831" s="118"/>
      <c r="F831" s="152"/>
      <c r="G831" s="152"/>
      <c r="H831" s="152"/>
      <c r="I831" s="152"/>
      <c r="J831" s="152"/>
      <c r="K831" s="118"/>
      <c r="L831" s="118"/>
      <c r="M831" s="118"/>
      <c r="N831" s="118"/>
      <c r="O831" s="118"/>
      <c r="P831" s="118"/>
      <c r="Q831" s="118"/>
      <c r="R831" s="118"/>
      <c r="S831" s="118"/>
      <c r="T831" s="118"/>
      <c r="U831" s="118"/>
      <c r="V831" s="118"/>
      <c r="W831" s="118"/>
      <c r="X831" s="118"/>
      <c r="Y831" s="118"/>
      <c r="Z831" s="118"/>
      <c r="AA831" s="118"/>
      <c r="AB831" s="118"/>
      <c r="AC831" s="118"/>
      <c r="AD831" s="118"/>
      <c r="AE831" s="118"/>
      <c r="AF831" s="118"/>
      <c r="AG831" s="118"/>
      <c r="AH831" s="118"/>
    </row>
    <row r="832">
      <c r="A832" s="118"/>
      <c r="B832" s="52"/>
      <c r="C832" s="118"/>
      <c r="D832" s="52"/>
      <c r="E832" s="118"/>
      <c r="F832" s="152"/>
      <c r="G832" s="152"/>
      <c r="H832" s="152"/>
      <c r="I832" s="152"/>
      <c r="J832" s="152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118"/>
      <c r="V832" s="118"/>
      <c r="W832" s="118"/>
      <c r="X832" s="118"/>
      <c r="Y832" s="118"/>
      <c r="Z832" s="118"/>
      <c r="AA832" s="118"/>
      <c r="AB832" s="118"/>
      <c r="AC832" s="118"/>
      <c r="AD832" s="118"/>
      <c r="AE832" s="118"/>
      <c r="AF832" s="118"/>
      <c r="AG832" s="118"/>
      <c r="AH832" s="118"/>
    </row>
    <row r="833">
      <c r="A833" s="118"/>
      <c r="B833" s="52"/>
      <c r="C833" s="118"/>
      <c r="D833" s="52"/>
      <c r="E833" s="118"/>
      <c r="F833" s="152"/>
      <c r="G833" s="152"/>
      <c r="H833" s="152"/>
      <c r="I833" s="152"/>
      <c r="J833" s="152"/>
      <c r="K833" s="118"/>
      <c r="L833" s="118"/>
      <c r="M833" s="118"/>
      <c r="N833" s="118"/>
      <c r="O833" s="118"/>
      <c r="P833" s="118"/>
      <c r="Q833" s="118"/>
      <c r="R833" s="118"/>
      <c r="S833" s="118"/>
      <c r="T833" s="118"/>
      <c r="U833" s="118"/>
      <c r="V833" s="118"/>
      <c r="W833" s="118"/>
      <c r="X833" s="118"/>
      <c r="Y833" s="118"/>
      <c r="Z833" s="118"/>
      <c r="AA833" s="118"/>
      <c r="AB833" s="118"/>
      <c r="AC833" s="118"/>
      <c r="AD833" s="118"/>
      <c r="AE833" s="118"/>
      <c r="AF833" s="118"/>
      <c r="AG833" s="118"/>
      <c r="AH833" s="118"/>
    </row>
    <row r="834">
      <c r="A834" s="118"/>
      <c r="B834" s="52"/>
      <c r="C834" s="118"/>
      <c r="D834" s="52"/>
      <c r="E834" s="118"/>
      <c r="F834" s="152"/>
      <c r="G834" s="152"/>
      <c r="H834" s="152"/>
      <c r="I834" s="152"/>
      <c r="J834" s="152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118"/>
      <c r="V834" s="118"/>
      <c r="W834" s="118"/>
      <c r="X834" s="118"/>
      <c r="Y834" s="118"/>
      <c r="Z834" s="118"/>
      <c r="AA834" s="118"/>
      <c r="AB834" s="118"/>
      <c r="AC834" s="118"/>
      <c r="AD834" s="118"/>
      <c r="AE834" s="118"/>
      <c r="AF834" s="118"/>
      <c r="AG834" s="118"/>
      <c r="AH834" s="118"/>
    </row>
    <row r="835">
      <c r="A835" s="118"/>
      <c r="B835" s="52"/>
      <c r="C835" s="118"/>
      <c r="D835" s="52"/>
      <c r="E835" s="118"/>
      <c r="F835" s="152"/>
      <c r="G835" s="152"/>
      <c r="H835" s="152"/>
      <c r="I835" s="152"/>
      <c r="J835" s="152"/>
      <c r="K835" s="118"/>
      <c r="L835" s="118"/>
      <c r="M835" s="118"/>
      <c r="N835" s="118"/>
      <c r="O835" s="118"/>
      <c r="P835" s="118"/>
      <c r="Q835" s="118"/>
      <c r="R835" s="118"/>
      <c r="S835" s="118"/>
      <c r="T835" s="118"/>
      <c r="U835" s="118"/>
      <c r="V835" s="118"/>
      <c r="W835" s="118"/>
      <c r="X835" s="118"/>
      <c r="Y835" s="118"/>
      <c r="Z835" s="118"/>
      <c r="AA835" s="118"/>
      <c r="AB835" s="118"/>
      <c r="AC835" s="118"/>
      <c r="AD835" s="118"/>
      <c r="AE835" s="118"/>
      <c r="AF835" s="118"/>
      <c r="AG835" s="118"/>
      <c r="AH835" s="118"/>
    </row>
    <row r="836">
      <c r="A836" s="118"/>
      <c r="B836" s="52"/>
      <c r="C836" s="118"/>
      <c r="D836" s="52"/>
      <c r="E836" s="118"/>
      <c r="F836" s="152"/>
      <c r="G836" s="152"/>
      <c r="H836" s="152"/>
      <c r="I836" s="152"/>
      <c r="J836" s="152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118"/>
      <c r="V836" s="118"/>
      <c r="W836" s="118"/>
      <c r="X836" s="118"/>
      <c r="Y836" s="118"/>
      <c r="Z836" s="118"/>
      <c r="AA836" s="118"/>
      <c r="AB836" s="118"/>
      <c r="AC836" s="118"/>
      <c r="AD836" s="118"/>
      <c r="AE836" s="118"/>
      <c r="AF836" s="118"/>
      <c r="AG836" s="118"/>
      <c r="AH836" s="118"/>
    </row>
    <row r="837">
      <c r="A837" s="118"/>
      <c r="B837" s="52"/>
      <c r="C837" s="118"/>
      <c r="D837" s="52"/>
      <c r="E837" s="118"/>
      <c r="F837" s="152"/>
      <c r="G837" s="152"/>
      <c r="H837" s="152"/>
      <c r="I837" s="152"/>
      <c r="J837" s="152"/>
      <c r="K837" s="118"/>
      <c r="L837" s="118"/>
      <c r="M837" s="118"/>
      <c r="N837" s="118"/>
      <c r="O837" s="118"/>
      <c r="P837" s="118"/>
      <c r="Q837" s="118"/>
      <c r="R837" s="118"/>
      <c r="S837" s="118"/>
      <c r="T837" s="118"/>
      <c r="U837" s="118"/>
      <c r="V837" s="118"/>
      <c r="W837" s="118"/>
      <c r="X837" s="118"/>
      <c r="Y837" s="118"/>
      <c r="Z837" s="118"/>
      <c r="AA837" s="118"/>
      <c r="AB837" s="118"/>
      <c r="AC837" s="118"/>
      <c r="AD837" s="118"/>
      <c r="AE837" s="118"/>
      <c r="AF837" s="118"/>
      <c r="AG837" s="118"/>
      <c r="AH837" s="118"/>
    </row>
    <row r="838">
      <c r="A838" s="118"/>
      <c r="B838" s="52"/>
      <c r="C838" s="118"/>
      <c r="D838" s="52"/>
      <c r="E838" s="118"/>
      <c r="F838" s="152"/>
      <c r="G838" s="152"/>
      <c r="H838" s="152"/>
      <c r="I838" s="152"/>
      <c r="J838" s="152"/>
      <c r="K838" s="118"/>
      <c r="L838" s="118"/>
      <c r="M838" s="118"/>
      <c r="N838" s="118"/>
      <c r="O838" s="118"/>
      <c r="P838" s="118"/>
      <c r="Q838" s="118"/>
      <c r="R838" s="118"/>
      <c r="S838" s="118"/>
      <c r="T838" s="118"/>
      <c r="U838" s="118"/>
      <c r="V838" s="118"/>
      <c r="W838" s="118"/>
      <c r="X838" s="118"/>
      <c r="Y838" s="118"/>
      <c r="Z838" s="118"/>
      <c r="AA838" s="118"/>
      <c r="AB838" s="118"/>
      <c r="AC838" s="118"/>
      <c r="AD838" s="118"/>
      <c r="AE838" s="118"/>
      <c r="AF838" s="118"/>
      <c r="AG838" s="118"/>
      <c r="AH838" s="118"/>
    </row>
    <row r="839">
      <c r="A839" s="118"/>
      <c r="B839" s="52"/>
      <c r="C839" s="118"/>
      <c r="D839" s="52"/>
      <c r="E839" s="118"/>
      <c r="F839" s="152"/>
      <c r="G839" s="152"/>
      <c r="H839" s="152"/>
      <c r="I839" s="152"/>
      <c r="J839" s="152"/>
      <c r="K839" s="118"/>
      <c r="L839" s="118"/>
      <c r="M839" s="118"/>
      <c r="N839" s="118"/>
      <c r="O839" s="118"/>
      <c r="P839" s="118"/>
      <c r="Q839" s="118"/>
      <c r="R839" s="118"/>
      <c r="S839" s="118"/>
      <c r="T839" s="118"/>
      <c r="U839" s="118"/>
      <c r="V839" s="118"/>
      <c r="W839" s="118"/>
      <c r="X839" s="118"/>
      <c r="Y839" s="118"/>
      <c r="Z839" s="118"/>
      <c r="AA839" s="118"/>
      <c r="AB839" s="118"/>
      <c r="AC839" s="118"/>
      <c r="AD839" s="118"/>
      <c r="AE839" s="118"/>
      <c r="AF839" s="118"/>
      <c r="AG839" s="118"/>
      <c r="AH839" s="118"/>
    </row>
    <row r="840">
      <c r="A840" s="118"/>
      <c r="B840" s="52"/>
      <c r="C840" s="118"/>
      <c r="D840" s="52"/>
      <c r="E840" s="118"/>
      <c r="F840" s="152"/>
      <c r="G840" s="152"/>
      <c r="H840" s="152"/>
      <c r="I840" s="152"/>
      <c r="J840" s="152"/>
      <c r="K840" s="118"/>
      <c r="L840" s="118"/>
      <c r="M840" s="118"/>
      <c r="N840" s="118"/>
      <c r="O840" s="118"/>
      <c r="P840" s="118"/>
      <c r="Q840" s="118"/>
      <c r="R840" s="118"/>
      <c r="S840" s="118"/>
      <c r="T840" s="118"/>
      <c r="U840" s="118"/>
      <c r="V840" s="118"/>
      <c r="W840" s="118"/>
      <c r="X840" s="118"/>
      <c r="Y840" s="118"/>
      <c r="Z840" s="118"/>
      <c r="AA840" s="118"/>
      <c r="AB840" s="118"/>
      <c r="AC840" s="118"/>
      <c r="AD840" s="118"/>
      <c r="AE840" s="118"/>
      <c r="AF840" s="118"/>
      <c r="AG840" s="118"/>
      <c r="AH840" s="118"/>
    </row>
    <row r="841">
      <c r="A841" s="118"/>
      <c r="B841" s="52"/>
      <c r="C841" s="118"/>
      <c r="D841" s="52"/>
      <c r="E841" s="118"/>
      <c r="F841" s="152"/>
      <c r="G841" s="152"/>
      <c r="H841" s="152"/>
      <c r="I841" s="152"/>
      <c r="J841" s="152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118"/>
      <c r="V841" s="118"/>
      <c r="W841" s="118"/>
      <c r="X841" s="118"/>
      <c r="Y841" s="118"/>
      <c r="Z841" s="118"/>
      <c r="AA841" s="118"/>
      <c r="AB841" s="118"/>
      <c r="AC841" s="118"/>
      <c r="AD841" s="118"/>
      <c r="AE841" s="118"/>
      <c r="AF841" s="118"/>
      <c r="AG841" s="118"/>
      <c r="AH841" s="118"/>
    </row>
    <row r="842">
      <c r="A842" s="118"/>
      <c r="B842" s="52"/>
      <c r="C842" s="118"/>
      <c r="D842" s="52"/>
      <c r="E842" s="118"/>
      <c r="F842" s="152"/>
      <c r="G842" s="152"/>
      <c r="H842" s="152"/>
      <c r="I842" s="152"/>
      <c r="J842" s="152"/>
      <c r="K842" s="118"/>
      <c r="L842" s="118"/>
      <c r="M842" s="118"/>
      <c r="N842" s="118"/>
      <c r="O842" s="118"/>
      <c r="P842" s="118"/>
      <c r="Q842" s="118"/>
      <c r="R842" s="118"/>
      <c r="S842" s="118"/>
      <c r="T842" s="118"/>
      <c r="U842" s="118"/>
      <c r="V842" s="118"/>
      <c r="W842" s="118"/>
      <c r="X842" s="118"/>
      <c r="Y842" s="118"/>
      <c r="Z842" s="118"/>
      <c r="AA842" s="118"/>
      <c r="AB842" s="118"/>
      <c r="AC842" s="118"/>
      <c r="AD842" s="118"/>
      <c r="AE842" s="118"/>
      <c r="AF842" s="118"/>
      <c r="AG842" s="118"/>
      <c r="AH842" s="118"/>
    </row>
    <row r="843">
      <c r="A843" s="118"/>
      <c r="B843" s="52"/>
      <c r="C843" s="118"/>
      <c r="D843" s="52"/>
      <c r="E843" s="118"/>
      <c r="F843" s="152"/>
      <c r="G843" s="152"/>
      <c r="H843" s="152"/>
      <c r="I843" s="152"/>
      <c r="J843" s="152"/>
      <c r="K843" s="118"/>
      <c r="L843" s="118"/>
      <c r="M843" s="118"/>
      <c r="N843" s="118"/>
      <c r="O843" s="118"/>
      <c r="P843" s="118"/>
      <c r="Q843" s="118"/>
      <c r="R843" s="118"/>
      <c r="S843" s="118"/>
      <c r="T843" s="118"/>
      <c r="U843" s="118"/>
      <c r="V843" s="118"/>
      <c r="W843" s="118"/>
      <c r="X843" s="118"/>
      <c r="Y843" s="118"/>
      <c r="Z843" s="118"/>
      <c r="AA843" s="118"/>
      <c r="AB843" s="118"/>
      <c r="AC843" s="118"/>
      <c r="AD843" s="118"/>
      <c r="AE843" s="118"/>
      <c r="AF843" s="118"/>
      <c r="AG843" s="118"/>
      <c r="AH843" s="118"/>
    </row>
    <row r="844">
      <c r="A844" s="118"/>
      <c r="B844" s="52"/>
      <c r="C844" s="118"/>
      <c r="D844" s="52"/>
      <c r="E844" s="118"/>
      <c r="F844" s="152"/>
      <c r="G844" s="152"/>
      <c r="H844" s="152"/>
      <c r="I844" s="152"/>
      <c r="J844" s="152"/>
      <c r="K844" s="118"/>
      <c r="L844" s="118"/>
      <c r="M844" s="118"/>
      <c r="N844" s="118"/>
      <c r="O844" s="118"/>
      <c r="P844" s="118"/>
      <c r="Q844" s="118"/>
      <c r="R844" s="118"/>
      <c r="S844" s="118"/>
      <c r="T844" s="118"/>
      <c r="U844" s="118"/>
      <c r="V844" s="118"/>
      <c r="W844" s="118"/>
      <c r="X844" s="118"/>
      <c r="Y844" s="118"/>
      <c r="Z844" s="118"/>
      <c r="AA844" s="118"/>
      <c r="AB844" s="118"/>
      <c r="AC844" s="118"/>
      <c r="AD844" s="118"/>
      <c r="AE844" s="118"/>
      <c r="AF844" s="118"/>
      <c r="AG844" s="118"/>
      <c r="AH844" s="118"/>
    </row>
    <row r="845">
      <c r="A845" s="118"/>
      <c r="B845" s="52"/>
      <c r="C845" s="118"/>
      <c r="D845" s="52"/>
      <c r="E845" s="118"/>
      <c r="F845" s="152"/>
      <c r="G845" s="152"/>
      <c r="H845" s="152"/>
      <c r="I845" s="152"/>
      <c r="J845" s="152"/>
      <c r="K845" s="118"/>
      <c r="L845" s="118"/>
      <c r="M845" s="118"/>
      <c r="N845" s="118"/>
      <c r="O845" s="118"/>
      <c r="P845" s="118"/>
      <c r="Q845" s="118"/>
      <c r="R845" s="118"/>
      <c r="S845" s="118"/>
      <c r="T845" s="118"/>
      <c r="U845" s="118"/>
      <c r="V845" s="118"/>
      <c r="W845" s="118"/>
      <c r="X845" s="118"/>
      <c r="Y845" s="118"/>
      <c r="Z845" s="118"/>
      <c r="AA845" s="118"/>
      <c r="AB845" s="118"/>
      <c r="AC845" s="118"/>
      <c r="AD845" s="118"/>
      <c r="AE845" s="118"/>
      <c r="AF845" s="118"/>
      <c r="AG845" s="118"/>
      <c r="AH845" s="118"/>
    </row>
    <row r="846">
      <c r="A846" s="118"/>
      <c r="B846" s="52"/>
      <c r="C846" s="118"/>
      <c r="D846" s="52"/>
      <c r="E846" s="118"/>
      <c r="F846" s="152"/>
      <c r="G846" s="152"/>
      <c r="H846" s="152"/>
      <c r="I846" s="152"/>
      <c r="J846" s="152"/>
      <c r="K846" s="118"/>
      <c r="L846" s="118"/>
      <c r="M846" s="118"/>
      <c r="N846" s="118"/>
      <c r="O846" s="118"/>
      <c r="P846" s="118"/>
      <c r="Q846" s="118"/>
      <c r="R846" s="118"/>
      <c r="S846" s="118"/>
      <c r="T846" s="118"/>
      <c r="U846" s="118"/>
      <c r="V846" s="118"/>
      <c r="W846" s="118"/>
      <c r="X846" s="118"/>
      <c r="Y846" s="118"/>
      <c r="Z846" s="118"/>
      <c r="AA846" s="118"/>
      <c r="AB846" s="118"/>
      <c r="AC846" s="118"/>
      <c r="AD846" s="118"/>
      <c r="AE846" s="118"/>
      <c r="AF846" s="118"/>
      <c r="AG846" s="118"/>
      <c r="AH846" s="118"/>
    </row>
    <row r="847">
      <c r="A847" s="118"/>
      <c r="B847" s="52"/>
      <c r="C847" s="118"/>
      <c r="D847" s="52"/>
      <c r="E847" s="118"/>
      <c r="F847" s="152"/>
      <c r="G847" s="152"/>
      <c r="H847" s="152"/>
      <c r="I847" s="152"/>
      <c r="J847" s="152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18"/>
      <c r="V847" s="118"/>
      <c r="W847" s="118"/>
      <c r="X847" s="118"/>
      <c r="Y847" s="118"/>
      <c r="Z847" s="118"/>
      <c r="AA847" s="118"/>
      <c r="AB847" s="118"/>
      <c r="AC847" s="118"/>
      <c r="AD847" s="118"/>
      <c r="AE847" s="118"/>
      <c r="AF847" s="118"/>
      <c r="AG847" s="118"/>
      <c r="AH847" s="118"/>
    </row>
    <row r="848">
      <c r="A848" s="118"/>
      <c r="B848" s="52"/>
      <c r="C848" s="118"/>
      <c r="D848" s="52"/>
      <c r="E848" s="118"/>
      <c r="F848" s="152"/>
      <c r="G848" s="152"/>
      <c r="H848" s="152"/>
      <c r="I848" s="152"/>
      <c r="J848" s="152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18"/>
      <c r="V848" s="118"/>
      <c r="W848" s="118"/>
      <c r="X848" s="118"/>
      <c r="Y848" s="118"/>
      <c r="Z848" s="118"/>
      <c r="AA848" s="118"/>
      <c r="AB848" s="118"/>
      <c r="AC848" s="118"/>
      <c r="AD848" s="118"/>
      <c r="AE848" s="118"/>
      <c r="AF848" s="118"/>
      <c r="AG848" s="118"/>
      <c r="AH848" s="118"/>
    </row>
    <row r="849">
      <c r="A849" s="118"/>
      <c r="B849" s="52"/>
      <c r="C849" s="118"/>
      <c r="D849" s="52"/>
      <c r="E849" s="118"/>
      <c r="F849" s="152"/>
      <c r="G849" s="152"/>
      <c r="H849" s="152"/>
      <c r="I849" s="152"/>
      <c r="J849" s="152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18"/>
      <c r="V849" s="118"/>
      <c r="W849" s="118"/>
      <c r="X849" s="118"/>
      <c r="Y849" s="118"/>
      <c r="Z849" s="118"/>
      <c r="AA849" s="118"/>
      <c r="AB849" s="118"/>
      <c r="AC849" s="118"/>
      <c r="AD849" s="118"/>
      <c r="AE849" s="118"/>
      <c r="AF849" s="118"/>
      <c r="AG849" s="118"/>
      <c r="AH849" s="118"/>
    </row>
    <row r="850">
      <c r="A850" s="118"/>
      <c r="B850" s="52"/>
      <c r="C850" s="118"/>
      <c r="D850" s="52"/>
      <c r="E850" s="118"/>
      <c r="F850" s="152"/>
      <c r="G850" s="152"/>
      <c r="H850" s="152"/>
      <c r="I850" s="152"/>
      <c r="J850" s="152"/>
      <c r="K850" s="118"/>
      <c r="L850" s="118"/>
      <c r="M850" s="118"/>
      <c r="N850" s="118"/>
      <c r="O850" s="118"/>
      <c r="P850" s="118"/>
      <c r="Q850" s="118"/>
      <c r="R850" s="118"/>
      <c r="S850" s="118"/>
      <c r="T850" s="118"/>
      <c r="U850" s="118"/>
      <c r="V850" s="118"/>
      <c r="W850" s="118"/>
      <c r="X850" s="118"/>
      <c r="Y850" s="118"/>
      <c r="Z850" s="118"/>
      <c r="AA850" s="118"/>
      <c r="AB850" s="118"/>
      <c r="AC850" s="118"/>
      <c r="AD850" s="118"/>
      <c r="AE850" s="118"/>
      <c r="AF850" s="118"/>
      <c r="AG850" s="118"/>
      <c r="AH850" s="118"/>
    </row>
    <row r="851">
      <c r="A851" s="118"/>
      <c r="B851" s="52"/>
      <c r="C851" s="118"/>
      <c r="D851" s="52"/>
      <c r="E851" s="118"/>
      <c r="F851" s="152"/>
      <c r="G851" s="152"/>
      <c r="H851" s="152"/>
      <c r="I851" s="152"/>
      <c r="J851" s="152"/>
      <c r="K851" s="118"/>
      <c r="L851" s="118"/>
      <c r="M851" s="118"/>
      <c r="N851" s="118"/>
      <c r="O851" s="118"/>
      <c r="P851" s="118"/>
      <c r="Q851" s="118"/>
      <c r="R851" s="118"/>
      <c r="S851" s="118"/>
      <c r="T851" s="118"/>
      <c r="U851" s="118"/>
      <c r="V851" s="118"/>
      <c r="W851" s="118"/>
      <c r="X851" s="118"/>
      <c r="Y851" s="118"/>
      <c r="Z851" s="118"/>
      <c r="AA851" s="118"/>
      <c r="AB851" s="118"/>
      <c r="AC851" s="118"/>
      <c r="AD851" s="118"/>
      <c r="AE851" s="118"/>
      <c r="AF851" s="118"/>
      <c r="AG851" s="118"/>
      <c r="AH851" s="118"/>
    </row>
    <row r="852">
      <c r="A852" s="118"/>
      <c r="B852" s="52"/>
      <c r="C852" s="118"/>
      <c r="D852" s="52"/>
      <c r="E852" s="118"/>
      <c r="F852" s="152"/>
      <c r="G852" s="152"/>
      <c r="H852" s="152"/>
      <c r="I852" s="152"/>
      <c r="J852" s="152"/>
      <c r="K852" s="118"/>
      <c r="L852" s="118"/>
      <c r="M852" s="118"/>
      <c r="N852" s="118"/>
      <c r="O852" s="118"/>
      <c r="P852" s="118"/>
      <c r="Q852" s="118"/>
      <c r="R852" s="118"/>
      <c r="S852" s="118"/>
      <c r="T852" s="118"/>
      <c r="U852" s="118"/>
      <c r="V852" s="118"/>
      <c r="W852" s="118"/>
      <c r="X852" s="118"/>
      <c r="Y852" s="118"/>
      <c r="Z852" s="118"/>
      <c r="AA852" s="118"/>
      <c r="AB852" s="118"/>
      <c r="AC852" s="118"/>
      <c r="AD852" s="118"/>
      <c r="AE852" s="118"/>
      <c r="AF852" s="118"/>
      <c r="AG852" s="118"/>
      <c r="AH852" s="118"/>
    </row>
    <row r="853">
      <c r="A853" s="118"/>
      <c r="B853" s="52"/>
      <c r="C853" s="118"/>
      <c r="D853" s="52"/>
      <c r="E853" s="118"/>
      <c r="F853" s="152"/>
      <c r="G853" s="152"/>
      <c r="H853" s="152"/>
      <c r="I853" s="152"/>
      <c r="J853" s="152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18"/>
      <c r="V853" s="118"/>
      <c r="W853" s="118"/>
      <c r="X853" s="118"/>
      <c r="Y853" s="118"/>
      <c r="Z853" s="118"/>
      <c r="AA853" s="118"/>
      <c r="AB853" s="118"/>
      <c r="AC853" s="118"/>
      <c r="AD853" s="118"/>
      <c r="AE853" s="118"/>
      <c r="AF853" s="118"/>
      <c r="AG853" s="118"/>
      <c r="AH853" s="118"/>
    </row>
    <row r="854">
      <c r="A854" s="118"/>
      <c r="B854" s="52"/>
      <c r="C854" s="118"/>
      <c r="D854" s="52"/>
      <c r="E854" s="118"/>
      <c r="F854" s="152"/>
      <c r="G854" s="152"/>
      <c r="H854" s="152"/>
      <c r="I854" s="152"/>
      <c r="J854" s="152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18"/>
      <c r="V854" s="118"/>
      <c r="W854" s="118"/>
      <c r="X854" s="118"/>
      <c r="Y854" s="118"/>
      <c r="Z854" s="118"/>
      <c r="AA854" s="118"/>
      <c r="AB854" s="118"/>
      <c r="AC854" s="118"/>
      <c r="AD854" s="118"/>
      <c r="AE854" s="118"/>
      <c r="AF854" s="118"/>
      <c r="AG854" s="118"/>
      <c r="AH854" s="118"/>
    </row>
    <row r="855">
      <c r="A855" s="118"/>
      <c r="B855" s="52"/>
      <c r="C855" s="118"/>
      <c r="D855" s="52"/>
      <c r="E855" s="118"/>
      <c r="F855" s="152"/>
      <c r="G855" s="152"/>
      <c r="H855" s="152"/>
      <c r="I855" s="152"/>
      <c r="J855" s="152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18"/>
      <c r="V855" s="118"/>
      <c r="W855" s="118"/>
      <c r="X855" s="118"/>
      <c r="Y855" s="118"/>
      <c r="Z855" s="118"/>
      <c r="AA855" s="118"/>
      <c r="AB855" s="118"/>
      <c r="AC855" s="118"/>
      <c r="AD855" s="118"/>
      <c r="AE855" s="118"/>
      <c r="AF855" s="118"/>
      <c r="AG855" s="118"/>
      <c r="AH855" s="118"/>
    </row>
    <row r="856">
      <c r="A856" s="118"/>
      <c r="B856" s="52"/>
      <c r="C856" s="118"/>
      <c r="D856" s="52"/>
      <c r="E856" s="118"/>
      <c r="F856" s="152"/>
      <c r="G856" s="152"/>
      <c r="H856" s="152"/>
      <c r="I856" s="152"/>
      <c r="J856" s="152"/>
      <c r="K856" s="118"/>
      <c r="L856" s="118"/>
      <c r="M856" s="118"/>
      <c r="N856" s="118"/>
      <c r="O856" s="118"/>
      <c r="P856" s="118"/>
      <c r="Q856" s="118"/>
      <c r="R856" s="118"/>
      <c r="S856" s="118"/>
      <c r="T856" s="118"/>
      <c r="U856" s="118"/>
      <c r="V856" s="118"/>
      <c r="W856" s="118"/>
      <c r="X856" s="118"/>
      <c r="Y856" s="118"/>
      <c r="Z856" s="118"/>
      <c r="AA856" s="118"/>
      <c r="AB856" s="118"/>
      <c r="AC856" s="118"/>
      <c r="AD856" s="118"/>
      <c r="AE856" s="118"/>
      <c r="AF856" s="118"/>
      <c r="AG856" s="118"/>
      <c r="AH856" s="118"/>
    </row>
    <row r="857">
      <c r="A857" s="118"/>
      <c r="B857" s="52"/>
      <c r="C857" s="118"/>
      <c r="D857" s="52"/>
      <c r="E857" s="118"/>
      <c r="F857" s="152"/>
      <c r="G857" s="152"/>
      <c r="H857" s="152"/>
      <c r="I857" s="152"/>
      <c r="J857" s="152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18"/>
      <c r="V857" s="118"/>
      <c r="W857" s="118"/>
      <c r="X857" s="118"/>
      <c r="Y857" s="118"/>
      <c r="Z857" s="118"/>
      <c r="AA857" s="118"/>
      <c r="AB857" s="118"/>
      <c r="AC857" s="118"/>
      <c r="AD857" s="118"/>
      <c r="AE857" s="118"/>
      <c r="AF857" s="118"/>
      <c r="AG857" s="118"/>
      <c r="AH857" s="118"/>
    </row>
    <row r="858">
      <c r="A858" s="118"/>
      <c r="B858" s="52"/>
      <c r="C858" s="118"/>
      <c r="D858" s="52"/>
      <c r="E858" s="118"/>
      <c r="F858" s="152"/>
      <c r="G858" s="152"/>
      <c r="H858" s="152"/>
      <c r="I858" s="152"/>
      <c r="J858" s="152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18"/>
      <c r="V858" s="118"/>
      <c r="W858" s="118"/>
      <c r="X858" s="118"/>
      <c r="Y858" s="118"/>
      <c r="Z858" s="118"/>
      <c r="AA858" s="118"/>
      <c r="AB858" s="118"/>
      <c r="AC858" s="118"/>
      <c r="AD858" s="118"/>
      <c r="AE858" s="118"/>
      <c r="AF858" s="118"/>
      <c r="AG858" s="118"/>
      <c r="AH858" s="118"/>
    </row>
    <row r="859">
      <c r="A859" s="118"/>
      <c r="B859" s="52"/>
      <c r="C859" s="118"/>
      <c r="D859" s="52"/>
      <c r="E859" s="118"/>
      <c r="F859" s="152"/>
      <c r="G859" s="152"/>
      <c r="H859" s="152"/>
      <c r="I859" s="152"/>
      <c r="J859" s="152"/>
      <c r="K859" s="118"/>
      <c r="L859" s="118"/>
      <c r="M859" s="118"/>
      <c r="N859" s="118"/>
      <c r="O859" s="118"/>
      <c r="P859" s="118"/>
      <c r="Q859" s="118"/>
      <c r="R859" s="118"/>
      <c r="S859" s="118"/>
      <c r="T859" s="118"/>
      <c r="U859" s="118"/>
      <c r="V859" s="118"/>
      <c r="W859" s="118"/>
      <c r="X859" s="118"/>
      <c r="Y859" s="118"/>
      <c r="Z859" s="118"/>
      <c r="AA859" s="118"/>
      <c r="AB859" s="118"/>
      <c r="AC859" s="118"/>
      <c r="AD859" s="118"/>
      <c r="AE859" s="118"/>
      <c r="AF859" s="118"/>
      <c r="AG859" s="118"/>
      <c r="AH859" s="118"/>
    </row>
    <row r="860">
      <c r="A860" s="118"/>
      <c r="B860" s="52"/>
      <c r="C860" s="118"/>
      <c r="D860" s="52"/>
      <c r="E860" s="118"/>
      <c r="F860" s="152"/>
      <c r="G860" s="152"/>
      <c r="H860" s="152"/>
      <c r="I860" s="152"/>
      <c r="J860" s="152"/>
      <c r="K860" s="118"/>
      <c r="L860" s="118"/>
      <c r="M860" s="118"/>
      <c r="N860" s="118"/>
      <c r="O860" s="118"/>
      <c r="P860" s="118"/>
      <c r="Q860" s="118"/>
      <c r="R860" s="118"/>
      <c r="S860" s="118"/>
      <c r="T860" s="118"/>
      <c r="U860" s="118"/>
      <c r="V860" s="118"/>
      <c r="W860" s="118"/>
      <c r="X860" s="118"/>
      <c r="Y860" s="118"/>
      <c r="Z860" s="118"/>
      <c r="AA860" s="118"/>
      <c r="AB860" s="118"/>
      <c r="AC860" s="118"/>
      <c r="AD860" s="118"/>
      <c r="AE860" s="118"/>
      <c r="AF860" s="118"/>
      <c r="AG860" s="118"/>
      <c r="AH860" s="118"/>
    </row>
    <row r="861">
      <c r="A861" s="118"/>
      <c r="B861" s="52"/>
      <c r="C861" s="118"/>
      <c r="D861" s="52"/>
      <c r="E861" s="118"/>
      <c r="F861" s="152"/>
      <c r="G861" s="152"/>
      <c r="H861" s="152"/>
      <c r="I861" s="152"/>
      <c r="J861" s="152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18"/>
      <c r="V861" s="118"/>
      <c r="W861" s="118"/>
      <c r="X861" s="118"/>
      <c r="Y861" s="118"/>
      <c r="Z861" s="118"/>
      <c r="AA861" s="118"/>
      <c r="AB861" s="118"/>
      <c r="AC861" s="118"/>
      <c r="AD861" s="118"/>
      <c r="AE861" s="118"/>
      <c r="AF861" s="118"/>
      <c r="AG861" s="118"/>
      <c r="AH861" s="118"/>
    </row>
    <row r="862">
      <c r="A862" s="118"/>
      <c r="B862" s="52"/>
      <c r="C862" s="118"/>
      <c r="D862" s="52"/>
      <c r="E862" s="118"/>
      <c r="F862" s="152"/>
      <c r="G862" s="152"/>
      <c r="H862" s="152"/>
      <c r="I862" s="152"/>
      <c r="J862" s="152"/>
      <c r="K862" s="118"/>
      <c r="L862" s="118"/>
      <c r="M862" s="118"/>
      <c r="N862" s="118"/>
      <c r="O862" s="118"/>
      <c r="P862" s="118"/>
      <c r="Q862" s="118"/>
      <c r="R862" s="118"/>
      <c r="S862" s="118"/>
      <c r="T862" s="118"/>
      <c r="U862" s="118"/>
      <c r="V862" s="118"/>
      <c r="W862" s="118"/>
      <c r="X862" s="118"/>
      <c r="Y862" s="118"/>
      <c r="Z862" s="118"/>
      <c r="AA862" s="118"/>
      <c r="AB862" s="118"/>
      <c r="AC862" s="118"/>
      <c r="AD862" s="118"/>
      <c r="AE862" s="118"/>
      <c r="AF862" s="118"/>
      <c r="AG862" s="118"/>
      <c r="AH862" s="118"/>
    </row>
    <row r="863">
      <c r="A863" s="118"/>
      <c r="B863" s="52"/>
      <c r="C863" s="118"/>
      <c r="D863" s="52"/>
      <c r="E863" s="118"/>
      <c r="F863" s="152"/>
      <c r="G863" s="152"/>
      <c r="H863" s="152"/>
      <c r="I863" s="152"/>
      <c r="J863" s="152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18"/>
      <c r="V863" s="118"/>
      <c r="W863" s="118"/>
      <c r="X863" s="118"/>
      <c r="Y863" s="118"/>
      <c r="Z863" s="118"/>
      <c r="AA863" s="118"/>
      <c r="AB863" s="118"/>
      <c r="AC863" s="118"/>
      <c r="AD863" s="118"/>
      <c r="AE863" s="118"/>
      <c r="AF863" s="118"/>
      <c r="AG863" s="118"/>
      <c r="AH863" s="118"/>
    </row>
    <row r="864">
      <c r="A864" s="118"/>
      <c r="B864" s="52"/>
      <c r="C864" s="118"/>
      <c r="D864" s="52"/>
      <c r="E864" s="118"/>
      <c r="F864" s="152"/>
      <c r="G864" s="152"/>
      <c r="H864" s="152"/>
      <c r="I864" s="152"/>
      <c r="J864" s="152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18"/>
      <c r="V864" s="118"/>
      <c r="W864" s="118"/>
      <c r="X864" s="118"/>
      <c r="Y864" s="118"/>
      <c r="Z864" s="118"/>
      <c r="AA864" s="118"/>
      <c r="AB864" s="118"/>
      <c r="AC864" s="118"/>
      <c r="AD864" s="118"/>
      <c r="AE864" s="118"/>
      <c r="AF864" s="118"/>
      <c r="AG864" s="118"/>
      <c r="AH864" s="118"/>
    </row>
    <row r="865">
      <c r="A865" s="118"/>
      <c r="B865" s="52"/>
      <c r="C865" s="118"/>
      <c r="D865" s="52"/>
      <c r="E865" s="118"/>
      <c r="F865" s="152"/>
      <c r="G865" s="152"/>
      <c r="H865" s="152"/>
      <c r="I865" s="152"/>
      <c r="J865" s="152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18"/>
      <c r="V865" s="118"/>
      <c r="W865" s="118"/>
      <c r="X865" s="118"/>
      <c r="Y865" s="118"/>
      <c r="Z865" s="118"/>
      <c r="AA865" s="118"/>
      <c r="AB865" s="118"/>
      <c r="AC865" s="118"/>
      <c r="AD865" s="118"/>
      <c r="AE865" s="118"/>
      <c r="AF865" s="118"/>
      <c r="AG865" s="118"/>
      <c r="AH865" s="118"/>
    </row>
    <row r="866">
      <c r="A866" s="118"/>
      <c r="B866" s="52"/>
      <c r="C866" s="118"/>
      <c r="D866" s="52"/>
      <c r="E866" s="118"/>
      <c r="F866" s="152"/>
      <c r="G866" s="152"/>
      <c r="H866" s="152"/>
      <c r="I866" s="152"/>
      <c r="J866" s="152"/>
      <c r="K866" s="118"/>
      <c r="L866" s="118"/>
      <c r="M866" s="118"/>
      <c r="N866" s="118"/>
      <c r="O866" s="118"/>
      <c r="P866" s="118"/>
      <c r="Q866" s="118"/>
      <c r="R866" s="118"/>
      <c r="S866" s="118"/>
      <c r="T866" s="118"/>
      <c r="U866" s="118"/>
      <c r="V866" s="118"/>
      <c r="W866" s="118"/>
      <c r="X866" s="118"/>
      <c r="Y866" s="118"/>
      <c r="Z866" s="118"/>
      <c r="AA866" s="118"/>
      <c r="AB866" s="118"/>
      <c r="AC866" s="118"/>
      <c r="AD866" s="118"/>
      <c r="AE866" s="118"/>
      <c r="AF866" s="118"/>
      <c r="AG866" s="118"/>
      <c r="AH866" s="118"/>
    </row>
    <row r="867">
      <c r="A867" s="118"/>
      <c r="B867" s="52"/>
      <c r="C867" s="118"/>
      <c r="D867" s="52"/>
      <c r="E867" s="118"/>
      <c r="F867" s="152"/>
      <c r="G867" s="152"/>
      <c r="H867" s="152"/>
      <c r="I867" s="152"/>
      <c r="J867" s="152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18"/>
      <c r="V867" s="118"/>
      <c r="W867" s="118"/>
      <c r="X867" s="118"/>
      <c r="Y867" s="118"/>
      <c r="Z867" s="118"/>
      <c r="AA867" s="118"/>
      <c r="AB867" s="118"/>
      <c r="AC867" s="118"/>
      <c r="AD867" s="118"/>
      <c r="AE867" s="118"/>
      <c r="AF867" s="118"/>
      <c r="AG867" s="118"/>
      <c r="AH867" s="118"/>
    </row>
    <row r="868">
      <c r="A868" s="118"/>
      <c r="B868" s="52"/>
      <c r="C868" s="118"/>
      <c r="D868" s="52"/>
      <c r="E868" s="118"/>
      <c r="F868" s="152"/>
      <c r="G868" s="152"/>
      <c r="H868" s="152"/>
      <c r="I868" s="152"/>
      <c r="J868" s="152"/>
      <c r="K868" s="118"/>
      <c r="L868" s="118"/>
      <c r="M868" s="118"/>
      <c r="N868" s="118"/>
      <c r="O868" s="118"/>
      <c r="P868" s="118"/>
      <c r="Q868" s="118"/>
      <c r="R868" s="118"/>
      <c r="S868" s="118"/>
      <c r="T868" s="118"/>
      <c r="U868" s="118"/>
      <c r="V868" s="118"/>
      <c r="W868" s="118"/>
      <c r="X868" s="118"/>
      <c r="Y868" s="118"/>
      <c r="Z868" s="118"/>
      <c r="AA868" s="118"/>
      <c r="AB868" s="118"/>
      <c r="AC868" s="118"/>
      <c r="AD868" s="118"/>
      <c r="AE868" s="118"/>
      <c r="AF868" s="118"/>
      <c r="AG868" s="118"/>
      <c r="AH868" s="118"/>
    </row>
    <row r="869">
      <c r="A869" s="118"/>
      <c r="B869" s="52"/>
      <c r="C869" s="118"/>
      <c r="D869" s="52"/>
      <c r="E869" s="118"/>
      <c r="F869" s="152"/>
      <c r="G869" s="152"/>
      <c r="H869" s="152"/>
      <c r="I869" s="152"/>
      <c r="J869" s="152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18"/>
      <c r="V869" s="118"/>
      <c r="W869" s="118"/>
      <c r="X869" s="118"/>
      <c r="Y869" s="118"/>
      <c r="Z869" s="118"/>
      <c r="AA869" s="118"/>
      <c r="AB869" s="118"/>
      <c r="AC869" s="118"/>
      <c r="AD869" s="118"/>
      <c r="AE869" s="118"/>
      <c r="AF869" s="118"/>
      <c r="AG869" s="118"/>
      <c r="AH869" s="118"/>
    </row>
    <row r="870">
      <c r="A870" s="118"/>
      <c r="B870" s="52"/>
      <c r="C870" s="118"/>
      <c r="D870" s="52"/>
      <c r="E870" s="118"/>
      <c r="F870" s="152"/>
      <c r="G870" s="152"/>
      <c r="H870" s="152"/>
      <c r="I870" s="152"/>
      <c r="J870" s="152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18"/>
      <c r="V870" s="118"/>
      <c r="W870" s="118"/>
      <c r="X870" s="118"/>
      <c r="Y870" s="118"/>
      <c r="Z870" s="118"/>
      <c r="AA870" s="118"/>
      <c r="AB870" s="118"/>
      <c r="AC870" s="118"/>
      <c r="AD870" s="118"/>
      <c r="AE870" s="118"/>
      <c r="AF870" s="118"/>
      <c r="AG870" s="118"/>
      <c r="AH870" s="118"/>
    </row>
    <row r="871">
      <c r="A871" s="118"/>
      <c r="B871" s="52"/>
      <c r="C871" s="118"/>
      <c r="D871" s="52"/>
      <c r="E871" s="118"/>
      <c r="F871" s="152"/>
      <c r="G871" s="152"/>
      <c r="H871" s="152"/>
      <c r="I871" s="152"/>
      <c r="J871" s="152"/>
      <c r="K871" s="118"/>
      <c r="L871" s="118"/>
      <c r="M871" s="118"/>
      <c r="N871" s="118"/>
      <c r="O871" s="118"/>
      <c r="P871" s="118"/>
      <c r="Q871" s="118"/>
      <c r="R871" s="118"/>
      <c r="S871" s="118"/>
      <c r="T871" s="118"/>
      <c r="U871" s="118"/>
      <c r="V871" s="118"/>
      <c r="W871" s="118"/>
      <c r="X871" s="118"/>
      <c r="Y871" s="118"/>
      <c r="Z871" s="118"/>
      <c r="AA871" s="118"/>
      <c r="AB871" s="118"/>
      <c r="AC871" s="118"/>
      <c r="AD871" s="118"/>
      <c r="AE871" s="118"/>
      <c r="AF871" s="118"/>
      <c r="AG871" s="118"/>
      <c r="AH871" s="118"/>
    </row>
    <row r="872">
      <c r="A872" s="118"/>
      <c r="B872" s="52"/>
      <c r="C872" s="118"/>
      <c r="D872" s="52"/>
      <c r="E872" s="118"/>
      <c r="F872" s="152"/>
      <c r="G872" s="152"/>
      <c r="H872" s="152"/>
      <c r="I872" s="152"/>
      <c r="J872" s="152"/>
      <c r="K872" s="118"/>
      <c r="L872" s="118"/>
      <c r="M872" s="118"/>
      <c r="N872" s="118"/>
      <c r="O872" s="118"/>
      <c r="P872" s="118"/>
      <c r="Q872" s="118"/>
      <c r="R872" s="118"/>
      <c r="S872" s="118"/>
      <c r="T872" s="118"/>
      <c r="U872" s="118"/>
      <c r="V872" s="118"/>
      <c r="W872" s="118"/>
      <c r="X872" s="118"/>
      <c r="Y872" s="118"/>
      <c r="Z872" s="118"/>
      <c r="AA872" s="118"/>
      <c r="AB872" s="118"/>
      <c r="AC872" s="118"/>
      <c r="AD872" s="118"/>
      <c r="AE872" s="118"/>
      <c r="AF872" s="118"/>
      <c r="AG872" s="118"/>
      <c r="AH872" s="118"/>
    </row>
    <row r="873">
      <c r="A873" s="118"/>
      <c r="B873" s="52"/>
      <c r="C873" s="118"/>
      <c r="D873" s="52"/>
      <c r="E873" s="118"/>
      <c r="F873" s="152"/>
      <c r="G873" s="152"/>
      <c r="H873" s="152"/>
      <c r="I873" s="152"/>
      <c r="J873" s="152"/>
      <c r="K873" s="118"/>
      <c r="L873" s="118"/>
      <c r="M873" s="118"/>
      <c r="N873" s="118"/>
      <c r="O873" s="118"/>
      <c r="P873" s="118"/>
      <c r="Q873" s="118"/>
      <c r="R873" s="118"/>
      <c r="S873" s="118"/>
      <c r="T873" s="118"/>
      <c r="U873" s="118"/>
      <c r="V873" s="118"/>
      <c r="W873" s="118"/>
      <c r="X873" s="118"/>
      <c r="Y873" s="118"/>
      <c r="Z873" s="118"/>
      <c r="AA873" s="118"/>
      <c r="AB873" s="118"/>
      <c r="AC873" s="118"/>
      <c r="AD873" s="118"/>
      <c r="AE873" s="118"/>
      <c r="AF873" s="118"/>
      <c r="AG873" s="118"/>
      <c r="AH873" s="118"/>
    </row>
    <row r="874">
      <c r="A874" s="118"/>
      <c r="B874" s="52"/>
      <c r="C874" s="118"/>
      <c r="D874" s="52"/>
      <c r="E874" s="118"/>
      <c r="F874" s="152"/>
      <c r="G874" s="152"/>
      <c r="H874" s="152"/>
      <c r="I874" s="152"/>
      <c r="J874" s="152"/>
      <c r="K874" s="118"/>
      <c r="L874" s="118"/>
      <c r="M874" s="118"/>
      <c r="N874" s="118"/>
      <c r="O874" s="118"/>
      <c r="P874" s="118"/>
      <c r="Q874" s="118"/>
      <c r="R874" s="118"/>
      <c r="S874" s="118"/>
      <c r="T874" s="118"/>
      <c r="U874" s="118"/>
      <c r="V874" s="118"/>
      <c r="W874" s="118"/>
      <c r="X874" s="118"/>
      <c r="Y874" s="118"/>
      <c r="Z874" s="118"/>
      <c r="AA874" s="118"/>
      <c r="AB874" s="118"/>
      <c r="AC874" s="118"/>
      <c r="AD874" s="118"/>
      <c r="AE874" s="118"/>
      <c r="AF874" s="118"/>
      <c r="AG874" s="118"/>
      <c r="AH874" s="118"/>
    </row>
    <row r="875">
      <c r="A875" s="118"/>
      <c r="B875" s="52"/>
      <c r="C875" s="118"/>
      <c r="D875" s="52"/>
      <c r="E875" s="118"/>
      <c r="F875" s="152"/>
      <c r="G875" s="152"/>
      <c r="H875" s="152"/>
      <c r="I875" s="152"/>
      <c r="J875" s="152"/>
      <c r="K875" s="118"/>
      <c r="L875" s="118"/>
      <c r="M875" s="118"/>
      <c r="N875" s="118"/>
      <c r="O875" s="118"/>
      <c r="P875" s="118"/>
      <c r="Q875" s="118"/>
      <c r="R875" s="118"/>
      <c r="S875" s="118"/>
      <c r="T875" s="118"/>
      <c r="U875" s="118"/>
      <c r="V875" s="118"/>
      <c r="W875" s="118"/>
      <c r="X875" s="118"/>
      <c r="Y875" s="118"/>
      <c r="Z875" s="118"/>
      <c r="AA875" s="118"/>
      <c r="AB875" s="118"/>
      <c r="AC875" s="118"/>
      <c r="AD875" s="118"/>
      <c r="AE875" s="118"/>
      <c r="AF875" s="118"/>
      <c r="AG875" s="118"/>
      <c r="AH875" s="118"/>
    </row>
    <row r="876">
      <c r="A876" s="118"/>
      <c r="B876" s="52"/>
      <c r="C876" s="118"/>
      <c r="D876" s="52"/>
      <c r="E876" s="118"/>
      <c r="F876" s="152"/>
      <c r="G876" s="152"/>
      <c r="H876" s="152"/>
      <c r="I876" s="152"/>
      <c r="J876" s="152"/>
      <c r="K876" s="118"/>
      <c r="L876" s="118"/>
      <c r="M876" s="118"/>
      <c r="N876" s="118"/>
      <c r="O876" s="118"/>
      <c r="P876" s="118"/>
      <c r="Q876" s="118"/>
      <c r="R876" s="118"/>
      <c r="S876" s="118"/>
      <c r="T876" s="118"/>
      <c r="U876" s="118"/>
      <c r="V876" s="118"/>
      <c r="W876" s="118"/>
      <c r="X876" s="118"/>
      <c r="Y876" s="118"/>
      <c r="Z876" s="118"/>
      <c r="AA876" s="118"/>
      <c r="AB876" s="118"/>
      <c r="AC876" s="118"/>
      <c r="AD876" s="118"/>
      <c r="AE876" s="118"/>
      <c r="AF876" s="118"/>
      <c r="AG876" s="118"/>
      <c r="AH876" s="118"/>
    </row>
    <row r="877">
      <c r="A877" s="118"/>
      <c r="B877" s="52"/>
      <c r="C877" s="118"/>
      <c r="D877" s="52"/>
      <c r="E877" s="118"/>
      <c r="F877" s="152"/>
      <c r="G877" s="152"/>
      <c r="H877" s="152"/>
      <c r="I877" s="152"/>
      <c r="J877" s="152"/>
      <c r="K877" s="118"/>
      <c r="L877" s="118"/>
      <c r="M877" s="118"/>
      <c r="N877" s="118"/>
      <c r="O877" s="118"/>
      <c r="P877" s="118"/>
      <c r="Q877" s="118"/>
      <c r="R877" s="118"/>
      <c r="S877" s="118"/>
      <c r="T877" s="118"/>
      <c r="U877" s="118"/>
      <c r="V877" s="118"/>
      <c r="W877" s="118"/>
      <c r="X877" s="118"/>
      <c r="Y877" s="118"/>
      <c r="Z877" s="118"/>
      <c r="AA877" s="118"/>
      <c r="AB877" s="118"/>
      <c r="AC877" s="118"/>
      <c r="AD877" s="118"/>
      <c r="AE877" s="118"/>
      <c r="AF877" s="118"/>
      <c r="AG877" s="118"/>
      <c r="AH877" s="118"/>
    </row>
    <row r="878">
      <c r="A878" s="118"/>
      <c r="B878" s="52"/>
      <c r="C878" s="118"/>
      <c r="D878" s="52"/>
      <c r="E878" s="118"/>
      <c r="F878" s="152"/>
      <c r="G878" s="152"/>
      <c r="H878" s="152"/>
      <c r="I878" s="152"/>
      <c r="J878" s="152"/>
      <c r="K878" s="118"/>
      <c r="L878" s="118"/>
      <c r="M878" s="118"/>
      <c r="N878" s="118"/>
      <c r="O878" s="118"/>
      <c r="P878" s="118"/>
      <c r="Q878" s="118"/>
      <c r="R878" s="118"/>
      <c r="S878" s="118"/>
      <c r="T878" s="118"/>
      <c r="U878" s="118"/>
      <c r="V878" s="118"/>
      <c r="W878" s="118"/>
      <c r="X878" s="118"/>
      <c r="Y878" s="118"/>
      <c r="Z878" s="118"/>
      <c r="AA878" s="118"/>
      <c r="AB878" s="118"/>
      <c r="AC878" s="118"/>
      <c r="AD878" s="118"/>
      <c r="AE878" s="118"/>
      <c r="AF878" s="118"/>
      <c r="AG878" s="118"/>
      <c r="AH878" s="118"/>
    </row>
    <row r="879">
      <c r="A879" s="118"/>
      <c r="B879" s="52"/>
      <c r="C879" s="118"/>
      <c r="D879" s="52"/>
      <c r="E879" s="118"/>
      <c r="F879" s="152"/>
      <c r="G879" s="152"/>
      <c r="H879" s="152"/>
      <c r="I879" s="152"/>
      <c r="J879" s="152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18"/>
      <c r="V879" s="118"/>
      <c r="W879" s="118"/>
      <c r="X879" s="118"/>
      <c r="Y879" s="118"/>
      <c r="Z879" s="118"/>
      <c r="AA879" s="118"/>
      <c r="AB879" s="118"/>
      <c r="AC879" s="118"/>
      <c r="AD879" s="118"/>
      <c r="AE879" s="118"/>
      <c r="AF879" s="118"/>
      <c r="AG879" s="118"/>
      <c r="AH879" s="118"/>
    </row>
    <row r="880">
      <c r="A880" s="118"/>
      <c r="B880" s="52"/>
      <c r="C880" s="118"/>
      <c r="D880" s="52"/>
      <c r="E880" s="118"/>
      <c r="F880" s="152"/>
      <c r="G880" s="152"/>
      <c r="H880" s="152"/>
      <c r="I880" s="152"/>
      <c r="J880" s="152"/>
      <c r="K880" s="118"/>
      <c r="L880" s="118"/>
      <c r="M880" s="118"/>
      <c r="N880" s="118"/>
      <c r="O880" s="118"/>
      <c r="P880" s="118"/>
      <c r="Q880" s="118"/>
      <c r="R880" s="118"/>
      <c r="S880" s="118"/>
      <c r="T880" s="118"/>
      <c r="U880" s="118"/>
      <c r="V880" s="118"/>
      <c r="W880" s="118"/>
      <c r="X880" s="118"/>
      <c r="Y880" s="118"/>
      <c r="Z880" s="118"/>
      <c r="AA880" s="118"/>
      <c r="AB880" s="118"/>
      <c r="AC880" s="118"/>
      <c r="AD880" s="118"/>
      <c r="AE880" s="118"/>
      <c r="AF880" s="118"/>
      <c r="AG880" s="118"/>
      <c r="AH880" s="118"/>
    </row>
    <row r="881">
      <c r="A881" s="118"/>
      <c r="B881" s="52"/>
      <c r="C881" s="118"/>
      <c r="D881" s="52"/>
      <c r="E881" s="118"/>
      <c r="F881" s="152"/>
      <c r="G881" s="152"/>
      <c r="H881" s="152"/>
      <c r="I881" s="152"/>
      <c r="J881" s="152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18"/>
      <c r="V881" s="118"/>
      <c r="W881" s="118"/>
      <c r="X881" s="118"/>
      <c r="Y881" s="118"/>
      <c r="Z881" s="118"/>
      <c r="AA881" s="118"/>
      <c r="AB881" s="118"/>
      <c r="AC881" s="118"/>
      <c r="AD881" s="118"/>
      <c r="AE881" s="118"/>
      <c r="AF881" s="118"/>
      <c r="AG881" s="118"/>
      <c r="AH881" s="118"/>
    </row>
    <row r="882">
      <c r="A882" s="118"/>
      <c r="B882" s="52"/>
      <c r="C882" s="118"/>
      <c r="D882" s="52"/>
      <c r="E882" s="118"/>
      <c r="F882" s="152"/>
      <c r="G882" s="152"/>
      <c r="H882" s="152"/>
      <c r="I882" s="152"/>
      <c r="J882" s="152"/>
      <c r="K882" s="118"/>
      <c r="L882" s="118"/>
      <c r="M882" s="118"/>
      <c r="N882" s="118"/>
      <c r="O882" s="118"/>
      <c r="P882" s="118"/>
      <c r="Q882" s="118"/>
      <c r="R882" s="118"/>
      <c r="S882" s="118"/>
      <c r="T882" s="118"/>
      <c r="U882" s="118"/>
      <c r="V882" s="118"/>
      <c r="W882" s="118"/>
      <c r="X882" s="118"/>
      <c r="Y882" s="118"/>
      <c r="Z882" s="118"/>
      <c r="AA882" s="118"/>
      <c r="AB882" s="118"/>
      <c r="AC882" s="118"/>
      <c r="AD882" s="118"/>
      <c r="AE882" s="118"/>
      <c r="AF882" s="118"/>
      <c r="AG882" s="118"/>
      <c r="AH882" s="118"/>
    </row>
    <row r="883">
      <c r="A883" s="118"/>
      <c r="B883" s="52"/>
      <c r="C883" s="118"/>
      <c r="D883" s="52"/>
      <c r="E883" s="118"/>
      <c r="F883" s="152"/>
      <c r="G883" s="152"/>
      <c r="H883" s="152"/>
      <c r="I883" s="152"/>
      <c r="J883" s="152"/>
      <c r="K883" s="118"/>
      <c r="L883" s="118"/>
      <c r="M883" s="118"/>
      <c r="N883" s="118"/>
      <c r="O883" s="118"/>
      <c r="P883" s="118"/>
      <c r="Q883" s="118"/>
      <c r="R883" s="118"/>
      <c r="S883" s="118"/>
      <c r="T883" s="118"/>
      <c r="U883" s="118"/>
      <c r="V883" s="118"/>
      <c r="W883" s="118"/>
      <c r="X883" s="118"/>
      <c r="Y883" s="118"/>
      <c r="Z883" s="118"/>
      <c r="AA883" s="118"/>
      <c r="AB883" s="118"/>
      <c r="AC883" s="118"/>
      <c r="AD883" s="118"/>
      <c r="AE883" s="118"/>
      <c r="AF883" s="118"/>
      <c r="AG883" s="118"/>
      <c r="AH883" s="118"/>
    </row>
    <row r="884">
      <c r="A884" s="118"/>
      <c r="B884" s="52"/>
      <c r="C884" s="118"/>
      <c r="D884" s="52"/>
      <c r="E884" s="118"/>
      <c r="F884" s="152"/>
      <c r="G884" s="152"/>
      <c r="H884" s="152"/>
      <c r="I884" s="152"/>
      <c r="J884" s="152"/>
      <c r="K884" s="118"/>
      <c r="L884" s="118"/>
      <c r="M884" s="118"/>
      <c r="N884" s="118"/>
      <c r="O884" s="118"/>
      <c r="P884" s="118"/>
      <c r="Q884" s="118"/>
      <c r="R884" s="118"/>
      <c r="S884" s="118"/>
      <c r="T884" s="118"/>
      <c r="U884" s="118"/>
      <c r="V884" s="118"/>
      <c r="W884" s="118"/>
      <c r="X884" s="118"/>
      <c r="Y884" s="118"/>
      <c r="Z884" s="118"/>
      <c r="AA884" s="118"/>
      <c r="AB884" s="118"/>
      <c r="AC884" s="118"/>
      <c r="AD884" s="118"/>
      <c r="AE884" s="118"/>
      <c r="AF884" s="118"/>
      <c r="AG884" s="118"/>
      <c r="AH884" s="118"/>
    </row>
    <row r="885">
      <c r="A885" s="118"/>
      <c r="B885" s="52"/>
      <c r="C885" s="118"/>
      <c r="D885" s="52"/>
      <c r="E885" s="118"/>
      <c r="F885" s="152"/>
      <c r="G885" s="152"/>
      <c r="H885" s="152"/>
      <c r="I885" s="152"/>
      <c r="J885" s="152"/>
      <c r="K885" s="118"/>
      <c r="L885" s="118"/>
      <c r="M885" s="118"/>
      <c r="N885" s="118"/>
      <c r="O885" s="118"/>
      <c r="P885" s="118"/>
      <c r="Q885" s="118"/>
      <c r="R885" s="118"/>
      <c r="S885" s="118"/>
      <c r="T885" s="118"/>
      <c r="U885" s="118"/>
      <c r="V885" s="118"/>
      <c r="W885" s="118"/>
      <c r="X885" s="118"/>
      <c r="Y885" s="118"/>
      <c r="Z885" s="118"/>
      <c r="AA885" s="118"/>
      <c r="AB885" s="118"/>
      <c r="AC885" s="118"/>
      <c r="AD885" s="118"/>
      <c r="AE885" s="118"/>
      <c r="AF885" s="118"/>
      <c r="AG885" s="118"/>
      <c r="AH885" s="118"/>
    </row>
    <row r="886">
      <c r="A886" s="118"/>
      <c r="B886" s="52"/>
      <c r="C886" s="118"/>
      <c r="D886" s="52"/>
      <c r="E886" s="118"/>
      <c r="F886" s="152"/>
      <c r="G886" s="152"/>
      <c r="H886" s="152"/>
      <c r="I886" s="152"/>
      <c r="J886" s="152"/>
      <c r="K886" s="118"/>
      <c r="L886" s="118"/>
      <c r="M886" s="118"/>
      <c r="N886" s="118"/>
      <c r="O886" s="118"/>
      <c r="P886" s="118"/>
      <c r="Q886" s="118"/>
      <c r="R886" s="118"/>
      <c r="S886" s="118"/>
      <c r="T886" s="118"/>
      <c r="U886" s="118"/>
      <c r="V886" s="118"/>
      <c r="W886" s="118"/>
      <c r="X886" s="118"/>
      <c r="Y886" s="118"/>
      <c r="Z886" s="118"/>
      <c r="AA886" s="118"/>
      <c r="AB886" s="118"/>
      <c r="AC886" s="118"/>
      <c r="AD886" s="118"/>
      <c r="AE886" s="118"/>
      <c r="AF886" s="118"/>
      <c r="AG886" s="118"/>
      <c r="AH886" s="118"/>
    </row>
    <row r="887">
      <c r="A887" s="118"/>
      <c r="B887" s="52"/>
      <c r="C887" s="118"/>
      <c r="D887" s="52"/>
      <c r="E887" s="118"/>
      <c r="F887" s="152"/>
      <c r="G887" s="152"/>
      <c r="H887" s="152"/>
      <c r="I887" s="152"/>
      <c r="J887" s="152"/>
      <c r="K887" s="118"/>
      <c r="L887" s="118"/>
      <c r="M887" s="118"/>
      <c r="N887" s="118"/>
      <c r="O887" s="118"/>
      <c r="P887" s="118"/>
      <c r="Q887" s="118"/>
      <c r="R887" s="118"/>
      <c r="S887" s="118"/>
      <c r="T887" s="118"/>
      <c r="U887" s="118"/>
      <c r="V887" s="118"/>
      <c r="W887" s="118"/>
      <c r="X887" s="118"/>
      <c r="Y887" s="118"/>
      <c r="Z887" s="118"/>
      <c r="AA887" s="118"/>
      <c r="AB887" s="118"/>
      <c r="AC887" s="118"/>
      <c r="AD887" s="118"/>
      <c r="AE887" s="118"/>
      <c r="AF887" s="118"/>
      <c r="AG887" s="118"/>
      <c r="AH887" s="118"/>
    </row>
    <row r="888">
      <c r="A888" s="118"/>
      <c r="B888" s="52"/>
      <c r="C888" s="118"/>
      <c r="D888" s="52"/>
      <c r="E888" s="118"/>
      <c r="F888" s="152"/>
      <c r="G888" s="152"/>
      <c r="H888" s="152"/>
      <c r="I888" s="152"/>
      <c r="J888" s="152"/>
      <c r="K888" s="118"/>
      <c r="L888" s="118"/>
      <c r="M888" s="118"/>
      <c r="N888" s="118"/>
      <c r="O888" s="118"/>
      <c r="P888" s="118"/>
      <c r="Q888" s="118"/>
      <c r="R888" s="118"/>
      <c r="S888" s="118"/>
      <c r="T888" s="118"/>
      <c r="U888" s="118"/>
      <c r="V888" s="118"/>
      <c r="W888" s="118"/>
      <c r="X888" s="118"/>
      <c r="Y888" s="118"/>
      <c r="Z888" s="118"/>
      <c r="AA888" s="118"/>
      <c r="AB888" s="118"/>
      <c r="AC888" s="118"/>
      <c r="AD888" s="118"/>
      <c r="AE888" s="118"/>
      <c r="AF888" s="118"/>
      <c r="AG888" s="118"/>
      <c r="AH888" s="118"/>
    </row>
    <row r="889">
      <c r="A889" s="118"/>
      <c r="B889" s="52"/>
      <c r="C889" s="118"/>
      <c r="D889" s="52"/>
      <c r="E889" s="118"/>
      <c r="F889" s="152"/>
      <c r="G889" s="152"/>
      <c r="H889" s="152"/>
      <c r="I889" s="152"/>
      <c r="J889" s="152"/>
      <c r="K889" s="118"/>
      <c r="L889" s="118"/>
      <c r="M889" s="118"/>
      <c r="N889" s="118"/>
      <c r="O889" s="118"/>
      <c r="P889" s="118"/>
      <c r="Q889" s="118"/>
      <c r="R889" s="118"/>
      <c r="S889" s="118"/>
      <c r="T889" s="118"/>
      <c r="U889" s="118"/>
      <c r="V889" s="118"/>
      <c r="W889" s="118"/>
      <c r="X889" s="118"/>
      <c r="Y889" s="118"/>
      <c r="Z889" s="118"/>
      <c r="AA889" s="118"/>
      <c r="AB889" s="118"/>
      <c r="AC889" s="118"/>
      <c r="AD889" s="118"/>
      <c r="AE889" s="118"/>
      <c r="AF889" s="118"/>
      <c r="AG889" s="118"/>
      <c r="AH889" s="118"/>
    </row>
    <row r="890">
      <c r="A890" s="118"/>
      <c r="B890" s="52"/>
      <c r="C890" s="118"/>
      <c r="D890" s="52"/>
      <c r="E890" s="118"/>
      <c r="F890" s="152"/>
      <c r="G890" s="152"/>
      <c r="H890" s="152"/>
      <c r="I890" s="152"/>
      <c r="J890" s="152"/>
      <c r="K890" s="118"/>
      <c r="L890" s="118"/>
      <c r="M890" s="118"/>
      <c r="N890" s="118"/>
      <c r="O890" s="118"/>
      <c r="P890" s="118"/>
      <c r="Q890" s="118"/>
      <c r="R890" s="118"/>
      <c r="S890" s="118"/>
      <c r="T890" s="118"/>
      <c r="U890" s="118"/>
      <c r="V890" s="118"/>
      <c r="W890" s="118"/>
      <c r="X890" s="118"/>
      <c r="Y890" s="118"/>
      <c r="Z890" s="118"/>
      <c r="AA890" s="118"/>
      <c r="AB890" s="118"/>
      <c r="AC890" s="118"/>
      <c r="AD890" s="118"/>
      <c r="AE890" s="118"/>
      <c r="AF890" s="118"/>
      <c r="AG890" s="118"/>
      <c r="AH890" s="118"/>
    </row>
    <row r="891">
      <c r="A891" s="118"/>
      <c r="B891" s="52"/>
      <c r="C891" s="118"/>
      <c r="D891" s="52"/>
      <c r="E891" s="118"/>
      <c r="F891" s="152"/>
      <c r="G891" s="152"/>
      <c r="H891" s="152"/>
      <c r="I891" s="152"/>
      <c r="J891" s="152"/>
      <c r="K891" s="118"/>
      <c r="L891" s="118"/>
      <c r="M891" s="118"/>
      <c r="N891" s="118"/>
      <c r="O891" s="118"/>
      <c r="P891" s="118"/>
      <c r="Q891" s="118"/>
      <c r="R891" s="118"/>
      <c r="S891" s="118"/>
      <c r="T891" s="118"/>
      <c r="U891" s="118"/>
      <c r="V891" s="118"/>
      <c r="W891" s="118"/>
      <c r="X891" s="118"/>
      <c r="Y891" s="118"/>
      <c r="Z891" s="118"/>
      <c r="AA891" s="118"/>
      <c r="AB891" s="118"/>
      <c r="AC891" s="118"/>
      <c r="AD891" s="118"/>
      <c r="AE891" s="118"/>
      <c r="AF891" s="118"/>
      <c r="AG891" s="118"/>
      <c r="AH891" s="118"/>
    </row>
    <row r="892">
      <c r="A892" s="118"/>
      <c r="B892" s="52"/>
      <c r="C892" s="118"/>
      <c r="D892" s="52"/>
      <c r="E892" s="118"/>
      <c r="F892" s="152"/>
      <c r="G892" s="152"/>
      <c r="H892" s="152"/>
      <c r="I892" s="152"/>
      <c r="J892" s="152"/>
      <c r="K892" s="118"/>
      <c r="L892" s="118"/>
      <c r="M892" s="118"/>
      <c r="N892" s="118"/>
      <c r="O892" s="118"/>
      <c r="P892" s="118"/>
      <c r="Q892" s="118"/>
      <c r="R892" s="118"/>
      <c r="S892" s="118"/>
      <c r="T892" s="118"/>
      <c r="U892" s="118"/>
      <c r="V892" s="118"/>
      <c r="W892" s="118"/>
      <c r="X892" s="118"/>
      <c r="Y892" s="118"/>
      <c r="Z892" s="118"/>
      <c r="AA892" s="118"/>
      <c r="AB892" s="118"/>
      <c r="AC892" s="118"/>
      <c r="AD892" s="118"/>
      <c r="AE892" s="118"/>
      <c r="AF892" s="118"/>
      <c r="AG892" s="118"/>
      <c r="AH892" s="118"/>
    </row>
    <row r="893">
      <c r="A893" s="118"/>
      <c r="B893" s="52"/>
      <c r="C893" s="118"/>
      <c r="D893" s="52"/>
      <c r="E893" s="118"/>
      <c r="F893" s="152"/>
      <c r="G893" s="152"/>
      <c r="H893" s="152"/>
      <c r="I893" s="152"/>
      <c r="J893" s="152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18"/>
      <c r="V893" s="118"/>
      <c r="W893" s="118"/>
      <c r="X893" s="118"/>
      <c r="Y893" s="118"/>
      <c r="Z893" s="118"/>
      <c r="AA893" s="118"/>
      <c r="AB893" s="118"/>
      <c r="AC893" s="118"/>
      <c r="AD893" s="118"/>
      <c r="AE893" s="118"/>
      <c r="AF893" s="118"/>
      <c r="AG893" s="118"/>
      <c r="AH893" s="118"/>
    </row>
    <row r="894">
      <c r="A894" s="118"/>
      <c r="B894" s="52"/>
      <c r="C894" s="118"/>
      <c r="D894" s="52"/>
      <c r="E894" s="118"/>
      <c r="F894" s="152"/>
      <c r="G894" s="152"/>
      <c r="H894" s="152"/>
      <c r="I894" s="152"/>
      <c r="J894" s="152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18"/>
      <c r="V894" s="118"/>
      <c r="W894" s="118"/>
      <c r="X894" s="118"/>
      <c r="Y894" s="118"/>
      <c r="Z894" s="118"/>
      <c r="AA894" s="118"/>
      <c r="AB894" s="118"/>
      <c r="AC894" s="118"/>
      <c r="AD894" s="118"/>
      <c r="AE894" s="118"/>
      <c r="AF894" s="118"/>
      <c r="AG894" s="118"/>
      <c r="AH894" s="118"/>
    </row>
    <row r="895">
      <c r="A895" s="118"/>
      <c r="B895" s="52"/>
      <c r="C895" s="118"/>
      <c r="D895" s="52"/>
      <c r="E895" s="118"/>
      <c r="F895" s="152"/>
      <c r="G895" s="152"/>
      <c r="H895" s="152"/>
      <c r="I895" s="152"/>
      <c r="J895" s="152"/>
      <c r="K895" s="118"/>
      <c r="L895" s="118"/>
      <c r="M895" s="118"/>
      <c r="N895" s="118"/>
      <c r="O895" s="118"/>
      <c r="P895" s="118"/>
      <c r="Q895" s="118"/>
      <c r="R895" s="118"/>
      <c r="S895" s="118"/>
      <c r="T895" s="118"/>
      <c r="U895" s="118"/>
      <c r="V895" s="118"/>
      <c r="W895" s="118"/>
      <c r="X895" s="118"/>
      <c r="Y895" s="118"/>
      <c r="Z895" s="118"/>
      <c r="AA895" s="118"/>
      <c r="AB895" s="118"/>
      <c r="AC895" s="118"/>
      <c r="AD895" s="118"/>
      <c r="AE895" s="118"/>
      <c r="AF895" s="118"/>
      <c r="AG895" s="118"/>
      <c r="AH895" s="118"/>
    </row>
    <row r="896">
      <c r="A896" s="118"/>
      <c r="B896" s="52"/>
      <c r="C896" s="118"/>
      <c r="D896" s="52"/>
      <c r="E896" s="118"/>
      <c r="F896" s="152"/>
      <c r="G896" s="152"/>
      <c r="H896" s="152"/>
      <c r="I896" s="152"/>
      <c r="J896" s="152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18"/>
      <c r="V896" s="118"/>
      <c r="W896" s="118"/>
      <c r="X896" s="118"/>
      <c r="Y896" s="118"/>
      <c r="Z896" s="118"/>
      <c r="AA896" s="118"/>
      <c r="AB896" s="118"/>
      <c r="AC896" s="118"/>
      <c r="AD896" s="118"/>
      <c r="AE896" s="118"/>
      <c r="AF896" s="118"/>
      <c r="AG896" s="118"/>
      <c r="AH896" s="118"/>
    </row>
    <row r="897">
      <c r="A897" s="118"/>
      <c r="B897" s="52"/>
      <c r="C897" s="118"/>
      <c r="D897" s="52"/>
      <c r="E897" s="118"/>
      <c r="F897" s="152"/>
      <c r="G897" s="152"/>
      <c r="H897" s="152"/>
      <c r="I897" s="152"/>
      <c r="J897" s="152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18"/>
      <c r="V897" s="118"/>
      <c r="W897" s="118"/>
      <c r="X897" s="118"/>
      <c r="Y897" s="118"/>
      <c r="Z897" s="118"/>
      <c r="AA897" s="118"/>
      <c r="AB897" s="118"/>
      <c r="AC897" s="118"/>
      <c r="AD897" s="118"/>
      <c r="AE897" s="118"/>
      <c r="AF897" s="118"/>
      <c r="AG897" s="118"/>
      <c r="AH897" s="118"/>
    </row>
    <row r="898">
      <c r="A898" s="118"/>
      <c r="B898" s="52"/>
      <c r="C898" s="118"/>
      <c r="D898" s="52"/>
      <c r="E898" s="118"/>
      <c r="F898" s="152"/>
      <c r="G898" s="152"/>
      <c r="H898" s="152"/>
      <c r="I898" s="152"/>
      <c r="J898" s="152"/>
      <c r="K898" s="118"/>
      <c r="L898" s="118"/>
      <c r="M898" s="118"/>
      <c r="N898" s="118"/>
      <c r="O898" s="118"/>
      <c r="P898" s="118"/>
      <c r="Q898" s="118"/>
      <c r="R898" s="118"/>
      <c r="S898" s="118"/>
      <c r="T898" s="118"/>
      <c r="U898" s="118"/>
      <c r="V898" s="118"/>
      <c r="W898" s="118"/>
      <c r="X898" s="118"/>
      <c r="Y898" s="118"/>
      <c r="Z898" s="118"/>
      <c r="AA898" s="118"/>
      <c r="AB898" s="118"/>
      <c r="AC898" s="118"/>
      <c r="AD898" s="118"/>
      <c r="AE898" s="118"/>
      <c r="AF898" s="118"/>
      <c r="AG898" s="118"/>
      <c r="AH898" s="118"/>
    </row>
    <row r="899">
      <c r="A899" s="118"/>
      <c r="B899" s="52"/>
      <c r="C899" s="118"/>
      <c r="D899" s="52"/>
      <c r="E899" s="118"/>
      <c r="F899" s="152"/>
      <c r="G899" s="152"/>
      <c r="H899" s="152"/>
      <c r="I899" s="152"/>
      <c r="J899" s="152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18"/>
      <c r="V899" s="118"/>
      <c r="W899" s="118"/>
      <c r="X899" s="118"/>
      <c r="Y899" s="118"/>
      <c r="Z899" s="118"/>
      <c r="AA899" s="118"/>
      <c r="AB899" s="118"/>
      <c r="AC899" s="118"/>
      <c r="AD899" s="118"/>
      <c r="AE899" s="118"/>
      <c r="AF899" s="118"/>
      <c r="AG899" s="118"/>
      <c r="AH899" s="118"/>
    </row>
    <row r="900">
      <c r="A900" s="118"/>
      <c r="B900" s="52"/>
      <c r="C900" s="118"/>
      <c r="D900" s="52"/>
      <c r="E900" s="118"/>
      <c r="F900" s="152"/>
      <c r="G900" s="152"/>
      <c r="H900" s="152"/>
      <c r="I900" s="152"/>
      <c r="J900" s="152"/>
      <c r="K900" s="118"/>
      <c r="L900" s="118"/>
      <c r="M900" s="118"/>
      <c r="N900" s="118"/>
      <c r="O900" s="118"/>
      <c r="P900" s="118"/>
      <c r="Q900" s="118"/>
      <c r="R900" s="118"/>
      <c r="S900" s="118"/>
      <c r="T900" s="118"/>
      <c r="U900" s="118"/>
      <c r="V900" s="118"/>
      <c r="W900" s="118"/>
      <c r="X900" s="118"/>
      <c r="Y900" s="118"/>
      <c r="Z900" s="118"/>
      <c r="AA900" s="118"/>
      <c r="AB900" s="118"/>
      <c r="AC900" s="118"/>
      <c r="AD900" s="118"/>
      <c r="AE900" s="118"/>
      <c r="AF900" s="118"/>
      <c r="AG900" s="118"/>
      <c r="AH900" s="118"/>
    </row>
    <row r="901">
      <c r="A901" s="118"/>
      <c r="B901" s="52"/>
      <c r="C901" s="118"/>
      <c r="D901" s="52"/>
      <c r="E901" s="118"/>
      <c r="F901" s="152"/>
      <c r="G901" s="152"/>
      <c r="H901" s="152"/>
      <c r="I901" s="152"/>
      <c r="J901" s="152"/>
      <c r="K901" s="118"/>
      <c r="L901" s="118"/>
      <c r="M901" s="118"/>
      <c r="N901" s="118"/>
      <c r="O901" s="118"/>
      <c r="P901" s="118"/>
      <c r="Q901" s="118"/>
      <c r="R901" s="118"/>
      <c r="S901" s="118"/>
      <c r="T901" s="118"/>
      <c r="U901" s="118"/>
      <c r="V901" s="118"/>
      <c r="W901" s="118"/>
      <c r="X901" s="118"/>
      <c r="Y901" s="118"/>
      <c r="Z901" s="118"/>
      <c r="AA901" s="118"/>
      <c r="AB901" s="118"/>
      <c r="AC901" s="118"/>
      <c r="AD901" s="118"/>
      <c r="AE901" s="118"/>
      <c r="AF901" s="118"/>
      <c r="AG901" s="118"/>
      <c r="AH901" s="118"/>
    </row>
    <row r="902">
      <c r="A902" s="118"/>
      <c r="B902" s="52"/>
      <c r="C902" s="118"/>
      <c r="D902" s="52"/>
      <c r="E902" s="118"/>
      <c r="F902" s="152"/>
      <c r="G902" s="152"/>
      <c r="H902" s="152"/>
      <c r="I902" s="152"/>
      <c r="J902" s="152"/>
      <c r="K902" s="118"/>
      <c r="L902" s="118"/>
      <c r="M902" s="118"/>
      <c r="N902" s="118"/>
      <c r="O902" s="118"/>
      <c r="P902" s="118"/>
      <c r="Q902" s="118"/>
      <c r="R902" s="118"/>
      <c r="S902" s="118"/>
      <c r="T902" s="118"/>
      <c r="U902" s="118"/>
      <c r="V902" s="118"/>
      <c r="W902" s="118"/>
      <c r="X902" s="118"/>
      <c r="Y902" s="118"/>
      <c r="Z902" s="118"/>
      <c r="AA902" s="118"/>
      <c r="AB902" s="118"/>
      <c r="AC902" s="118"/>
      <c r="AD902" s="118"/>
      <c r="AE902" s="118"/>
      <c r="AF902" s="118"/>
      <c r="AG902" s="118"/>
      <c r="AH902" s="118"/>
    </row>
    <row r="903">
      <c r="A903" s="118"/>
      <c r="B903" s="52"/>
      <c r="C903" s="118"/>
      <c r="D903" s="52"/>
      <c r="E903" s="118"/>
      <c r="F903" s="152"/>
      <c r="G903" s="152"/>
      <c r="H903" s="152"/>
      <c r="I903" s="152"/>
      <c r="J903" s="152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18"/>
      <c r="V903" s="118"/>
      <c r="W903" s="118"/>
      <c r="X903" s="118"/>
      <c r="Y903" s="118"/>
      <c r="Z903" s="118"/>
      <c r="AA903" s="118"/>
      <c r="AB903" s="118"/>
      <c r="AC903" s="118"/>
      <c r="AD903" s="118"/>
      <c r="AE903" s="118"/>
      <c r="AF903" s="118"/>
      <c r="AG903" s="118"/>
      <c r="AH903" s="118"/>
    </row>
    <row r="904">
      <c r="A904" s="118"/>
      <c r="B904" s="52"/>
      <c r="C904" s="118"/>
      <c r="D904" s="52"/>
      <c r="E904" s="118"/>
      <c r="F904" s="152"/>
      <c r="G904" s="152"/>
      <c r="H904" s="152"/>
      <c r="I904" s="152"/>
      <c r="J904" s="152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18"/>
      <c r="V904" s="118"/>
      <c r="W904" s="118"/>
      <c r="X904" s="118"/>
      <c r="Y904" s="118"/>
      <c r="Z904" s="118"/>
      <c r="AA904" s="118"/>
      <c r="AB904" s="118"/>
      <c r="AC904" s="118"/>
      <c r="AD904" s="118"/>
      <c r="AE904" s="118"/>
      <c r="AF904" s="118"/>
      <c r="AG904" s="118"/>
      <c r="AH904" s="118"/>
    </row>
    <row r="905">
      <c r="A905" s="118"/>
      <c r="B905" s="52"/>
      <c r="C905" s="118"/>
      <c r="D905" s="52"/>
      <c r="E905" s="118"/>
      <c r="F905" s="152"/>
      <c r="G905" s="152"/>
      <c r="H905" s="152"/>
      <c r="I905" s="152"/>
      <c r="J905" s="152"/>
      <c r="K905" s="118"/>
      <c r="L905" s="118"/>
      <c r="M905" s="118"/>
      <c r="N905" s="118"/>
      <c r="O905" s="118"/>
      <c r="P905" s="118"/>
      <c r="Q905" s="118"/>
      <c r="R905" s="118"/>
      <c r="S905" s="118"/>
      <c r="T905" s="118"/>
      <c r="U905" s="118"/>
      <c r="V905" s="118"/>
      <c r="W905" s="118"/>
      <c r="X905" s="118"/>
      <c r="Y905" s="118"/>
      <c r="Z905" s="118"/>
      <c r="AA905" s="118"/>
      <c r="AB905" s="118"/>
      <c r="AC905" s="118"/>
      <c r="AD905" s="118"/>
      <c r="AE905" s="118"/>
      <c r="AF905" s="118"/>
      <c r="AG905" s="118"/>
      <c r="AH905" s="118"/>
    </row>
    <row r="906">
      <c r="A906" s="118"/>
      <c r="B906" s="52"/>
      <c r="C906" s="118"/>
      <c r="D906" s="52"/>
      <c r="E906" s="118"/>
      <c r="F906" s="152"/>
      <c r="G906" s="152"/>
      <c r="H906" s="152"/>
      <c r="I906" s="152"/>
      <c r="J906" s="152"/>
      <c r="K906" s="118"/>
      <c r="L906" s="118"/>
      <c r="M906" s="118"/>
      <c r="N906" s="118"/>
      <c r="O906" s="118"/>
      <c r="P906" s="118"/>
      <c r="Q906" s="118"/>
      <c r="R906" s="118"/>
      <c r="S906" s="118"/>
      <c r="T906" s="118"/>
      <c r="U906" s="118"/>
      <c r="V906" s="118"/>
      <c r="W906" s="118"/>
      <c r="X906" s="118"/>
      <c r="Y906" s="118"/>
      <c r="Z906" s="118"/>
      <c r="AA906" s="118"/>
      <c r="AB906" s="118"/>
      <c r="AC906" s="118"/>
      <c r="AD906" s="118"/>
      <c r="AE906" s="118"/>
      <c r="AF906" s="118"/>
      <c r="AG906" s="118"/>
      <c r="AH906" s="118"/>
    </row>
    <row r="907">
      <c r="A907" s="118"/>
      <c r="B907" s="52"/>
      <c r="C907" s="118"/>
      <c r="D907" s="52"/>
      <c r="E907" s="118"/>
      <c r="F907" s="152"/>
      <c r="G907" s="152"/>
      <c r="H907" s="152"/>
      <c r="I907" s="152"/>
      <c r="J907" s="152"/>
      <c r="K907" s="118"/>
      <c r="L907" s="118"/>
      <c r="M907" s="118"/>
      <c r="N907" s="118"/>
      <c r="O907" s="118"/>
      <c r="P907" s="118"/>
      <c r="Q907" s="118"/>
      <c r="R907" s="118"/>
      <c r="S907" s="118"/>
      <c r="T907" s="118"/>
      <c r="U907" s="118"/>
      <c r="V907" s="118"/>
      <c r="W907" s="118"/>
      <c r="X907" s="118"/>
      <c r="Y907" s="118"/>
      <c r="Z907" s="118"/>
      <c r="AA907" s="118"/>
      <c r="AB907" s="118"/>
      <c r="AC907" s="118"/>
      <c r="AD907" s="118"/>
      <c r="AE907" s="118"/>
      <c r="AF907" s="118"/>
      <c r="AG907" s="118"/>
      <c r="AH907" s="118"/>
    </row>
    <row r="908">
      <c r="A908" s="118"/>
      <c r="B908" s="52"/>
      <c r="C908" s="118"/>
      <c r="D908" s="52"/>
      <c r="E908" s="118"/>
      <c r="F908" s="152"/>
      <c r="G908" s="152"/>
      <c r="H908" s="152"/>
      <c r="I908" s="152"/>
      <c r="J908" s="152"/>
      <c r="K908" s="118"/>
      <c r="L908" s="118"/>
      <c r="M908" s="118"/>
      <c r="N908" s="118"/>
      <c r="O908" s="118"/>
      <c r="P908" s="118"/>
      <c r="Q908" s="118"/>
      <c r="R908" s="118"/>
      <c r="S908" s="118"/>
      <c r="T908" s="118"/>
      <c r="U908" s="118"/>
      <c r="V908" s="118"/>
      <c r="W908" s="118"/>
      <c r="X908" s="118"/>
      <c r="Y908" s="118"/>
      <c r="Z908" s="118"/>
      <c r="AA908" s="118"/>
      <c r="AB908" s="118"/>
      <c r="AC908" s="118"/>
      <c r="AD908" s="118"/>
      <c r="AE908" s="118"/>
      <c r="AF908" s="118"/>
      <c r="AG908" s="118"/>
      <c r="AH908" s="118"/>
    </row>
    <row r="909">
      <c r="A909" s="118"/>
      <c r="B909" s="52"/>
      <c r="C909" s="118"/>
      <c r="D909" s="52"/>
      <c r="E909" s="118"/>
      <c r="F909" s="152"/>
      <c r="G909" s="152"/>
      <c r="H909" s="152"/>
      <c r="I909" s="152"/>
      <c r="J909" s="152"/>
      <c r="K909" s="118"/>
      <c r="L909" s="118"/>
      <c r="M909" s="118"/>
      <c r="N909" s="118"/>
      <c r="O909" s="118"/>
      <c r="P909" s="118"/>
      <c r="Q909" s="118"/>
      <c r="R909" s="118"/>
      <c r="S909" s="118"/>
      <c r="T909" s="118"/>
      <c r="U909" s="118"/>
      <c r="V909" s="118"/>
      <c r="W909" s="118"/>
      <c r="X909" s="118"/>
      <c r="Y909" s="118"/>
      <c r="Z909" s="118"/>
      <c r="AA909" s="118"/>
      <c r="AB909" s="118"/>
      <c r="AC909" s="118"/>
      <c r="AD909" s="118"/>
      <c r="AE909" s="118"/>
      <c r="AF909" s="118"/>
      <c r="AG909" s="118"/>
      <c r="AH909" s="118"/>
    </row>
    <row r="910">
      <c r="A910" s="118"/>
      <c r="B910" s="52"/>
      <c r="C910" s="118"/>
      <c r="D910" s="52"/>
      <c r="E910" s="118"/>
      <c r="F910" s="152"/>
      <c r="G910" s="152"/>
      <c r="H910" s="152"/>
      <c r="I910" s="152"/>
      <c r="J910" s="152"/>
      <c r="K910" s="118"/>
      <c r="L910" s="118"/>
      <c r="M910" s="118"/>
      <c r="N910" s="118"/>
      <c r="O910" s="118"/>
      <c r="P910" s="118"/>
      <c r="Q910" s="118"/>
      <c r="R910" s="118"/>
      <c r="S910" s="118"/>
      <c r="T910" s="118"/>
      <c r="U910" s="118"/>
      <c r="V910" s="118"/>
      <c r="W910" s="118"/>
      <c r="X910" s="118"/>
      <c r="Y910" s="118"/>
      <c r="Z910" s="118"/>
      <c r="AA910" s="118"/>
      <c r="AB910" s="118"/>
      <c r="AC910" s="118"/>
      <c r="AD910" s="118"/>
      <c r="AE910" s="118"/>
      <c r="AF910" s="118"/>
      <c r="AG910" s="118"/>
      <c r="AH910" s="118"/>
    </row>
    <row r="911">
      <c r="A911" s="118"/>
      <c r="B911" s="52"/>
      <c r="C911" s="118"/>
      <c r="D911" s="52"/>
      <c r="E911" s="118"/>
      <c r="F911" s="152"/>
      <c r="G911" s="152"/>
      <c r="H911" s="152"/>
      <c r="I911" s="152"/>
      <c r="J911" s="152"/>
      <c r="K911" s="118"/>
      <c r="L911" s="118"/>
      <c r="M911" s="118"/>
      <c r="N911" s="118"/>
      <c r="O911" s="118"/>
      <c r="P911" s="118"/>
      <c r="Q911" s="118"/>
      <c r="R911" s="118"/>
      <c r="S911" s="118"/>
      <c r="T911" s="118"/>
      <c r="U911" s="118"/>
      <c r="V911" s="118"/>
      <c r="W911" s="118"/>
      <c r="X911" s="118"/>
      <c r="Y911" s="118"/>
      <c r="Z911" s="118"/>
      <c r="AA911" s="118"/>
      <c r="AB911" s="118"/>
      <c r="AC911" s="118"/>
      <c r="AD911" s="118"/>
      <c r="AE911" s="118"/>
      <c r="AF911" s="118"/>
      <c r="AG911" s="118"/>
      <c r="AH911" s="118"/>
    </row>
    <row r="912">
      <c r="A912" s="118"/>
      <c r="B912" s="52"/>
      <c r="C912" s="118"/>
      <c r="D912" s="52"/>
      <c r="E912" s="118"/>
      <c r="F912" s="152"/>
      <c r="G912" s="152"/>
      <c r="H912" s="152"/>
      <c r="I912" s="152"/>
      <c r="J912" s="152"/>
      <c r="K912" s="118"/>
      <c r="L912" s="118"/>
      <c r="M912" s="118"/>
      <c r="N912" s="118"/>
      <c r="O912" s="118"/>
      <c r="P912" s="118"/>
      <c r="Q912" s="118"/>
      <c r="R912" s="118"/>
      <c r="S912" s="118"/>
      <c r="T912" s="118"/>
      <c r="U912" s="118"/>
      <c r="V912" s="118"/>
      <c r="W912" s="118"/>
      <c r="X912" s="118"/>
      <c r="Y912" s="118"/>
      <c r="Z912" s="118"/>
      <c r="AA912" s="118"/>
      <c r="AB912" s="118"/>
      <c r="AC912" s="118"/>
      <c r="AD912" s="118"/>
      <c r="AE912" s="118"/>
      <c r="AF912" s="118"/>
      <c r="AG912" s="118"/>
      <c r="AH912" s="118"/>
    </row>
    <row r="913">
      <c r="A913" s="118"/>
      <c r="B913" s="52"/>
      <c r="C913" s="118"/>
      <c r="D913" s="52"/>
      <c r="E913" s="118"/>
      <c r="F913" s="152"/>
      <c r="G913" s="152"/>
      <c r="H913" s="152"/>
      <c r="I913" s="152"/>
      <c r="J913" s="152"/>
      <c r="K913" s="118"/>
      <c r="L913" s="118"/>
      <c r="M913" s="118"/>
      <c r="N913" s="118"/>
      <c r="O913" s="118"/>
      <c r="P913" s="118"/>
      <c r="Q913" s="118"/>
      <c r="R913" s="118"/>
      <c r="S913" s="118"/>
      <c r="T913" s="118"/>
      <c r="U913" s="118"/>
      <c r="V913" s="118"/>
      <c r="W913" s="118"/>
      <c r="X913" s="118"/>
      <c r="Y913" s="118"/>
      <c r="Z913" s="118"/>
      <c r="AA913" s="118"/>
      <c r="AB913" s="118"/>
      <c r="AC913" s="118"/>
      <c r="AD913" s="118"/>
      <c r="AE913" s="118"/>
      <c r="AF913" s="118"/>
      <c r="AG913" s="118"/>
      <c r="AH913" s="118"/>
    </row>
    <row r="914">
      <c r="A914" s="118"/>
      <c r="B914" s="52"/>
      <c r="C914" s="118"/>
      <c r="D914" s="52"/>
      <c r="E914" s="118"/>
      <c r="F914" s="152"/>
      <c r="G914" s="152"/>
      <c r="H914" s="152"/>
      <c r="I914" s="152"/>
      <c r="J914" s="152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18"/>
      <c r="V914" s="118"/>
      <c r="W914" s="118"/>
      <c r="X914" s="118"/>
      <c r="Y914" s="118"/>
      <c r="Z914" s="118"/>
      <c r="AA914" s="118"/>
      <c r="AB914" s="118"/>
      <c r="AC914" s="118"/>
      <c r="AD914" s="118"/>
      <c r="AE914" s="118"/>
      <c r="AF914" s="118"/>
      <c r="AG914" s="118"/>
      <c r="AH914" s="118"/>
    </row>
    <row r="915">
      <c r="A915" s="118"/>
      <c r="B915" s="52"/>
      <c r="C915" s="118"/>
      <c r="D915" s="52"/>
      <c r="E915" s="118"/>
      <c r="F915" s="152"/>
      <c r="G915" s="152"/>
      <c r="H915" s="152"/>
      <c r="I915" s="152"/>
      <c r="J915" s="152"/>
      <c r="K915" s="118"/>
      <c r="L915" s="118"/>
      <c r="M915" s="118"/>
      <c r="N915" s="118"/>
      <c r="O915" s="118"/>
      <c r="P915" s="118"/>
      <c r="Q915" s="118"/>
      <c r="R915" s="118"/>
      <c r="S915" s="118"/>
      <c r="T915" s="118"/>
      <c r="U915" s="118"/>
      <c r="V915" s="118"/>
      <c r="W915" s="118"/>
      <c r="X915" s="118"/>
      <c r="Y915" s="118"/>
      <c r="Z915" s="118"/>
      <c r="AA915" s="118"/>
      <c r="AB915" s="118"/>
      <c r="AC915" s="118"/>
      <c r="AD915" s="118"/>
      <c r="AE915" s="118"/>
      <c r="AF915" s="118"/>
      <c r="AG915" s="118"/>
      <c r="AH915" s="118"/>
    </row>
    <row r="916">
      <c r="A916" s="118"/>
      <c r="B916" s="52"/>
      <c r="C916" s="118"/>
      <c r="D916" s="52"/>
      <c r="E916" s="118"/>
      <c r="F916" s="152"/>
      <c r="G916" s="152"/>
      <c r="H916" s="152"/>
      <c r="I916" s="152"/>
      <c r="J916" s="152"/>
      <c r="K916" s="118"/>
      <c r="L916" s="118"/>
      <c r="M916" s="118"/>
      <c r="N916" s="118"/>
      <c r="O916" s="118"/>
      <c r="P916" s="118"/>
      <c r="Q916" s="118"/>
      <c r="R916" s="118"/>
      <c r="S916" s="118"/>
      <c r="T916" s="118"/>
      <c r="U916" s="118"/>
      <c r="V916" s="118"/>
      <c r="W916" s="118"/>
      <c r="X916" s="118"/>
      <c r="Y916" s="118"/>
      <c r="Z916" s="118"/>
      <c r="AA916" s="118"/>
      <c r="AB916" s="118"/>
      <c r="AC916" s="118"/>
      <c r="AD916" s="118"/>
      <c r="AE916" s="118"/>
      <c r="AF916" s="118"/>
      <c r="AG916" s="118"/>
      <c r="AH916" s="118"/>
    </row>
    <row r="917">
      <c r="A917" s="118"/>
      <c r="B917" s="52"/>
      <c r="C917" s="118"/>
      <c r="D917" s="52"/>
      <c r="E917" s="118"/>
      <c r="F917" s="152"/>
      <c r="G917" s="152"/>
      <c r="H917" s="152"/>
      <c r="I917" s="152"/>
      <c r="J917" s="152"/>
      <c r="K917" s="118"/>
      <c r="L917" s="118"/>
      <c r="M917" s="118"/>
      <c r="N917" s="118"/>
      <c r="O917" s="118"/>
      <c r="P917" s="118"/>
      <c r="Q917" s="118"/>
      <c r="R917" s="118"/>
      <c r="S917" s="118"/>
      <c r="T917" s="118"/>
      <c r="U917" s="118"/>
      <c r="V917" s="118"/>
      <c r="W917" s="118"/>
      <c r="X917" s="118"/>
      <c r="Y917" s="118"/>
      <c r="Z917" s="118"/>
      <c r="AA917" s="118"/>
      <c r="AB917" s="118"/>
      <c r="AC917" s="118"/>
      <c r="AD917" s="118"/>
      <c r="AE917" s="118"/>
      <c r="AF917" s="118"/>
      <c r="AG917" s="118"/>
      <c r="AH917" s="118"/>
    </row>
    <row r="918">
      <c r="A918" s="118"/>
      <c r="B918" s="52"/>
      <c r="C918" s="118"/>
      <c r="D918" s="52"/>
      <c r="E918" s="118"/>
      <c r="F918" s="152"/>
      <c r="G918" s="152"/>
      <c r="H918" s="152"/>
      <c r="I918" s="152"/>
      <c r="J918" s="152"/>
      <c r="K918" s="118"/>
      <c r="L918" s="118"/>
      <c r="M918" s="118"/>
      <c r="N918" s="118"/>
      <c r="O918" s="118"/>
      <c r="P918" s="118"/>
      <c r="Q918" s="118"/>
      <c r="R918" s="118"/>
      <c r="S918" s="118"/>
      <c r="T918" s="118"/>
      <c r="U918" s="118"/>
      <c r="V918" s="118"/>
      <c r="W918" s="118"/>
      <c r="X918" s="118"/>
      <c r="Y918" s="118"/>
      <c r="Z918" s="118"/>
      <c r="AA918" s="118"/>
      <c r="AB918" s="118"/>
      <c r="AC918" s="118"/>
      <c r="AD918" s="118"/>
      <c r="AE918" s="118"/>
      <c r="AF918" s="118"/>
      <c r="AG918" s="118"/>
      <c r="AH918" s="118"/>
    </row>
    <row r="919">
      <c r="A919" s="118"/>
      <c r="B919" s="52"/>
      <c r="C919" s="118"/>
      <c r="D919" s="52"/>
      <c r="E919" s="118"/>
      <c r="F919" s="152"/>
      <c r="G919" s="152"/>
      <c r="H919" s="152"/>
      <c r="I919" s="152"/>
      <c r="J919" s="152"/>
      <c r="K919" s="118"/>
      <c r="L919" s="118"/>
      <c r="M919" s="118"/>
      <c r="N919" s="118"/>
      <c r="O919" s="118"/>
      <c r="P919" s="118"/>
      <c r="Q919" s="118"/>
      <c r="R919" s="118"/>
      <c r="S919" s="118"/>
      <c r="T919" s="118"/>
      <c r="U919" s="118"/>
      <c r="V919" s="118"/>
      <c r="W919" s="118"/>
      <c r="X919" s="118"/>
      <c r="Y919" s="118"/>
      <c r="Z919" s="118"/>
      <c r="AA919" s="118"/>
      <c r="AB919" s="118"/>
      <c r="AC919" s="118"/>
      <c r="AD919" s="118"/>
      <c r="AE919" s="118"/>
      <c r="AF919" s="118"/>
      <c r="AG919" s="118"/>
      <c r="AH919" s="118"/>
    </row>
    <row r="920">
      <c r="A920" s="118"/>
      <c r="B920" s="52"/>
      <c r="C920" s="118"/>
      <c r="D920" s="52"/>
      <c r="E920" s="118"/>
      <c r="F920" s="152"/>
      <c r="G920" s="152"/>
      <c r="H920" s="152"/>
      <c r="I920" s="152"/>
      <c r="J920" s="152"/>
      <c r="K920" s="118"/>
      <c r="L920" s="118"/>
      <c r="M920" s="118"/>
      <c r="N920" s="118"/>
      <c r="O920" s="118"/>
      <c r="P920" s="118"/>
      <c r="Q920" s="118"/>
      <c r="R920" s="118"/>
      <c r="S920" s="118"/>
      <c r="T920" s="118"/>
      <c r="U920" s="118"/>
      <c r="V920" s="118"/>
      <c r="W920" s="118"/>
      <c r="X920" s="118"/>
      <c r="Y920" s="118"/>
      <c r="Z920" s="118"/>
      <c r="AA920" s="118"/>
      <c r="AB920" s="118"/>
      <c r="AC920" s="118"/>
      <c r="AD920" s="118"/>
      <c r="AE920" s="118"/>
      <c r="AF920" s="118"/>
      <c r="AG920" s="118"/>
      <c r="AH920" s="118"/>
    </row>
    <row r="921">
      <c r="A921" s="118"/>
      <c r="B921" s="52"/>
      <c r="C921" s="118"/>
      <c r="D921" s="52"/>
      <c r="E921" s="118"/>
      <c r="F921" s="152"/>
      <c r="G921" s="152"/>
      <c r="H921" s="152"/>
      <c r="I921" s="152"/>
      <c r="J921" s="152"/>
      <c r="K921" s="118"/>
      <c r="L921" s="118"/>
      <c r="M921" s="118"/>
      <c r="N921" s="118"/>
      <c r="O921" s="118"/>
      <c r="P921" s="118"/>
      <c r="Q921" s="118"/>
      <c r="R921" s="118"/>
      <c r="S921" s="118"/>
      <c r="T921" s="118"/>
      <c r="U921" s="118"/>
      <c r="V921" s="118"/>
      <c r="W921" s="118"/>
      <c r="X921" s="118"/>
      <c r="Y921" s="118"/>
      <c r="Z921" s="118"/>
      <c r="AA921" s="118"/>
      <c r="AB921" s="118"/>
      <c r="AC921" s="118"/>
      <c r="AD921" s="118"/>
      <c r="AE921" s="118"/>
      <c r="AF921" s="118"/>
      <c r="AG921" s="118"/>
      <c r="AH921" s="118"/>
    </row>
    <row r="922">
      <c r="A922" s="118"/>
      <c r="B922" s="52"/>
      <c r="C922" s="118"/>
      <c r="D922" s="52"/>
      <c r="E922" s="118"/>
      <c r="F922" s="152"/>
      <c r="G922" s="152"/>
      <c r="H922" s="152"/>
      <c r="I922" s="152"/>
      <c r="J922" s="152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18"/>
      <c r="V922" s="118"/>
      <c r="W922" s="118"/>
      <c r="X922" s="118"/>
      <c r="Y922" s="118"/>
      <c r="Z922" s="118"/>
      <c r="AA922" s="118"/>
      <c r="AB922" s="118"/>
      <c r="AC922" s="118"/>
      <c r="AD922" s="118"/>
      <c r="AE922" s="118"/>
      <c r="AF922" s="118"/>
      <c r="AG922" s="118"/>
      <c r="AH922" s="118"/>
    </row>
    <row r="923">
      <c r="A923" s="118"/>
      <c r="B923" s="52"/>
      <c r="C923" s="118"/>
      <c r="D923" s="52"/>
      <c r="E923" s="118"/>
      <c r="F923" s="152"/>
      <c r="G923" s="152"/>
      <c r="H923" s="152"/>
      <c r="I923" s="152"/>
      <c r="J923" s="152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18"/>
      <c r="V923" s="118"/>
      <c r="W923" s="118"/>
      <c r="X923" s="118"/>
      <c r="Y923" s="118"/>
      <c r="Z923" s="118"/>
      <c r="AA923" s="118"/>
      <c r="AB923" s="118"/>
      <c r="AC923" s="118"/>
      <c r="AD923" s="118"/>
      <c r="AE923" s="118"/>
      <c r="AF923" s="118"/>
      <c r="AG923" s="118"/>
      <c r="AH923" s="118"/>
    </row>
    <row r="924">
      <c r="A924" s="118"/>
      <c r="B924" s="52"/>
      <c r="C924" s="118"/>
      <c r="D924" s="52"/>
      <c r="E924" s="118"/>
      <c r="F924" s="152"/>
      <c r="G924" s="152"/>
      <c r="H924" s="152"/>
      <c r="I924" s="152"/>
      <c r="J924" s="152"/>
      <c r="K924" s="118"/>
      <c r="L924" s="118"/>
      <c r="M924" s="118"/>
      <c r="N924" s="118"/>
      <c r="O924" s="118"/>
      <c r="P924" s="118"/>
      <c r="Q924" s="118"/>
      <c r="R924" s="118"/>
      <c r="S924" s="118"/>
      <c r="T924" s="118"/>
      <c r="U924" s="118"/>
      <c r="V924" s="118"/>
      <c r="W924" s="118"/>
      <c r="X924" s="118"/>
      <c r="Y924" s="118"/>
      <c r="Z924" s="118"/>
      <c r="AA924" s="118"/>
      <c r="AB924" s="118"/>
      <c r="AC924" s="118"/>
      <c r="AD924" s="118"/>
      <c r="AE924" s="118"/>
      <c r="AF924" s="118"/>
      <c r="AG924" s="118"/>
      <c r="AH924" s="118"/>
    </row>
    <row r="925">
      <c r="A925" s="118"/>
      <c r="B925" s="52"/>
      <c r="C925" s="118"/>
      <c r="D925" s="52"/>
      <c r="E925" s="118"/>
      <c r="F925" s="152"/>
      <c r="G925" s="152"/>
      <c r="H925" s="152"/>
      <c r="I925" s="152"/>
      <c r="J925" s="152"/>
      <c r="K925" s="118"/>
      <c r="L925" s="118"/>
      <c r="M925" s="118"/>
      <c r="N925" s="118"/>
      <c r="O925" s="118"/>
      <c r="P925" s="118"/>
      <c r="Q925" s="118"/>
      <c r="R925" s="118"/>
      <c r="S925" s="118"/>
      <c r="T925" s="118"/>
      <c r="U925" s="118"/>
      <c r="V925" s="118"/>
      <c r="W925" s="118"/>
      <c r="X925" s="118"/>
      <c r="Y925" s="118"/>
      <c r="Z925" s="118"/>
      <c r="AA925" s="118"/>
      <c r="AB925" s="118"/>
      <c r="AC925" s="118"/>
      <c r="AD925" s="118"/>
      <c r="AE925" s="118"/>
      <c r="AF925" s="118"/>
      <c r="AG925" s="118"/>
      <c r="AH925" s="118"/>
    </row>
    <row r="926">
      <c r="A926" s="118"/>
      <c r="B926" s="52"/>
      <c r="C926" s="118"/>
      <c r="D926" s="52"/>
      <c r="E926" s="118"/>
      <c r="F926" s="152"/>
      <c r="G926" s="152"/>
      <c r="H926" s="152"/>
      <c r="I926" s="152"/>
      <c r="J926" s="152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18"/>
      <c r="V926" s="118"/>
      <c r="W926" s="118"/>
      <c r="X926" s="118"/>
      <c r="Y926" s="118"/>
      <c r="Z926" s="118"/>
      <c r="AA926" s="118"/>
      <c r="AB926" s="118"/>
      <c r="AC926" s="118"/>
      <c r="AD926" s="118"/>
      <c r="AE926" s="118"/>
      <c r="AF926" s="118"/>
      <c r="AG926" s="118"/>
      <c r="AH926" s="118"/>
    </row>
    <row r="927">
      <c r="A927" s="118"/>
      <c r="B927" s="52"/>
      <c r="C927" s="118"/>
      <c r="D927" s="52"/>
      <c r="E927" s="118"/>
      <c r="F927" s="152"/>
      <c r="G927" s="152"/>
      <c r="H927" s="152"/>
      <c r="I927" s="152"/>
      <c r="J927" s="152"/>
      <c r="K927" s="118"/>
      <c r="L927" s="118"/>
      <c r="M927" s="118"/>
      <c r="N927" s="118"/>
      <c r="O927" s="118"/>
      <c r="P927" s="118"/>
      <c r="Q927" s="118"/>
      <c r="R927" s="118"/>
      <c r="S927" s="118"/>
      <c r="T927" s="118"/>
      <c r="U927" s="118"/>
      <c r="V927" s="118"/>
      <c r="W927" s="118"/>
      <c r="X927" s="118"/>
      <c r="Y927" s="118"/>
      <c r="Z927" s="118"/>
      <c r="AA927" s="118"/>
      <c r="AB927" s="118"/>
      <c r="AC927" s="118"/>
      <c r="AD927" s="118"/>
      <c r="AE927" s="118"/>
      <c r="AF927" s="118"/>
      <c r="AG927" s="118"/>
      <c r="AH927" s="118"/>
    </row>
    <row r="928">
      <c r="A928" s="118"/>
      <c r="B928" s="52"/>
      <c r="C928" s="118"/>
      <c r="D928" s="52"/>
      <c r="E928" s="118"/>
      <c r="F928" s="152"/>
      <c r="G928" s="152"/>
      <c r="H928" s="152"/>
      <c r="I928" s="152"/>
      <c r="J928" s="152"/>
      <c r="K928" s="118"/>
      <c r="L928" s="118"/>
      <c r="M928" s="118"/>
      <c r="N928" s="118"/>
      <c r="O928" s="118"/>
      <c r="P928" s="118"/>
      <c r="Q928" s="118"/>
      <c r="R928" s="118"/>
      <c r="S928" s="118"/>
      <c r="T928" s="118"/>
      <c r="U928" s="118"/>
      <c r="V928" s="118"/>
      <c r="W928" s="118"/>
      <c r="X928" s="118"/>
      <c r="Y928" s="118"/>
      <c r="Z928" s="118"/>
      <c r="AA928" s="118"/>
      <c r="AB928" s="118"/>
      <c r="AC928" s="118"/>
      <c r="AD928" s="118"/>
      <c r="AE928" s="118"/>
      <c r="AF928" s="118"/>
      <c r="AG928" s="118"/>
      <c r="AH928" s="118"/>
    </row>
    <row r="929">
      <c r="A929" s="118"/>
      <c r="B929" s="52"/>
      <c r="C929" s="118"/>
      <c r="D929" s="52"/>
      <c r="E929" s="118"/>
      <c r="F929" s="152"/>
      <c r="G929" s="152"/>
      <c r="H929" s="152"/>
      <c r="I929" s="152"/>
      <c r="J929" s="152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18"/>
      <c r="V929" s="118"/>
      <c r="W929" s="118"/>
      <c r="X929" s="118"/>
      <c r="Y929" s="118"/>
      <c r="Z929" s="118"/>
      <c r="AA929" s="118"/>
      <c r="AB929" s="118"/>
      <c r="AC929" s="118"/>
      <c r="AD929" s="118"/>
      <c r="AE929" s="118"/>
      <c r="AF929" s="118"/>
      <c r="AG929" s="118"/>
      <c r="AH929" s="118"/>
    </row>
    <row r="930">
      <c r="A930" s="118"/>
      <c r="B930" s="52"/>
      <c r="C930" s="118"/>
      <c r="D930" s="52"/>
      <c r="E930" s="118"/>
      <c r="F930" s="152"/>
      <c r="G930" s="152"/>
      <c r="H930" s="152"/>
      <c r="I930" s="152"/>
      <c r="J930" s="152"/>
      <c r="K930" s="118"/>
      <c r="L930" s="118"/>
      <c r="M930" s="118"/>
      <c r="N930" s="118"/>
      <c r="O930" s="118"/>
      <c r="P930" s="118"/>
      <c r="Q930" s="118"/>
      <c r="R930" s="118"/>
      <c r="S930" s="118"/>
      <c r="T930" s="118"/>
      <c r="U930" s="118"/>
      <c r="V930" s="118"/>
      <c r="W930" s="118"/>
      <c r="X930" s="118"/>
      <c r="Y930" s="118"/>
      <c r="Z930" s="118"/>
      <c r="AA930" s="118"/>
      <c r="AB930" s="118"/>
      <c r="AC930" s="118"/>
      <c r="AD930" s="118"/>
      <c r="AE930" s="118"/>
      <c r="AF930" s="118"/>
      <c r="AG930" s="118"/>
      <c r="AH930" s="118"/>
    </row>
    <row r="931">
      <c r="A931" s="118"/>
      <c r="B931" s="52"/>
      <c r="C931" s="118"/>
      <c r="D931" s="52"/>
      <c r="E931" s="118"/>
      <c r="F931" s="152"/>
      <c r="G931" s="152"/>
      <c r="H931" s="152"/>
      <c r="I931" s="152"/>
      <c r="J931" s="152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18"/>
      <c r="V931" s="118"/>
      <c r="W931" s="118"/>
      <c r="X931" s="118"/>
      <c r="Y931" s="118"/>
      <c r="Z931" s="118"/>
      <c r="AA931" s="118"/>
      <c r="AB931" s="118"/>
      <c r="AC931" s="118"/>
      <c r="AD931" s="118"/>
      <c r="AE931" s="118"/>
      <c r="AF931" s="118"/>
      <c r="AG931" s="118"/>
      <c r="AH931" s="118"/>
    </row>
    <row r="932">
      <c r="A932" s="118"/>
      <c r="B932" s="52"/>
      <c r="C932" s="118"/>
      <c r="D932" s="52"/>
      <c r="E932" s="118"/>
      <c r="F932" s="152"/>
      <c r="G932" s="152"/>
      <c r="H932" s="152"/>
      <c r="I932" s="152"/>
      <c r="J932" s="152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18"/>
      <c r="V932" s="118"/>
      <c r="W932" s="118"/>
      <c r="X932" s="118"/>
      <c r="Y932" s="118"/>
      <c r="Z932" s="118"/>
      <c r="AA932" s="118"/>
      <c r="AB932" s="118"/>
      <c r="AC932" s="118"/>
      <c r="AD932" s="118"/>
      <c r="AE932" s="118"/>
      <c r="AF932" s="118"/>
      <c r="AG932" s="118"/>
      <c r="AH932" s="118"/>
    </row>
    <row r="933">
      <c r="A933" s="118"/>
      <c r="B933" s="52"/>
      <c r="C933" s="118"/>
      <c r="D933" s="52"/>
      <c r="E933" s="118"/>
      <c r="F933" s="152"/>
      <c r="G933" s="152"/>
      <c r="H933" s="152"/>
      <c r="I933" s="152"/>
      <c r="J933" s="152"/>
      <c r="K933" s="118"/>
      <c r="L933" s="118"/>
      <c r="M933" s="118"/>
      <c r="N933" s="118"/>
      <c r="O933" s="118"/>
      <c r="P933" s="118"/>
      <c r="Q933" s="118"/>
      <c r="R933" s="118"/>
      <c r="S933" s="118"/>
      <c r="T933" s="118"/>
      <c r="U933" s="118"/>
      <c r="V933" s="118"/>
      <c r="W933" s="118"/>
      <c r="X933" s="118"/>
      <c r="Y933" s="118"/>
      <c r="Z933" s="118"/>
      <c r="AA933" s="118"/>
      <c r="AB933" s="118"/>
      <c r="AC933" s="118"/>
      <c r="AD933" s="118"/>
      <c r="AE933" s="118"/>
      <c r="AF933" s="118"/>
      <c r="AG933" s="118"/>
      <c r="AH933" s="118"/>
    </row>
    <row r="934">
      <c r="A934" s="118"/>
      <c r="B934" s="52"/>
      <c r="C934" s="118"/>
      <c r="D934" s="52"/>
      <c r="E934" s="118"/>
      <c r="F934" s="152"/>
      <c r="G934" s="152"/>
      <c r="H934" s="152"/>
      <c r="I934" s="152"/>
      <c r="J934" s="152"/>
      <c r="K934" s="118"/>
      <c r="L934" s="118"/>
      <c r="M934" s="118"/>
      <c r="N934" s="118"/>
      <c r="O934" s="118"/>
      <c r="P934" s="118"/>
      <c r="Q934" s="118"/>
      <c r="R934" s="118"/>
      <c r="S934" s="118"/>
      <c r="T934" s="118"/>
      <c r="U934" s="118"/>
      <c r="V934" s="118"/>
      <c r="W934" s="118"/>
      <c r="X934" s="118"/>
      <c r="Y934" s="118"/>
      <c r="Z934" s="118"/>
      <c r="AA934" s="118"/>
      <c r="AB934" s="118"/>
      <c r="AC934" s="118"/>
      <c r="AD934" s="118"/>
      <c r="AE934" s="118"/>
      <c r="AF934" s="118"/>
      <c r="AG934" s="118"/>
      <c r="AH934" s="118"/>
    </row>
    <row r="935">
      <c r="A935" s="118"/>
      <c r="B935" s="52"/>
      <c r="C935" s="118"/>
      <c r="D935" s="52"/>
      <c r="E935" s="118"/>
      <c r="F935" s="152"/>
      <c r="G935" s="152"/>
      <c r="H935" s="152"/>
      <c r="I935" s="152"/>
      <c r="J935" s="152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18"/>
      <c r="V935" s="118"/>
      <c r="W935" s="118"/>
      <c r="X935" s="118"/>
      <c r="Y935" s="118"/>
      <c r="Z935" s="118"/>
      <c r="AA935" s="118"/>
      <c r="AB935" s="118"/>
      <c r="AC935" s="118"/>
      <c r="AD935" s="118"/>
      <c r="AE935" s="118"/>
      <c r="AF935" s="118"/>
      <c r="AG935" s="118"/>
      <c r="AH935" s="118"/>
    </row>
    <row r="936">
      <c r="A936" s="118"/>
      <c r="B936" s="52"/>
      <c r="C936" s="118"/>
      <c r="D936" s="52"/>
      <c r="E936" s="118"/>
      <c r="F936" s="152"/>
      <c r="G936" s="152"/>
      <c r="H936" s="152"/>
      <c r="I936" s="152"/>
      <c r="J936" s="152"/>
      <c r="K936" s="118"/>
      <c r="L936" s="118"/>
      <c r="M936" s="118"/>
      <c r="N936" s="118"/>
      <c r="O936" s="118"/>
      <c r="P936" s="118"/>
      <c r="Q936" s="118"/>
      <c r="R936" s="118"/>
      <c r="S936" s="118"/>
      <c r="T936" s="118"/>
      <c r="U936" s="118"/>
      <c r="V936" s="118"/>
      <c r="W936" s="118"/>
      <c r="X936" s="118"/>
      <c r="Y936" s="118"/>
      <c r="Z936" s="118"/>
      <c r="AA936" s="118"/>
      <c r="AB936" s="118"/>
      <c r="AC936" s="118"/>
      <c r="AD936" s="118"/>
      <c r="AE936" s="118"/>
      <c r="AF936" s="118"/>
      <c r="AG936" s="118"/>
      <c r="AH936" s="118"/>
    </row>
    <row r="937">
      <c r="A937" s="118"/>
      <c r="B937" s="52"/>
      <c r="C937" s="118"/>
      <c r="D937" s="52"/>
      <c r="E937" s="118"/>
      <c r="F937" s="152"/>
      <c r="G937" s="152"/>
      <c r="H937" s="152"/>
      <c r="I937" s="152"/>
      <c r="J937" s="152"/>
      <c r="K937" s="118"/>
      <c r="L937" s="118"/>
      <c r="M937" s="118"/>
      <c r="N937" s="118"/>
      <c r="O937" s="118"/>
      <c r="P937" s="118"/>
      <c r="Q937" s="118"/>
      <c r="R937" s="118"/>
      <c r="S937" s="118"/>
      <c r="T937" s="118"/>
      <c r="U937" s="118"/>
      <c r="V937" s="118"/>
      <c r="W937" s="118"/>
      <c r="X937" s="118"/>
      <c r="Y937" s="118"/>
      <c r="Z937" s="118"/>
      <c r="AA937" s="118"/>
      <c r="AB937" s="118"/>
      <c r="AC937" s="118"/>
      <c r="AD937" s="118"/>
      <c r="AE937" s="118"/>
      <c r="AF937" s="118"/>
      <c r="AG937" s="118"/>
      <c r="AH937" s="118"/>
    </row>
    <row r="938">
      <c r="A938" s="118"/>
      <c r="B938" s="52"/>
      <c r="C938" s="118"/>
      <c r="D938" s="52"/>
      <c r="E938" s="118"/>
      <c r="F938" s="152"/>
      <c r="G938" s="152"/>
      <c r="H938" s="152"/>
      <c r="I938" s="152"/>
      <c r="J938" s="152"/>
      <c r="K938" s="118"/>
      <c r="L938" s="118"/>
      <c r="M938" s="118"/>
      <c r="N938" s="118"/>
      <c r="O938" s="118"/>
      <c r="P938" s="118"/>
      <c r="Q938" s="118"/>
      <c r="R938" s="118"/>
      <c r="S938" s="118"/>
      <c r="T938" s="118"/>
      <c r="U938" s="118"/>
      <c r="V938" s="118"/>
      <c r="W938" s="118"/>
      <c r="X938" s="118"/>
      <c r="Y938" s="118"/>
      <c r="Z938" s="118"/>
      <c r="AA938" s="118"/>
      <c r="AB938" s="118"/>
      <c r="AC938" s="118"/>
      <c r="AD938" s="118"/>
      <c r="AE938" s="118"/>
      <c r="AF938" s="118"/>
      <c r="AG938" s="118"/>
      <c r="AH938" s="118"/>
    </row>
    <row r="939">
      <c r="A939" s="118"/>
      <c r="B939" s="52"/>
      <c r="C939" s="118"/>
      <c r="D939" s="52"/>
      <c r="E939" s="118"/>
      <c r="F939" s="152"/>
      <c r="G939" s="152"/>
      <c r="H939" s="152"/>
      <c r="I939" s="152"/>
      <c r="J939" s="152"/>
      <c r="K939" s="118"/>
      <c r="L939" s="118"/>
      <c r="M939" s="118"/>
      <c r="N939" s="118"/>
      <c r="O939" s="118"/>
      <c r="P939" s="118"/>
      <c r="Q939" s="118"/>
      <c r="R939" s="118"/>
      <c r="S939" s="118"/>
      <c r="T939" s="118"/>
      <c r="U939" s="118"/>
      <c r="V939" s="118"/>
      <c r="W939" s="118"/>
      <c r="X939" s="118"/>
      <c r="Y939" s="118"/>
      <c r="Z939" s="118"/>
      <c r="AA939" s="118"/>
      <c r="AB939" s="118"/>
      <c r="AC939" s="118"/>
      <c r="AD939" s="118"/>
      <c r="AE939" s="118"/>
      <c r="AF939" s="118"/>
      <c r="AG939" s="118"/>
      <c r="AH939" s="118"/>
    </row>
    <row r="940">
      <c r="A940" s="118"/>
      <c r="B940" s="52"/>
      <c r="C940" s="118"/>
      <c r="D940" s="52"/>
      <c r="E940" s="118"/>
      <c r="F940" s="152"/>
      <c r="G940" s="152"/>
      <c r="H940" s="152"/>
      <c r="I940" s="152"/>
      <c r="J940" s="152"/>
      <c r="K940" s="118"/>
      <c r="L940" s="118"/>
      <c r="M940" s="118"/>
      <c r="N940" s="118"/>
      <c r="O940" s="118"/>
      <c r="P940" s="118"/>
      <c r="Q940" s="118"/>
      <c r="R940" s="118"/>
      <c r="S940" s="118"/>
      <c r="T940" s="118"/>
      <c r="U940" s="118"/>
      <c r="V940" s="118"/>
      <c r="W940" s="118"/>
      <c r="X940" s="118"/>
      <c r="Y940" s="118"/>
      <c r="Z940" s="118"/>
      <c r="AA940" s="118"/>
      <c r="AB940" s="118"/>
      <c r="AC940" s="118"/>
      <c r="AD940" s="118"/>
      <c r="AE940" s="118"/>
      <c r="AF940" s="118"/>
      <c r="AG940" s="118"/>
      <c r="AH940" s="118"/>
    </row>
    <row r="941">
      <c r="A941" s="118"/>
      <c r="B941" s="52"/>
      <c r="C941" s="118"/>
      <c r="D941" s="52"/>
      <c r="E941" s="118"/>
      <c r="F941" s="152"/>
      <c r="G941" s="152"/>
      <c r="H941" s="152"/>
      <c r="I941" s="152"/>
      <c r="J941" s="152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18"/>
      <c r="V941" s="118"/>
      <c r="W941" s="118"/>
      <c r="X941" s="118"/>
      <c r="Y941" s="118"/>
      <c r="Z941" s="118"/>
      <c r="AA941" s="118"/>
      <c r="AB941" s="118"/>
      <c r="AC941" s="118"/>
      <c r="AD941" s="118"/>
      <c r="AE941" s="118"/>
      <c r="AF941" s="118"/>
      <c r="AG941" s="118"/>
      <c r="AH941" s="118"/>
    </row>
    <row r="942">
      <c r="A942" s="118"/>
      <c r="B942" s="52"/>
      <c r="C942" s="118"/>
      <c r="D942" s="52"/>
      <c r="E942" s="118"/>
      <c r="F942" s="152"/>
      <c r="G942" s="152"/>
      <c r="H942" s="152"/>
      <c r="I942" s="152"/>
      <c r="J942" s="152"/>
      <c r="K942" s="118"/>
      <c r="L942" s="118"/>
      <c r="M942" s="118"/>
      <c r="N942" s="118"/>
      <c r="O942" s="118"/>
      <c r="P942" s="118"/>
      <c r="Q942" s="118"/>
      <c r="R942" s="118"/>
      <c r="S942" s="118"/>
      <c r="T942" s="118"/>
      <c r="U942" s="118"/>
      <c r="V942" s="118"/>
      <c r="W942" s="118"/>
      <c r="X942" s="118"/>
      <c r="Y942" s="118"/>
      <c r="Z942" s="118"/>
      <c r="AA942" s="118"/>
      <c r="AB942" s="118"/>
      <c r="AC942" s="118"/>
      <c r="AD942" s="118"/>
      <c r="AE942" s="118"/>
      <c r="AF942" s="118"/>
      <c r="AG942" s="118"/>
      <c r="AH942" s="118"/>
    </row>
    <row r="943">
      <c r="A943" s="118"/>
      <c r="B943" s="52"/>
      <c r="C943" s="118"/>
      <c r="D943" s="52"/>
      <c r="E943" s="118"/>
      <c r="F943" s="152"/>
      <c r="G943" s="152"/>
      <c r="H943" s="152"/>
      <c r="I943" s="152"/>
      <c r="J943" s="152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18"/>
      <c r="V943" s="118"/>
      <c r="W943" s="118"/>
      <c r="X943" s="118"/>
      <c r="Y943" s="118"/>
      <c r="Z943" s="118"/>
      <c r="AA943" s="118"/>
      <c r="AB943" s="118"/>
      <c r="AC943" s="118"/>
      <c r="AD943" s="118"/>
      <c r="AE943" s="118"/>
      <c r="AF943" s="118"/>
      <c r="AG943" s="118"/>
      <c r="AH943" s="118"/>
    </row>
    <row r="944">
      <c r="A944" s="118"/>
      <c r="B944" s="52"/>
      <c r="C944" s="118"/>
      <c r="D944" s="52"/>
      <c r="E944" s="118"/>
      <c r="F944" s="152"/>
      <c r="G944" s="152"/>
      <c r="H944" s="152"/>
      <c r="I944" s="152"/>
      <c r="J944" s="152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18"/>
      <c r="V944" s="118"/>
      <c r="W944" s="118"/>
      <c r="X944" s="118"/>
      <c r="Y944" s="118"/>
      <c r="Z944" s="118"/>
      <c r="AA944" s="118"/>
      <c r="AB944" s="118"/>
      <c r="AC944" s="118"/>
      <c r="AD944" s="118"/>
      <c r="AE944" s="118"/>
      <c r="AF944" s="118"/>
      <c r="AG944" s="118"/>
      <c r="AH944" s="118"/>
    </row>
    <row r="945">
      <c r="A945" s="118"/>
      <c r="B945" s="52"/>
      <c r="C945" s="118"/>
      <c r="D945" s="52"/>
      <c r="E945" s="118"/>
      <c r="F945" s="152"/>
      <c r="G945" s="152"/>
      <c r="H945" s="152"/>
      <c r="I945" s="152"/>
      <c r="J945" s="152"/>
      <c r="K945" s="118"/>
      <c r="L945" s="118"/>
      <c r="M945" s="118"/>
      <c r="N945" s="118"/>
      <c r="O945" s="118"/>
      <c r="P945" s="118"/>
      <c r="Q945" s="118"/>
      <c r="R945" s="118"/>
      <c r="S945" s="118"/>
      <c r="T945" s="118"/>
      <c r="U945" s="118"/>
      <c r="V945" s="118"/>
      <c r="W945" s="118"/>
      <c r="X945" s="118"/>
      <c r="Y945" s="118"/>
      <c r="Z945" s="118"/>
      <c r="AA945" s="118"/>
      <c r="AB945" s="118"/>
      <c r="AC945" s="118"/>
      <c r="AD945" s="118"/>
      <c r="AE945" s="118"/>
      <c r="AF945" s="118"/>
      <c r="AG945" s="118"/>
      <c r="AH945" s="118"/>
    </row>
    <row r="946">
      <c r="A946" s="118"/>
      <c r="B946" s="52"/>
      <c r="C946" s="118"/>
      <c r="D946" s="52"/>
      <c r="E946" s="118"/>
      <c r="F946" s="152"/>
      <c r="G946" s="152"/>
      <c r="H946" s="152"/>
      <c r="I946" s="152"/>
      <c r="J946" s="152"/>
      <c r="K946" s="118"/>
      <c r="L946" s="118"/>
      <c r="M946" s="118"/>
      <c r="N946" s="118"/>
      <c r="O946" s="118"/>
      <c r="P946" s="118"/>
      <c r="Q946" s="118"/>
      <c r="R946" s="118"/>
      <c r="S946" s="118"/>
      <c r="T946" s="118"/>
      <c r="U946" s="118"/>
      <c r="V946" s="118"/>
      <c r="W946" s="118"/>
      <c r="X946" s="118"/>
      <c r="Y946" s="118"/>
      <c r="Z946" s="118"/>
      <c r="AA946" s="118"/>
      <c r="AB946" s="118"/>
      <c r="AC946" s="118"/>
      <c r="AD946" s="118"/>
      <c r="AE946" s="118"/>
      <c r="AF946" s="118"/>
      <c r="AG946" s="118"/>
      <c r="AH946" s="118"/>
    </row>
    <row r="947">
      <c r="A947" s="118"/>
      <c r="B947" s="52"/>
      <c r="C947" s="118"/>
      <c r="D947" s="52"/>
      <c r="E947" s="118"/>
      <c r="F947" s="152"/>
      <c r="G947" s="152"/>
      <c r="H947" s="152"/>
      <c r="I947" s="152"/>
      <c r="J947" s="152"/>
      <c r="K947" s="118"/>
      <c r="L947" s="118"/>
      <c r="M947" s="118"/>
      <c r="N947" s="118"/>
      <c r="O947" s="118"/>
      <c r="P947" s="118"/>
      <c r="Q947" s="118"/>
      <c r="R947" s="118"/>
      <c r="S947" s="118"/>
      <c r="T947" s="118"/>
      <c r="U947" s="118"/>
      <c r="V947" s="118"/>
      <c r="W947" s="118"/>
      <c r="X947" s="118"/>
      <c r="Y947" s="118"/>
      <c r="Z947" s="118"/>
      <c r="AA947" s="118"/>
      <c r="AB947" s="118"/>
      <c r="AC947" s="118"/>
      <c r="AD947" s="118"/>
      <c r="AE947" s="118"/>
      <c r="AF947" s="118"/>
      <c r="AG947" s="118"/>
      <c r="AH947" s="118"/>
    </row>
    <row r="948">
      <c r="A948" s="118"/>
      <c r="B948" s="52"/>
      <c r="C948" s="118"/>
      <c r="D948" s="52"/>
      <c r="E948" s="118"/>
      <c r="F948" s="152"/>
      <c r="G948" s="152"/>
      <c r="H948" s="152"/>
      <c r="I948" s="152"/>
      <c r="J948" s="152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18"/>
      <c r="V948" s="118"/>
      <c r="W948" s="118"/>
      <c r="X948" s="118"/>
      <c r="Y948" s="118"/>
      <c r="Z948" s="118"/>
      <c r="AA948" s="118"/>
      <c r="AB948" s="118"/>
      <c r="AC948" s="118"/>
      <c r="AD948" s="118"/>
      <c r="AE948" s="118"/>
      <c r="AF948" s="118"/>
      <c r="AG948" s="118"/>
      <c r="AH948" s="118"/>
    </row>
    <row r="949">
      <c r="A949" s="118"/>
      <c r="B949" s="52"/>
      <c r="C949" s="118"/>
      <c r="D949" s="52"/>
      <c r="E949" s="118"/>
      <c r="F949" s="152"/>
      <c r="G949" s="152"/>
      <c r="H949" s="152"/>
      <c r="I949" s="152"/>
      <c r="J949" s="152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18"/>
      <c r="V949" s="118"/>
      <c r="W949" s="118"/>
      <c r="X949" s="118"/>
      <c r="Y949" s="118"/>
      <c r="Z949" s="118"/>
      <c r="AA949" s="118"/>
      <c r="AB949" s="118"/>
      <c r="AC949" s="118"/>
      <c r="AD949" s="118"/>
      <c r="AE949" s="118"/>
      <c r="AF949" s="118"/>
      <c r="AG949" s="118"/>
      <c r="AH949" s="118"/>
    </row>
    <row r="950">
      <c r="A950" s="118"/>
      <c r="B950" s="52"/>
      <c r="C950" s="118"/>
      <c r="D950" s="52"/>
      <c r="E950" s="118"/>
      <c r="F950" s="152"/>
      <c r="G950" s="152"/>
      <c r="H950" s="152"/>
      <c r="I950" s="152"/>
      <c r="J950" s="152"/>
      <c r="K950" s="118"/>
      <c r="L950" s="118"/>
      <c r="M950" s="118"/>
      <c r="N950" s="118"/>
      <c r="O950" s="118"/>
      <c r="P950" s="118"/>
      <c r="Q950" s="118"/>
      <c r="R950" s="118"/>
      <c r="S950" s="118"/>
      <c r="T950" s="118"/>
      <c r="U950" s="118"/>
      <c r="V950" s="118"/>
      <c r="W950" s="118"/>
      <c r="X950" s="118"/>
      <c r="Y950" s="118"/>
      <c r="Z950" s="118"/>
      <c r="AA950" s="118"/>
      <c r="AB950" s="118"/>
      <c r="AC950" s="118"/>
      <c r="AD950" s="118"/>
      <c r="AE950" s="118"/>
      <c r="AF950" s="118"/>
      <c r="AG950" s="118"/>
      <c r="AH950" s="118"/>
    </row>
    <row r="951">
      <c r="A951" s="118"/>
      <c r="B951" s="52"/>
      <c r="C951" s="118"/>
      <c r="D951" s="52"/>
      <c r="E951" s="118"/>
      <c r="F951" s="152"/>
      <c r="G951" s="152"/>
      <c r="H951" s="152"/>
      <c r="I951" s="152"/>
      <c r="J951" s="152"/>
      <c r="K951" s="118"/>
      <c r="L951" s="118"/>
      <c r="M951" s="118"/>
      <c r="N951" s="118"/>
      <c r="O951" s="118"/>
      <c r="P951" s="118"/>
      <c r="Q951" s="118"/>
      <c r="R951" s="118"/>
      <c r="S951" s="118"/>
      <c r="T951" s="118"/>
      <c r="U951" s="118"/>
      <c r="V951" s="118"/>
      <c r="W951" s="118"/>
      <c r="X951" s="118"/>
      <c r="Y951" s="118"/>
      <c r="Z951" s="118"/>
      <c r="AA951" s="118"/>
      <c r="AB951" s="118"/>
      <c r="AC951" s="118"/>
      <c r="AD951" s="118"/>
      <c r="AE951" s="118"/>
      <c r="AF951" s="118"/>
      <c r="AG951" s="118"/>
      <c r="AH951" s="118"/>
    </row>
    <row r="952">
      <c r="A952" s="118"/>
      <c r="B952" s="52"/>
      <c r="C952" s="118"/>
      <c r="D952" s="52"/>
      <c r="E952" s="118"/>
      <c r="F952" s="152"/>
      <c r="G952" s="152"/>
      <c r="H952" s="152"/>
      <c r="I952" s="152"/>
      <c r="J952" s="152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18"/>
      <c r="V952" s="118"/>
      <c r="W952" s="118"/>
      <c r="X952" s="118"/>
      <c r="Y952" s="118"/>
      <c r="Z952" s="118"/>
      <c r="AA952" s="118"/>
      <c r="AB952" s="118"/>
      <c r="AC952" s="118"/>
      <c r="AD952" s="118"/>
      <c r="AE952" s="118"/>
      <c r="AF952" s="118"/>
      <c r="AG952" s="118"/>
      <c r="AH952" s="118"/>
    </row>
    <row r="953">
      <c r="A953" s="118"/>
      <c r="B953" s="52"/>
      <c r="C953" s="118"/>
      <c r="D953" s="52"/>
      <c r="E953" s="118"/>
      <c r="F953" s="152"/>
      <c r="G953" s="152"/>
      <c r="H953" s="152"/>
      <c r="I953" s="152"/>
      <c r="J953" s="152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18"/>
      <c r="V953" s="118"/>
      <c r="W953" s="118"/>
      <c r="X953" s="118"/>
      <c r="Y953" s="118"/>
      <c r="Z953" s="118"/>
      <c r="AA953" s="118"/>
      <c r="AB953" s="118"/>
      <c r="AC953" s="118"/>
      <c r="AD953" s="118"/>
      <c r="AE953" s="118"/>
      <c r="AF953" s="118"/>
      <c r="AG953" s="118"/>
      <c r="AH953" s="118"/>
    </row>
    <row r="954">
      <c r="A954" s="118"/>
      <c r="B954" s="52"/>
      <c r="C954" s="118"/>
      <c r="D954" s="52"/>
      <c r="E954" s="118"/>
      <c r="F954" s="152"/>
      <c r="G954" s="152"/>
      <c r="H954" s="152"/>
      <c r="I954" s="152"/>
      <c r="J954" s="152"/>
      <c r="K954" s="118"/>
      <c r="L954" s="118"/>
      <c r="M954" s="118"/>
      <c r="N954" s="118"/>
      <c r="O954" s="118"/>
      <c r="P954" s="118"/>
      <c r="Q954" s="118"/>
      <c r="R954" s="118"/>
      <c r="S954" s="118"/>
      <c r="T954" s="118"/>
      <c r="U954" s="118"/>
      <c r="V954" s="118"/>
      <c r="W954" s="118"/>
      <c r="X954" s="118"/>
      <c r="Y954" s="118"/>
      <c r="Z954" s="118"/>
      <c r="AA954" s="118"/>
      <c r="AB954" s="118"/>
      <c r="AC954" s="118"/>
      <c r="AD954" s="118"/>
      <c r="AE954" s="118"/>
      <c r="AF954" s="118"/>
      <c r="AG954" s="118"/>
      <c r="AH954" s="118"/>
    </row>
    <row r="955">
      <c r="A955" s="118"/>
      <c r="B955" s="52"/>
      <c r="C955" s="118"/>
      <c r="D955" s="52"/>
      <c r="E955" s="118"/>
      <c r="F955" s="152"/>
      <c r="G955" s="152"/>
      <c r="H955" s="152"/>
      <c r="I955" s="152"/>
      <c r="J955" s="152"/>
      <c r="K955" s="118"/>
      <c r="L955" s="118"/>
      <c r="M955" s="118"/>
      <c r="N955" s="118"/>
      <c r="O955" s="118"/>
      <c r="P955" s="118"/>
      <c r="Q955" s="118"/>
      <c r="R955" s="118"/>
      <c r="S955" s="118"/>
      <c r="T955" s="118"/>
      <c r="U955" s="118"/>
      <c r="V955" s="118"/>
      <c r="W955" s="118"/>
      <c r="X955" s="118"/>
      <c r="Y955" s="118"/>
      <c r="Z955" s="118"/>
      <c r="AA955" s="118"/>
      <c r="AB955" s="118"/>
      <c r="AC955" s="118"/>
      <c r="AD955" s="118"/>
      <c r="AE955" s="118"/>
      <c r="AF955" s="118"/>
      <c r="AG955" s="118"/>
      <c r="AH955" s="118"/>
    </row>
    <row r="956">
      <c r="A956" s="118"/>
      <c r="B956" s="52"/>
      <c r="C956" s="118"/>
      <c r="D956" s="52"/>
      <c r="E956" s="118"/>
      <c r="F956" s="152"/>
      <c r="G956" s="152"/>
      <c r="H956" s="152"/>
      <c r="I956" s="152"/>
      <c r="J956" s="152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18"/>
      <c r="V956" s="118"/>
      <c r="W956" s="118"/>
      <c r="X956" s="118"/>
      <c r="Y956" s="118"/>
      <c r="Z956" s="118"/>
      <c r="AA956" s="118"/>
      <c r="AB956" s="118"/>
      <c r="AC956" s="118"/>
      <c r="AD956" s="118"/>
      <c r="AE956" s="118"/>
      <c r="AF956" s="118"/>
      <c r="AG956" s="118"/>
      <c r="AH956" s="118"/>
    </row>
    <row r="957">
      <c r="A957" s="118"/>
      <c r="B957" s="52"/>
      <c r="C957" s="118"/>
      <c r="D957" s="52"/>
      <c r="E957" s="118"/>
      <c r="F957" s="152"/>
      <c r="G957" s="152"/>
      <c r="H957" s="152"/>
      <c r="I957" s="152"/>
      <c r="J957" s="152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18"/>
      <c r="V957" s="118"/>
      <c r="W957" s="118"/>
      <c r="X957" s="118"/>
      <c r="Y957" s="118"/>
      <c r="Z957" s="118"/>
      <c r="AA957" s="118"/>
      <c r="AB957" s="118"/>
      <c r="AC957" s="118"/>
      <c r="AD957" s="118"/>
      <c r="AE957" s="118"/>
      <c r="AF957" s="118"/>
      <c r="AG957" s="118"/>
      <c r="AH957" s="118"/>
    </row>
    <row r="958">
      <c r="A958" s="118"/>
      <c r="B958" s="52"/>
      <c r="C958" s="118"/>
      <c r="D958" s="52"/>
      <c r="E958" s="118"/>
      <c r="F958" s="152"/>
      <c r="G958" s="152"/>
      <c r="H958" s="152"/>
      <c r="I958" s="152"/>
      <c r="J958" s="152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18"/>
      <c r="V958" s="118"/>
      <c r="W958" s="118"/>
      <c r="X958" s="118"/>
      <c r="Y958" s="118"/>
      <c r="Z958" s="118"/>
      <c r="AA958" s="118"/>
      <c r="AB958" s="118"/>
      <c r="AC958" s="118"/>
      <c r="AD958" s="118"/>
      <c r="AE958" s="118"/>
      <c r="AF958" s="118"/>
      <c r="AG958" s="118"/>
      <c r="AH958" s="118"/>
    </row>
    <row r="959">
      <c r="A959" s="118"/>
      <c r="B959" s="52"/>
      <c r="C959" s="118"/>
      <c r="D959" s="52"/>
      <c r="E959" s="118"/>
      <c r="F959" s="152"/>
      <c r="G959" s="152"/>
      <c r="H959" s="152"/>
      <c r="I959" s="152"/>
      <c r="J959" s="152"/>
      <c r="K959" s="118"/>
      <c r="L959" s="118"/>
      <c r="M959" s="118"/>
      <c r="N959" s="118"/>
      <c r="O959" s="118"/>
      <c r="P959" s="118"/>
      <c r="Q959" s="118"/>
      <c r="R959" s="118"/>
      <c r="S959" s="118"/>
      <c r="T959" s="118"/>
      <c r="U959" s="118"/>
      <c r="V959" s="118"/>
      <c r="W959" s="118"/>
      <c r="X959" s="118"/>
      <c r="Y959" s="118"/>
      <c r="Z959" s="118"/>
      <c r="AA959" s="118"/>
      <c r="AB959" s="118"/>
      <c r="AC959" s="118"/>
      <c r="AD959" s="118"/>
      <c r="AE959" s="118"/>
      <c r="AF959" s="118"/>
      <c r="AG959" s="118"/>
      <c r="AH959" s="118"/>
    </row>
    <row r="960">
      <c r="A960" s="118"/>
      <c r="B960" s="52"/>
      <c r="C960" s="118"/>
      <c r="D960" s="52"/>
      <c r="E960" s="118"/>
      <c r="F960" s="152"/>
      <c r="G960" s="152"/>
      <c r="H960" s="152"/>
      <c r="I960" s="152"/>
      <c r="J960" s="152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18"/>
      <c r="V960" s="118"/>
      <c r="W960" s="118"/>
      <c r="X960" s="118"/>
      <c r="Y960" s="118"/>
      <c r="Z960" s="118"/>
      <c r="AA960" s="118"/>
      <c r="AB960" s="118"/>
      <c r="AC960" s="118"/>
      <c r="AD960" s="118"/>
      <c r="AE960" s="118"/>
      <c r="AF960" s="118"/>
      <c r="AG960" s="118"/>
      <c r="AH960" s="118"/>
    </row>
    <row r="961">
      <c r="A961" s="118"/>
      <c r="B961" s="52"/>
      <c r="C961" s="118"/>
      <c r="D961" s="52"/>
      <c r="E961" s="118"/>
      <c r="F961" s="152"/>
      <c r="G961" s="152"/>
      <c r="H961" s="152"/>
      <c r="I961" s="152"/>
      <c r="J961" s="152"/>
      <c r="K961" s="118"/>
      <c r="L961" s="118"/>
      <c r="M961" s="118"/>
      <c r="N961" s="118"/>
      <c r="O961" s="118"/>
      <c r="P961" s="118"/>
      <c r="Q961" s="118"/>
      <c r="R961" s="118"/>
      <c r="S961" s="118"/>
      <c r="T961" s="118"/>
      <c r="U961" s="118"/>
      <c r="V961" s="118"/>
      <c r="W961" s="118"/>
      <c r="X961" s="118"/>
      <c r="Y961" s="118"/>
      <c r="Z961" s="118"/>
      <c r="AA961" s="118"/>
      <c r="AB961" s="118"/>
      <c r="AC961" s="118"/>
      <c r="AD961" s="118"/>
      <c r="AE961" s="118"/>
      <c r="AF961" s="118"/>
      <c r="AG961" s="118"/>
      <c r="AH961" s="118"/>
    </row>
    <row r="962">
      <c r="A962" s="118"/>
      <c r="B962" s="52"/>
      <c r="C962" s="118"/>
      <c r="D962" s="52"/>
      <c r="E962" s="118"/>
      <c r="F962" s="152"/>
      <c r="G962" s="152"/>
      <c r="H962" s="152"/>
      <c r="I962" s="152"/>
      <c r="J962" s="152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18"/>
      <c r="V962" s="118"/>
      <c r="W962" s="118"/>
      <c r="X962" s="118"/>
      <c r="Y962" s="118"/>
      <c r="Z962" s="118"/>
      <c r="AA962" s="118"/>
      <c r="AB962" s="118"/>
      <c r="AC962" s="118"/>
      <c r="AD962" s="118"/>
      <c r="AE962" s="118"/>
      <c r="AF962" s="118"/>
      <c r="AG962" s="118"/>
      <c r="AH962" s="118"/>
    </row>
    <row r="963">
      <c r="A963" s="118"/>
      <c r="B963" s="52"/>
      <c r="C963" s="118"/>
      <c r="D963" s="52"/>
      <c r="E963" s="118"/>
      <c r="F963" s="152"/>
      <c r="G963" s="152"/>
      <c r="H963" s="152"/>
      <c r="I963" s="152"/>
      <c r="J963" s="152"/>
      <c r="K963" s="118"/>
      <c r="L963" s="118"/>
      <c r="M963" s="118"/>
      <c r="N963" s="118"/>
      <c r="O963" s="118"/>
      <c r="P963" s="118"/>
      <c r="Q963" s="118"/>
      <c r="R963" s="118"/>
      <c r="S963" s="118"/>
      <c r="T963" s="118"/>
      <c r="U963" s="118"/>
      <c r="V963" s="118"/>
      <c r="W963" s="118"/>
      <c r="X963" s="118"/>
      <c r="Y963" s="118"/>
      <c r="Z963" s="118"/>
      <c r="AA963" s="118"/>
      <c r="AB963" s="118"/>
      <c r="AC963" s="118"/>
      <c r="AD963" s="118"/>
      <c r="AE963" s="118"/>
      <c r="AF963" s="118"/>
      <c r="AG963" s="118"/>
      <c r="AH963" s="118"/>
    </row>
    <row r="964">
      <c r="A964" s="118"/>
      <c r="B964" s="52"/>
      <c r="C964" s="118"/>
      <c r="D964" s="52"/>
      <c r="E964" s="118"/>
      <c r="F964" s="152"/>
      <c r="G964" s="152"/>
      <c r="H964" s="152"/>
      <c r="I964" s="152"/>
      <c r="J964" s="152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18"/>
      <c r="V964" s="118"/>
      <c r="W964" s="118"/>
      <c r="X964" s="118"/>
      <c r="Y964" s="118"/>
      <c r="Z964" s="118"/>
      <c r="AA964" s="118"/>
      <c r="AB964" s="118"/>
      <c r="AC964" s="118"/>
      <c r="AD964" s="118"/>
      <c r="AE964" s="118"/>
      <c r="AF964" s="118"/>
      <c r="AG964" s="118"/>
      <c r="AH964" s="118"/>
    </row>
    <row r="965">
      <c r="A965" s="118"/>
      <c r="B965" s="52"/>
      <c r="C965" s="118"/>
      <c r="D965" s="52"/>
      <c r="E965" s="118"/>
      <c r="F965" s="152"/>
      <c r="G965" s="152"/>
      <c r="H965" s="152"/>
      <c r="I965" s="152"/>
      <c r="J965" s="152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18"/>
      <c r="V965" s="118"/>
      <c r="W965" s="118"/>
      <c r="X965" s="118"/>
      <c r="Y965" s="118"/>
      <c r="Z965" s="118"/>
      <c r="AA965" s="118"/>
      <c r="AB965" s="118"/>
      <c r="AC965" s="118"/>
      <c r="AD965" s="118"/>
      <c r="AE965" s="118"/>
      <c r="AF965" s="118"/>
      <c r="AG965" s="118"/>
      <c r="AH965" s="118"/>
    </row>
    <row r="966">
      <c r="A966" s="118"/>
      <c r="B966" s="52"/>
      <c r="C966" s="118"/>
      <c r="D966" s="52"/>
      <c r="E966" s="118"/>
      <c r="F966" s="152"/>
      <c r="G966" s="152"/>
      <c r="H966" s="152"/>
      <c r="I966" s="152"/>
      <c r="J966" s="152"/>
      <c r="K966" s="118"/>
      <c r="L966" s="118"/>
      <c r="M966" s="118"/>
      <c r="N966" s="118"/>
      <c r="O966" s="118"/>
      <c r="P966" s="118"/>
      <c r="Q966" s="118"/>
      <c r="R966" s="118"/>
      <c r="S966" s="118"/>
      <c r="T966" s="118"/>
      <c r="U966" s="118"/>
      <c r="V966" s="118"/>
      <c r="W966" s="118"/>
      <c r="X966" s="118"/>
      <c r="Y966" s="118"/>
      <c r="Z966" s="118"/>
      <c r="AA966" s="118"/>
      <c r="AB966" s="118"/>
      <c r="AC966" s="118"/>
      <c r="AD966" s="118"/>
      <c r="AE966" s="118"/>
      <c r="AF966" s="118"/>
      <c r="AG966" s="118"/>
      <c r="AH966" s="118"/>
    </row>
    <row r="967">
      <c r="A967" s="118"/>
      <c r="B967" s="52"/>
      <c r="C967" s="118"/>
      <c r="D967" s="52"/>
      <c r="E967" s="118"/>
      <c r="F967" s="152"/>
      <c r="G967" s="152"/>
      <c r="H967" s="152"/>
      <c r="I967" s="152"/>
      <c r="J967" s="152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18"/>
      <c r="V967" s="118"/>
      <c r="W967" s="118"/>
      <c r="X967" s="118"/>
      <c r="Y967" s="118"/>
      <c r="Z967" s="118"/>
      <c r="AA967" s="118"/>
      <c r="AB967" s="118"/>
      <c r="AC967" s="118"/>
      <c r="AD967" s="118"/>
      <c r="AE967" s="118"/>
      <c r="AF967" s="118"/>
      <c r="AG967" s="118"/>
      <c r="AH967" s="118"/>
    </row>
    <row r="968">
      <c r="A968" s="118"/>
      <c r="B968" s="52"/>
      <c r="C968" s="118"/>
      <c r="D968" s="52"/>
      <c r="E968" s="118"/>
      <c r="F968" s="152"/>
      <c r="G968" s="152"/>
      <c r="H968" s="152"/>
      <c r="I968" s="152"/>
      <c r="J968" s="152"/>
      <c r="K968" s="118"/>
      <c r="L968" s="118"/>
      <c r="M968" s="118"/>
      <c r="N968" s="118"/>
      <c r="O968" s="118"/>
      <c r="P968" s="118"/>
      <c r="Q968" s="118"/>
      <c r="R968" s="118"/>
      <c r="S968" s="118"/>
      <c r="T968" s="118"/>
      <c r="U968" s="118"/>
      <c r="V968" s="118"/>
      <c r="W968" s="118"/>
      <c r="X968" s="118"/>
      <c r="Y968" s="118"/>
      <c r="Z968" s="118"/>
      <c r="AA968" s="118"/>
      <c r="AB968" s="118"/>
      <c r="AC968" s="118"/>
      <c r="AD968" s="118"/>
      <c r="AE968" s="118"/>
      <c r="AF968" s="118"/>
      <c r="AG968" s="118"/>
      <c r="AH968" s="118"/>
    </row>
    <row r="969">
      <c r="A969" s="118"/>
      <c r="B969" s="52"/>
      <c r="C969" s="118"/>
      <c r="D969" s="52"/>
      <c r="E969" s="118"/>
      <c r="F969" s="152"/>
      <c r="G969" s="152"/>
      <c r="H969" s="152"/>
      <c r="I969" s="152"/>
      <c r="J969" s="152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18"/>
      <c r="V969" s="118"/>
      <c r="W969" s="118"/>
      <c r="X969" s="118"/>
      <c r="Y969" s="118"/>
      <c r="Z969" s="118"/>
      <c r="AA969" s="118"/>
      <c r="AB969" s="118"/>
      <c r="AC969" s="118"/>
      <c r="AD969" s="118"/>
      <c r="AE969" s="118"/>
      <c r="AF969" s="118"/>
      <c r="AG969" s="118"/>
      <c r="AH969" s="118"/>
    </row>
    <row r="970">
      <c r="A970" s="118"/>
      <c r="B970" s="52"/>
      <c r="C970" s="118"/>
      <c r="D970" s="52"/>
      <c r="E970" s="118"/>
      <c r="F970" s="152"/>
      <c r="G970" s="152"/>
      <c r="H970" s="152"/>
      <c r="I970" s="152"/>
      <c r="J970" s="152"/>
      <c r="K970" s="118"/>
      <c r="L970" s="118"/>
      <c r="M970" s="118"/>
      <c r="N970" s="118"/>
      <c r="O970" s="118"/>
      <c r="P970" s="118"/>
      <c r="Q970" s="118"/>
      <c r="R970" s="118"/>
      <c r="S970" s="118"/>
      <c r="T970" s="118"/>
      <c r="U970" s="118"/>
      <c r="V970" s="118"/>
      <c r="W970" s="118"/>
      <c r="X970" s="118"/>
      <c r="Y970" s="118"/>
      <c r="Z970" s="118"/>
      <c r="AA970" s="118"/>
      <c r="AB970" s="118"/>
      <c r="AC970" s="118"/>
      <c r="AD970" s="118"/>
      <c r="AE970" s="118"/>
      <c r="AF970" s="118"/>
      <c r="AG970" s="118"/>
      <c r="AH970" s="118"/>
    </row>
    <row r="971">
      <c r="A971" s="118"/>
      <c r="B971" s="52"/>
      <c r="C971" s="118"/>
      <c r="D971" s="52"/>
      <c r="E971" s="118"/>
      <c r="F971" s="152"/>
      <c r="G971" s="152"/>
      <c r="H971" s="152"/>
      <c r="I971" s="152"/>
      <c r="J971" s="152"/>
      <c r="K971" s="118"/>
      <c r="L971" s="118"/>
      <c r="M971" s="118"/>
      <c r="N971" s="118"/>
      <c r="O971" s="118"/>
      <c r="P971" s="118"/>
      <c r="Q971" s="118"/>
      <c r="R971" s="118"/>
      <c r="S971" s="118"/>
      <c r="T971" s="118"/>
      <c r="U971" s="118"/>
      <c r="V971" s="118"/>
      <c r="W971" s="118"/>
      <c r="X971" s="118"/>
      <c r="Y971" s="118"/>
      <c r="Z971" s="118"/>
      <c r="AA971" s="118"/>
      <c r="AB971" s="118"/>
      <c r="AC971" s="118"/>
      <c r="AD971" s="118"/>
      <c r="AE971" s="118"/>
      <c r="AF971" s="118"/>
      <c r="AG971" s="118"/>
      <c r="AH971" s="118"/>
    </row>
    <row r="972">
      <c r="A972" s="118"/>
      <c r="B972" s="52"/>
      <c r="C972" s="118"/>
      <c r="D972" s="52"/>
      <c r="E972" s="118"/>
      <c r="F972" s="152"/>
      <c r="G972" s="152"/>
      <c r="H972" s="152"/>
      <c r="I972" s="152"/>
      <c r="J972" s="152"/>
      <c r="K972" s="118"/>
      <c r="L972" s="118"/>
      <c r="M972" s="118"/>
      <c r="N972" s="118"/>
      <c r="O972" s="118"/>
      <c r="P972" s="118"/>
      <c r="Q972" s="118"/>
      <c r="R972" s="118"/>
      <c r="S972" s="118"/>
      <c r="T972" s="118"/>
      <c r="U972" s="118"/>
      <c r="V972" s="118"/>
      <c r="W972" s="118"/>
      <c r="X972" s="118"/>
      <c r="Y972" s="118"/>
      <c r="Z972" s="118"/>
      <c r="AA972" s="118"/>
      <c r="AB972" s="118"/>
      <c r="AC972" s="118"/>
      <c r="AD972" s="118"/>
      <c r="AE972" s="118"/>
      <c r="AF972" s="118"/>
      <c r="AG972" s="118"/>
      <c r="AH972" s="118"/>
    </row>
    <row r="973">
      <c r="A973" s="118"/>
      <c r="B973" s="52"/>
      <c r="C973" s="118"/>
      <c r="D973" s="52"/>
      <c r="E973" s="118"/>
      <c r="F973" s="152"/>
      <c r="G973" s="152"/>
      <c r="H973" s="152"/>
      <c r="I973" s="152"/>
      <c r="J973" s="152"/>
      <c r="K973" s="118"/>
      <c r="L973" s="118"/>
      <c r="M973" s="118"/>
      <c r="N973" s="118"/>
      <c r="O973" s="118"/>
      <c r="P973" s="118"/>
      <c r="Q973" s="118"/>
      <c r="R973" s="118"/>
      <c r="S973" s="118"/>
      <c r="T973" s="118"/>
      <c r="U973" s="118"/>
      <c r="V973" s="118"/>
      <c r="W973" s="118"/>
      <c r="X973" s="118"/>
      <c r="Y973" s="118"/>
      <c r="Z973" s="118"/>
      <c r="AA973" s="118"/>
      <c r="AB973" s="118"/>
      <c r="AC973" s="118"/>
      <c r="AD973" s="118"/>
      <c r="AE973" s="118"/>
      <c r="AF973" s="118"/>
      <c r="AG973" s="118"/>
      <c r="AH973" s="118"/>
    </row>
    <row r="974">
      <c r="A974" s="118"/>
      <c r="B974" s="52"/>
      <c r="C974" s="118"/>
      <c r="D974" s="52"/>
      <c r="E974" s="118"/>
      <c r="F974" s="152"/>
      <c r="G974" s="152"/>
      <c r="H974" s="152"/>
      <c r="I974" s="152"/>
      <c r="J974" s="152"/>
      <c r="K974" s="118"/>
      <c r="L974" s="118"/>
      <c r="M974" s="118"/>
      <c r="N974" s="118"/>
      <c r="O974" s="118"/>
      <c r="P974" s="118"/>
      <c r="Q974" s="118"/>
      <c r="R974" s="118"/>
      <c r="S974" s="118"/>
      <c r="T974" s="118"/>
      <c r="U974" s="118"/>
      <c r="V974" s="118"/>
      <c r="W974" s="118"/>
      <c r="X974" s="118"/>
      <c r="Y974" s="118"/>
      <c r="Z974" s="118"/>
      <c r="AA974" s="118"/>
      <c r="AB974" s="118"/>
      <c r="AC974" s="118"/>
      <c r="AD974" s="118"/>
      <c r="AE974" s="118"/>
      <c r="AF974" s="118"/>
      <c r="AG974" s="118"/>
      <c r="AH974" s="118"/>
    </row>
  </sheetData>
  <autoFilter ref="$E$1:$E$974"/>
  <drawing r:id="rId1"/>
</worksheet>
</file>